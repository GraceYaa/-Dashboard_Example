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240" windowWidth="24540" windowHeight="12210"/>
  </bookViews>
  <sheets>
    <sheet name="Viz" sheetId="3" r:id="rId1"/>
    <sheet name="Calc" sheetId="4" r:id="rId2"/>
    <sheet name="Data" sheetId="1" r:id="rId3"/>
    <sheet name="xyData" sheetId="5" r:id="rId4"/>
  </sheets>
  <externalReferences>
    <externalReference r:id="rId5"/>
  </externalReferences>
  <definedNames>
    <definedName name="_xlnm._FilterDatabase" localSheetId="2" hidden="1">Data!$A$1:$I$1884</definedName>
    <definedName name="ColorScale">#REF!</definedName>
    <definedName name="job_filter">Calc!$C$29</definedName>
    <definedName name="Job_List">Viz!$B$16:$B$26</definedName>
    <definedName name="region_filter">Calc!$C$28</definedName>
    <definedName name="Region_List">Viz!$B$5:$B$12</definedName>
    <definedName name="SprkR11C2" localSheetId="2">Data!#REF!</definedName>
    <definedName name="SprkR13C2" localSheetId="2">Data!#REF!</definedName>
    <definedName name="SprkR16C2" localSheetId="2">Data!#REF!</definedName>
    <definedName name="SprkR18C2" localSheetId="2">Data!#REF!</definedName>
    <definedName name="SprkR3C2" localSheetId="2">Data!#REF!</definedName>
    <definedName name="SprkR5C10" localSheetId="2">Data!#REF!</definedName>
    <definedName name="SprkR5C12" localSheetId="2">Data!#REF!</definedName>
    <definedName name="SprkR5C14" localSheetId="2">Data!#REF!</definedName>
    <definedName name="SprkR5C16" localSheetId="2">Data!#REF!</definedName>
    <definedName name="SprkR5C17" localSheetId="2">Data!#REF!</definedName>
    <definedName name="SprkR5C18" localSheetId="2">Data!#REF!</definedName>
    <definedName name="SprkR5C2" localSheetId="2">Data!#REF!</definedName>
    <definedName name="SprkR5C20" localSheetId="2">Data!#REF!</definedName>
    <definedName name="SprkR5C22" localSheetId="2">Data!#REF!</definedName>
    <definedName name="SprkR5C3" localSheetId="2">Data!#REF!</definedName>
    <definedName name="SprkR5C5" localSheetId="2">Data!#REF!</definedName>
    <definedName name="SprkR5C8" localSheetId="2">Data!#REF!</definedName>
    <definedName name="SprkR7C2" localSheetId="2">Data!#REF!</definedName>
    <definedName name="SprkR8C2" localSheetId="2">Data!#REF!</definedName>
    <definedName name="zone">OFFSET(#REF!,0,0,COUNTA(#REF!,1))</definedName>
  </definedNames>
  <calcPr calcId="125725"/>
</workbook>
</file>

<file path=xl/calcChain.xml><?xml version="1.0" encoding="utf-8"?>
<calcChain xmlns="http://schemas.openxmlformats.org/spreadsheetml/2006/main">
  <c r="M38" i="3"/>
  <c r="M37"/>
  <c r="M34"/>
  <c r="M36"/>
  <c r="D60" i="4"/>
  <c r="D59" s="1"/>
  <c r="D58" s="1"/>
  <c r="D57" s="1"/>
  <c r="D56" s="1"/>
  <c r="D55" s="1"/>
  <c r="D54" s="1"/>
  <c r="D53" s="1"/>
  <c r="D52" s="1"/>
  <c r="D51" s="1"/>
  <c r="D50" s="1"/>
  <c r="D49" s="1"/>
  <c r="D48" s="1"/>
  <c r="D47" s="1"/>
  <c r="D46" s="1"/>
  <c r="D45" s="1"/>
  <c r="D76"/>
  <c r="D75" s="1"/>
  <c r="D74" s="1"/>
  <c r="D73" s="1"/>
  <c r="D72" s="1"/>
  <c r="D71" s="1"/>
  <c r="D70" s="1"/>
  <c r="D69" s="1"/>
  <c r="I45"/>
  <c r="C28" i="3"/>
  <c r="M33"/>
  <c r="J32"/>
  <c r="B69" i="4"/>
  <c r="C69" s="1"/>
  <c r="B46"/>
  <c r="B47" s="1"/>
  <c r="F39"/>
  <c r="D39"/>
  <c r="F38"/>
  <c r="D38"/>
  <c r="F37"/>
  <c r="D37"/>
  <c r="F36"/>
  <c r="D36"/>
  <c r="F35"/>
  <c r="D35"/>
  <c r="F25"/>
  <c r="C25"/>
  <c r="D25" s="1"/>
  <c r="I24" a="1"/>
  <c r="I24" s="1"/>
  <c r="F24"/>
  <c r="G24" s="1"/>
  <c r="C24"/>
  <c r="D24" s="1"/>
  <c r="I23" a="1"/>
  <c r="I23" s="1"/>
  <c r="F23"/>
  <c r="G23" s="1"/>
  <c r="C23"/>
  <c r="D23" s="1"/>
  <c r="I22" a="1"/>
  <c r="I22" s="1"/>
  <c r="F22"/>
  <c r="G22" s="1"/>
  <c r="C22"/>
  <c r="D22" s="1"/>
  <c r="I21" a="1"/>
  <c r="I21" s="1"/>
  <c r="F21"/>
  <c r="G21" s="1"/>
  <c r="C21"/>
  <c r="D21" s="1"/>
  <c r="I20" a="1"/>
  <c r="I20" s="1"/>
  <c r="F20"/>
  <c r="G20" s="1"/>
  <c r="C20"/>
  <c r="D20" s="1"/>
  <c r="I19" a="1"/>
  <c r="I19" s="1"/>
  <c r="F19"/>
  <c r="G19" s="1"/>
  <c r="C19"/>
  <c r="D19" s="1"/>
  <c r="I18" a="1"/>
  <c r="I18" s="1"/>
  <c r="F18"/>
  <c r="G18" s="1"/>
  <c r="C18"/>
  <c r="D18" s="1"/>
  <c r="I17" a="1"/>
  <c r="I17" s="1"/>
  <c r="F17"/>
  <c r="G17" s="1"/>
  <c r="C17"/>
  <c r="D17" s="1"/>
  <c r="I16" a="1"/>
  <c r="I16" s="1"/>
  <c r="F16"/>
  <c r="G16" s="1"/>
  <c r="C16"/>
  <c r="D16" s="1"/>
  <c r="I15" a="1"/>
  <c r="I15" s="1"/>
  <c r="F15"/>
  <c r="G15" s="1"/>
  <c r="C15"/>
  <c r="D15" s="1"/>
  <c r="F11"/>
  <c r="G25" s="1"/>
  <c r="C11"/>
  <c r="D11" s="1"/>
  <c r="J10"/>
  <c r="I10" a="1"/>
  <c r="I10" s="1"/>
  <c r="F10"/>
  <c r="G10" s="1"/>
  <c r="C10"/>
  <c r="D10" s="1"/>
  <c r="I9" a="1"/>
  <c r="I9" s="1"/>
  <c r="F9"/>
  <c r="G9" s="1"/>
  <c r="C9"/>
  <c r="D9" s="1"/>
  <c r="I8" a="1"/>
  <c r="I8" s="1"/>
  <c r="F8"/>
  <c r="G8" s="1"/>
  <c r="C8"/>
  <c r="D8" s="1"/>
  <c r="I7" a="1"/>
  <c r="I7" s="1"/>
  <c r="F7"/>
  <c r="G7" s="1"/>
  <c r="C7"/>
  <c r="D7" s="1"/>
  <c r="I6" a="1"/>
  <c r="I6" s="1"/>
  <c r="F6"/>
  <c r="G6" s="1"/>
  <c r="C6"/>
  <c r="D6" s="1"/>
  <c r="I5" a="1"/>
  <c r="I5" s="1"/>
  <c r="F5"/>
  <c r="G5" s="1"/>
  <c r="C5"/>
  <c r="D5" s="1"/>
  <c r="I4" a="1"/>
  <c r="I4" s="1"/>
  <c r="F4"/>
  <c r="G4" s="1"/>
  <c r="C4"/>
  <c r="D4" s="1"/>
  <c r="E1884" i="1"/>
  <c r="E1883"/>
  <c r="E1882"/>
  <c r="E1881"/>
  <c r="E1880"/>
  <c r="E1879"/>
  <c r="E1878"/>
  <c r="E1877"/>
  <c r="E1876"/>
  <c r="E1875"/>
  <c r="E1874"/>
  <c r="E1873"/>
  <c r="E1872"/>
  <c r="E1871"/>
  <c r="E1870"/>
  <c r="E1869"/>
  <c r="E1868"/>
  <c r="E1867"/>
  <c r="E1866"/>
  <c r="E1865"/>
  <c r="E1864"/>
  <c r="E1863"/>
  <c r="E1862"/>
  <c r="E1861"/>
  <c r="E1860"/>
  <c r="E1859"/>
  <c r="E1858"/>
  <c r="E1857"/>
  <c r="E1856"/>
  <c r="E1855"/>
  <c r="E1854"/>
  <c r="E1853"/>
  <c r="E1852"/>
  <c r="E1851"/>
  <c r="E1850"/>
  <c r="E1849"/>
  <c r="E1848"/>
  <c r="E1847"/>
  <c r="E1846"/>
  <c r="E1845"/>
  <c r="E1844"/>
  <c r="E1843"/>
  <c r="E1842"/>
  <c r="E1841"/>
  <c r="E1840"/>
  <c r="E1839"/>
  <c r="E1838"/>
  <c r="E1837"/>
  <c r="E1836"/>
  <c r="E1835"/>
  <c r="E1834"/>
  <c r="E1833"/>
  <c r="E1832"/>
  <c r="E1831"/>
  <c r="E1830"/>
  <c r="E1829"/>
  <c r="E1828"/>
  <c r="E1827"/>
  <c r="E1826"/>
  <c r="E1825"/>
  <c r="E1824"/>
  <c r="E1823"/>
  <c r="E1822"/>
  <c r="E1821"/>
  <c r="E1820"/>
  <c r="E1819"/>
  <c r="E1818"/>
  <c r="E1817"/>
  <c r="E1816"/>
  <c r="E1815"/>
  <c r="E1814"/>
  <c r="E1813"/>
  <c r="E1812"/>
  <c r="E1811"/>
  <c r="E1810"/>
  <c r="E1809"/>
  <c r="E1808"/>
  <c r="E1807"/>
  <c r="E1806"/>
  <c r="E1805"/>
  <c r="E1804"/>
  <c r="E1803"/>
  <c r="E1802"/>
  <c r="E1801"/>
  <c r="E1800"/>
  <c r="E1799"/>
  <c r="E1798"/>
  <c r="E1797"/>
  <c r="E1796"/>
  <c r="E1795"/>
  <c r="E1794"/>
  <c r="E1793"/>
  <c r="E1792"/>
  <c r="E1791"/>
  <c r="E1790"/>
  <c r="E1789"/>
  <c r="E1788"/>
  <c r="E1787"/>
  <c r="E1786"/>
  <c r="E1785"/>
  <c r="E1784"/>
  <c r="E1783"/>
  <c r="E1782"/>
  <c r="E1781"/>
  <c r="E1780"/>
  <c r="E1779"/>
  <c r="E1778"/>
  <c r="E1777"/>
  <c r="E1776"/>
  <c r="E1775"/>
  <c r="E1774"/>
  <c r="E1773"/>
  <c r="E1772"/>
  <c r="E1771"/>
  <c r="E1770"/>
  <c r="E1769"/>
  <c r="E1768"/>
  <c r="E1767"/>
  <c r="E1766"/>
  <c r="E1765"/>
  <c r="E1764"/>
  <c r="E1763"/>
  <c r="E1762"/>
  <c r="E1761"/>
  <c r="E1760"/>
  <c r="E1759"/>
  <c r="E1758"/>
  <c r="E1757"/>
  <c r="E1756"/>
  <c r="E1755"/>
  <c r="E1754"/>
  <c r="E1753"/>
  <c r="E1752"/>
  <c r="E1751"/>
  <c r="E1750"/>
  <c r="E1749"/>
  <c r="E1748"/>
  <c r="E1747"/>
  <c r="E1746"/>
  <c r="E1745"/>
  <c r="E1744"/>
  <c r="E1743"/>
  <c r="E1742"/>
  <c r="E1741"/>
  <c r="E1740"/>
  <c r="E1739"/>
  <c r="E1738"/>
  <c r="E1737"/>
  <c r="E1736"/>
  <c r="E1735"/>
  <c r="E1734"/>
  <c r="E1733"/>
  <c r="E1732"/>
  <c r="E1731"/>
  <c r="E1730"/>
  <c r="E1729"/>
  <c r="E1728"/>
  <c r="E1727"/>
  <c r="E1726"/>
  <c r="E1725"/>
  <c r="E1724"/>
  <c r="E1723"/>
  <c r="E1722"/>
  <c r="E1721"/>
  <c r="E1720"/>
  <c r="E1719"/>
  <c r="E1718"/>
  <c r="E1717"/>
  <c r="E1716"/>
  <c r="E1715"/>
  <c r="E1714"/>
  <c r="E1713"/>
  <c r="E1712"/>
  <c r="E1711"/>
  <c r="E1710"/>
  <c r="E1709"/>
  <c r="E1708"/>
  <c r="E1707"/>
  <c r="E1706"/>
  <c r="E1705"/>
  <c r="E1704"/>
  <c r="E1703"/>
  <c r="E1702"/>
  <c r="E1701"/>
  <c r="E1700"/>
  <c r="E1699"/>
  <c r="E1698"/>
  <c r="E1697"/>
  <c r="E1696"/>
  <c r="E1695"/>
  <c r="E1694"/>
  <c r="E1693"/>
  <c r="E1692"/>
  <c r="E1691"/>
  <c r="E1690"/>
  <c r="E1689"/>
  <c r="E1688"/>
  <c r="E1687"/>
  <c r="E1686"/>
  <c r="E1685"/>
  <c r="E1684"/>
  <c r="E1683"/>
  <c r="E1682"/>
  <c r="E1681"/>
  <c r="E1680"/>
  <c r="E1679"/>
  <c r="E1678"/>
  <c r="E1677"/>
  <c r="E1676"/>
  <c r="E1675"/>
  <c r="E1674"/>
  <c r="E1673"/>
  <c r="E1672"/>
  <c r="E1671"/>
  <c r="E1670"/>
  <c r="E1669"/>
  <c r="E1668"/>
  <c r="E1667"/>
  <c r="E1666"/>
  <c r="E1665"/>
  <c r="E1664"/>
  <c r="E1663"/>
  <c r="E1662"/>
  <c r="E1661"/>
  <c r="E1660"/>
  <c r="E1659"/>
  <c r="E1658"/>
  <c r="E1657"/>
  <c r="E1656"/>
  <c r="E1655"/>
  <c r="E1654"/>
  <c r="E1653"/>
  <c r="E1652"/>
  <c r="E1651"/>
  <c r="E1650"/>
  <c r="E1649"/>
  <c r="E1648"/>
  <c r="E1647"/>
  <c r="E1646"/>
  <c r="E1645"/>
  <c r="E1644"/>
  <c r="E1643"/>
  <c r="E1642"/>
  <c r="E1641"/>
  <c r="E1640"/>
  <c r="E1639"/>
  <c r="E1638"/>
  <c r="E1637"/>
  <c r="E1636"/>
  <c r="E1635"/>
  <c r="E1634"/>
  <c r="E1633"/>
  <c r="E1632"/>
  <c r="E1631"/>
  <c r="E1630"/>
  <c r="E1629"/>
  <c r="E1628"/>
  <c r="E1627"/>
  <c r="E1626"/>
  <c r="E1625"/>
  <c r="E1624"/>
  <c r="E1623"/>
  <c r="E1622"/>
  <c r="E1621"/>
  <c r="E1620"/>
  <c r="E1619"/>
  <c r="E1618"/>
  <c r="E1617"/>
  <c r="E1616"/>
  <c r="E1615"/>
  <c r="E1614"/>
  <c r="E1613"/>
  <c r="E1612"/>
  <c r="E1611"/>
  <c r="E1610"/>
  <c r="E1609"/>
  <c r="E1608"/>
  <c r="E1607"/>
  <c r="E1606"/>
  <c r="E1605"/>
  <c r="E1604"/>
  <c r="E1603"/>
  <c r="E1602"/>
  <c r="E1601"/>
  <c r="E1600"/>
  <c r="E1599"/>
  <c r="E1598"/>
  <c r="E1597"/>
  <c r="E1596"/>
  <c r="E1595"/>
  <c r="E1594"/>
  <c r="E1593"/>
  <c r="E1592"/>
  <c r="E1591"/>
  <c r="E1590"/>
  <c r="E1589"/>
  <c r="E1588"/>
  <c r="E1587"/>
  <c r="E1586"/>
  <c r="E1585"/>
  <c r="E1584"/>
  <c r="E1583"/>
  <c r="E1582"/>
  <c r="E1581"/>
  <c r="E1580"/>
  <c r="E1579"/>
  <c r="E1578"/>
  <c r="E1577"/>
  <c r="E1576"/>
  <c r="E1575"/>
  <c r="E1574"/>
  <c r="E1573"/>
  <c r="E1572"/>
  <c r="E1571"/>
  <c r="E1570"/>
  <c r="E1569"/>
  <c r="E1568"/>
  <c r="E1567"/>
  <c r="E1566"/>
  <c r="E1565"/>
  <c r="E1564"/>
  <c r="E1563"/>
  <c r="E1562"/>
  <c r="E1561"/>
  <c r="E1560"/>
  <c r="E1559"/>
  <c r="E1558"/>
  <c r="E1557"/>
  <c r="E1556"/>
  <c r="E1555"/>
  <c r="E1554"/>
  <c r="E1553"/>
  <c r="E1552"/>
  <c r="E1551"/>
  <c r="E1550"/>
  <c r="E1549"/>
  <c r="E1548"/>
  <c r="E1547"/>
  <c r="E1546"/>
  <c r="E1545"/>
  <c r="E1544"/>
  <c r="E1543"/>
  <c r="E1542"/>
  <c r="E1541"/>
  <c r="E1540"/>
  <c r="E1539"/>
  <c r="E1538"/>
  <c r="E1537"/>
  <c r="E1536"/>
  <c r="E1535"/>
  <c r="E1534"/>
  <c r="E1533"/>
  <c r="E1532"/>
  <c r="E1531"/>
  <c r="E1530"/>
  <c r="E1529"/>
  <c r="E1528"/>
  <c r="E1527"/>
  <c r="E1526"/>
  <c r="E1525"/>
  <c r="E1524"/>
  <c r="E1523"/>
  <c r="E1522"/>
  <c r="E1521"/>
  <c r="E1520"/>
  <c r="E1519"/>
  <c r="E1518"/>
  <c r="E1517"/>
  <c r="E1516"/>
  <c r="E1515"/>
  <c r="E1514"/>
  <c r="E1513"/>
  <c r="E1512"/>
  <c r="E1511"/>
  <c r="E1510"/>
  <c r="E1509"/>
  <c r="E1508"/>
  <c r="E1507"/>
  <c r="E1506"/>
  <c r="E1505"/>
  <c r="E1504"/>
  <c r="E1503"/>
  <c r="E1502"/>
  <c r="E1501"/>
  <c r="E1500"/>
  <c r="E1499"/>
  <c r="E1498"/>
  <c r="E1497"/>
  <c r="E1496"/>
  <c r="E1495"/>
  <c r="E1494"/>
  <c r="E1493"/>
  <c r="E1492"/>
  <c r="E1491"/>
  <c r="E1490"/>
  <c r="E1489"/>
  <c r="E1488"/>
  <c r="E1487"/>
  <c r="E1486"/>
  <c r="E1485"/>
  <c r="E1484"/>
  <c r="E1483"/>
  <c r="E1482"/>
  <c r="E1481"/>
  <c r="E1480"/>
  <c r="E1479"/>
  <c r="E1478"/>
  <c r="E1477"/>
  <c r="E1476"/>
  <c r="E1475"/>
  <c r="E1474"/>
  <c r="E1473"/>
  <c r="E1472"/>
  <c r="E1471"/>
  <c r="E1470"/>
  <c r="E1469"/>
  <c r="E1468"/>
  <c r="E1467"/>
  <c r="E1466"/>
  <c r="E1465"/>
  <c r="E1464"/>
  <c r="E1463"/>
  <c r="E1462"/>
  <c r="E1461"/>
  <c r="E1460"/>
  <c r="E1459"/>
  <c r="E1458"/>
  <c r="E1457"/>
  <c r="E1456"/>
  <c r="E1455"/>
  <c r="E1454"/>
  <c r="E1453"/>
  <c r="E1452"/>
  <c r="E1451"/>
  <c r="E1450"/>
  <c r="E1449"/>
  <c r="E1448"/>
  <c r="E1447"/>
  <c r="E1446"/>
  <c r="E1445"/>
  <c r="E1444"/>
  <c r="E1443"/>
  <c r="E1442"/>
  <c r="E1441"/>
  <c r="E1440"/>
  <c r="E1439"/>
  <c r="E1438"/>
  <c r="E1437"/>
  <c r="E1436"/>
  <c r="E1435"/>
  <c r="E1434"/>
  <c r="E1433"/>
  <c r="E1432"/>
  <c r="E1431"/>
  <c r="E1430"/>
  <c r="E1429"/>
  <c r="E1428"/>
  <c r="E1427"/>
  <c r="E1426"/>
  <c r="E1425"/>
  <c r="E1424"/>
  <c r="E1423"/>
  <c r="E1422"/>
  <c r="E1421"/>
  <c r="E1420"/>
  <c r="E1419"/>
  <c r="E1418"/>
  <c r="E1417"/>
  <c r="E1416"/>
  <c r="E1415"/>
  <c r="E1414"/>
  <c r="E1413"/>
  <c r="E1412"/>
  <c r="E1411"/>
  <c r="E1410"/>
  <c r="E1409"/>
  <c r="E1408"/>
  <c r="E1407"/>
  <c r="E1406"/>
  <c r="E1405"/>
  <c r="E1404"/>
  <c r="E1403"/>
  <c r="E1402"/>
  <c r="E1401"/>
  <c r="E1400"/>
  <c r="E1399"/>
  <c r="E1398"/>
  <c r="E1397"/>
  <c r="E1396"/>
  <c r="E1395"/>
  <c r="E1394"/>
  <c r="E1393"/>
  <c r="E1392"/>
  <c r="E1391"/>
  <c r="E1390"/>
  <c r="E1389"/>
  <c r="E1388"/>
  <c r="E1387"/>
  <c r="E1386"/>
  <c r="E1385"/>
  <c r="E1384"/>
  <c r="E1383"/>
  <c r="E1382"/>
  <c r="E1381"/>
  <c r="E1380"/>
  <c r="E1379"/>
  <c r="E1378"/>
  <c r="E1377"/>
  <c r="E1376"/>
  <c r="E1375"/>
  <c r="E1374"/>
  <c r="E1373"/>
  <c r="E1372"/>
  <c r="E1371"/>
  <c r="E1370"/>
  <c r="E1369"/>
  <c r="E1368"/>
  <c r="E1367"/>
  <c r="E1366"/>
  <c r="E1365"/>
  <c r="E1364"/>
  <c r="E1363"/>
  <c r="E1362"/>
  <c r="E1361"/>
  <c r="E1360"/>
  <c r="E1359"/>
  <c r="E1358"/>
  <c r="E1357"/>
  <c r="E1356"/>
  <c r="E1355"/>
  <c r="E1354"/>
  <c r="E1353"/>
  <c r="E1352"/>
  <c r="E1351"/>
  <c r="E1350"/>
  <c r="E1349"/>
  <c r="E1348"/>
  <c r="E1347"/>
  <c r="E1346"/>
  <c r="E1345"/>
  <c r="E1344"/>
  <c r="E1343"/>
  <c r="E1342"/>
  <c r="E1341"/>
  <c r="E1340"/>
  <c r="E1339"/>
  <c r="E1338"/>
  <c r="E1337"/>
  <c r="E1336"/>
  <c r="E1335"/>
  <c r="E1334"/>
  <c r="E1333"/>
  <c r="E1332"/>
  <c r="E1331"/>
  <c r="E1330"/>
  <c r="E1329"/>
  <c r="E1328"/>
  <c r="E1327"/>
  <c r="E1326"/>
  <c r="E1325"/>
  <c r="E1324"/>
  <c r="E1323"/>
  <c r="E1322"/>
  <c r="E1321"/>
  <c r="E1320"/>
  <c r="E1319"/>
  <c r="E1318"/>
  <c r="E1317"/>
  <c r="E1316"/>
  <c r="E1315"/>
  <c r="E1314"/>
  <c r="E1313"/>
  <c r="E1312"/>
  <c r="E1311"/>
  <c r="E1310"/>
  <c r="E1309"/>
  <c r="E1308"/>
  <c r="E1307"/>
  <c r="E1306"/>
  <c r="E1305"/>
  <c r="E1304"/>
  <c r="E1303"/>
  <c r="E1302"/>
  <c r="E1301"/>
  <c r="E1300"/>
  <c r="E1299"/>
  <c r="E1298"/>
  <c r="E1297"/>
  <c r="E1296"/>
  <c r="E1295"/>
  <c r="E1294"/>
  <c r="E1293"/>
  <c r="E1292"/>
  <c r="E1291"/>
  <c r="E1290"/>
  <c r="E1289"/>
  <c r="E1288"/>
  <c r="E1287"/>
  <c r="E1286"/>
  <c r="E1285"/>
  <c r="E1284"/>
  <c r="E1283"/>
  <c r="E1282"/>
  <c r="E1281"/>
  <c r="E1280"/>
  <c r="E1279"/>
  <c r="E1278"/>
  <c r="E1277"/>
  <c r="E1276"/>
  <c r="E1275"/>
  <c r="E1274"/>
  <c r="E1273"/>
  <c r="E1272"/>
  <c r="E1271"/>
  <c r="E1270"/>
  <c r="E1269"/>
  <c r="E1268"/>
  <c r="E1267"/>
  <c r="E1266"/>
  <c r="E1265"/>
  <c r="E1264"/>
  <c r="E1263"/>
  <c r="E1262"/>
  <c r="E1261"/>
  <c r="E1260"/>
  <c r="E1259"/>
  <c r="E1258"/>
  <c r="E1257"/>
  <c r="E1256"/>
  <c r="E1255"/>
  <c r="E1254"/>
  <c r="E1253"/>
  <c r="E1252"/>
  <c r="E1251"/>
  <c r="E1250"/>
  <c r="E1249"/>
  <c r="E1248"/>
  <c r="E1247"/>
  <c r="E1246"/>
  <c r="E1245"/>
  <c r="E1244"/>
  <c r="E1243"/>
  <c r="E1242"/>
  <c r="E1241"/>
  <c r="E1240"/>
  <c r="E1239"/>
  <c r="E1238"/>
  <c r="E1237"/>
  <c r="E1236"/>
  <c r="E1235"/>
  <c r="E1234"/>
  <c r="E1233"/>
  <c r="E1232"/>
  <c r="E1231"/>
  <c r="E1230"/>
  <c r="E1229"/>
  <c r="E1228"/>
  <c r="E1227"/>
  <c r="E1226"/>
  <c r="E1225"/>
  <c r="E1224"/>
  <c r="E1223"/>
  <c r="E1222"/>
  <c r="E1221"/>
  <c r="E1220"/>
  <c r="E1219"/>
  <c r="E1218"/>
  <c r="E1217"/>
  <c r="E1216"/>
  <c r="E1215"/>
  <c r="E1214"/>
  <c r="E1213"/>
  <c r="E1212"/>
  <c r="E1211"/>
  <c r="E1210"/>
  <c r="E1209"/>
  <c r="E1208"/>
  <c r="E1207"/>
  <c r="E1206"/>
  <c r="E1205"/>
  <c r="E1204"/>
  <c r="E1203"/>
  <c r="E1202"/>
  <c r="E1201"/>
  <c r="E1200"/>
  <c r="E1199"/>
  <c r="E1198"/>
  <c r="E1197"/>
  <c r="E1196"/>
  <c r="E1195"/>
  <c r="E1194"/>
  <c r="E1193"/>
  <c r="E1192"/>
  <c r="E1191"/>
  <c r="E1190"/>
  <c r="E1189"/>
  <c r="E1188"/>
  <c r="E1187"/>
  <c r="E1186"/>
  <c r="E1185"/>
  <c r="E1184"/>
  <c r="E1183"/>
  <c r="E1182"/>
  <c r="E1181"/>
  <c r="E1180"/>
  <c r="E1179"/>
  <c r="E1178"/>
  <c r="E1177"/>
  <c r="E1176"/>
  <c r="E1175"/>
  <c r="E1174"/>
  <c r="E1173"/>
  <c r="E1172"/>
  <c r="E1171"/>
  <c r="E1170"/>
  <c r="E1169"/>
  <c r="E1168"/>
  <c r="E1167"/>
  <c r="E1166"/>
  <c r="E1165"/>
  <c r="E1164"/>
  <c r="E1163"/>
  <c r="E1162"/>
  <c r="E1161"/>
  <c r="E1160"/>
  <c r="E1159"/>
  <c r="E1158"/>
  <c r="E1157"/>
  <c r="E1156"/>
  <c r="E1155"/>
  <c r="E1154"/>
  <c r="E1153"/>
  <c r="E1152"/>
  <c r="E1151"/>
  <c r="E1150"/>
  <c r="E1149"/>
  <c r="E1148"/>
  <c r="E1147"/>
  <c r="E1146"/>
  <c r="E1145"/>
  <c r="E1144"/>
  <c r="E1143"/>
  <c r="E1142"/>
  <c r="E1141"/>
  <c r="E1140"/>
  <c r="E1139"/>
  <c r="E1138"/>
  <c r="E1137"/>
  <c r="E1136"/>
  <c r="E1135"/>
  <c r="E1134"/>
  <c r="E1133"/>
  <c r="E1132"/>
  <c r="E1131"/>
  <c r="E1130"/>
  <c r="E1129"/>
  <c r="E1128"/>
  <c r="E1127"/>
  <c r="E1126"/>
  <c r="E1125"/>
  <c r="E1124"/>
  <c r="E1123"/>
  <c r="E1122"/>
  <c r="E1121"/>
  <c r="E1120"/>
  <c r="E1119"/>
  <c r="E1118"/>
  <c r="E1117"/>
  <c r="E1116"/>
  <c r="E1115"/>
  <c r="E1114"/>
  <c r="E1113"/>
  <c r="E1112"/>
  <c r="E1111"/>
  <c r="E1110"/>
  <c r="E1109"/>
  <c r="E1108"/>
  <c r="E1107"/>
  <c r="E1106"/>
  <c r="E1105"/>
  <c r="E1104"/>
  <c r="E1103"/>
  <c r="E1102"/>
  <c r="E1101"/>
  <c r="E1100"/>
  <c r="E1099"/>
  <c r="E1098"/>
  <c r="E1097"/>
  <c r="E1096"/>
  <c r="E1095"/>
  <c r="E1094"/>
  <c r="E1093"/>
  <c r="E1092"/>
  <c r="E1091"/>
  <c r="E1090"/>
  <c r="E1089"/>
  <c r="E1088"/>
  <c r="E1087"/>
  <c r="E1086"/>
  <c r="E1085"/>
  <c r="E1084"/>
  <c r="E1083"/>
  <c r="E1082"/>
  <c r="E1081"/>
  <c r="E1080"/>
  <c r="E1079"/>
  <c r="E1078"/>
  <c r="E1077"/>
  <c r="E1076"/>
  <c r="E1075"/>
  <c r="E1074"/>
  <c r="E1073"/>
  <c r="E1072"/>
  <c r="E1071"/>
  <c r="E1070"/>
  <c r="E1069"/>
  <c r="E1068"/>
  <c r="E1067"/>
  <c r="E1066"/>
  <c r="E1065"/>
  <c r="E1064"/>
  <c r="E1063"/>
  <c r="E1062"/>
  <c r="E1061"/>
  <c r="E1060"/>
  <c r="E1059"/>
  <c r="E1058"/>
  <c r="E1057"/>
  <c r="E1056"/>
  <c r="E1055"/>
  <c r="E1054"/>
  <c r="E1053"/>
  <c r="E1052"/>
  <c r="E1051"/>
  <c r="E1050"/>
  <c r="E1049"/>
  <c r="E1048"/>
  <c r="E1047"/>
  <c r="E1046"/>
  <c r="E1045"/>
  <c r="E1044"/>
  <c r="E1043"/>
  <c r="E1042"/>
  <c r="E1041"/>
  <c r="E1040"/>
  <c r="E1039"/>
  <c r="E1038"/>
  <c r="E1037"/>
  <c r="E1036"/>
  <c r="E1035"/>
  <c r="E1034"/>
  <c r="E1033"/>
  <c r="E1032"/>
  <c r="E1031"/>
  <c r="E1030"/>
  <c r="E1029"/>
  <c r="E1028"/>
  <c r="E1027"/>
  <c r="E1026"/>
  <c r="E1025"/>
  <c r="E1024"/>
  <c r="E1023"/>
  <c r="E1022"/>
  <c r="E1021"/>
  <c r="E1020"/>
  <c r="E1019"/>
  <c r="E1018"/>
  <c r="E1017"/>
  <c r="E1016"/>
  <c r="E1015"/>
  <c r="E1014"/>
  <c r="E1013"/>
  <c r="E1012"/>
  <c r="E1011"/>
  <c r="E1010"/>
  <c r="E1009"/>
  <c r="E1008"/>
  <c r="E1007"/>
  <c r="E1006"/>
  <c r="E1005"/>
  <c r="E1004"/>
  <c r="E1003"/>
  <c r="E1002"/>
  <c r="E100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M35" i="3" l="1"/>
  <c r="G11" i="4"/>
  <c r="B70"/>
  <c r="B71" s="1"/>
  <c r="B72" s="1"/>
  <c r="B73" s="1"/>
  <c r="B74" s="1"/>
  <c r="B75" s="1"/>
  <c r="B76" s="1"/>
  <c r="B77" s="1"/>
  <c r="D40"/>
  <c r="E40" s="1"/>
  <c r="E20" a="1"/>
  <c r="E21" a="1"/>
  <c r="E21" s="1"/>
  <c r="E22" a="1"/>
  <c r="E18" a="1"/>
  <c r="J20" a="1"/>
  <c r="J20" s="1"/>
  <c r="E19" a="1"/>
  <c r="E19" s="1"/>
  <c r="E15" a="1"/>
  <c r="E15" s="1"/>
  <c r="E8"/>
  <c r="E17" a="1"/>
  <c r="E17" s="1"/>
  <c r="E4"/>
  <c r="E23" a="1"/>
  <c r="E23" s="1"/>
  <c r="E7"/>
  <c r="E25"/>
  <c r="E5"/>
  <c r="E20"/>
  <c r="E9"/>
  <c r="J24" a="1"/>
  <c r="J24" s="1"/>
  <c r="E22"/>
  <c r="E18"/>
  <c r="C47"/>
  <c r="B48"/>
  <c r="J6" a="1"/>
  <c r="J6" s="1"/>
  <c r="J18" a="1"/>
  <c r="J18" s="1"/>
  <c r="J8" a="1"/>
  <c r="J8" s="1"/>
  <c r="E10"/>
  <c r="J17" a="1"/>
  <c r="J17" s="1"/>
  <c r="J19" a="1"/>
  <c r="J19" s="1"/>
  <c r="J21" a="1"/>
  <c r="J21" s="1"/>
  <c r="J23" a="1"/>
  <c r="J23" s="1"/>
  <c r="E24" a="1"/>
  <c r="E24" s="1"/>
  <c r="F40"/>
  <c r="G40" s="1"/>
  <c r="J4" a="1"/>
  <c r="J4" s="1"/>
  <c r="E6"/>
  <c r="E11"/>
  <c r="J15" a="1"/>
  <c r="J15" s="1"/>
  <c r="E16" a="1"/>
  <c r="E16" s="1"/>
  <c r="J7" a="1"/>
  <c r="J7" s="1"/>
  <c r="C46"/>
  <c r="J16" a="1"/>
  <c r="J16" s="1"/>
  <c r="J22" a="1"/>
  <c r="J22" s="1"/>
  <c r="J5" a="1"/>
  <c r="J5" s="1"/>
  <c r="J9" a="1"/>
  <c r="J9" s="1"/>
  <c r="C77" l="1"/>
  <c r="G39"/>
  <c r="G36"/>
  <c r="G38"/>
  <c r="G35"/>
  <c r="C70"/>
  <c r="G37"/>
  <c r="E35"/>
  <c r="E39"/>
  <c r="C71"/>
  <c r="C72"/>
  <c r="E37"/>
  <c r="E36"/>
  <c r="E38"/>
  <c r="C48"/>
  <c r="B49"/>
  <c r="C73" l="1"/>
  <c r="B50"/>
  <c r="C49"/>
  <c r="C74" l="1"/>
  <c r="B51"/>
  <c r="C50"/>
  <c r="C75" l="1"/>
  <c r="C51"/>
  <c r="B52"/>
  <c r="C76" l="1"/>
  <c r="C52"/>
  <c r="B53"/>
  <c r="B54" l="1"/>
  <c r="C53"/>
  <c r="B55" l="1"/>
  <c r="C54"/>
  <c r="C55" l="1"/>
  <c r="B56"/>
  <c r="C56" l="1"/>
  <c r="B57"/>
  <c r="B58" l="1"/>
  <c r="C57"/>
  <c r="B59" l="1"/>
  <c r="C58"/>
  <c r="C59" l="1"/>
  <c r="B60"/>
  <c r="C60" l="1"/>
  <c r="F60"/>
  <c r="F59" l="1"/>
  <c r="F58" l="1"/>
  <c r="F57" l="1"/>
  <c r="F56" l="1"/>
  <c r="F55" l="1"/>
  <c r="F54" l="1"/>
  <c r="F53" l="1"/>
  <c r="F52" l="1"/>
  <c r="F51" l="1"/>
  <c r="F50" l="1"/>
  <c r="F49" l="1"/>
  <c r="F48" l="1"/>
  <c r="F47" l="1"/>
  <c r="F46" l="1"/>
  <c r="F45" l="1"/>
  <c r="F62" l="1"/>
  <c r="G45" s="1"/>
  <c r="G62" l="1"/>
  <c r="G60"/>
  <c r="G59"/>
  <c r="G58"/>
  <c r="G57"/>
  <c r="G56"/>
  <c r="G55"/>
  <c r="G54"/>
  <c r="G53"/>
  <c r="G52"/>
  <c r="G51"/>
  <c r="G50"/>
  <c r="G49"/>
  <c r="G48"/>
  <c r="G47"/>
  <c r="G46"/>
  <c r="F76" l="1"/>
  <c r="F75" s="1"/>
  <c r="F74" s="1"/>
  <c r="F73" s="1"/>
  <c r="F72" s="1"/>
  <c r="F71" s="1"/>
  <c r="F70" s="1"/>
  <c r="F69" s="1"/>
  <c r="F68" s="1"/>
  <c r="D68" l="1"/>
  <c r="F78"/>
  <c r="G68" l="1"/>
  <c r="G76"/>
  <c r="G75"/>
  <c r="G74"/>
  <c r="G73"/>
  <c r="G72"/>
  <c r="G71"/>
  <c r="G70"/>
  <c r="G69"/>
  <c r="D78" l="1"/>
  <c r="E78" l="1"/>
  <c r="E76"/>
  <c r="E75"/>
  <c r="E74"/>
  <c r="E73"/>
  <c r="G78"/>
  <c r="E72"/>
  <c r="E71"/>
  <c r="E70"/>
  <c r="E69"/>
  <c r="E68"/>
  <c r="D62" l="1"/>
  <c r="E45" s="1"/>
  <c r="E47" l="1"/>
  <c r="E49"/>
  <c r="E58"/>
  <c r="E46"/>
  <c r="E62"/>
  <c r="E51"/>
  <c r="E48"/>
  <c r="E60"/>
  <c r="E57"/>
  <c r="E50"/>
  <c r="E52"/>
  <c r="E53"/>
  <c r="E54"/>
  <c r="E55"/>
  <c r="E59"/>
  <c r="E56"/>
</calcChain>
</file>

<file path=xl/sharedStrings.xml><?xml version="1.0" encoding="utf-8"?>
<sst xmlns="http://schemas.openxmlformats.org/spreadsheetml/2006/main" count="11443" uniqueCount="3292">
  <si>
    <t>Unique ID</t>
  </si>
  <si>
    <t>Job Type</t>
  </si>
  <si>
    <t>Region 2</t>
  </si>
  <si>
    <t>Salary in USD</t>
  </si>
  <si>
    <t>Hours</t>
  </si>
  <si>
    <t>Years of Experience</t>
  </si>
  <si>
    <t>clean Country</t>
  </si>
  <si>
    <t>Your Job Title</t>
  </si>
  <si>
    <t>How many hours of a day you work on Excel</t>
  </si>
  <si>
    <t>ID0001</t>
  </si>
  <si>
    <t>Analyst</t>
  </si>
  <si>
    <t>Asia</t>
  </si>
  <si>
    <t>India</t>
  </si>
  <si>
    <t>MIS Analyst</t>
  </si>
  <si>
    <t>4 to 6 hours a day</t>
  </si>
  <si>
    <t>Salary</t>
  </si>
  <si>
    <t>Experience</t>
  </si>
  <si>
    <t>ID0002</t>
  </si>
  <si>
    <t>Controller</t>
  </si>
  <si>
    <t>Europe</t>
  </si>
  <si>
    <t>Croatia</t>
  </si>
  <si>
    <t>cost control</t>
  </si>
  <si>
    <t>All the 8 hours baby, all the 8!</t>
  </si>
  <si>
    <t>Region</t>
  </si>
  <si>
    <t>n</t>
  </si>
  <si>
    <t>avg</t>
  </si>
  <si>
    <t>median</t>
  </si>
  <si>
    <t>exp n</t>
  </si>
  <si>
    <t>ID0003</t>
  </si>
  <si>
    <t>North America</t>
  </si>
  <si>
    <t>USA</t>
  </si>
  <si>
    <t>Financial Analyst</t>
  </si>
  <si>
    <t>Oceana</t>
  </si>
  <si>
    <t>ID0004</t>
  </si>
  <si>
    <t>Pakistan</t>
  </si>
  <si>
    <t>Quality Control</t>
  </si>
  <si>
    <t>2 to 3 hours per day</t>
  </si>
  <si>
    <t>ID0005</t>
  </si>
  <si>
    <t>Engineer</t>
  </si>
  <si>
    <t>Quality Engineer</t>
  </si>
  <si>
    <t>ID0006</t>
  </si>
  <si>
    <t>Iceland</t>
  </si>
  <si>
    <t>Africa</t>
  </si>
  <si>
    <t>ID0007</t>
  </si>
  <si>
    <t>Manager</t>
  </si>
  <si>
    <t>Germany</t>
  </si>
  <si>
    <t>senior project manager</t>
  </si>
  <si>
    <t>1 or 2 hours a day</t>
  </si>
  <si>
    <t>Middle East</t>
  </si>
  <si>
    <t>ID0008</t>
  </si>
  <si>
    <t>Ukraine</t>
  </si>
  <si>
    <t>Assistant SP&amp;A</t>
  </si>
  <si>
    <t>ID0009</t>
  </si>
  <si>
    <t>Portugal</t>
  </si>
  <si>
    <t>CFO</t>
  </si>
  <si>
    <t>ID0010</t>
  </si>
  <si>
    <t>Accountant</t>
  </si>
  <si>
    <t xml:space="preserve">Audit Trainee </t>
  </si>
  <si>
    <t>ID0011</t>
  </si>
  <si>
    <t>Specialist</t>
  </si>
  <si>
    <t>Ireland</t>
  </si>
  <si>
    <t>Training Specialist</t>
  </si>
  <si>
    <t>ID0012</t>
  </si>
  <si>
    <t>Hungary</t>
  </si>
  <si>
    <t>quality engineer</t>
  </si>
  <si>
    <t>ID0013</t>
  </si>
  <si>
    <t>Senion Analyst</t>
  </si>
  <si>
    <t>ID0014</t>
  </si>
  <si>
    <t>business analyst</t>
  </si>
  <si>
    <t>ID0015</t>
  </si>
  <si>
    <t>Project Engineer</t>
  </si>
  <si>
    <t>ID0016</t>
  </si>
  <si>
    <t>Sr Project Engineer</t>
  </si>
  <si>
    <t>ID0017</t>
  </si>
  <si>
    <t>Switzerland</t>
  </si>
  <si>
    <t>Business Development</t>
  </si>
  <si>
    <t>ID0018</t>
  </si>
  <si>
    <t>Reporting</t>
  </si>
  <si>
    <t>South Africa</t>
  </si>
  <si>
    <t>Excel Report Writer</t>
  </si>
  <si>
    <t>ID0019</t>
  </si>
  <si>
    <t>AGM</t>
  </si>
  <si>
    <t>ID0020</t>
  </si>
  <si>
    <t>GM</t>
  </si>
  <si>
    <t>ID0021</t>
  </si>
  <si>
    <t>DSE Co-ordinator</t>
  </si>
  <si>
    <t>ID0022</t>
  </si>
  <si>
    <t>ID0023</t>
  </si>
  <si>
    <t>ID0024</t>
  </si>
  <si>
    <t>Marketing Director</t>
  </si>
  <si>
    <t>Consultant</t>
  </si>
  <si>
    <t>ID0025</t>
  </si>
  <si>
    <t>sales and marketing</t>
  </si>
  <si>
    <t>ID0026</t>
  </si>
  <si>
    <t>Analyst II</t>
  </si>
  <si>
    <t>ID0028</t>
  </si>
  <si>
    <t>Belgium</t>
  </si>
  <si>
    <t>Project Leader</t>
  </si>
  <si>
    <t>ID0029</t>
  </si>
  <si>
    <t>Applications Engineer</t>
  </si>
  <si>
    <t>ID0030</t>
  </si>
  <si>
    <t>strategy manager</t>
  </si>
  <si>
    <t>ID0031</t>
  </si>
  <si>
    <t>Russia</t>
  </si>
  <si>
    <t>Chief of the department of public budget analisis and forecasting</t>
  </si>
  <si>
    <t>ID0032</t>
  </si>
  <si>
    <t>ID0033</t>
  </si>
  <si>
    <t>UK</t>
  </si>
  <si>
    <t>Management Information Analyst</t>
  </si>
  <si>
    <t>ID0035</t>
  </si>
  <si>
    <t>Poland</t>
  </si>
  <si>
    <t>ID0036</t>
  </si>
  <si>
    <t>Senior Consultant</t>
  </si>
  <si>
    <t>ID0037</t>
  </si>
  <si>
    <t>Portfolio Manager</t>
  </si>
  <si>
    <t>ID0038</t>
  </si>
  <si>
    <t>Design Engineer</t>
  </si>
  <si>
    <t>ID0039</t>
  </si>
  <si>
    <t>Academic Advisor</t>
  </si>
  <si>
    <t>Excel ?!? What Excel?</t>
  </si>
  <si>
    <t>ID0040</t>
  </si>
  <si>
    <t>Coordination</t>
  </si>
  <si>
    <t>ID0041</t>
  </si>
  <si>
    <t>Australia</t>
  </si>
  <si>
    <t>consultant</t>
  </si>
  <si>
    <t>ID0042</t>
  </si>
  <si>
    <t>Business Analsyt</t>
  </si>
  <si>
    <t>ID0043</t>
  </si>
  <si>
    <t>Canada</t>
  </si>
  <si>
    <t>Product Engineer</t>
  </si>
  <si>
    <t>2 to 3 hours a day</t>
  </si>
  <si>
    <t>ID0044</t>
  </si>
  <si>
    <t>Senior Accountant</t>
  </si>
  <si>
    <t>ID0045</t>
  </si>
  <si>
    <t>Scientist</t>
  </si>
  <si>
    <t>All the 8 hours baby!</t>
  </si>
  <si>
    <t>ID0046</t>
  </si>
  <si>
    <t>Team Lead</t>
  </si>
  <si>
    <t>ID0047</t>
  </si>
  <si>
    <t>Senior intelligence analyst</t>
  </si>
  <si>
    <t>ID0048</t>
  </si>
  <si>
    <t>Freelance consultant</t>
  </si>
  <si>
    <t>ID0049</t>
  </si>
  <si>
    <t>Netherlands</t>
  </si>
  <si>
    <t>Online Traffic Manager / Web Analist</t>
  </si>
  <si>
    <t>ID0050</t>
  </si>
  <si>
    <t>Seinor Financial Analyst</t>
  </si>
  <si>
    <t>ID0051</t>
  </si>
  <si>
    <t>Senior Accounting Supervisor</t>
  </si>
  <si>
    <t>ID0052</t>
  </si>
  <si>
    <t>ID0053</t>
  </si>
  <si>
    <t>PPC Manager</t>
  </si>
  <si>
    <t>ID0054</t>
  </si>
  <si>
    <t>Financial Planner</t>
  </si>
  <si>
    <t>ID0055</t>
  </si>
  <si>
    <t>ID0056</t>
  </si>
  <si>
    <t>ID0057</t>
  </si>
  <si>
    <t>Building Design and Performance Researcher</t>
  </si>
  <si>
    <t>ID0058</t>
  </si>
  <si>
    <t>France</t>
  </si>
  <si>
    <t>Project leader</t>
  </si>
  <si>
    <t>ID0059</t>
  </si>
  <si>
    <t>Senior Analyst</t>
  </si>
  <si>
    <t>ID0060</t>
  </si>
  <si>
    <t>ID0061</t>
  </si>
  <si>
    <t>Engineering Data Analyst</t>
  </si>
  <si>
    <t>ID0062</t>
  </si>
  <si>
    <t>Sales Analyst</t>
  </si>
  <si>
    <t>ID0063</t>
  </si>
  <si>
    <t>Brasil</t>
  </si>
  <si>
    <t>Coordinator Of Costa and Buget</t>
  </si>
  <si>
    <t>ID0064</t>
  </si>
  <si>
    <t>SAP consultant</t>
  </si>
  <si>
    <t>ID0065</t>
  </si>
  <si>
    <t>ID0066</t>
  </si>
  <si>
    <t>busines analist</t>
  </si>
  <si>
    <t>ID0067</t>
  </si>
  <si>
    <t>head of data</t>
  </si>
  <si>
    <t>ID0068</t>
  </si>
  <si>
    <t>Business Systems Analyst</t>
  </si>
  <si>
    <t>ID0069</t>
  </si>
  <si>
    <t>Financial Analyst II</t>
  </si>
  <si>
    <t>ID0070</t>
  </si>
  <si>
    <t>Mngr MI</t>
  </si>
  <si>
    <t>ID0071</t>
  </si>
  <si>
    <t>sales analyst</t>
  </si>
  <si>
    <t>ID0072</t>
  </si>
  <si>
    <t>Consumer Research Program Manager</t>
  </si>
  <si>
    <t>ID0073</t>
  </si>
  <si>
    <t>technical trainer</t>
  </si>
  <si>
    <t>ID0074</t>
  </si>
  <si>
    <t>UAE</t>
  </si>
  <si>
    <t>Process Flow Coordinator</t>
  </si>
  <si>
    <t>ID0075</t>
  </si>
  <si>
    <t>Process Improvement Specialist</t>
  </si>
  <si>
    <t>ID0076</t>
  </si>
  <si>
    <t>Excel Programmer Consultant</t>
  </si>
  <si>
    <t>ID0077</t>
  </si>
  <si>
    <t>Statistical Analyst</t>
  </si>
  <si>
    <t>ID0078</t>
  </si>
  <si>
    <t>ID0079</t>
  </si>
  <si>
    <t>Saudi Arabia</t>
  </si>
  <si>
    <t>Operational Analyst</t>
  </si>
  <si>
    <t>ID0080</t>
  </si>
  <si>
    <t>Exceler</t>
  </si>
  <si>
    <t>ID0081</t>
  </si>
  <si>
    <t>Panama</t>
  </si>
  <si>
    <t>Marketing Analyst</t>
  </si>
  <si>
    <t>ID0082</t>
  </si>
  <si>
    <t>Database Manager</t>
  </si>
  <si>
    <t>ID0083</t>
  </si>
  <si>
    <t>Director</t>
  </si>
  <si>
    <t>ID0084</t>
  </si>
  <si>
    <t>Manager, Forecasts &amp; Budgets</t>
  </si>
  <si>
    <t>ID0085</t>
  </si>
  <si>
    <t>ID0086</t>
  </si>
  <si>
    <t>Brazil</t>
  </si>
  <si>
    <t>VBA Analyst</t>
  </si>
  <si>
    <t>ID0087</t>
  </si>
  <si>
    <t>Senior Scheduling Engineer</t>
  </si>
  <si>
    <t>ID0088</t>
  </si>
  <si>
    <t>Strategy Consultant</t>
  </si>
  <si>
    <t>ID0089</t>
  </si>
  <si>
    <t>Admin</t>
  </si>
  <si>
    <t>ID0090</t>
  </si>
  <si>
    <t>IT Asset Administrator</t>
  </si>
  <si>
    <t>ID0091</t>
  </si>
  <si>
    <t>Director of Marketing</t>
  </si>
  <si>
    <t>ID0092</t>
  </si>
  <si>
    <t>Graphic Design Manager</t>
  </si>
  <si>
    <t>ID0093</t>
  </si>
  <si>
    <t>Financial Consultant</t>
  </si>
  <si>
    <t>ID0094</t>
  </si>
  <si>
    <t>Data Analyst</t>
  </si>
  <si>
    <t>ID0095</t>
  </si>
  <si>
    <t>ID0096</t>
  </si>
  <si>
    <t>Paraeducator</t>
  </si>
  <si>
    <t>ID0097</t>
  </si>
  <si>
    <t>Channel Marketing Manager</t>
  </si>
  <si>
    <t>ID0098</t>
  </si>
  <si>
    <t xml:space="preserve">Sales and Marketing Analyst </t>
  </si>
  <si>
    <t>ID0099</t>
  </si>
  <si>
    <t>Production Scheduler</t>
  </si>
  <si>
    <t>ID0100</t>
  </si>
  <si>
    <t>ID0101</t>
  </si>
  <si>
    <t>financial analyst</t>
  </si>
  <si>
    <t>ID0102</t>
  </si>
  <si>
    <t>Product Specialist</t>
  </si>
  <si>
    <t>ID0103</t>
  </si>
  <si>
    <t>Arabian Gulf</t>
  </si>
  <si>
    <t>IT support</t>
  </si>
  <si>
    <t>ID0104</t>
  </si>
  <si>
    <t>sr. project coordinator</t>
  </si>
  <si>
    <t>ID0105</t>
  </si>
  <si>
    <t>Mexico</t>
  </si>
  <si>
    <t>Sr Administrative Assistant</t>
  </si>
  <si>
    <t>ID0106</t>
  </si>
  <si>
    <t>ID0107</t>
  </si>
  <si>
    <t>IT Analyst</t>
  </si>
  <si>
    <t>ID0108</t>
  </si>
  <si>
    <t>ID0109</t>
  </si>
  <si>
    <t>Greece</t>
  </si>
  <si>
    <t>Project manager</t>
  </si>
  <si>
    <t>ID0111</t>
  </si>
  <si>
    <t>Strategic Analyst</t>
  </si>
  <si>
    <t>ID0112</t>
  </si>
  <si>
    <t>Transportation Specialist</t>
  </si>
  <si>
    <t>ID0113</t>
  </si>
  <si>
    <t>Operations Programs Support</t>
  </si>
  <si>
    <t>ID0114</t>
  </si>
  <si>
    <t>Accounting Coordinator</t>
  </si>
  <si>
    <t>ID0115</t>
  </si>
  <si>
    <t>Asst.Manager Finance</t>
  </si>
  <si>
    <t>ID0116</t>
  </si>
  <si>
    <t>Operations Cost Analyst</t>
  </si>
  <si>
    <t>ID0117</t>
  </si>
  <si>
    <t>Financial Controller</t>
  </si>
  <si>
    <t>ID0118</t>
  </si>
  <si>
    <t>Utilization Analyst</t>
  </si>
  <si>
    <t>ID0119</t>
  </si>
  <si>
    <t>Colombia</t>
  </si>
  <si>
    <t>Researcher</t>
  </si>
  <si>
    <t>ID0120</t>
  </si>
  <si>
    <t>Market Analyst</t>
  </si>
  <si>
    <t>ID0121</t>
  </si>
  <si>
    <t>Web Developer</t>
  </si>
  <si>
    <t>ID0122</t>
  </si>
  <si>
    <t>Sr. Acct</t>
  </si>
  <si>
    <t>ID0123</t>
  </si>
  <si>
    <t>Information Systems Specialist</t>
  </si>
  <si>
    <t>ID0124</t>
  </si>
  <si>
    <t>Analytics lead</t>
  </si>
  <si>
    <t>ID0125</t>
  </si>
  <si>
    <t>ID0126</t>
  </si>
  <si>
    <t>Actuary</t>
  </si>
  <si>
    <t>ID0127</t>
  </si>
  <si>
    <t>School Tech Coordinator</t>
  </si>
  <si>
    <t>ID0128</t>
  </si>
  <si>
    <t>sr accountant</t>
  </si>
  <si>
    <t>ID0129</t>
  </si>
  <si>
    <t>Turkey</t>
  </si>
  <si>
    <t>senior accountant</t>
  </si>
  <si>
    <t>ID0130</t>
  </si>
  <si>
    <t>Freelance</t>
  </si>
  <si>
    <t>ID0131</t>
  </si>
  <si>
    <t>ID0132</t>
  </si>
  <si>
    <t>DBA</t>
  </si>
  <si>
    <t>ID0133</t>
  </si>
  <si>
    <t>Research Analyst</t>
  </si>
  <si>
    <t>ID0134</t>
  </si>
  <si>
    <t>Project Manager</t>
  </si>
  <si>
    <t>ID0135</t>
  </si>
  <si>
    <t>Market Research Analyst</t>
  </si>
  <si>
    <t>ID0136</t>
  </si>
  <si>
    <t>Manager : Accounts</t>
  </si>
  <si>
    <t>ID0137</t>
  </si>
  <si>
    <t>project manager</t>
  </si>
  <si>
    <t>ID0138</t>
  </si>
  <si>
    <t>Inventory manger</t>
  </si>
  <si>
    <t>ID0139</t>
  </si>
  <si>
    <t>Business Analyst</t>
  </si>
  <si>
    <t>ID0140</t>
  </si>
  <si>
    <t>Process Technician</t>
  </si>
  <si>
    <t>ID0141</t>
  </si>
  <si>
    <t>MIS Team Leader</t>
  </si>
  <si>
    <t>ID0142</t>
  </si>
  <si>
    <t>ID0143</t>
  </si>
  <si>
    <t>Finance Director</t>
  </si>
  <si>
    <t>ID0144</t>
  </si>
  <si>
    <t>Industrial Engineer</t>
  </si>
  <si>
    <t>ID0145</t>
  </si>
  <si>
    <t>data analyst</t>
  </si>
  <si>
    <t>ID0146</t>
  </si>
  <si>
    <t>Senior Financial &amp; Systems Analyst</t>
  </si>
  <si>
    <t>ID0147</t>
  </si>
  <si>
    <t>project manager - metrics</t>
  </si>
  <si>
    <t>ID0148</t>
  </si>
  <si>
    <t>Informatics Research Analyst</t>
  </si>
  <si>
    <t>ID0149</t>
  </si>
  <si>
    <t>Business Technical Consultant</t>
  </si>
  <si>
    <t>ID0150</t>
  </si>
  <si>
    <t>Business Operations Reporting Analyst</t>
  </si>
  <si>
    <t>ID0151</t>
  </si>
  <si>
    <t>Program Services Coordinator</t>
  </si>
  <si>
    <t>ID0152</t>
  </si>
  <si>
    <t>Specialist - Finance Planning and Analysis</t>
  </si>
  <si>
    <t>ID0153</t>
  </si>
  <si>
    <t>Sr Accountant</t>
  </si>
  <si>
    <t>ID0154</t>
  </si>
  <si>
    <t>ID0155</t>
  </si>
  <si>
    <t>Proces auditor</t>
  </si>
  <si>
    <t>ID0156</t>
  </si>
  <si>
    <t>Senior Data Quality Analyst</t>
  </si>
  <si>
    <t>ID0157</t>
  </si>
  <si>
    <t>Sr Business Analyst</t>
  </si>
  <si>
    <t>ID0158</t>
  </si>
  <si>
    <t>COST ACCOUNTANT</t>
  </si>
  <si>
    <t>ID0159</t>
  </si>
  <si>
    <t>project Support</t>
  </si>
  <si>
    <t>ID0160</t>
  </si>
  <si>
    <t>managerial</t>
  </si>
  <si>
    <t>ID0161</t>
  </si>
  <si>
    <t>Program Analyst</t>
  </si>
  <si>
    <t>ID0162</t>
  </si>
  <si>
    <t>Team Lead - Computer Discounts</t>
  </si>
  <si>
    <t>ID0163</t>
  </si>
  <si>
    <t>Change Architect</t>
  </si>
  <si>
    <t>ID0164</t>
  </si>
  <si>
    <t>Telecom Technician</t>
  </si>
  <si>
    <t>ID0165</t>
  </si>
  <si>
    <t>ID0166</t>
  </si>
  <si>
    <t>Manager, Asset Optimization</t>
  </si>
  <si>
    <t>ID0167</t>
  </si>
  <si>
    <t>Financialcontroller</t>
  </si>
  <si>
    <t>ID0168</t>
  </si>
  <si>
    <t xml:space="preserve">Accounting </t>
  </si>
  <si>
    <t>ID0169</t>
  </si>
  <si>
    <t>Consultant, HR Services &amp; Governance</t>
  </si>
  <si>
    <t>ID0170</t>
  </si>
  <si>
    <t>QA Executive</t>
  </si>
  <si>
    <t>ID0171</t>
  </si>
  <si>
    <t>Senior Actuarial Analyst</t>
  </si>
  <si>
    <t>ID0172</t>
  </si>
  <si>
    <t>Sr. Associate</t>
  </si>
  <si>
    <t>ID0173</t>
  </si>
  <si>
    <t>Budget Analyst</t>
  </si>
  <si>
    <t>ID0174</t>
  </si>
  <si>
    <t>B.I. Data Analyst II</t>
  </si>
  <si>
    <t>ID0175</t>
  </si>
  <si>
    <t>Asst manager investor relations and business analytics</t>
  </si>
  <si>
    <t>ID0176</t>
  </si>
  <si>
    <t>Industrial Engineer (Fed)</t>
  </si>
  <si>
    <t>ID0177</t>
  </si>
  <si>
    <t>Informatics specialist</t>
  </si>
  <si>
    <t>ID0178</t>
  </si>
  <si>
    <t>ID0179</t>
  </si>
  <si>
    <t>Trainee Management Accountant</t>
  </si>
  <si>
    <t>ID0180</t>
  </si>
  <si>
    <t>Senior analyst</t>
  </si>
  <si>
    <t>ID0181</t>
  </si>
  <si>
    <t>Director of Analytics</t>
  </si>
  <si>
    <t>ID0182</t>
  </si>
  <si>
    <t>Executive Assistant</t>
  </si>
  <si>
    <t>ID0183</t>
  </si>
  <si>
    <t>Project Speciast</t>
  </si>
  <si>
    <t>ID0184</t>
  </si>
  <si>
    <t>Sales Coordinator &amp; Analytical Support</t>
  </si>
  <si>
    <t>ID0185</t>
  </si>
  <si>
    <t>analyst</t>
  </si>
  <si>
    <t>ID0186</t>
  </si>
  <si>
    <t>Senior Staff Accountant</t>
  </si>
  <si>
    <t>ID0187</t>
  </si>
  <si>
    <t>Consultant - Retail Mkts</t>
  </si>
  <si>
    <t>ID0188</t>
  </si>
  <si>
    <t>Process Manager</t>
  </si>
  <si>
    <t>ID0189</t>
  </si>
  <si>
    <t>Project Manager (Process Owner)</t>
  </si>
  <si>
    <t>ID0190</t>
  </si>
  <si>
    <t>Demographer</t>
  </si>
  <si>
    <t>ID0192</t>
  </si>
  <si>
    <t>Administrative Assistant</t>
  </si>
  <si>
    <t>ID0193</t>
  </si>
  <si>
    <t>Accounting/Financial Analyst</t>
  </si>
  <si>
    <t>ID0194</t>
  </si>
  <si>
    <t>Business Process Specialist</t>
  </si>
  <si>
    <t>ID0195</t>
  </si>
  <si>
    <t>ID0196</t>
  </si>
  <si>
    <t>Sr Financial Analyst</t>
  </si>
  <si>
    <t>ID0197</t>
  </si>
  <si>
    <t>Asst. Manager (MIS)</t>
  </si>
  <si>
    <t>ID0198</t>
  </si>
  <si>
    <t>Business Controller</t>
  </si>
  <si>
    <t>ID0200</t>
  </si>
  <si>
    <t>ID0201</t>
  </si>
  <si>
    <t>low level monitoring</t>
  </si>
  <si>
    <t>ID0202</t>
  </si>
  <si>
    <t>Administrative</t>
  </si>
  <si>
    <t>ID0203</t>
  </si>
  <si>
    <t>Service Line Coordinator</t>
  </si>
  <si>
    <t>ID0204</t>
  </si>
  <si>
    <t>Strategic Sourcing Manager</t>
  </si>
  <si>
    <t>ID0205</t>
  </si>
  <si>
    <t>Chief Manager</t>
  </si>
  <si>
    <t>ID0207</t>
  </si>
  <si>
    <t>Business Intelligence Analyst</t>
  </si>
  <si>
    <t>ID0208</t>
  </si>
  <si>
    <t>ID0209</t>
  </si>
  <si>
    <t>Sr. Financial Analyst</t>
  </si>
  <si>
    <t>ID0210</t>
  </si>
  <si>
    <t>Buyer</t>
  </si>
  <si>
    <t>ID0211</t>
  </si>
  <si>
    <t>program manager</t>
  </si>
  <si>
    <t>ID0212</t>
  </si>
  <si>
    <t>Reporting Analyst Team Lead</t>
  </si>
  <si>
    <t>ID0213</t>
  </si>
  <si>
    <t>Singapore</t>
  </si>
  <si>
    <t>Innovation Analyst</t>
  </si>
  <si>
    <t>ID0214</t>
  </si>
  <si>
    <t>Operations Expert</t>
  </si>
  <si>
    <t>ID0215</t>
  </si>
  <si>
    <t>Director of Finance</t>
  </si>
  <si>
    <t>ID0216</t>
  </si>
  <si>
    <t>Information Analyst II</t>
  </si>
  <si>
    <t>ID0217</t>
  </si>
  <si>
    <t>ID0218</t>
  </si>
  <si>
    <t>ID0219</t>
  </si>
  <si>
    <t>Accounting Assistant</t>
  </si>
  <si>
    <t>ID0220</t>
  </si>
  <si>
    <t>Bermuda</t>
  </si>
  <si>
    <t>Tax Professional</t>
  </si>
  <si>
    <t>ID0221</t>
  </si>
  <si>
    <t>ID0222</t>
  </si>
  <si>
    <t>Jr. Executive Finance</t>
  </si>
  <si>
    <t>ID0223</t>
  </si>
  <si>
    <t>Assistant Controller</t>
  </si>
  <si>
    <t>ID0224</t>
  </si>
  <si>
    <t>Thailand</t>
  </si>
  <si>
    <t>Project engineer</t>
  </si>
  <si>
    <t>ID0225</t>
  </si>
  <si>
    <t>Cash Officer</t>
  </si>
  <si>
    <t>ID0226</t>
  </si>
  <si>
    <t>ID0227</t>
  </si>
  <si>
    <t>ID0228</t>
  </si>
  <si>
    <t>Technical support specialist</t>
  </si>
  <si>
    <t>ID0229</t>
  </si>
  <si>
    <t>ServiceDesk Supervisor</t>
  </si>
  <si>
    <t>ID0230</t>
  </si>
  <si>
    <t>medical biller</t>
  </si>
  <si>
    <t>ID0231</t>
  </si>
  <si>
    <t>Sr. Strategic Development Specialist</t>
  </si>
  <si>
    <t>ID0232</t>
  </si>
  <si>
    <t>ID0233</t>
  </si>
  <si>
    <t>VP - Procurment</t>
  </si>
  <si>
    <t>ID0234</t>
  </si>
  <si>
    <t>HRIS Analyst</t>
  </si>
  <si>
    <t>ID0235</t>
  </si>
  <si>
    <t>Procurement manager</t>
  </si>
  <si>
    <t>ID0236</t>
  </si>
  <si>
    <t>Energy Analyst</t>
  </si>
  <si>
    <t>ID0237</t>
  </si>
  <si>
    <t>ID0238</t>
  </si>
  <si>
    <t>Branch head -sales</t>
  </si>
  <si>
    <t>ID0239</t>
  </si>
  <si>
    <t>retail buyer</t>
  </si>
  <si>
    <t>ID0240</t>
  </si>
  <si>
    <t>HR Specialist</t>
  </si>
  <si>
    <t>ID0241</t>
  </si>
  <si>
    <t>ID0242</t>
  </si>
  <si>
    <t>ID0243</t>
  </si>
  <si>
    <t>Director of Finance and Accounting</t>
  </si>
  <si>
    <t>ID0244</t>
  </si>
  <si>
    <t>Manager Business Control</t>
  </si>
  <si>
    <t>ID0245</t>
  </si>
  <si>
    <t>Manager Pricing</t>
  </si>
  <si>
    <t>ID0246</t>
  </si>
  <si>
    <t>Insurance Manager</t>
  </si>
  <si>
    <t>ID0247</t>
  </si>
  <si>
    <t>ID0248</t>
  </si>
  <si>
    <t>ID0249</t>
  </si>
  <si>
    <t>Freellance</t>
  </si>
  <si>
    <t>ID0250</t>
  </si>
  <si>
    <t>category manager</t>
  </si>
  <si>
    <t>ID0251</t>
  </si>
  <si>
    <t>Customer Operations Analyst</t>
  </si>
  <si>
    <t>ID0252</t>
  </si>
  <si>
    <t>ID0253</t>
  </si>
  <si>
    <t>ID0254</t>
  </si>
  <si>
    <t>ID0255</t>
  </si>
  <si>
    <t>Site Technician</t>
  </si>
  <si>
    <t>ID0256</t>
  </si>
  <si>
    <t>Excel Consultant</t>
  </si>
  <si>
    <t>ID0257</t>
  </si>
  <si>
    <t>Senior Project Manager</t>
  </si>
  <si>
    <t>ID0258</t>
  </si>
  <si>
    <t>Web Statistics Analyst</t>
  </si>
  <si>
    <t>ID0259</t>
  </si>
  <si>
    <t>Business Data Analyst I</t>
  </si>
  <si>
    <t>ID0260</t>
  </si>
  <si>
    <t>Decision Analyst &amp; Modeller</t>
  </si>
  <si>
    <t>ID0261</t>
  </si>
  <si>
    <t>ID0262</t>
  </si>
  <si>
    <t>Ops Adminstrator</t>
  </si>
  <si>
    <t>ID0263</t>
  </si>
  <si>
    <t>Sr. Global marketing Specialist</t>
  </si>
  <si>
    <t>ID0264</t>
  </si>
  <si>
    <t>financial accountant</t>
  </si>
  <si>
    <t>ID0265</t>
  </si>
  <si>
    <t>Software Consultant</t>
  </si>
  <si>
    <t>ID0266</t>
  </si>
  <si>
    <t>Anaylst</t>
  </si>
  <si>
    <t>ID0267</t>
  </si>
  <si>
    <t>ID0268</t>
  </si>
  <si>
    <t>senior accounting coordinator</t>
  </si>
  <si>
    <t>ID0269</t>
  </si>
  <si>
    <t>Demand Planning Mgr</t>
  </si>
  <si>
    <t>ID0270</t>
  </si>
  <si>
    <t>VP / Credit Administrator</t>
  </si>
  <si>
    <t>ID0271</t>
  </si>
  <si>
    <t>DP specialist</t>
  </si>
  <si>
    <t>ID0272</t>
  </si>
  <si>
    <t>Analyst 2</t>
  </si>
  <si>
    <t>ID0273</t>
  </si>
  <si>
    <t>VP</t>
  </si>
  <si>
    <t>ID0274</t>
  </si>
  <si>
    <t>ID0275</t>
  </si>
  <si>
    <t>ID0276</t>
  </si>
  <si>
    <t>Philippines</t>
  </si>
  <si>
    <t>Global Problem Management - IT</t>
  </si>
  <si>
    <t>ID0277</t>
  </si>
  <si>
    <t>ID0278</t>
  </si>
  <si>
    <t>Enterprise Performance Metrics Manager</t>
  </si>
  <si>
    <t>ID0279</t>
  </si>
  <si>
    <t>ID0280</t>
  </si>
  <si>
    <t>ID0281</t>
  </si>
  <si>
    <t>University Relations Intern</t>
  </si>
  <si>
    <t>ID0282</t>
  </si>
  <si>
    <t>Auxiliar Administrativo</t>
  </si>
  <si>
    <t>ID0283</t>
  </si>
  <si>
    <t>Engineering Tech Sr.</t>
  </si>
  <si>
    <t>ID0284</t>
  </si>
  <si>
    <t>Senior Specialist</t>
  </si>
  <si>
    <t>ID0285</t>
  </si>
  <si>
    <t>moneymaker</t>
  </si>
  <si>
    <t>ID0286</t>
  </si>
  <si>
    <t>ID0287</t>
  </si>
  <si>
    <t>Dubai</t>
  </si>
  <si>
    <t>ID0288</t>
  </si>
  <si>
    <t>MIS</t>
  </si>
  <si>
    <t>ID0289</t>
  </si>
  <si>
    <t>management accountant</t>
  </si>
  <si>
    <t>ID0290</t>
  </si>
  <si>
    <t>ID0291</t>
  </si>
  <si>
    <t>Telecoms Engineer</t>
  </si>
  <si>
    <t>ID0292</t>
  </si>
  <si>
    <t>Software Support</t>
  </si>
  <si>
    <t>ID0293</t>
  </si>
  <si>
    <t>Projects Planner</t>
  </si>
  <si>
    <t>ID0294</t>
  </si>
  <si>
    <t>ID0295</t>
  </si>
  <si>
    <t>Mathematical Data Analyist</t>
  </si>
  <si>
    <t>ID0296</t>
  </si>
  <si>
    <t>sales support</t>
  </si>
  <si>
    <t>ID0297</t>
  </si>
  <si>
    <t>Administrative Officer</t>
  </si>
  <si>
    <t>ID0298</t>
  </si>
  <si>
    <t>IS Manager</t>
  </si>
  <si>
    <t>ID0299</t>
  </si>
  <si>
    <t xml:space="preserve">Support Specialist </t>
  </si>
  <si>
    <t>ID0300</t>
  </si>
  <si>
    <t>FA</t>
  </si>
  <si>
    <t>ID0301</t>
  </si>
  <si>
    <t>VP of Finance</t>
  </si>
  <si>
    <t>ID0302</t>
  </si>
  <si>
    <t>PRODUCTION ASSISTANT</t>
  </si>
  <si>
    <t>ID0303</t>
  </si>
  <si>
    <t>ID0304</t>
  </si>
  <si>
    <t>ID0305</t>
  </si>
  <si>
    <t>controller</t>
  </si>
  <si>
    <t>ID0306</t>
  </si>
  <si>
    <t>HR Analyst</t>
  </si>
  <si>
    <t>ID0307</t>
  </si>
  <si>
    <t>ID0308</t>
  </si>
  <si>
    <t>Plant Controller</t>
  </si>
  <si>
    <t>ID0309</t>
  </si>
  <si>
    <t>consultant bi</t>
  </si>
  <si>
    <t>ID0310</t>
  </si>
  <si>
    <t>Royalties Coordinator</t>
  </si>
  <si>
    <t>ID0311</t>
  </si>
  <si>
    <t>Graduate Structural Engineer</t>
  </si>
  <si>
    <t>ID0312</t>
  </si>
  <si>
    <t>Operations Analyst</t>
  </si>
  <si>
    <t>ID0313</t>
  </si>
  <si>
    <t>Marketing</t>
  </si>
  <si>
    <t>ID0314</t>
  </si>
  <si>
    <t xml:space="preserve">Finance, Manager </t>
  </si>
  <si>
    <t>ID0315</t>
  </si>
  <si>
    <t>Sr. Business Analyst</t>
  </si>
  <si>
    <t>ID0316</t>
  </si>
  <si>
    <t>Information Analyst</t>
  </si>
  <si>
    <t>ID0317</t>
  </si>
  <si>
    <t>ID0318</t>
  </si>
  <si>
    <t>Financial Specialist</t>
  </si>
  <si>
    <t>ID0319</t>
  </si>
  <si>
    <t>ID0320</t>
  </si>
  <si>
    <t>Management Analyst</t>
  </si>
  <si>
    <t>ID0321</t>
  </si>
  <si>
    <t>ID0322</t>
  </si>
  <si>
    <t>Dp manager</t>
  </si>
  <si>
    <t>ID0323</t>
  </si>
  <si>
    <t>director of analytics</t>
  </si>
  <si>
    <t>ID0324</t>
  </si>
  <si>
    <t>Supply Processes Analyst</t>
  </si>
  <si>
    <t>ID0325</t>
  </si>
  <si>
    <t>ICT Technical Analyst</t>
  </si>
  <si>
    <t>ID0326</t>
  </si>
  <si>
    <t>Sourcing Specialist</t>
  </si>
  <si>
    <t>ID0327</t>
  </si>
  <si>
    <t>ID0328</t>
  </si>
  <si>
    <t>Reporting Shared Services Oferring Lead</t>
  </si>
  <si>
    <t>ID0329</t>
  </si>
  <si>
    <t>Sales Analytics Manager</t>
  </si>
  <si>
    <t>ID0330</t>
  </si>
  <si>
    <t>Product Manager Sr</t>
  </si>
  <si>
    <t>ID0331</t>
  </si>
  <si>
    <t>Database Architect</t>
  </si>
  <si>
    <t>ID0332</t>
  </si>
  <si>
    <t>ID0333</t>
  </si>
  <si>
    <t>Product developer</t>
  </si>
  <si>
    <t>ID0334</t>
  </si>
  <si>
    <t>Supply Chain Analyst</t>
  </si>
  <si>
    <t>ID0335</t>
  </si>
  <si>
    <t>financial planning</t>
  </si>
  <si>
    <t>ID0336</t>
  </si>
  <si>
    <t>Test Analyst</t>
  </si>
  <si>
    <t>ID0337</t>
  </si>
  <si>
    <t>Israel</t>
  </si>
  <si>
    <t>project manager, project finance consultant</t>
  </si>
  <si>
    <t>ID0338</t>
  </si>
  <si>
    <t>QC Fabrication Inspector</t>
  </si>
  <si>
    <t>ID0339</t>
  </si>
  <si>
    <t>Manager of Trade Investment &amp; Analysis</t>
  </si>
  <si>
    <t>ID0340</t>
  </si>
  <si>
    <t>Business Analysit</t>
  </si>
  <si>
    <t>ID0341</t>
  </si>
  <si>
    <t>Assistant Outside Plant Project Manager</t>
  </si>
  <si>
    <t>ID0342</t>
  </si>
  <si>
    <t>operation-manager</t>
  </si>
  <si>
    <t>ID0343</t>
  </si>
  <si>
    <t>ID0344</t>
  </si>
  <si>
    <t>Senior Financial Analyst</t>
  </si>
  <si>
    <t>ID0346</t>
  </si>
  <si>
    <t>Senior Data Analyst</t>
  </si>
  <si>
    <t>ID0347</t>
  </si>
  <si>
    <t>MIS EXCUTIVE</t>
  </si>
  <si>
    <t>ID0348</t>
  </si>
  <si>
    <t>Advisor</t>
  </si>
  <si>
    <t>ID0349</t>
  </si>
  <si>
    <t>Online Analyst</t>
  </si>
  <si>
    <t>ID0350</t>
  </si>
  <si>
    <t>General Manager</t>
  </si>
  <si>
    <t>ID0351</t>
  </si>
  <si>
    <t>Sr Staff Engineer</t>
  </si>
  <si>
    <t>ID0352</t>
  </si>
  <si>
    <t>Senior Design Associate</t>
  </si>
  <si>
    <t>ID0353</t>
  </si>
  <si>
    <t>ID0354</t>
  </si>
  <si>
    <t>Planning and Analysis Supervisor</t>
  </si>
  <si>
    <t>ID0355</t>
  </si>
  <si>
    <t>asset manager</t>
  </si>
  <si>
    <t>ID0356</t>
  </si>
  <si>
    <t>Transportation Engineer</t>
  </si>
  <si>
    <t>ID0357</t>
  </si>
  <si>
    <t>web marketing analyst</t>
  </si>
  <si>
    <t>ID0358</t>
  </si>
  <si>
    <t>RS</t>
  </si>
  <si>
    <t>ID0359</t>
  </si>
  <si>
    <t>ID0360</t>
  </si>
  <si>
    <t>ID0361</t>
  </si>
  <si>
    <t>Director of Payroll</t>
  </si>
  <si>
    <t>ID0362</t>
  </si>
  <si>
    <t>ID0363</t>
  </si>
  <si>
    <t>Sweden</t>
  </si>
  <si>
    <t>IT consultant</t>
  </si>
  <si>
    <t>ID0365</t>
  </si>
  <si>
    <t>ID0366</t>
  </si>
  <si>
    <t>Commercial Manager</t>
  </si>
  <si>
    <t>ID0367</t>
  </si>
  <si>
    <t>Quality Assurance Officer</t>
  </si>
  <si>
    <t>ID0368</t>
  </si>
  <si>
    <t>Senior Treasury Analyst</t>
  </si>
  <si>
    <t>ID0369</t>
  </si>
  <si>
    <t>Supervisor, Contracts, Rebates, Chargebacks and Returns</t>
  </si>
  <si>
    <t>ID0370</t>
  </si>
  <si>
    <t>ID0371</t>
  </si>
  <si>
    <t>ceo</t>
  </si>
  <si>
    <t>ID0372</t>
  </si>
  <si>
    <t>System Manager</t>
  </si>
  <si>
    <t>ID0373</t>
  </si>
  <si>
    <t>ID0374</t>
  </si>
  <si>
    <t>ID0375</t>
  </si>
  <si>
    <t>director</t>
  </si>
  <si>
    <t>ID0376</t>
  </si>
  <si>
    <t>ID0377</t>
  </si>
  <si>
    <t>Owner</t>
  </si>
  <si>
    <t>ID0378</t>
  </si>
  <si>
    <t>Senior Business Analyst</t>
  </si>
  <si>
    <t>ID0379</t>
  </si>
  <si>
    <t xml:space="preserve">marketing and sales </t>
  </si>
  <si>
    <t>ID0380</t>
  </si>
  <si>
    <t>Managing Director</t>
  </si>
  <si>
    <t>ID0381</t>
  </si>
  <si>
    <t>ID0382</t>
  </si>
  <si>
    <t>Senior Billing Engineer</t>
  </si>
  <si>
    <t>ID0383</t>
  </si>
  <si>
    <t>Quality Analyst</t>
  </si>
  <si>
    <t>ID0384</t>
  </si>
  <si>
    <t>Financial analyst</t>
  </si>
  <si>
    <t>ID0385</t>
  </si>
  <si>
    <t>Economist</t>
  </si>
  <si>
    <t>ID0386</t>
  </si>
  <si>
    <t>assistant manager (finance)</t>
  </si>
  <si>
    <t>ID0387</t>
  </si>
  <si>
    <t>Central Services Manager</t>
  </si>
  <si>
    <t>ID0388</t>
  </si>
  <si>
    <t xml:space="preserve">Trainer </t>
  </si>
  <si>
    <t>ID0389</t>
  </si>
  <si>
    <t>continuous improvement team member</t>
  </si>
  <si>
    <t>ID0390</t>
  </si>
  <si>
    <t>ID0391</t>
  </si>
  <si>
    <t>MIS Officer</t>
  </si>
  <si>
    <t>ID0392</t>
  </si>
  <si>
    <t>IR Manager</t>
  </si>
  <si>
    <t>ID0393</t>
  </si>
  <si>
    <t>ID0394</t>
  </si>
  <si>
    <t>Chief Specialist of Economics &amp; Planning</t>
  </si>
  <si>
    <t>ID0395</t>
  </si>
  <si>
    <t>Campus Budget Officer</t>
  </si>
  <si>
    <t>ID0396</t>
  </si>
  <si>
    <t>Management Ananlyst</t>
  </si>
  <si>
    <t>ID0397</t>
  </si>
  <si>
    <t>Sales Operations Analyst</t>
  </si>
  <si>
    <t>ID0398</t>
  </si>
  <si>
    <t>Bangladesh</t>
  </si>
  <si>
    <t>Computer Operator</t>
  </si>
  <si>
    <t>ID0399</t>
  </si>
  <si>
    <t>ENGINEER</t>
  </si>
  <si>
    <t>ID0400</t>
  </si>
  <si>
    <t>Sr Management Analytst 2</t>
  </si>
  <si>
    <t>ID0401</t>
  </si>
  <si>
    <t>Accounting Manager</t>
  </si>
  <si>
    <t>ID0402</t>
  </si>
  <si>
    <t>ID0403</t>
  </si>
  <si>
    <t>ID0404</t>
  </si>
  <si>
    <t>Information Research Technician II</t>
  </si>
  <si>
    <t>ID0405</t>
  </si>
  <si>
    <t>ID0406</t>
  </si>
  <si>
    <t>Sr. Systems Engineer</t>
  </si>
  <si>
    <t>ID0407</t>
  </si>
  <si>
    <t>ID0408</t>
  </si>
  <si>
    <t>Senior Purchasing Officer</t>
  </si>
  <si>
    <t>ID0409</t>
  </si>
  <si>
    <t>Mgmt Accountant</t>
  </si>
  <si>
    <t>ID0410</t>
  </si>
  <si>
    <t xml:space="preserve">Sr financial analyst </t>
  </si>
  <si>
    <t>ID0411</t>
  </si>
  <si>
    <t>Romania</t>
  </si>
  <si>
    <t>Department Manager</t>
  </si>
  <si>
    <t>ID0412</t>
  </si>
  <si>
    <t>Costa Rica</t>
  </si>
  <si>
    <t>Businees Adminstratot</t>
  </si>
  <si>
    <t>ID0413</t>
  </si>
  <si>
    <t xml:space="preserve">Staff assistant </t>
  </si>
  <si>
    <t>ID0414</t>
  </si>
  <si>
    <t>Sr. Accountant</t>
  </si>
  <si>
    <t>ID0415</t>
  </si>
  <si>
    <t>Air Planning Analyst</t>
  </si>
  <si>
    <t>ID0416</t>
  </si>
  <si>
    <t>Credit Analyst</t>
  </si>
  <si>
    <t>ID0417</t>
  </si>
  <si>
    <t>financial management consultant</t>
  </si>
  <si>
    <t>ID0418</t>
  </si>
  <si>
    <t>ID0419</t>
  </si>
  <si>
    <t>IT Project Manager, EMEA</t>
  </si>
  <si>
    <t>ID0420</t>
  </si>
  <si>
    <t>ID0421</t>
  </si>
  <si>
    <t>IS Director</t>
  </si>
  <si>
    <t>ID0422</t>
  </si>
  <si>
    <t>ID0423</t>
  </si>
  <si>
    <t>ID0424</t>
  </si>
  <si>
    <t>Iran</t>
  </si>
  <si>
    <t>teacher</t>
  </si>
  <si>
    <t>ID0425</t>
  </si>
  <si>
    <t>ID0426</t>
  </si>
  <si>
    <t>Finland</t>
  </si>
  <si>
    <t>Excel trainer</t>
  </si>
  <si>
    <t>ID0427</t>
  </si>
  <si>
    <t>WFM Team Lead</t>
  </si>
  <si>
    <t>ID0428</t>
  </si>
  <si>
    <t>Supervisor</t>
  </si>
  <si>
    <t>ID0429</t>
  </si>
  <si>
    <t>BI Developer</t>
  </si>
  <si>
    <t>ID0430</t>
  </si>
  <si>
    <t>engineer</t>
  </si>
  <si>
    <t>ID0431</t>
  </si>
  <si>
    <t>Planner</t>
  </si>
  <si>
    <t>ID0432</t>
  </si>
  <si>
    <t>ID0433</t>
  </si>
  <si>
    <t>ID0434</t>
  </si>
  <si>
    <t>Dominican Republic</t>
  </si>
  <si>
    <t>ID0435</t>
  </si>
  <si>
    <t>senior analyst</t>
  </si>
  <si>
    <t>ID0436</t>
  </si>
  <si>
    <t>Assesor</t>
  </si>
  <si>
    <t>ID0437</t>
  </si>
  <si>
    <t>Financial Analys</t>
  </si>
  <si>
    <t>ID0438</t>
  </si>
  <si>
    <t>Sr. Information Systems Analyst</t>
  </si>
  <si>
    <t>ID0439</t>
  </si>
  <si>
    <t>Senior Claims Analyst</t>
  </si>
  <si>
    <t>ID0440</t>
  </si>
  <si>
    <t>ID0441</t>
  </si>
  <si>
    <t>Sr Mgr Finance</t>
  </si>
  <si>
    <t>ID0442</t>
  </si>
  <si>
    <t>Web Portal Manager</t>
  </si>
  <si>
    <t>ID0443</t>
  </si>
  <si>
    <t>manager - MIS &amp; operations planning</t>
  </si>
  <si>
    <t>ID0444</t>
  </si>
  <si>
    <t>web analyst</t>
  </si>
  <si>
    <t>ID0445</t>
  </si>
  <si>
    <t>Management Consultant</t>
  </si>
  <si>
    <t>ID0446</t>
  </si>
  <si>
    <t>Continuos improvment</t>
  </si>
  <si>
    <t>ID0447</t>
  </si>
  <si>
    <t>Direct marketing manager</t>
  </si>
  <si>
    <t>ID0448</t>
  </si>
  <si>
    <t>mis</t>
  </si>
  <si>
    <t>ID0449</t>
  </si>
  <si>
    <t>ID0450</t>
  </si>
  <si>
    <t>ID0451</t>
  </si>
  <si>
    <t>Wine Analyst</t>
  </si>
  <si>
    <t>ID0452</t>
  </si>
  <si>
    <t>ID0453</t>
  </si>
  <si>
    <t>Somalia</t>
  </si>
  <si>
    <t>FinanceManager</t>
  </si>
  <si>
    <t>ID0454</t>
  </si>
  <si>
    <t>Regional Manager</t>
  </si>
  <si>
    <t>ID0455</t>
  </si>
  <si>
    <t>HR reporting analyst</t>
  </si>
  <si>
    <t>ID0456</t>
  </si>
  <si>
    <t>Finalcial Reporting Analyst</t>
  </si>
  <si>
    <t>ID0457</t>
  </si>
  <si>
    <t>Partner</t>
  </si>
  <si>
    <t>ID0458</t>
  </si>
  <si>
    <t>operations tech</t>
  </si>
  <si>
    <t>ID0459</t>
  </si>
  <si>
    <t>Commercial Accountant</t>
  </si>
  <si>
    <t>ID0460</t>
  </si>
  <si>
    <t>Office Manager</t>
  </si>
  <si>
    <t>ID0461</t>
  </si>
  <si>
    <t>Prod Mgr</t>
  </si>
  <si>
    <t>ID0462</t>
  </si>
  <si>
    <t>Graphics/Web Document Designer</t>
  </si>
  <si>
    <t>ID0463</t>
  </si>
  <si>
    <t>ID0464</t>
  </si>
  <si>
    <t>ID0465</t>
  </si>
  <si>
    <t>Business intelligence manager</t>
  </si>
  <si>
    <t>ID0466</t>
  </si>
  <si>
    <t>Program Manager</t>
  </si>
  <si>
    <t>ID0467</t>
  </si>
  <si>
    <t>Republic of Georgia</t>
  </si>
  <si>
    <t>Treasure Specialist</t>
  </si>
  <si>
    <t>ID0468</t>
  </si>
  <si>
    <t>Business Manager</t>
  </si>
  <si>
    <t>ID0469</t>
  </si>
  <si>
    <t>clerk</t>
  </si>
  <si>
    <t>ID0470</t>
  </si>
  <si>
    <t>ID0471</t>
  </si>
  <si>
    <t>Researcher &amp; Data Analyst</t>
  </si>
  <si>
    <t>ID0472</t>
  </si>
  <si>
    <t>ID0473</t>
  </si>
  <si>
    <t>Data Quality &amp; Analysis Manager</t>
  </si>
  <si>
    <t>ID0474</t>
  </si>
  <si>
    <t>ID0476</t>
  </si>
  <si>
    <t>Estonia</t>
  </si>
  <si>
    <t>Resource managment Analyst</t>
  </si>
  <si>
    <t>ID0477</t>
  </si>
  <si>
    <t>Account Executive</t>
  </si>
  <si>
    <t>ID0478</t>
  </si>
  <si>
    <t>video production</t>
  </si>
  <si>
    <t>ID0479</t>
  </si>
  <si>
    <t>Mozambique</t>
  </si>
  <si>
    <t>ID0480</t>
  </si>
  <si>
    <t>principal engineer</t>
  </si>
  <si>
    <t>ID0481</t>
  </si>
  <si>
    <t>budget analyst</t>
  </si>
  <si>
    <t>ID0482</t>
  </si>
  <si>
    <t>Category Director (Marketing)</t>
  </si>
  <si>
    <t>ID0484</t>
  </si>
  <si>
    <t>Norway</t>
  </si>
  <si>
    <t>Senior consultant accounting</t>
  </si>
  <si>
    <t>ID0485</t>
  </si>
  <si>
    <t>Finance manager</t>
  </si>
  <si>
    <t>ID0486</t>
  </si>
  <si>
    <t>Health and safety advisor</t>
  </si>
  <si>
    <t>ID0487</t>
  </si>
  <si>
    <t>Workforce Analyst</t>
  </si>
  <si>
    <t>ID0488</t>
  </si>
  <si>
    <t>ID0489</t>
  </si>
  <si>
    <t>Sr. Marketing Solutions Analyst</t>
  </si>
  <si>
    <t>ID0490</t>
  </si>
  <si>
    <t>ID0491</t>
  </si>
  <si>
    <t>ID0492</t>
  </si>
  <si>
    <t>ID0493</t>
  </si>
  <si>
    <t>Managing Partner</t>
  </si>
  <si>
    <t>ID0494</t>
  </si>
  <si>
    <t>Administration Officer</t>
  </si>
  <si>
    <t>ID0495</t>
  </si>
  <si>
    <t>BAS</t>
  </si>
  <si>
    <t>ID0496</t>
  </si>
  <si>
    <t>ID0497</t>
  </si>
  <si>
    <t>chemist</t>
  </si>
  <si>
    <t>ID0498</t>
  </si>
  <si>
    <t>ID0499</t>
  </si>
  <si>
    <t>LOGISTIC MANAGER</t>
  </si>
  <si>
    <t>ID0500</t>
  </si>
  <si>
    <t>Manager Finance</t>
  </si>
  <si>
    <t>ID0501</t>
  </si>
  <si>
    <t>ID0502</t>
  </si>
  <si>
    <t>IT solutions coordinator</t>
  </si>
  <si>
    <t>ID0503</t>
  </si>
  <si>
    <t>Business Modeller</t>
  </si>
  <si>
    <t>ID0504</t>
  </si>
  <si>
    <t>ID0505</t>
  </si>
  <si>
    <t>ID0506</t>
  </si>
  <si>
    <t>Sr QS</t>
  </si>
  <si>
    <t>ID0507</t>
  </si>
  <si>
    <t>Spain</t>
  </si>
  <si>
    <t>Report Analyst</t>
  </si>
  <si>
    <t>ID0508</t>
  </si>
  <si>
    <t>Business Co ordinator</t>
  </si>
  <si>
    <t>ID0509</t>
  </si>
  <si>
    <t>ID0510</t>
  </si>
  <si>
    <t>duty manager</t>
  </si>
  <si>
    <t>ID0511</t>
  </si>
  <si>
    <t>ID0512</t>
  </si>
  <si>
    <t>Retail Store Manager</t>
  </si>
  <si>
    <t>ID0513</t>
  </si>
  <si>
    <t>Job Build analyst</t>
  </si>
  <si>
    <t>ID0514</t>
  </si>
  <si>
    <t>Associate</t>
  </si>
  <si>
    <t>ID0515</t>
  </si>
  <si>
    <t>ID0516</t>
  </si>
  <si>
    <t>ID0517</t>
  </si>
  <si>
    <t>ID0518</t>
  </si>
  <si>
    <t>project finance manager</t>
  </si>
  <si>
    <t>ID0519</t>
  </si>
  <si>
    <t>ID0520</t>
  </si>
  <si>
    <t>Metrics Analyst</t>
  </si>
  <si>
    <t>ID0521</t>
  </si>
  <si>
    <t>Asst.Manager</t>
  </si>
  <si>
    <t>ID0522</t>
  </si>
  <si>
    <t>ID0523</t>
  </si>
  <si>
    <t>Accounting Operations Manager</t>
  </si>
  <si>
    <t>ID0524</t>
  </si>
  <si>
    <t>ID0525</t>
  </si>
  <si>
    <t>Vice President, Analyst</t>
  </si>
  <si>
    <t>ID0526</t>
  </si>
  <si>
    <t>ID0527</t>
  </si>
  <si>
    <t>COO</t>
  </si>
  <si>
    <t>ID0528</t>
  </si>
  <si>
    <t>Financial Advisor</t>
  </si>
  <si>
    <t>ID0529</t>
  </si>
  <si>
    <t>Production Manager</t>
  </si>
  <si>
    <t>ID0530</t>
  </si>
  <si>
    <t>Manager - Finance</t>
  </si>
  <si>
    <t>ID0531</t>
  </si>
  <si>
    <t>Process Design Consultant</t>
  </si>
  <si>
    <t>ID0532</t>
  </si>
  <si>
    <t>vba specialist</t>
  </si>
  <si>
    <t>ID0533</t>
  </si>
  <si>
    <t xml:space="preserve">Analytical Department Director </t>
  </si>
  <si>
    <t>ID0534</t>
  </si>
  <si>
    <t>ID0535</t>
  </si>
  <si>
    <t>New Zealand</t>
  </si>
  <si>
    <t>manager</t>
  </si>
  <si>
    <t>ID0536</t>
  </si>
  <si>
    <t>Central America</t>
  </si>
  <si>
    <t>Director of Supply Chain</t>
  </si>
  <si>
    <t>ID0537</t>
  </si>
  <si>
    <t>Research Assistant</t>
  </si>
  <si>
    <t>ID0538</t>
  </si>
  <si>
    <t>Finance Manager</t>
  </si>
  <si>
    <t>ID0539</t>
  </si>
  <si>
    <t>Self-employed</t>
  </si>
  <si>
    <t>Excel professional</t>
  </si>
  <si>
    <t>ID0540</t>
  </si>
  <si>
    <t>ID0541</t>
  </si>
  <si>
    <t>Trainer</t>
  </si>
  <si>
    <t>ID0543</t>
  </si>
  <si>
    <t>Business analyst</t>
  </si>
  <si>
    <t>ID0544</t>
  </si>
  <si>
    <t>deputy manager</t>
  </si>
  <si>
    <t>ID0545</t>
  </si>
  <si>
    <t>ID0546</t>
  </si>
  <si>
    <t>ID0547</t>
  </si>
  <si>
    <t>ID0548</t>
  </si>
  <si>
    <t>Research Associate</t>
  </si>
  <si>
    <t>ID0549</t>
  </si>
  <si>
    <t>Reports Coordinator</t>
  </si>
  <si>
    <t>ID0550</t>
  </si>
  <si>
    <t>Quality Compliance Manager</t>
  </si>
  <si>
    <t>ID0551</t>
  </si>
  <si>
    <t>Cost Analyst</t>
  </si>
  <si>
    <t>ID0552</t>
  </si>
  <si>
    <t>ID0553</t>
  </si>
  <si>
    <t>Japan</t>
  </si>
  <si>
    <t>ID0554</t>
  </si>
  <si>
    <t>ID0555</t>
  </si>
  <si>
    <t>IT Consultant</t>
  </si>
  <si>
    <t>ID0556</t>
  </si>
  <si>
    <t>Intelligence Analyst</t>
  </si>
  <si>
    <t>ID0557</t>
  </si>
  <si>
    <t>Marketing Specialist</t>
  </si>
  <si>
    <t>ID0558</t>
  </si>
  <si>
    <t>ID0559</t>
  </si>
  <si>
    <t>Proyect Manager</t>
  </si>
  <si>
    <t>ID0560</t>
  </si>
  <si>
    <t>IT Specialist</t>
  </si>
  <si>
    <t>ID0561</t>
  </si>
  <si>
    <t>CONTROLLER</t>
  </si>
  <si>
    <t>ID0562</t>
  </si>
  <si>
    <t>Technical Support Technician</t>
  </si>
  <si>
    <t>ID0563</t>
  </si>
  <si>
    <t>Director, Supply Chain Operations</t>
  </si>
  <si>
    <t>ID0564</t>
  </si>
  <si>
    <t>ID0565</t>
  </si>
  <si>
    <t>ID0566</t>
  </si>
  <si>
    <t>ID0567</t>
  </si>
  <si>
    <t>Workflow Analyst</t>
  </si>
  <si>
    <t>ID0568</t>
  </si>
  <si>
    <t>ID0569</t>
  </si>
  <si>
    <t>Finance Manager Business Services</t>
  </si>
  <si>
    <t>ID0570</t>
  </si>
  <si>
    <t>Accountant/Analyst</t>
  </si>
  <si>
    <t>ID0572</t>
  </si>
  <si>
    <t>Costing Analysis</t>
  </si>
  <si>
    <t>ID0573</t>
  </si>
  <si>
    <t>Sales Operations Supervisor</t>
  </si>
  <si>
    <t>ID0574</t>
  </si>
  <si>
    <t>ID0575</t>
  </si>
  <si>
    <t>ID0576</t>
  </si>
  <si>
    <t>Assistant</t>
  </si>
  <si>
    <t>ID0577</t>
  </si>
  <si>
    <t>Guyana</t>
  </si>
  <si>
    <t>In Charge</t>
  </si>
  <si>
    <t>ID0578</t>
  </si>
  <si>
    <t>ID0579</t>
  </si>
  <si>
    <t>ID0580</t>
  </si>
  <si>
    <t>ID0581</t>
  </si>
  <si>
    <t>ID0582</t>
  </si>
  <si>
    <t>ID0583</t>
  </si>
  <si>
    <t>ID0584</t>
  </si>
  <si>
    <t>CEO</t>
  </si>
  <si>
    <t>ID0585</t>
  </si>
  <si>
    <t>coordinator lismore regional airport</t>
  </si>
  <si>
    <t>ID0586</t>
  </si>
  <si>
    <t>Mgr Op Excellence</t>
  </si>
  <si>
    <t>ID0587</t>
  </si>
  <si>
    <t>ID0588</t>
  </si>
  <si>
    <t>Pricing and Strategy Specialist</t>
  </si>
  <si>
    <t>ID0589</t>
  </si>
  <si>
    <t>Sr. Human Resources Analyst</t>
  </si>
  <si>
    <t>ID0590</t>
  </si>
  <si>
    <t>Performance Improvement Analyst</t>
  </si>
  <si>
    <t>ID0591</t>
  </si>
  <si>
    <t>ID0592</t>
  </si>
  <si>
    <t>Sr. Analyst</t>
  </si>
  <si>
    <t>ID0593</t>
  </si>
  <si>
    <t>China</t>
  </si>
  <si>
    <t>finance</t>
  </si>
  <si>
    <t>ID0594</t>
  </si>
  <si>
    <t>Consulting</t>
  </si>
  <si>
    <t>ID0595</t>
  </si>
  <si>
    <t>ID0596</t>
  </si>
  <si>
    <t xml:space="preserve">Technology consultant </t>
  </si>
  <si>
    <t>ID0597</t>
  </si>
  <si>
    <t>ID0598</t>
  </si>
  <si>
    <t>BPO</t>
  </si>
  <si>
    <t>ID0599</t>
  </si>
  <si>
    <t>General manager</t>
  </si>
  <si>
    <t>ID0600</t>
  </si>
  <si>
    <t>Technical Analyst</t>
  </si>
  <si>
    <t>ID0601</t>
  </si>
  <si>
    <t>Head Accounts</t>
  </si>
  <si>
    <t>ID0602</t>
  </si>
  <si>
    <t>Operations</t>
  </si>
  <si>
    <t>ID0603</t>
  </si>
  <si>
    <t>Talati</t>
  </si>
  <si>
    <t>ID0604</t>
  </si>
  <si>
    <t>Product manager</t>
  </si>
  <si>
    <t>ID0605</t>
  </si>
  <si>
    <t>Helicopter Mechanic</t>
  </si>
  <si>
    <t>ID0606</t>
  </si>
  <si>
    <t>Program/Mgt Analyst</t>
  </si>
  <si>
    <t>ID0608</t>
  </si>
  <si>
    <t>Director, Analytics</t>
  </si>
  <si>
    <t>ID0609</t>
  </si>
  <si>
    <t>Purchasing Manager</t>
  </si>
  <si>
    <t>ID0611</t>
  </si>
  <si>
    <t>Incharge</t>
  </si>
  <si>
    <t>ID0612</t>
  </si>
  <si>
    <t>Sales Assistant</t>
  </si>
  <si>
    <t>ID0613</t>
  </si>
  <si>
    <t>Assistant EDP</t>
  </si>
  <si>
    <t>ID0614</t>
  </si>
  <si>
    <t>Sales ops</t>
  </si>
  <si>
    <t>ID0615</t>
  </si>
  <si>
    <t>Sri Lanka</t>
  </si>
  <si>
    <t>QS</t>
  </si>
  <si>
    <t>ID0616</t>
  </si>
  <si>
    <t>ID0617</t>
  </si>
  <si>
    <t>AGM Finance</t>
  </si>
  <si>
    <t>ID0618</t>
  </si>
  <si>
    <t>Sales Controller</t>
  </si>
  <si>
    <t>ID0619</t>
  </si>
  <si>
    <t>ID0620</t>
  </si>
  <si>
    <t>ID0621</t>
  </si>
  <si>
    <t>MIS Executive</t>
  </si>
  <si>
    <t>ID0622</t>
  </si>
  <si>
    <t>SYSTEM MANAGER</t>
  </si>
  <si>
    <t>ID0623</t>
  </si>
  <si>
    <t>ID0624</t>
  </si>
  <si>
    <t>Project coordinator</t>
  </si>
  <si>
    <t>ID0625</t>
  </si>
  <si>
    <t>ID0626</t>
  </si>
  <si>
    <t>ID0627</t>
  </si>
  <si>
    <t>ID0628</t>
  </si>
  <si>
    <t>Indonesia</t>
  </si>
  <si>
    <t>executive</t>
  </si>
  <si>
    <t>ID0629</t>
  </si>
  <si>
    <t>ID0630</t>
  </si>
  <si>
    <t>Quantity Surveyor</t>
  </si>
  <si>
    <t>ID0631</t>
  </si>
  <si>
    <t xml:space="preserve">Content Analyst </t>
  </si>
  <si>
    <t>ID0632</t>
  </si>
  <si>
    <t>ID0633</t>
  </si>
  <si>
    <t>senior business analyst</t>
  </si>
  <si>
    <t>ID0634</t>
  </si>
  <si>
    <t>ID0635</t>
  </si>
  <si>
    <t>Corporate Accountant</t>
  </si>
  <si>
    <t>ID0636</t>
  </si>
  <si>
    <t>Auditor</t>
  </si>
  <si>
    <t>ID0637</t>
  </si>
  <si>
    <t>program coordinator - automotive</t>
  </si>
  <si>
    <t>ID0638</t>
  </si>
  <si>
    <t>ID0639</t>
  </si>
  <si>
    <t>Planning Engineer</t>
  </si>
  <si>
    <t>ID0640</t>
  </si>
  <si>
    <t>Senior Executive</t>
  </si>
  <si>
    <t>ID0641</t>
  </si>
  <si>
    <t>cmo</t>
  </si>
  <si>
    <t>ID0642</t>
  </si>
  <si>
    <t>ID0643</t>
  </si>
  <si>
    <t>ID0644</t>
  </si>
  <si>
    <t>ID0645</t>
  </si>
  <si>
    <t>Sr Processor</t>
  </si>
  <si>
    <t>ID0646</t>
  </si>
  <si>
    <t>Organiser</t>
  </si>
  <si>
    <t>ID0647</t>
  </si>
  <si>
    <t>ID0648</t>
  </si>
  <si>
    <t>Quality officer</t>
  </si>
  <si>
    <t>ID0649</t>
  </si>
  <si>
    <t>Executive</t>
  </si>
  <si>
    <t>ID0650</t>
  </si>
  <si>
    <t>ID0651</t>
  </si>
  <si>
    <t>BI Consultant</t>
  </si>
  <si>
    <t>ID0652</t>
  </si>
  <si>
    <t>Assistant Manager - IT</t>
  </si>
  <si>
    <t>ID0653</t>
  </si>
  <si>
    <t>Coordinator</t>
  </si>
  <si>
    <t>ID0654</t>
  </si>
  <si>
    <t>ID0655</t>
  </si>
  <si>
    <t>MANAGER</t>
  </si>
  <si>
    <t>ID0657</t>
  </si>
  <si>
    <t>Asst Mgr</t>
  </si>
  <si>
    <t>ID0658</t>
  </si>
  <si>
    <t>ID0659</t>
  </si>
  <si>
    <t>Accounts Officer</t>
  </si>
  <si>
    <t>ID0660</t>
  </si>
  <si>
    <t>Investment Banker</t>
  </si>
  <si>
    <t>ID0661</t>
  </si>
  <si>
    <t>Co-operative bank</t>
  </si>
  <si>
    <t>ID0662</t>
  </si>
  <si>
    <t>ID0663</t>
  </si>
  <si>
    <t>Cad Engineer</t>
  </si>
  <si>
    <t>ID0664</t>
  </si>
  <si>
    <t>Mis Analyst</t>
  </si>
  <si>
    <t>ID0665</t>
  </si>
  <si>
    <t>MIS EXECUTIVE</t>
  </si>
  <si>
    <t>ID0666</t>
  </si>
  <si>
    <t>PMO</t>
  </si>
  <si>
    <t>ID0667</t>
  </si>
  <si>
    <t>Asst. Manager(Commercial)</t>
  </si>
  <si>
    <t>ID0668</t>
  </si>
  <si>
    <t>ID0669</t>
  </si>
  <si>
    <t>Education Officer</t>
  </si>
  <si>
    <t>ID0670</t>
  </si>
  <si>
    <t>Management Accountant</t>
  </si>
  <si>
    <t>ID0671</t>
  </si>
  <si>
    <t>ID0672</t>
  </si>
  <si>
    <t>Sales Coordinator</t>
  </si>
  <si>
    <t>ID0673</t>
  </si>
  <si>
    <t>TA</t>
  </si>
  <si>
    <t>ID0674</t>
  </si>
  <si>
    <t>ID0675</t>
  </si>
  <si>
    <t>ID0676</t>
  </si>
  <si>
    <t>ID0677</t>
  </si>
  <si>
    <t>ID0678</t>
  </si>
  <si>
    <t>ASM</t>
  </si>
  <si>
    <t>ID0679</t>
  </si>
  <si>
    <t>ID0680</t>
  </si>
  <si>
    <t>ID0681</t>
  </si>
  <si>
    <t>principal developer</t>
  </si>
  <si>
    <t>ID0682</t>
  </si>
  <si>
    <t>Accounts Payable Analyst</t>
  </si>
  <si>
    <t>ID0683</t>
  </si>
  <si>
    <t>Maint Sys Support Specialist</t>
  </si>
  <si>
    <t>ID0684</t>
  </si>
  <si>
    <t>ID0685</t>
  </si>
  <si>
    <t>ID0686</t>
  </si>
  <si>
    <t>ID0687</t>
  </si>
  <si>
    <t>Team Leader</t>
  </si>
  <si>
    <t>ID0688</t>
  </si>
  <si>
    <t>manager portfolio monitoring</t>
  </si>
  <si>
    <t>ID0689</t>
  </si>
  <si>
    <t>Sr. Executive Finance &amp; Accounts</t>
  </si>
  <si>
    <t>ID0690</t>
  </si>
  <si>
    <t>AREA SALES MANAGER</t>
  </si>
  <si>
    <t>ID0691</t>
  </si>
  <si>
    <t>govt</t>
  </si>
  <si>
    <t>ID0692</t>
  </si>
  <si>
    <t>COMPUTER OPERATOR</t>
  </si>
  <si>
    <t>ID0693</t>
  </si>
  <si>
    <t>Business Executive</t>
  </si>
  <si>
    <t>ID0694</t>
  </si>
  <si>
    <t>Team Lead Mis</t>
  </si>
  <si>
    <t>ID0695</t>
  </si>
  <si>
    <t>Cambodia</t>
  </si>
  <si>
    <t>Call Centre Consultant</t>
  </si>
  <si>
    <t>ID0696</t>
  </si>
  <si>
    <t>MIS executive</t>
  </si>
  <si>
    <t>ID0697</t>
  </si>
  <si>
    <t>Oprations head</t>
  </si>
  <si>
    <t>ID0698</t>
  </si>
  <si>
    <t>Asst. Manager</t>
  </si>
  <si>
    <t>ID0699</t>
  </si>
  <si>
    <t>accounts</t>
  </si>
  <si>
    <t>ID0700</t>
  </si>
  <si>
    <t>ID0701</t>
  </si>
  <si>
    <t>ID0702</t>
  </si>
  <si>
    <t>ID0703</t>
  </si>
  <si>
    <t>ID0704</t>
  </si>
  <si>
    <t>ID0705</t>
  </si>
  <si>
    <t>Cost Accountant</t>
  </si>
  <si>
    <t>ID0706</t>
  </si>
  <si>
    <t>senior executive</t>
  </si>
  <si>
    <t>ID0707</t>
  </si>
  <si>
    <t>ID0708</t>
  </si>
  <si>
    <t>Intern</t>
  </si>
  <si>
    <t>ID0709</t>
  </si>
  <si>
    <t>ID0710</t>
  </si>
  <si>
    <t>ID0711</t>
  </si>
  <si>
    <t>ID0712</t>
  </si>
  <si>
    <t>ID0713</t>
  </si>
  <si>
    <t>Audit Manager</t>
  </si>
  <si>
    <t>ID0714</t>
  </si>
  <si>
    <t>Lithuania</t>
  </si>
  <si>
    <t>Audit - senior assistant</t>
  </si>
  <si>
    <t>ID0715</t>
  </si>
  <si>
    <t>tech operator (oil)</t>
  </si>
  <si>
    <t>ID0716</t>
  </si>
  <si>
    <t xml:space="preserve">mis </t>
  </si>
  <si>
    <t>ID0717</t>
  </si>
  <si>
    <t>ID0718</t>
  </si>
  <si>
    <t>Asstt manager</t>
  </si>
  <si>
    <t>ID0719</t>
  </si>
  <si>
    <t>Import &amp; Export Documentation Executive</t>
  </si>
  <si>
    <t>ID0720</t>
  </si>
  <si>
    <t>ID0721</t>
  </si>
  <si>
    <t>Systems Manager</t>
  </si>
  <si>
    <t>ID0722</t>
  </si>
  <si>
    <t>Program management</t>
  </si>
  <si>
    <t>ID0723</t>
  </si>
  <si>
    <t>Accounts Manager</t>
  </si>
  <si>
    <t>ID0724</t>
  </si>
  <si>
    <t>sr. mis executive</t>
  </si>
  <si>
    <t>ID0725</t>
  </si>
  <si>
    <t>Modeller</t>
  </si>
  <si>
    <t>ID0726</t>
  </si>
  <si>
    <t>ID0727</t>
  </si>
  <si>
    <t>ID0728</t>
  </si>
  <si>
    <t>ID0729</t>
  </si>
  <si>
    <t>Sr Financial Execative</t>
  </si>
  <si>
    <t>ID0730</t>
  </si>
  <si>
    <t>Asst Mngr</t>
  </si>
  <si>
    <t>ID0731</t>
  </si>
  <si>
    <t>ID0732</t>
  </si>
  <si>
    <t>Sr Associate</t>
  </si>
  <si>
    <t>ID0733</t>
  </si>
  <si>
    <t>ID0734</t>
  </si>
  <si>
    <t>ID0735</t>
  </si>
  <si>
    <t>ID0736</t>
  </si>
  <si>
    <t>ERP Co-Ordinator</t>
  </si>
  <si>
    <t>ID0737</t>
  </si>
  <si>
    <t>Revenue Manager</t>
  </si>
  <si>
    <t>ID0738</t>
  </si>
  <si>
    <t>Accounts analyst</t>
  </si>
  <si>
    <t>ID0739</t>
  </si>
  <si>
    <t>ID0740</t>
  </si>
  <si>
    <t>Egypt</t>
  </si>
  <si>
    <t>Estimator</t>
  </si>
  <si>
    <t>ID0741</t>
  </si>
  <si>
    <t>ID0742</t>
  </si>
  <si>
    <t>Bhutan</t>
  </si>
  <si>
    <t>Data Analysis</t>
  </si>
  <si>
    <t>ID0743</t>
  </si>
  <si>
    <t>Logistics Analyst</t>
  </si>
  <si>
    <t>ID0744</t>
  </si>
  <si>
    <t>PROCSS ASOCIATE</t>
  </si>
  <si>
    <t>ID0745</t>
  </si>
  <si>
    <t>Reporting Analyst</t>
  </si>
  <si>
    <t>ID0746</t>
  </si>
  <si>
    <t>Corporate Finance Manager</t>
  </si>
  <si>
    <t>ID0747</t>
  </si>
  <si>
    <t>ID0748</t>
  </si>
  <si>
    <t>compliance manager</t>
  </si>
  <si>
    <t>ID0749</t>
  </si>
  <si>
    <t>ID0750</t>
  </si>
  <si>
    <t>Merchandiser</t>
  </si>
  <si>
    <t>ID0751</t>
  </si>
  <si>
    <t>Project Lead</t>
  </si>
  <si>
    <t>ID0752</t>
  </si>
  <si>
    <t>ID0753</t>
  </si>
  <si>
    <t>ID0754</t>
  </si>
  <si>
    <t>SR. ACCOUNTS EXECUTIVE</t>
  </si>
  <si>
    <t>ID0755</t>
  </si>
  <si>
    <t>Business Support Specialist</t>
  </si>
  <si>
    <t>ID0756</t>
  </si>
  <si>
    <t>Assistant Manager - Group MIS</t>
  </si>
  <si>
    <t>ID0757</t>
  </si>
  <si>
    <t>ID0758</t>
  </si>
  <si>
    <t>ID0759</t>
  </si>
  <si>
    <t>Nigeria</t>
  </si>
  <si>
    <t>Company Systems Integration Manager</t>
  </si>
  <si>
    <t>ID0760</t>
  </si>
  <si>
    <t>EXECUTIVE</t>
  </si>
  <si>
    <t>ID0761</t>
  </si>
  <si>
    <t>Sales Management Analyst</t>
  </si>
  <si>
    <t>ID0762</t>
  </si>
  <si>
    <t>Asst Production Planner</t>
  </si>
  <si>
    <t>ID0763</t>
  </si>
  <si>
    <t>Denmark</t>
  </si>
  <si>
    <t>Consultat</t>
  </si>
  <si>
    <t>ID0764</t>
  </si>
  <si>
    <t xml:space="preserve">System Analyst </t>
  </si>
  <si>
    <t>ID0765</t>
  </si>
  <si>
    <t>Stock Controller</t>
  </si>
  <si>
    <t>ID0766</t>
  </si>
  <si>
    <t>ACCOUNTANT</t>
  </si>
  <si>
    <t>ID0767</t>
  </si>
  <si>
    <t>Accounts Supervisor</t>
  </si>
  <si>
    <t>ID0768</t>
  </si>
  <si>
    <t>ID0769</t>
  </si>
  <si>
    <t>Data Analyst - Report Writer</t>
  </si>
  <si>
    <t>ID0770</t>
  </si>
  <si>
    <t xml:space="preserve">Regional Formwork Head </t>
  </si>
  <si>
    <t>ID0771</t>
  </si>
  <si>
    <t>BRANCH ACCOUNTANT</t>
  </si>
  <si>
    <t>ID0772</t>
  </si>
  <si>
    <t>Accounting Head</t>
  </si>
  <si>
    <t>ID0773</t>
  </si>
  <si>
    <t>OPEX CONTROL</t>
  </si>
  <si>
    <t>ID0774</t>
  </si>
  <si>
    <t>ID0775</t>
  </si>
  <si>
    <t>Associate Software Engineer</t>
  </si>
  <si>
    <t>ID0776</t>
  </si>
  <si>
    <t>ID0777</t>
  </si>
  <si>
    <t>ID0778</t>
  </si>
  <si>
    <t>Italy</t>
  </si>
  <si>
    <t>ID0779</t>
  </si>
  <si>
    <t>Banker</t>
  </si>
  <si>
    <t>ID0780</t>
  </si>
  <si>
    <t>ID0781</t>
  </si>
  <si>
    <t>ID0782</t>
  </si>
  <si>
    <t>ID0783</t>
  </si>
  <si>
    <t>S&amp;D Reporting &amp; Analysis Team Leader</t>
  </si>
  <si>
    <t>ID0784</t>
  </si>
  <si>
    <t>Key Expert User</t>
  </si>
  <si>
    <t>ID0785</t>
  </si>
  <si>
    <t>company secretary</t>
  </si>
  <si>
    <t>ID0786</t>
  </si>
  <si>
    <t>Mis executiv</t>
  </si>
  <si>
    <t>ID0787</t>
  </si>
  <si>
    <t>ID0788</t>
  </si>
  <si>
    <t>ID0789</t>
  </si>
  <si>
    <t>BDM</t>
  </si>
  <si>
    <t>ID0790</t>
  </si>
  <si>
    <t>Programmer-analyst</t>
  </si>
  <si>
    <t>ID0791</t>
  </si>
  <si>
    <t>security analyst</t>
  </si>
  <si>
    <t>ID0792</t>
  </si>
  <si>
    <t>Material Planner</t>
  </si>
  <si>
    <t>ID0793</t>
  </si>
  <si>
    <t>VP Infrastructure</t>
  </si>
  <si>
    <t>ID0794</t>
  </si>
  <si>
    <t>WORKING WITH PRODUCT TEAM OF MAKEMYTRIP.COM</t>
  </si>
  <si>
    <t>ID0795</t>
  </si>
  <si>
    <t>ID0796</t>
  </si>
  <si>
    <t>Cashier</t>
  </si>
  <si>
    <t>ID0797</t>
  </si>
  <si>
    <t>Technician</t>
  </si>
  <si>
    <t>ID0798</t>
  </si>
  <si>
    <t>Market analyst</t>
  </si>
  <si>
    <t>ID0799</t>
  </si>
  <si>
    <t>Team Developer</t>
  </si>
  <si>
    <t>ID0800</t>
  </si>
  <si>
    <t>Reporting Assistant</t>
  </si>
  <si>
    <t>ID0801</t>
  </si>
  <si>
    <t>Loss Prevention Finance Coordinator</t>
  </si>
  <si>
    <t>ID0802</t>
  </si>
  <si>
    <t>ID0803</t>
  </si>
  <si>
    <t>ID0804</t>
  </si>
  <si>
    <t>ID0805</t>
  </si>
  <si>
    <t>Senior Research Analyst</t>
  </si>
  <si>
    <t>ID0806</t>
  </si>
  <si>
    <t>Director, IT/Operations</t>
  </si>
  <si>
    <t>ID0807</t>
  </si>
  <si>
    <t>Sr. Executive</t>
  </si>
  <si>
    <t>ID0808</t>
  </si>
  <si>
    <t>Operations Support Coordinator</t>
  </si>
  <si>
    <t>ID0809</t>
  </si>
  <si>
    <t>Sr. Executive MIS</t>
  </si>
  <si>
    <t>ID0810</t>
  </si>
  <si>
    <t>accountant</t>
  </si>
  <si>
    <t>ID0811</t>
  </si>
  <si>
    <t>ID0812</t>
  </si>
  <si>
    <t>Logistic KA Manager</t>
  </si>
  <si>
    <t>ID0813</t>
  </si>
  <si>
    <t>ID0814</t>
  </si>
  <si>
    <t>Deputy Manager</t>
  </si>
  <si>
    <t>ID0815</t>
  </si>
  <si>
    <t>ID0816</t>
  </si>
  <si>
    <t>Management Trainee</t>
  </si>
  <si>
    <t>ID0817</t>
  </si>
  <si>
    <t>MNR</t>
  </si>
  <si>
    <t>ID0818</t>
  </si>
  <si>
    <t>BPO information process enabler</t>
  </si>
  <si>
    <t>ID0820</t>
  </si>
  <si>
    <t>Financial controller</t>
  </si>
  <si>
    <t>ID0821</t>
  </si>
  <si>
    <t>ID0822</t>
  </si>
  <si>
    <t>Market Intelligence Analyst</t>
  </si>
  <si>
    <t>ID0823</t>
  </si>
  <si>
    <t>ID0824</t>
  </si>
  <si>
    <t>sr financial analyst</t>
  </si>
  <si>
    <t>ID0825</t>
  </si>
  <si>
    <t>Investment manager</t>
  </si>
  <si>
    <t>ID0826</t>
  </si>
  <si>
    <t>Operations Lead</t>
  </si>
  <si>
    <t>ID0827</t>
  </si>
  <si>
    <t>Financial Control Section Headm</t>
  </si>
  <si>
    <t>ID0828</t>
  </si>
  <si>
    <t>Application Developer</t>
  </si>
  <si>
    <t>ID0829</t>
  </si>
  <si>
    <t>ID0830</t>
  </si>
  <si>
    <t>ID0831</t>
  </si>
  <si>
    <t>High School Teacher</t>
  </si>
  <si>
    <t>ID0832</t>
  </si>
  <si>
    <t>ID0833</t>
  </si>
  <si>
    <t>HR Planning Specialist</t>
  </si>
  <si>
    <t>ID0834</t>
  </si>
  <si>
    <t>Managment controller</t>
  </si>
  <si>
    <t>ID0835</t>
  </si>
  <si>
    <t>AO</t>
  </si>
  <si>
    <t>ID0836</t>
  </si>
  <si>
    <t>ID0837</t>
  </si>
  <si>
    <t>business analyist</t>
  </si>
  <si>
    <t>ID0838</t>
  </si>
  <si>
    <t>ID0839</t>
  </si>
  <si>
    <t>ID0840</t>
  </si>
  <si>
    <t>actuary</t>
  </si>
  <si>
    <t>ID0841</t>
  </si>
  <si>
    <t>Analysis Quality</t>
  </si>
  <si>
    <t>ID0842</t>
  </si>
  <si>
    <t>ID0844</t>
  </si>
  <si>
    <t>ID0845</t>
  </si>
  <si>
    <t>ID0846</t>
  </si>
  <si>
    <t>Bio-Statiscian</t>
  </si>
  <si>
    <t>ID0847</t>
  </si>
  <si>
    <t>Management Intern</t>
  </si>
  <si>
    <t>ID0848</t>
  </si>
  <si>
    <t>ID0849</t>
  </si>
  <si>
    <t>financialcotroller</t>
  </si>
  <si>
    <t>ID0850</t>
  </si>
  <si>
    <t>ID0851</t>
  </si>
  <si>
    <t>Financial Analyist</t>
  </si>
  <si>
    <t>ID0852</t>
  </si>
  <si>
    <t>Marketing Manager</t>
  </si>
  <si>
    <t>ID0854</t>
  </si>
  <si>
    <t>Dir of Analytics</t>
  </si>
  <si>
    <t>ID0855</t>
  </si>
  <si>
    <t>ID0856</t>
  </si>
  <si>
    <t>Reporting Manager</t>
  </si>
  <si>
    <t>ID0857</t>
  </si>
  <si>
    <t>ID0858</t>
  </si>
  <si>
    <t>Data Research Assistant</t>
  </si>
  <si>
    <t>ID0859</t>
  </si>
  <si>
    <t>ID0860</t>
  </si>
  <si>
    <t>ID0861</t>
  </si>
  <si>
    <t>ID0862</t>
  </si>
  <si>
    <t>Uruguay</t>
  </si>
  <si>
    <t>ID0863</t>
  </si>
  <si>
    <t>Guide for About.com</t>
  </si>
  <si>
    <t>ID0864</t>
  </si>
  <si>
    <t>Aruba</t>
  </si>
  <si>
    <t>Policy advisor</t>
  </si>
  <si>
    <t>ID0865</t>
  </si>
  <si>
    <t>ID0866</t>
  </si>
  <si>
    <t>Security Access Governance Analyst</t>
  </si>
  <si>
    <t>ID0867</t>
  </si>
  <si>
    <t>IT Capacity Planner</t>
  </si>
  <si>
    <t>ID0868</t>
  </si>
  <si>
    <t>supply chain manager</t>
  </si>
  <si>
    <t>ID0869</t>
  </si>
  <si>
    <t>Boss</t>
  </si>
  <si>
    <t>ID0870</t>
  </si>
  <si>
    <t>Director, P&amp;A</t>
  </si>
  <si>
    <t>ID0871</t>
  </si>
  <si>
    <t>Project controls manager</t>
  </si>
  <si>
    <t>ID0872</t>
  </si>
  <si>
    <t>senior associate</t>
  </si>
  <si>
    <t>ID0873</t>
  </si>
  <si>
    <t>Principal Financial Analyst</t>
  </si>
  <si>
    <t>ID0874</t>
  </si>
  <si>
    <t>ID0875</t>
  </si>
  <si>
    <t>Store keeper</t>
  </si>
  <si>
    <t>ID0876</t>
  </si>
  <si>
    <t xml:space="preserve">qa team supervisor </t>
  </si>
  <si>
    <t>ID0877</t>
  </si>
  <si>
    <t>Supply Chain Administrator</t>
  </si>
  <si>
    <t>ID0878</t>
  </si>
  <si>
    <t>sup</t>
  </si>
  <si>
    <t>ID0879</t>
  </si>
  <si>
    <t>Cost Trainee</t>
  </si>
  <si>
    <t>ID0880</t>
  </si>
  <si>
    <t>Qatar</t>
  </si>
  <si>
    <t>Deputy Manager Finance</t>
  </si>
  <si>
    <t>ID0881</t>
  </si>
  <si>
    <t>Sales</t>
  </si>
  <si>
    <t>ID0882</t>
  </si>
  <si>
    <t>Medical information analist</t>
  </si>
  <si>
    <t>ID0883</t>
  </si>
  <si>
    <t>Training Coordinator</t>
  </si>
  <si>
    <t>ID0884</t>
  </si>
  <si>
    <t>Article (Internship) - CA</t>
  </si>
  <si>
    <t>ID0885</t>
  </si>
  <si>
    <t>Asst Manager</t>
  </si>
  <si>
    <t>ID0886</t>
  </si>
  <si>
    <t>Assistant Manager</t>
  </si>
  <si>
    <t>ID0887</t>
  </si>
  <si>
    <t>Commercial Director</t>
  </si>
  <si>
    <t>ID0888</t>
  </si>
  <si>
    <t>ID0889</t>
  </si>
  <si>
    <t>ID0890</t>
  </si>
  <si>
    <t>Vietnam</t>
  </si>
  <si>
    <t>Finance Staff</t>
  </si>
  <si>
    <t>ID0891</t>
  </si>
  <si>
    <t>team coach</t>
  </si>
  <si>
    <t>ID0892</t>
  </si>
  <si>
    <t>ID0893</t>
  </si>
  <si>
    <t>ID0894</t>
  </si>
  <si>
    <t>Accountancy</t>
  </si>
  <si>
    <t>ID0895</t>
  </si>
  <si>
    <t>Manager - Business Planning &amp; Reporting</t>
  </si>
  <si>
    <t>ID0896</t>
  </si>
  <si>
    <t>ASST VICE PREDISDENT</t>
  </si>
  <si>
    <t>ID0897</t>
  </si>
  <si>
    <t>co ordinator</t>
  </si>
  <si>
    <t>ID0898</t>
  </si>
  <si>
    <t>ID0899</t>
  </si>
  <si>
    <t>Engagement Lead</t>
  </si>
  <si>
    <t>ID0900</t>
  </si>
  <si>
    <t>ID0901</t>
  </si>
  <si>
    <t>Clerk</t>
  </si>
  <si>
    <t>ID0903</t>
  </si>
  <si>
    <t xml:space="preserve">Kuwait </t>
  </si>
  <si>
    <t xml:space="preserve">Document controller </t>
  </si>
  <si>
    <t>ID0904</t>
  </si>
  <si>
    <t>ID0905</t>
  </si>
  <si>
    <t>ID0906</t>
  </si>
  <si>
    <t>ID0907</t>
  </si>
  <si>
    <t>ID0908</t>
  </si>
  <si>
    <t>ID0909</t>
  </si>
  <si>
    <t>Financial Modeller</t>
  </si>
  <si>
    <t>ID0910</t>
  </si>
  <si>
    <t>Cost accountant</t>
  </si>
  <si>
    <t>ID0911</t>
  </si>
  <si>
    <t>banker</t>
  </si>
  <si>
    <t>ID0912</t>
  </si>
  <si>
    <t>ID0913</t>
  </si>
  <si>
    <t>Manager Market Reesrach</t>
  </si>
  <si>
    <t>ID0914</t>
  </si>
  <si>
    <t>Czech Republic</t>
  </si>
  <si>
    <t>QA Supervisor</t>
  </si>
  <si>
    <t>ID0915</t>
  </si>
  <si>
    <t>Assistant manager</t>
  </si>
  <si>
    <t>ID0916</t>
  </si>
  <si>
    <t>ID0917</t>
  </si>
  <si>
    <t>Zimbabwe</t>
  </si>
  <si>
    <t>ID0918</t>
  </si>
  <si>
    <t>HR Advisor - Systems &amp; MI</t>
  </si>
  <si>
    <t>ID0919</t>
  </si>
  <si>
    <t>ANALYST</t>
  </si>
  <si>
    <t>ID0920</t>
  </si>
  <si>
    <t>ID0921</t>
  </si>
  <si>
    <t>C&amp;B Manager</t>
  </si>
  <si>
    <t>ID0922</t>
  </si>
  <si>
    <t>Senior Marketing Analyst</t>
  </si>
  <si>
    <t>ID0923</t>
  </si>
  <si>
    <t>operation supervisor</t>
  </si>
  <si>
    <t>ID0924</t>
  </si>
  <si>
    <t>MIS TEAM MEMBER</t>
  </si>
  <si>
    <t>ID0925</t>
  </si>
  <si>
    <t>ID0927</t>
  </si>
  <si>
    <t>ID0928</t>
  </si>
  <si>
    <t>Business Support Executive</t>
  </si>
  <si>
    <t>ID0929</t>
  </si>
  <si>
    <t>Slovenia</t>
  </si>
  <si>
    <t>analytic</t>
  </si>
  <si>
    <t>ID0930</t>
  </si>
  <si>
    <t>ID0931</t>
  </si>
  <si>
    <t>ID0932</t>
  </si>
  <si>
    <t>Finance Analyst</t>
  </si>
  <si>
    <t>ID0933</t>
  </si>
  <si>
    <t>Credit Controller</t>
  </si>
  <si>
    <t>ID0934</t>
  </si>
  <si>
    <t>Programmer</t>
  </si>
  <si>
    <t>ID0935</t>
  </si>
  <si>
    <t>ID0936</t>
  </si>
  <si>
    <t>business</t>
  </si>
  <si>
    <t>ID0937</t>
  </si>
  <si>
    <t>ID0938</t>
  </si>
  <si>
    <t>Albania</t>
  </si>
  <si>
    <t>ID0939</t>
  </si>
  <si>
    <t>Reconciliation Manager in Textile Mill</t>
  </si>
  <si>
    <t>ID0940</t>
  </si>
  <si>
    <t>Reporting Supervisor</t>
  </si>
  <si>
    <t>ID0941</t>
  </si>
  <si>
    <t>Financial Expert</t>
  </si>
  <si>
    <t>ID0943</t>
  </si>
  <si>
    <t>sr manager</t>
  </si>
  <si>
    <t>ID0944</t>
  </si>
  <si>
    <t>ID0945</t>
  </si>
  <si>
    <t>Client Manager</t>
  </si>
  <si>
    <t>ID0946</t>
  </si>
  <si>
    <t>ID0948</t>
  </si>
  <si>
    <t>Asst. Mgr. Finance</t>
  </si>
  <si>
    <t>ID0949</t>
  </si>
  <si>
    <t>ID0950</t>
  </si>
  <si>
    <t>Zambia</t>
  </si>
  <si>
    <t>ID0951</t>
  </si>
  <si>
    <t>ID0952</t>
  </si>
  <si>
    <t>ID0953</t>
  </si>
  <si>
    <t>Construction Engineer</t>
  </si>
  <si>
    <t>ID0954</t>
  </si>
  <si>
    <t>Marketing Insights Manager</t>
  </si>
  <si>
    <t>ID0955</t>
  </si>
  <si>
    <t>Risk analyst</t>
  </si>
  <si>
    <t>ID0957</t>
  </si>
  <si>
    <t>data analist</t>
  </si>
  <si>
    <t>ID0958</t>
  </si>
  <si>
    <t>Head Business Advisory</t>
  </si>
  <si>
    <t>ID0959</t>
  </si>
  <si>
    <t>ID0960</t>
  </si>
  <si>
    <t>Merchandise planner</t>
  </si>
  <si>
    <t>ID0961</t>
  </si>
  <si>
    <t>ID0962</t>
  </si>
  <si>
    <t>ID0963</t>
  </si>
  <si>
    <t>Software Tester</t>
  </si>
  <si>
    <t>ID0964</t>
  </si>
  <si>
    <t>Billing manager</t>
  </si>
  <si>
    <t>ID0965</t>
  </si>
  <si>
    <t>ID0966</t>
  </si>
  <si>
    <t>ID0967</t>
  </si>
  <si>
    <t>Quality Executive</t>
  </si>
  <si>
    <t>ID0968</t>
  </si>
  <si>
    <t xml:space="preserve">Business Support </t>
  </si>
  <si>
    <t>ID0969</t>
  </si>
  <si>
    <t>ID0970</t>
  </si>
  <si>
    <t>Sales Manager</t>
  </si>
  <si>
    <t>ID0971</t>
  </si>
  <si>
    <t>Finance Officer</t>
  </si>
  <si>
    <t>ID0972</t>
  </si>
  <si>
    <t>Assistant Fleet Analyst</t>
  </si>
  <si>
    <t>ID0973</t>
  </si>
  <si>
    <t>ID0974</t>
  </si>
  <si>
    <t>Operations Coordinator</t>
  </si>
  <si>
    <t>ID0975</t>
  </si>
  <si>
    <t>ID0976</t>
  </si>
  <si>
    <t>ID0977</t>
  </si>
  <si>
    <t>ID0978</t>
  </si>
  <si>
    <t>Director, Informatics</t>
  </si>
  <si>
    <t>ID0979</t>
  </si>
  <si>
    <t>ID0980</t>
  </si>
  <si>
    <t>ID0981</t>
  </si>
  <si>
    <t>ID0983</t>
  </si>
  <si>
    <t>Sustainability Strategy Advisor</t>
  </si>
  <si>
    <t>ID0984</t>
  </si>
  <si>
    <t>ID0985</t>
  </si>
  <si>
    <t>Reporting and DB Analyist</t>
  </si>
  <si>
    <t>ID0986</t>
  </si>
  <si>
    <t>ID0987</t>
  </si>
  <si>
    <t>ID0988</t>
  </si>
  <si>
    <t>Malaysia</t>
  </si>
  <si>
    <t>ID0989</t>
  </si>
  <si>
    <t>ID0990</t>
  </si>
  <si>
    <t>Shipping Administrator</t>
  </si>
  <si>
    <t>ID0991</t>
  </si>
  <si>
    <t>VP, Operational Analytics</t>
  </si>
  <si>
    <t>ID0992</t>
  </si>
  <si>
    <t>Finance analyst</t>
  </si>
  <si>
    <t>ID0993</t>
  </si>
  <si>
    <t>ID0994</t>
  </si>
  <si>
    <t>ID0995</t>
  </si>
  <si>
    <t>HSLP Data Analyst</t>
  </si>
  <si>
    <t>ID0996</t>
  </si>
  <si>
    <t>ID0997</t>
  </si>
  <si>
    <t>ID0998</t>
  </si>
  <si>
    <t>Retired Government Officer, having knowledge in excel.</t>
  </si>
  <si>
    <t>ID0999</t>
  </si>
  <si>
    <t>ID1000</t>
  </si>
  <si>
    <t>ID1001</t>
  </si>
  <si>
    <t>Credit Risk Manager</t>
  </si>
  <si>
    <t>ID1002</t>
  </si>
  <si>
    <t>ID1003</t>
  </si>
  <si>
    <t>ID1004</t>
  </si>
  <si>
    <t>Credit Manager - Loans</t>
  </si>
  <si>
    <t>ID1005</t>
  </si>
  <si>
    <t>Audit executive</t>
  </si>
  <si>
    <t>ID1006</t>
  </si>
  <si>
    <t>Staff accountant -- Auditing</t>
  </si>
  <si>
    <t>ID1007</t>
  </si>
  <si>
    <t>Asst Manager - Quality</t>
  </si>
  <si>
    <t>ID1008</t>
  </si>
  <si>
    <t>Principal Analyst</t>
  </si>
  <si>
    <t>ID1009</t>
  </si>
  <si>
    <t>Business Consultant</t>
  </si>
  <si>
    <t>ID1010</t>
  </si>
  <si>
    <t>Ass Research  Manager</t>
  </si>
  <si>
    <t>ID1011</t>
  </si>
  <si>
    <t>Data Specialist</t>
  </si>
  <si>
    <t>ID1012</t>
  </si>
  <si>
    <t>ID1013</t>
  </si>
  <si>
    <t>ID1014</t>
  </si>
  <si>
    <t>ID1015</t>
  </si>
  <si>
    <t>Sr.Analyst - Process Excellence</t>
  </si>
  <si>
    <t>ID1016</t>
  </si>
  <si>
    <t>Operations Management</t>
  </si>
  <si>
    <t>ID1017</t>
  </si>
  <si>
    <t>Management Information Consultant</t>
  </si>
  <si>
    <t>ID1018</t>
  </si>
  <si>
    <t>associate analyst</t>
  </si>
  <si>
    <t>ID1019</t>
  </si>
  <si>
    <t>Paraguay</t>
  </si>
  <si>
    <t>Head of Financial Reporting</t>
  </si>
  <si>
    <t>ID1020</t>
  </si>
  <si>
    <t>Softwar Engineer</t>
  </si>
  <si>
    <t>ID1021</t>
  </si>
  <si>
    <t>ID1023</t>
  </si>
  <si>
    <t>ID1024</t>
  </si>
  <si>
    <t>MIS &amp; Analysis</t>
  </si>
  <si>
    <t>ID1025</t>
  </si>
  <si>
    <t>ID1026</t>
  </si>
  <si>
    <t>ID1027</t>
  </si>
  <si>
    <t xml:space="preserve">Asst. Manager </t>
  </si>
  <si>
    <t>ID1028</t>
  </si>
  <si>
    <t>Project Managment Office</t>
  </si>
  <si>
    <t>ID1029</t>
  </si>
  <si>
    <t>Audit Assistant</t>
  </si>
  <si>
    <t>ID1030</t>
  </si>
  <si>
    <t>ID1031</t>
  </si>
  <si>
    <t>ID1032</t>
  </si>
  <si>
    <t>ACCOUNTS</t>
  </si>
  <si>
    <t>ID1033</t>
  </si>
  <si>
    <t>Area Sales Manager</t>
  </si>
  <si>
    <t>ID1034</t>
  </si>
  <si>
    <t>Strategic Planning Executive</t>
  </si>
  <si>
    <t>ID1035</t>
  </si>
  <si>
    <t>ID1036</t>
  </si>
  <si>
    <t>ID1037</t>
  </si>
  <si>
    <t>Kuwait</t>
  </si>
  <si>
    <t>Category Operations Supv.</t>
  </si>
  <si>
    <t>ID1038</t>
  </si>
  <si>
    <t>BI</t>
  </si>
  <si>
    <t>ID1039</t>
  </si>
  <si>
    <t>ID1040</t>
  </si>
  <si>
    <t>ID1041</t>
  </si>
  <si>
    <t>Teaching</t>
  </si>
  <si>
    <t>ID1042</t>
  </si>
  <si>
    <t>ID1043</t>
  </si>
  <si>
    <t>Excel Developer</t>
  </si>
  <si>
    <t>ID1044</t>
  </si>
  <si>
    <t>Report Specialist</t>
  </si>
  <si>
    <t>ID1045</t>
  </si>
  <si>
    <t>Project Controlling (MIS Reports)</t>
  </si>
  <si>
    <t>ID1046</t>
  </si>
  <si>
    <t>Monitoring &amp; evaluation officer</t>
  </si>
  <si>
    <t>ID1047</t>
  </si>
  <si>
    <t>ID1048</t>
  </si>
  <si>
    <t>Accounts Exec</t>
  </si>
  <si>
    <t>ID1049</t>
  </si>
  <si>
    <t>ID1050</t>
  </si>
  <si>
    <t>ID1051</t>
  </si>
  <si>
    <t>ID1052</t>
  </si>
  <si>
    <t>planning &amp; Sales Control emploee</t>
  </si>
  <si>
    <t>ID1053</t>
  </si>
  <si>
    <t>RRHH</t>
  </si>
  <si>
    <t>ID1054</t>
  </si>
  <si>
    <t>ID1055</t>
  </si>
  <si>
    <t>ID1056</t>
  </si>
  <si>
    <t>BA</t>
  </si>
  <si>
    <t>ID1057</t>
  </si>
  <si>
    <t>Management Information Systems</t>
  </si>
  <si>
    <t>ID1058</t>
  </si>
  <si>
    <t>ID1059</t>
  </si>
  <si>
    <t>Bookkeeper</t>
  </si>
  <si>
    <t>ID1060</t>
  </si>
  <si>
    <t>ID1061</t>
  </si>
  <si>
    <t>Sr Exec - Finance</t>
  </si>
  <si>
    <t>ID1062</t>
  </si>
  <si>
    <t>ID1063</t>
  </si>
  <si>
    <t>Project Administrator</t>
  </si>
  <si>
    <t>ID1064</t>
  </si>
  <si>
    <t>ID1065</t>
  </si>
  <si>
    <t>Business Development Executive</t>
  </si>
  <si>
    <t>ID1066</t>
  </si>
  <si>
    <t>ID1067</t>
  </si>
  <si>
    <t>ID1068</t>
  </si>
  <si>
    <t>ID1069</t>
  </si>
  <si>
    <t>Professional consultant-Finance</t>
  </si>
  <si>
    <t>ID1070</t>
  </si>
  <si>
    <t>ID1071</t>
  </si>
  <si>
    <t>Manager Fin</t>
  </si>
  <si>
    <t>ID1072</t>
  </si>
  <si>
    <t>business data analyst</t>
  </si>
  <si>
    <t>ID1074</t>
  </si>
  <si>
    <t>ID1075</t>
  </si>
  <si>
    <t>Assistant Professor</t>
  </si>
  <si>
    <t>ID1076</t>
  </si>
  <si>
    <t>Production manager</t>
  </si>
  <si>
    <t>ID1077</t>
  </si>
  <si>
    <t>ID1078</t>
  </si>
  <si>
    <t xml:space="preserve">SR. MIS </t>
  </si>
  <si>
    <t>ID1079</t>
  </si>
  <si>
    <t>ID1080</t>
  </si>
  <si>
    <t>Data Entry Operator</t>
  </si>
  <si>
    <t>ID1081</t>
  </si>
  <si>
    <t>Vice President</t>
  </si>
  <si>
    <t>ID1082</t>
  </si>
  <si>
    <t>ID1083</t>
  </si>
  <si>
    <t>finance assistant</t>
  </si>
  <si>
    <t>ID1084</t>
  </si>
  <si>
    <t>finance controller</t>
  </si>
  <si>
    <t>ID1085</t>
  </si>
  <si>
    <t>Manufacturing consultant</t>
  </si>
  <si>
    <t>ID1086</t>
  </si>
  <si>
    <t>Business Improvement Specialist</t>
  </si>
  <si>
    <t>ID1087</t>
  </si>
  <si>
    <t>ID1088</t>
  </si>
  <si>
    <t>Sr. Manager MIS</t>
  </si>
  <si>
    <t>ID1089</t>
  </si>
  <si>
    <t>ID1090</t>
  </si>
  <si>
    <t>ID1091</t>
  </si>
  <si>
    <t>Sr.Supervisor</t>
  </si>
  <si>
    <t>ID1092</t>
  </si>
  <si>
    <t>Policy, Performance and Research Officer</t>
  </si>
  <si>
    <t>ID1093</t>
  </si>
  <si>
    <t>ID1094</t>
  </si>
  <si>
    <t>ID1095</t>
  </si>
  <si>
    <t>ID1096</t>
  </si>
  <si>
    <t>Accounting analyst</t>
  </si>
  <si>
    <t>ID1097</t>
  </si>
  <si>
    <t>ID1098</t>
  </si>
  <si>
    <t>Business Operations Co-ordinator</t>
  </si>
  <si>
    <t>ID1099</t>
  </si>
  <si>
    <t>ID1100</t>
  </si>
  <si>
    <t>Project Control Analyst</t>
  </si>
  <si>
    <t>ID1101</t>
  </si>
  <si>
    <t>MDM Executive (Business Analyst)</t>
  </si>
  <si>
    <t>ID1102</t>
  </si>
  <si>
    <t>Data analyst</t>
  </si>
  <si>
    <t>ID1103</t>
  </si>
  <si>
    <t>ID1104</t>
  </si>
  <si>
    <t>ID1105</t>
  </si>
  <si>
    <t>OFFICER</t>
  </si>
  <si>
    <t>ID1107</t>
  </si>
  <si>
    <t>ID1108</t>
  </si>
  <si>
    <t>Spare Part Coordinator</t>
  </si>
  <si>
    <t>ID1109</t>
  </si>
  <si>
    <t>ID1110</t>
  </si>
  <si>
    <t>coordinator</t>
  </si>
  <si>
    <t>ID1111</t>
  </si>
  <si>
    <t>Systems Analyst</t>
  </si>
  <si>
    <t>ID1112</t>
  </si>
  <si>
    <t>Logistics Operation Analyst</t>
  </si>
  <si>
    <t>ID1113</t>
  </si>
  <si>
    <t>Company Secretary</t>
  </si>
  <si>
    <t>ID1114</t>
  </si>
  <si>
    <t>ID1115</t>
  </si>
  <si>
    <t>ID1116</t>
  </si>
  <si>
    <t>Q.A.Officer</t>
  </si>
  <si>
    <t>ID1117</t>
  </si>
  <si>
    <t>Assistant Director - Performance Information</t>
  </si>
  <si>
    <t>ID1118</t>
  </si>
  <si>
    <t>Developer</t>
  </si>
  <si>
    <t>ID1119</t>
  </si>
  <si>
    <t>ID1120</t>
  </si>
  <si>
    <t>Development (Project &amp; Planning) Manager</t>
  </si>
  <si>
    <t>ID1121</t>
  </si>
  <si>
    <t>ID1122</t>
  </si>
  <si>
    <t>Clinical audit manager</t>
  </si>
  <si>
    <t>ID1123</t>
  </si>
  <si>
    <t>Inventory Manager</t>
  </si>
  <si>
    <t>ID1124</t>
  </si>
  <si>
    <t>ID1125</t>
  </si>
  <si>
    <t>information Analyst</t>
  </si>
  <si>
    <t>ID1126</t>
  </si>
  <si>
    <t>Development Manager</t>
  </si>
  <si>
    <t>ID1127</t>
  </si>
  <si>
    <t>ID1128</t>
  </si>
  <si>
    <t>MI Specialist</t>
  </si>
  <si>
    <t>ID1129</t>
  </si>
  <si>
    <t>Network Enginer</t>
  </si>
  <si>
    <t>ID1130</t>
  </si>
  <si>
    <t>officer</t>
  </si>
  <si>
    <t>ID1131</t>
  </si>
  <si>
    <t>Sr. Team Lead - MIS</t>
  </si>
  <si>
    <t>ID1132</t>
  </si>
  <si>
    <t>KEY</t>
  </si>
  <si>
    <t>ID1133</t>
  </si>
  <si>
    <t>ID1134</t>
  </si>
  <si>
    <t>Sales Planning</t>
  </si>
  <si>
    <t>ID1135</t>
  </si>
  <si>
    <t>GM Finance</t>
  </si>
  <si>
    <t>ID1136</t>
  </si>
  <si>
    <t>ID1137</t>
  </si>
  <si>
    <t>ID1138</t>
  </si>
  <si>
    <t>Performance manager</t>
  </si>
  <si>
    <t>ID1139</t>
  </si>
  <si>
    <t>software engineer</t>
  </si>
  <si>
    <t>ID1140</t>
  </si>
  <si>
    <t>ID1141</t>
  </si>
  <si>
    <t>ID1142</t>
  </si>
  <si>
    <t>MIS Sr. Executive</t>
  </si>
  <si>
    <t>ID1143</t>
  </si>
  <si>
    <t>Translator</t>
  </si>
  <si>
    <t>ID1144</t>
  </si>
  <si>
    <t>Business Anaylyst</t>
  </si>
  <si>
    <t>ID1145</t>
  </si>
  <si>
    <t>ID1146</t>
  </si>
  <si>
    <t>Lead Research Analyst</t>
  </si>
  <si>
    <t>ID1147</t>
  </si>
  <si>
    <t>CEE</t>
  </si>
  <si>
    <t>Management Information Manager</t>
  </si>
  <si>
    <t>ID1148</t>
  </si>
  <si>
    <t>Data Management Officer</t>
  </si>
  <si>
    <t>ID1149</t>
  </si>
  <si>
    <t>Reporting Accountant</t>
  </si>
  <si>
    <t>ID1150</t>
  </si>
  <si>
    <t>Construction Planner</t>
  </si>
  <si>
    <t>ID1151</t>
  </si>
  <si>
    <t>Assistant Accountant</t>
  </si>
  <si>
    <t>ID1152</t>
  </si>
  <si>
    <t>BI Analyst</t>
  </si>
  <si>
    <t>ID1153</t>
  </si>
  <si>
    <t>MI Analyst</t>
  </si>
  <si>
    <t>ID1154</t>
  </si>
  <si>
    <t>Accounts Assistant</t>
  </si>
  <si>
    <t>ID1155</t>
  </si>
  <si>
    <t>Montenegro</t>
  </si>
  <si>
    <t>ID1156</t>
  </si>
  <si>
    <t>Corporate Finance Executive</t>
  </si>
  <si>
    <t>ID1157</t>
  </si>
  <si>
    <t>Manager-Operation</t>
  </si>
  <si>
    <t>ID1158</t>
  </si>
  <si>
    <t>ID1159</t>
  </si>
  <si>
    <t>Financial Analysist</t>
  </si>
  <si>
    <t>ID1160</t>
  </si>
  <si>
    <t>AM Ops</t>
  </si>
  <si>
    <t>ID1161</t>
  </si>
  <si>
    <t>ID1162</t>
  </si>
  <si>
    <t>pricing and cost manager</t>
  </si>
  <si>
    <t>ID1163</t>
  </si>
  <si>
    <t>Catlog associates</t>
  </si>
  <si>
    <t>ID1164</t>
  </si>
  <si>
    <t>Business Analyst - Central Finance</t>
  </si>
  <si>
    <t>ID1165</t>
  </si>
  <si>
    <t>Republica Dominicana</t>
  </si>
  <si>
    <t>Analista de Produccion</t>
  </si>
  <si>
    <t>ID1166</t>
  </si>
  <si>
    <t>IT Analyst (Reporting)</t>
  </si>
  <si>
    <t>ID1167</t>
  </si>
  <si>
    <t>ID1168</t>
  </si>
  <si>
    <t>ID1169</t>
  </si>
  <si>
    <t>ID1170</t>
  </si>
  <si>
    <t>ID1171</t>
  </si>
  <si>
    <t>Logistics Coordinator</t>
  </si>
  <si>
    <t>ID1172</t>
  </si>
  <si>
    <t>ID1173</t>
  </si>
  <si>
    <t>ID1175</t>
  </si>
  <si>
    <t>Service Analyst</t>
  </si>
  <si>
    <t>ID1176</t>
  </si>
  <si>
    <t>Head of Finance</t>
  </si>
  <si>
    <t>ID1177</t>
  </si>
  <si>
    <t>ID1178</t>
  </si>
  <si>
    <t>ID1179</t>
  </si>
  <si>
    <t>ID1180</t>
  </si>
  <si>
    <t>Business Intelligence Manager</t>
  </si>
  <si>
    <t>ID1181</t>
  </si>
  <si>
    <t>Network Administrator</t>
  </si>
  <si>
    <t>ID1182</t>
  </si>
  <si>
    <t>Performance Analyst</t>
  </si>
  <si>
    <t>ID1183</t>
  </si>
  <si>
    <t>Data Entry Clerk III</t>
  </si>
  <si>
    <t>ID1184</t>
  </si>
  <si>
    <t>officer accounts</t>
  </si>
  <si>
    <t>ID1185</t>
  </si>
  <si>
    <t>ID1186</t>
  </si>
  <si>
    <t>Cost Controlling Executive</t>
  </si>
  <si>
    <t>ID1187</t>
  </si>
  <si>
    <t>Argentina</t>
  </si>
  <si>
    <t>Administration Manager</t>
  </si>
  <si>
    <t>ID1188</t>
  </si>
  <si>
    <t>ID1189</t>
  </si>
  <si>
    <t>ID1190</t>
  </si>
  <si>
    <t>Excel Corporate Trainer</t>
  </si>
  <si>
    <t>ID1191</t>
  </si>
  <si>
    <t>Quality Management</t>
  </si>
  <si>
    <t>ID1192</t>
  </si>
  <si>
    <t>ID1193</t>
  </si>
  <si>
    <t>Supervisor MIS</t>
  </si>
  <si>
    <t>ID1194</t>
  </si>
  <si>
    <t>ID1195</t>
  </si>
  <si>
    <t>Business Analyst - Solutions</t>
  </si>
  <si>
    <t>ID1196</t>
  </si>
  <si>
    <t>Kenya</t>
  </si>
  <si>
    <t>ID1197</t>
  </si>
  <si>
    <t>Finance Project Manager</t>
  </si>
  <si>
    <t>ID1198</t>
  </si>
  <si>
    <t>Manager, Strategy &amp; Insights</t>
  </si>
  <si>
    <t>ID1199</t>
  </si>
  <si>
    <t>Financial/Data Analyst</t>
  </si>
  <si>
    <t>ID1200</t>
  </si>
  <si>
    <t>ID1201</t>
  </si>
  <si>
    <t>business consultant</t>
  </si>
  <si>
    <t>ID1202</t>
  </si>
  <si>
    <t>Documentation Consultant</t>
  </si>
  <si>
    <t>ID1203</t>
  </si>
  <si>
    <t>Sr. Consultant</t>
  </si>
  <si>
    <t>ID1204</t>
  </si>
  <si>
    <t>ID1205</t>
  </si>
  <si>
    <t>investment accountant</t>
  </si>
  <si>
    <t>ID1206</t>
  </si>
  <si>
    <t>ID1207</t>
  </si>
  <si>
    <t>Officer Production</t>
  </si>
  <si>
    <t>ID1208</t>
  </si>
  <si>
    <t>warehouse management</t>
  </si>
  <si>
    <t>ID1209</t>
  </si>
  <si>
    <t>Chief Accountant</t>
  </si>
  <si>
    <t>ID1210</t>
  </si>
  <si>
    <t>Manager F &amp; A</t>
  </si>
  <si>
    <t>ID1211</t>
  </si>
  <si>
    <t>Quality Assurance Engineer</t>
  </si>
  <si>
    <t>ID1212</t>
  </si>
  <si>
    <t>ID1213</t>
  </si>
  <si>
    <t>Manager Business Controlling</t>
  </si>
  <si>
    <t>ID1214</t>
  </si>
  <si>
    <t>ID1215</t>
  </si>
  <si>
    <t>sample manager</t>
  </si>
  <si>
    <t>ID1216</t>
  </si>
  <si>
    <t>Practice Manager</t>
  </si>
  <si>
    <t>ID1217</t>
  </si>
  <si>
    <t>ID1218</t>
  </si>
  <si>
    <t>marketing specialist</t>
  </si>
  <si>
    <t>ID1219</t>
  </si>
  <si>
    <t>ID1220</t>
  </si>
  <si>
    <t>Staff Accountant</t>
  </si>
  <si>
    <t>ID1221</t>
  </si>
  <si>
    <t>Latin America</t>
  </si>
  <si>
    <t>Manager Corporate Finance</t>
  </si>
  <si>
    <t>ID1222</t>
  </si>
  <si>
    <t>ID1223</t>
  </si>
  <si>
    <t>ASSISTANT MANAGER</t>
  </si>
  <si>
    <t>ID1224</t>
  </si>
  <si>
    <t>ID1225</t>
  </si>
  <si>
    <t>Lead Executive MIS</t>
  </si>
  <si>
    <t>ID1226</t>
  </si>
  <si>
    <t>Snr Business Analyst</t>
  </si>
  <si>
    <t>ID1227</t>
  </si>
  <si>
    <t>ID1228</t>
  </si>
  <si>
    <t>ID1229</t>
  </si>
  <si>
    <t>assurance manager</t>
  </si>
  <si>
    <t>ID1230</t>
  </si>
  <si>
    <t>ID1231</t>
  </si>
  <si>
    <t>SOX,SAP, Insurance Coordinator</t>
  </si>
  <si>
    <t>ID1232</t>
  </si>
  <si>
    <t>ID1233</t>
  </si>
  <si>
    <t>Financial Accountant</t>
  </si>
  <si>
    <t>ID1234</t>
  </si>
  <si>
    <t>Pmo</t>
  </si>
  <si>
    <t>ID1235</t>
  </si>
  <si>
    <t>ID1236</t>
  </si>
  <si>
    <t>Stafmember</t>
  </si>
  <si>
    <t>ID1237</t>
  </si>
  <si>
    <t>ID1238</t>
  </si>
  <si>
    <t>ID1239</t>
  </si>
  <si>
    <t>education advisor</t>
  </si>
  <si>
    <t>ID1240</t>
  </si>
  <si>
    <t>ID1241</t>
  </si>
  <si>
    <t>Senior Accounts Clerk</t>
  </si>
  <si>
    <t>ID1242</t>
  </si>
  <si>
    <t>ID1243</t>
  </si>
  <si>
    <t>Infection Prevention Surveillance Specialist</t>
  </si>
  <si>
    <t>ID1244</t>
  </si>
  <si>
    <t>ID1245</t>
  </si>
  <si>
    <t>Office Instructor</t>
  </si>
  <si>
    <t>ID1246</t>
  </si>
  <si>
    <t>Investment Accountant</t>
  </si>
  <si>
    <t>ID1247</t>
  </si>
  <si>
    <t>owner</t>
  </si>
  <si>
    <t>ID1248</t>
  </si>
  <si>
    <t xml:space="preserve">Senior Executive Compensation Analyst </t>
  </si>
  <si>
    <t>ID1249</t>
  </si>
  <si>
    <t>Markets Adviser</t>
  </si>
  <si>
    <t>ID1250</t>
  </si>
  <si>
    <t>ID1251</t>
  </si>
  <si>
    <t>ID1252</t>
  </si>
  <si>
    <t>ID1253</t>
  </si>
  <si>
    <t>Program &amp; Policy Analyst-Advanced</t>
  </si>
  <si>
    <t>ID1254</t>
  </si>
  <si>
    <t>ID1255</t>
  </si>
  <si>
    <t>systems accountant</t>
  </si>
  <si>
    <t>ID1256</t>
  </si>
  <si>
    <t>Sr. Systems Analyst</t>
  </si>
  <si>
    <t>ID1257</t>
  </si>
  <si>
    <t>Environmental Information Analyst</t>
  </si>
  <si>
    <t>ID1258</t>
  </si>
  <si>
    <t>Develope</t>
  </si>
  <si>
    <t>ID1259</t>
  </si>
  <si>
    <t>it manager</t>
  </si>
  <si>
    <t>ID1260</t>
  </si>
  <si>
    <t>Mongolia</t>
  </si>
  <si>
    <t>ID1261</t>
  </si>
  <si>
    <t>Process Engineering</t>
  </si>
  <si>
    <t>ID1262</t>
  </si>
  <si>
    <t>Consultant - Process Improvement</t>
  </si>
  <si>
    <t>ID1263</t>
  </si>
  <si>
    <t>ID1264</t>
  </si>
  <si>
    <t>ID1265</t>
  </si>
  <si>
    <t>Senior Materials Handler</t>
  </si>
  <si>
    <t>ID1266</t>
  </si>
  <si>
    <t>Certified Public Accountant</t>
  </si>
  <si>
    <t>ID1267</t>
  </si>
  <si>
    <t>Manager - Marketing Analytics</t>
  </si>
  <si>
    <t>ID1268</t>
  </si>
  <si>
    <t>Contractor/Consultant</t>
  </si>
  <si>
    <t>ID1270</t>
  </si>
  <si>
    <t>Operations Support Officer</t>
  </si>
  <si>
    <t>ID1271</t>
  </si>
  <si>
    <t>master scheduler</t>
  </si>
  <si>
    <t>ID1273</t>
  </si>
  <si>
    <t>Practice Manager - Business Operations</t>
  </si>
  <si>
    <t>ID1274</t>
  </si>
  <si>
    <t>ID1275</t>
  </si>
  <si>
    <t>ID1276</t>
  </si>
  <si>
    <t>Staff Assistant</t>
  </si>
  <si>
    <t>ID1277</t>
  </si>
  <si>
    <t>AVP Securitisation</t>
  </si>
  <si>
    <t>ID1278</t>
  </si>
  <si>
    <t>Asstt. Manager</t>
  </si>
  <si>
    <t>ID1279</t>
  </si>
  <si>
    <t>ID1280</t>
  </si>
  <si>
    <t>Assistant Data Analyst</t>
  </si>
  <si>
    <t>ID1281</t>
  </si>
  <si>
    <t>Team Leader WFM</t>
  </si>
  <si>
    <t>ID1282</t>
  </si>
  <si>
    <t>ID1283</t>
  </si>
  <si>
    <t>manager operation</t>
  </si>
  <si>
    <t>ID1284</t>
  </si>
  <si>
    <t>ID1285</t>
  </si>
  <si>
    <t>RENTAL INVENTORY CONTROLLER</t>
  </si>
  <si>
    <t>ID1286</t>
  </si>
  <si>
    <t>Publisher</t>
  </si>
  <si>
    <t>ID1287</t>
  </si>
  <si>
    <t>Resource Planning Analyst</t>
  </si>
  <si>
    <t>ID1288</t>
  </si>
  <si>
    <t>ID1289</t>
  </si>
  <si>
    <t>MIS OFFICER</t>
  </si>
  <si>
    <t>ID1290</t>
  </si>
  <si>
    <t>ID1291</t>
  </si>
  <si>
    <t>Myanmar</t>
  </si>
  <si>
    <t>Monitoring &amp; Evaluation officer</t>
  </si>
  <si>
    <t>ID1292</t>
  </si>
  <si>
    <t>Pricing Analyst</t>
  </si>
  <si>
    <t>ID1294</t>
  </si>
  <si>
    <t>ID1295</t>
  </si>
  <si>
    <t>ID1296</t>
  </si>
  <si>
    <t>ID1297</t>
  </si>
  <si>
    <t>excel prof</t>
  </si>
  <si>
    <t>ID1298</t>
  </si>
  <si>
    <t>Employee</t>
  </si>
  <si>
    <t>ID1299</t>
  </si>
  <si>
    <t>Senior Business Executive</t>
  </si>
  <si>
    <t>ID1301</t>
  </si>
  <si>
    <t>I dont know</t>
  </si>
  <si>
    <t>ID1302</t>
  </si>
  <si>
    <t>Financial Analysis</t>
  </si>
  <si>
    <t>ID1303</t>
  </si>
  <si>
    <t>ID1304</t>
  </si>
  <si>
    <t>ID1305</t>
  </si>
  <si>
    <t>Uganda</t>
  </si>
  <si>
    <t>ID1306</t>
  </si>
  <si>
    <t>Project Support Officer</t>
  </si>
  <si>
    <t>ID1307</t>
  </si>
  <si>
    <t>Document Control</t>
  </si>
  <si>
    <t>ID1308</t>
  </si>
  <si>
    <t>Asst Manager HR</t>
  </si>
  <si>
    <t>ID1309</t>
  </si>
  <si>
    <t>Senior software engineer</t>
  </si>
  <si>
    <t>ID1310</t>
  </si>
  <si>
    <t>ID1311</t>
  </si>
  <si>
    <t>MIS cum Purchase Executive</t>
  </si>
  <si>
    <t>ID1312</t>
  </si>
  <si>
    <t>Information analyst</t>
  </si>
  <si>
    <t>ID1313</t>
  </si>
  <si>
    <t>ID1314</t>
  </si>
  <si>
    <t>Sr. Executive -HR</t>
  </si>
  <si>
    <t>ID1315</t>
  </si>
  <si>
    <t>Salary Professsional</t>
  </si>
  <si>
    <t>ID1316</t>
  </si>
  <si>
    <t>ID1317</t>
  </si>
  <si>
    <t>FANANCE</t>
  </si>
  <si>
    <t>ID1318</t>
  </si>
  <si>
    <t>Manager - Corporate strategy and Planning</t>
  </si>
  <si>
    <t>ID1319</t>
  </si>
  <si>
    <t>ID1320</t>
  </si>
  <si>
    <t>NAF Support Manager</t>
  </si>
  <si>
    <t>ID1322</t>
  </si>
  <si>
    <t>Project manager of IT infrastructure</t>
  </si>
  <si>
    <t>ID1323</t>
  </si>
  <si>
    <t>ID1324</t>
  </si>
  <si>
    <t>relationship manager</t>
  </si>
  <si>
    <t>ID1325</t>
  </si>
  <si>
    <t>ID1326</t>
  </si>
  <si>
    <t>ID1327</t>
  </si>
  <si>
    <t>ID1328</t>
  </si>
  <si>
    <t>ID1329</t>
  </si>
  <si>
    <t>AM business Intelligence</t>
  </si>
  <si>
    <t>ID1330</t>
  </si>
  <si>
    <t>MIS Associate</t>
  </si>
  <si>
    <t>ID1331</t>
  </si>
  <si>
    <t>ID1332</t>
  </si>
  <si>
    <t>ID1333</t>
  </si>
  <si>
    <t>ID1334</t>
  </si>
  <si>
    <t>TL WFM</t>
  </si>
  <si>
    <t>ID1335</t>
  </si>
  <si>
    <t>ID1336</t>
  </si>
  <si>
    <t>Dir. Revenue Mgt</t>
  </si>
  <si>
    <t>ID1337</t>
  </si>
  <si>
    <t>Controlling Manager</t>
  </si>
  <si>
    <t>ID1338</t>
  </si>
  <si>
    <t>Financial Modelling Analyst</t>
  </si>
  <si>
    <t>ID1339</t>
  </si>
  <si>
    <t>support manager</t>
  </si>
  <si>
    <t>ID1340</t>
  </si>
  <si>
    <t>Web Analyst</t>
  </si>
  <si>
    <t>ID1341</t>
  </si>
  <si>
    <t>ID1342</t>
  </si>
  <si>
    <t>ID1343</t>
  </si>
  <si>
    <t>Ghana</t>
  </si>
  <si>
    <t>liquidity manager</t>
  </si>
  <si>
    <t>ID1344</t>
  </si>
  <si>
    <t>PO/PMO/Planner/PM</t>
  </si>
  <si>
    <t>ID1345</t>
  </si>
  <si>
    <t xml:space="preserve">Senior Associate </t>
  </si>
  <si>
    <t>ID1346</t>
  </si>
  <si>
    <t>ID1347</t>
  </si>
  <si>
    <t>MIS HR,HRIS</t>
  </si>
  <si>
    <t>ID1348</t>
  </si>
  <si>
    <t>ID1349</t>
  </si>
  <si>
    <t>ID1350</t>
  </si>
  <si>
    <t>Asst. Production Manager</t>
  </si>
  <si>
    <t>ID1351</t>
  </si>
  <si>
    <t>ID1352</t>
  </si>
  <si>
    <t>ID1353</t>
  </si>
  <si>
    <t>assistant</t>
  </si>
  <si>
    <t>ID1354</t>
  </si>
  <si>
    <t>Bus Analyst</t>
  </si>
  <si>
    <t>ID1355</t>
  </si>
  <si>
    <t>Vice President of Performance Management</t>
  </si>
  <si>
    <t>ID1356</t>
  </si>
  <si>
    <t>Principal advisor</t>
  </si>
  <si>
    <t>ID1357</t>
  </si>
  <si>
    <t>Director of Technology</t>
  </si>
  <si>
    <t>ID1358</t>
  </si>
  <si>
    <t>Austria</t>
  </si>
  <si>
    <t>ID1359</t>
  </si>
  <si>
    <t>ID1360</t>
  </si>
  <si>
    <t>Credit Executive</t>
  </si>
  <si>
    <t>ID1361</t>
  </si>
  <si>
    <t>Business Analytics Associate</t>
  </si>
  <si>
    <t>ID1362</t>
  </si>
  <si>
    <t>Engineering Tech</t>
  </si>
  <si>
    <t>ID1363</t>
  </si>
  <si>
    <t>Mechanical Design engineer</t>
  </si>
  <si>
    <t>ID1364</t>
  </si>
  <si>
    <t>ID1365</t>
  </si>
  <si>
    <t>Business Information Analyst</t>
  </si>
  <si>
    <t>ID1366</t>
  </si>
  <si>
    <t>ID1367</t>
  </si>
  <si>
    <t>Junior Controller</t>
  </si>
  <si>
    <t>ID1368</t>
  </si>
  <si>
    <t>System Analyst (Configuration Mgmt)</t>
  </si>
  <si>
    <t>ID1369</t>
  </si>
  <si>
    <t>Planning Supervisor</t>
  </si>
  <si>
    <t>ID1370</t>
  </si>
  <si>
    <t>ID1371</t>
  </si>
  <si>
    <t>Manager of Data Analytics</t>
  </si>
  <si>
    <t>ID1372</t>
  </si>
  <si>
    <t>ID1373</t>
  </si>
  <si>
    <t>Quality Control Supervisor</t>
  </si>
  <si>
    <t>ID1374</t>
  </si>
  <si>
    <t>ID1375</t>
  </si>
  <si>
    <t>ID1376</t>
  </si>
  <si>
    <t>ID1377</t>
  </si>
  <si>
    <t>clerk 24 hrs per week</t>
  </si>
  <si>
    <t>ID1378</t>
  </si>
  <si>
    <t>Engineering Intern</t>
  </si>
  <si>
    <t>ID1379</t>
  </si>
  <si>
    <t>ID1380</t>
  </si>
  <si>
    <t>ID1381</t>
  </si>
  <si>
    <t>ID1382</t>
  </si>
  <si>
    <t>Vice Head of Dpt in Education</t>
  </si>
  <si>
    <t>ID1383</t>
  </si>
  <si>
    <t>Senior Planning Analyst</t>
  </si>
  <si>
    <t>ID1384</t>
  </si>
  <si>
    <t>energy engineer</t>
  </si>
  <si>
    <t>ID1385</t>
  </si>
  <si>
    <t>ID1386</t>
  </si>
  <si>
    <t>Measurement &amp; Verification Engineer</t>
  </si>
  <si>
    <t>ID1387</t>
  </si>
  <si>
    <t>Sr. Manager of Finance</t>
  </si>
  <si>
    <t>ID1388</t>
  </si>
  <si>
    <t>ID1389</t>
  </si>
  <si>
    <t>I.T Manager</t>
  </si>
  <si>
    <t>ID1390</t>
  </si>
  <si>
    <t>ID1391</t>
  </si>
  <si>
    <t>Measurement Specialist</t>
  </si>
  <si>
    <t>ID1392</t>
  </si>
  <si>
    <t>Test engineer</t>
  </si>
  <si>
    <t>ID1393</t>
  </si>
  <si>
    <t>VP, Business Management</t>
  </si>
  <si>
    <t>ID1394</t>
  </si>
  <si>
    <t>MIS Controller</t>
  </si>
  <si>
    <t>ID1395</t>
  </si>
  <si>
    <t>Senior Underwriting Analyst</t>
  </si>
  <si>
    <t>ID1396</t>
  </si>
  <si>
    <t>ID1397</t>
  </si>
  <si>
    <t>Data Integrity &amp; Reporting Tool Analyst</t>
  </si>
  <si>
    <t>ID1398</t>
  </si>
  <si>
    <t>Manager FP and A</t>
  </si>
  <si>
    <t>ID1399</t>
  </si>
  <si>
    <t>Business Operation Specialist</t>
  </si>
  <si>
    <t>ID1400</t>
  </si>
  <si>
    <t>Stress Engineer</t>
  </si>
  <si>
    <t>ID1401</t>
  </si>
  <si>
    <t>ID1402</t>
  </si>
  <si>
    <t>eeo analyst</t>
  </si>
  <si>
    <t>ID1403</t>
  </si>
  <si>
    <t>Sr Process Consultant</t>
  </si>
  <si>
    <t>ID1404</t>
  </si>
  <si>
    <t>Credentialing Coordinator &amp; Productivity Reports "Guru"</t>
  </si>
  <si>
    <t>ID1405</t>
  </si>
  <si>
    <t>Transportation Planner</t>
  </si>
  <si>
    <t>ID1406</t>
  </si>
  <si>
    <t>ID1407</t>
  </si>
  <si>
    <t>ID1408</t>
  </si>
  <si>
    <t>Risk Analyst</t>
  </si>
  <si>
    <t>ID1409</t>
  </si>
  <si>
    <t>Project Coordinator</t>
  </si>
  <si>
    <t>ID1410</t>
  </si>
  <si>
    <t>ID1411</t>
  </si>
  <si>
    <t>Data Analytics Consultant</t>
  </si>
  <si>
    <t>ID1412</t>
  </si>
  <si>
    <t>ID1413</t>
  </si>
  <si>
    <t>Manager, Financial Planning &amp; Analysis</t>
  </si>
  <si>
    <t>ID1414</t>
  </si>
  <si>
    <t>Lead Budget/Financial Analyst</t>
  </si>
  <si>
    <t>ID1415</t>
  </si>
  <si>
    <t>Senior Electrical Engineer</t>
  </si>
  <si>
    <t>ID1416</t>
  </si>
  <si>
    <t>Accounting Supervisor</t>
  </si>
  <si>
    <t>ID1417</t>
  </si>
  <si>
    <t>ID1418</t>
  </si>
  <si>
    <t>Tax Manager</t>
  </si>
  <si>
    <t>ID1419</t>
  </si>
  <si>
    <t>ID1420</t>
  </si>
  <si>
    <t>Finance &amp; IT Manager</t>
  </si>
  <si>
    <t>ID1421</t>
  </si>
  <si>
    <t>Technical Support Specialist</t>
  </si>
  <si>
    <t>ID1422</t>
  </si>
  <si>
    <t>Clinical Data Specialist</t>
  </si>
  <si>
    <t>ID1423</t>
  </si>
  <si>
    <t>Associate - Indirect Tax</t>
  </si>
  <si>
    <t>ID1424</t>
  </si>
  <si>
    <t>ID1425</t>
  </si>
  <si>
    <t>Digital Analyst</t>
  </si>
  <si>
    <t>ID1426</t>
  </si>
  <si>
    <t>ID1427</t>
  </si>
  <si>
    <t>Senior Budget Analyst</t>
  </si>
  <si>
    <t>ID1428</t>
  </si>
  <si>
    <t>HR Cordinator</t>
  </si>
  <si>
    <t>ID1429</t>
  </si>
  <si>
    <t>Treasury Analyst</t>
  </si>
  <si>
    <t>ID1430</t>
  </si>
  <si>
    <t>Assistant Engineer</t>
  </si>
  <si>
    <t>ID1431</t>
  </si>
  <si>
    <t>ID1432</t>
  </si>
  <si>
    <t>sr. senior analyst</t>
  </si>
  <si>
    <t>ID1433</t>
  </si>
  <si>
    <t>ID1434</t>
  </si>
  <si>
    <t>Project Manager - Finance</t>
  </si>
  <si>
    <t>ID1435</t>
  </si>
  <si>
    <t>Senior analyst, ops support</t>
  </si>
  <si>
    <t>ID1436</t>
  </si>
  <si>
    <t>ISO TS Documentation</t>
  </si>
  <si>
    <t>ID1437</t>
  </si>
  <si>
    <t>ID1438</t>
  </si>
  <si>
    <t>inventory controller</t>
  </si>
  <si>
    <t>ID1439</t>
  </si>
  <si>
    <t>Accounting manager</t>
  </si>
  <si>
    <t>ID1440</t>
  </si>
  <si>
    <t>PA</t>
  </si>
  <si>
    <t>ID1442</t>
  </si>
  <si>
    <t>ID1443</t>
  </si>
  <si>
    <t>Manager, Data Management</t>
  </si>
  <si>
    <t>ID1444</t>
  </si>
  <si>
    <t>ID1445</t>
  </si>
  <si>
    <t>ID1446</t>
  </si>
  <si>
    <t>Liquidity Management Executive</t>
  </si>
  <si>
    <t>ID1447</t>
  </si>
  <si>
    <t>ID1448</t>
  </si>
  <si>
    <t>ID1449</t>
  </si>
  <si>
    <t xml:space="preserve">accounting systems manager </t>
  </si>
  <si>
    <t>ID1450</t>
  </si>
  <si>
    <t>ID1451</t>
  </si>
  <si>
    <t>ID1452</t>
  </si>
  <si>
    <t>ID1453</t>
  </si>
  <si>
    <t>Accounting Specialist</t>
  </si>
  <si>
    <t>ID1454</t>
  </si>
  <si>
    <t>Project Management</t>
  </si>
  <si>
    <t>ID1455</t>
  </si>
  <si>
    <t>ID1456</t>
  </si>
  <si>
    <t>ID1457</t>
  </si>
  <si>
    <t>project management</t>
  </si>
  <si>
    <t>ID1458</t>
  </si>
  <si>
    <t>ID1459</t>
  </si>
  <si>
    <t>Business Intelligence Supervisor</t>
  </si>
  <si>
    <t>ID1460</t>
  </si>
  <si>
    <t>ID1461</t>
  </si>
  <si>
    <t>stress engineer</t>
  </si>
  <si>
    <t>ID1462</t>
  </si>
  <si>
    <t>ID1463</t>
  </si>
  <si>
    <t>ID1464</t>
  </si>
  <si>
    <t>Manager Commercial</t>
  </si>
  <si>
    <t>ID1465</t>
  </si>
  <si>
    <t>ID1466</t>
  </si>
  <si>
    <t>ID1467</t>
  </si>
  <si>
    <t>Catalog Auditor</t>
  </si>
  <si>
    <t>ID1468</t>
  </si>
  <si>
    <t>ID1469</t>
  </si>
  <si>
    <t>ID1470</t>
  </si>
  <si>
    <t>Verification Agent</t>
  </si>
  <si>
    <t>ID1471</t>
  </si>
  <si>
    <t>M &amp; E Officer</t>
  </si>
  <si>
    <t>ID1472</t>
  </si>
  <si>
    <t>Assistant Financial Accountant</t>
  </si>
  <si>
    <t>ID1473</t>
  </si>
  <si>
    <t>Support</t>
  </si>
  <si>
    <t>ID1474</t>
  </si>
  <si>
    <t>Process Assocaite</t>
  </si>
  <si>
    <t>ID1475</t>
  </si>
  <si>
    <t>Financial Application Developer</t>
  </si>
  <si>
    <t>ID1476</t>
  </si>
  <si>
    <t>Planning &amp; Scheduling Manager</t>
  </si>
  <si>
    <t>ID1477</t>
  </si>
  <si>
    <t>Online Stats Controller</t>
  </si>
  <si>
    <t>ID1478</t>
  </si>
  <si>
    <t>DEO</t>
  </si>
  <si>
    <t>ID1479</t>
  </si>
  <si>
    <t>M I S Executive</t>
  </si>
  <si>
    <t>ID1480</t>
  </si>
  <si>
    <t>Service Solution Rep</t>
  </si>
  <si>
    <t>ID1481</t>
  </si>
  <si>
    <t xml:space="preserve">Regional Business Manager </t>
  </si>
  <si>
    <t>ID1482</t>
  </si>
  <si>
    <t>sales&amp;marketing</t>
  </si>
  <si>
    <t>ID1483</t>
  </si>
  <si>
    <t>sr analyst</t>
  </si>
  <si>
    <t>ID1484</t>
  </si>
  <si>
    <t>Mgr Technology</t>
  </si>
  <si>
    <t>ID1485</t>
  </si>
  <si>
    <t>ID1486</t>
  </si>
  <si>
    <t>Chemical Engineer</t>
  </si>
  <si>
    <t>ID1487</t>
  </si>
  <si>
    <t>ID1488</t>
  </si>
  <si>
    <t>ID1489</t>
  </si>
  <si>
    <t>Senior Planning Engineer</t>
  </si>
  <si>
    <t>ID1490</t>
  </si>
  <si>
    <t>ID1491</t>
  </si>
  <si>
    <t>ID1492</t>
  </si>
  <si>
    <t>ID1493</t>
  </si>
  <si>
    <t>ID1494</t>
  </si>
  <si>
    <t>control process auxiliary</t>
  </si>
  <si>
    <t>ID1495</t>
  </si>
  <si>
    <t>Business Intelligence Consultant</t>
  </si>
  <si>
    <t>ID1496</t>
  </si>
  <si>
    <t>ID1497</t>
  </si>
  <si>
    <t>Officer MIS</t>
  </si>
  <si>
    <t>ID1498</t>
  </si>
  <si>
    <t>operations Administrator</t>
  </si>
  <si>
    <t>ID1499</t>
  </si>
  <si>
    <t>ID1500</t>
  </si>
  <si>
    <t>Controller / VBA Developet</t>
  </si>
  <si>
    <t>ID1501</t>
  </si>
  <si>
    <t>ID1502</t>
  </si>
  <si>
    <t>Director of Business Analytics</t>
  </si>
  <si>
    <t>ID1503</t>
  </si>
  <si>
    <t>ID1504</t>
  </si>
  <si>
    <t>Supplier Manager</t>
  </si>
  <si>
    <t>ID1505</t>
  </si>
  <si>
    <t>Reports Writer</t>
  </si>
  <si>
    <t>ID1506</t>
  </si>
  <si>
    <t>Process Associate</t>
  </si>
  <si>
    <t>ID1507</t>
  </si>
  <si>
    <t>HR/ADMINISTRATION</t>
  </si>
  <si>
    <t>ID1508</t>
  </si>
  <si>
    <t>ID1509</t>
  </si>
  <si>
    <t>Operational Specialist</t>
  </si>
  <si>
    <t>ID1510</t>
  </si>
  <si>
    <t>Trainee</t>
  </si>
  <si>
    <t>ID1511</t>
  </si>
  <si>
    <t>Senior Business Research Analyst</t>
  </si>
  <si>
    <t>ID1512</t>
  </si>
  <si>
    <t>Senior Consultant - PMO</t>
  </si>
  <si>
    <t>ID1513</t>
  </si>
  <si>
    <t>ID1514</t>
  </si>
  <si>
    <t>ID1515</t>
  </si>
  <si>
    <t>Financial Analst</t>
  </si>
  <si>
    <t>ID1516</t>
  </si>
  <si>
    <t>ID1519</t>
  </si>
  <si>
    <t>ID1520</t>
  </si>
  <si>
    <t>ID1521</t>
  </si>
  <si>
    <t>Excel Business Analyst</t>
  </si>
  <si>
    <t>ID1522</t>
  </si>
  <si>
    <t>SVP</t>
  </si>
  <si>
    <t>ID1523</t>
  </si>
  <si>
    <t>ID1524</t>
  </si>
  <si>
    <t>Bolivia</t>
  </si>
  <si>
    <t>ID1525</t>
  </si>
  <si>
    <t>info analyst</t>
  </si>
  <si>
    <t>ID1526</t>
  </si>
  <si>
    <t>Data Manager</t>
  </si>
  <si>
    <t>ID1527</t>
  </si>
  <si>
    <t>ID1528</t>
  </si>
  <si>
    <t>ID1529</t>
  </si>
  <si>
    <t>ID1530</t>
  </si>
  <si>
    <t>ID1531</t>
  </si>
  <si>
    <t>ID1532</t>
  </si>
  <si>
    <t>ID1533</t>
  </si>
  <si>
    <t>Project management</t>
  </si>
  <si>
    <t>ID1534</t>
  </si>
  <si>
    <t>Business Banker</t>
  </si>
  <si>
    <t>ID1535</t>
  </si>
  <si>
    <t>MYS</t>
  </si>
  <si>
    <t>Associate Analyst</t>
  </si>
  <si>
    <t>ID1536</t>
  </si>
  <si>
    <t>Accounts Executive</t>
  </si>
  <si>
    <t>ID1537</t>
  </si>
  <si>
    <t>Demand Planner</t>
  </si>
  <si>
    <t>ID1539</t>
  </si>
  <si>
    <t>ID1540</t>
  </si>
  <si>
    <t>reporting analyst</t>
  </si>
  <si>
    <t>ID1541</t>
  </si>
  <si>
    <t>Construction Estimator</t>
  </si>
  <si>
    <t>ID1542</t>
  </si>
  <si>
    <t>Trade Marketing</t>
  </si>
  <si>
    <t>ID1543</t>
  </si>
  <si>
    <t>Merchandise Planning Manager</t>
  </si>
  <si>
    <t>ID1544</t>
  </si>
  <si>
    <t>pricing manager</t>
  </si>
  <si>
    <t>ID1545</t>
  </si>
  <si>
    <t>Marketing Services Manager</t>
  </si>
  <si>
    <t>ID1546</t>
  </si>
  <si>
    <t>Sr Analyst</t>
  </si>
  <si>
    <t>ID1547</t>
  </si>
  <si>
    <t>Asst Store Manager</t>
  </si>
  <si>
    <t>ID1548</t>
  </si>
  <si>
    <t>Junior Reporting Manager</t>
  </si>
  <si>
    <t>ID1549</t>
  </si>
  <si>
    <t>Libya</t>
  </si>
  <si>
    <t>Brand manager</t>
  </si>
  <si>
    <t>ID1550</t>
  </si>
  <si>
    <t>ID1551</t>
  </si>
  <si>
    <t>ID1552</t>
  </si>
  <si>
    <t>ID1553</t>
  </si>
  <si>
    <t>Risk Officer</t>
  </si>
  <si>
    <t>ID1554</t>
  </si>
  <si>
    <t>Sr. Risk Analyst</t>
  </si>
  <si>
    <t>ID1555</t>
  </si>
  <si>
    <t>Business Engineer</t>
  </si>
  <si>
    <t>ID1556</t>
  </si>
  <si>
    <t>ID1557</t>
  </si>
  <si>
    <t>Bulgaria</t>
  </si>
  <si>
    <t>FA /financial Analyst</t>
  </si>
  <si>
    <t>ID1558</t>
  </si>
  <si>
    <t>ID1559</t>
  </si>
  <si>
    <t>ID1560</t>
  </si>
  <si>
    <t>Operations Manager</t>
  </si>
  <si>
    <t>ID1561</t>
  </si>
  <si>
    <t>Management Reporting Analyst</t>
  </si>
  <si>
    <t>ID1562</t>
  </si>
  <si>
    <t>Reporting Team Lead</t>
  </si>
  <si>
    <t>ID1563</t>
  </si>
  <si>
    <t>Specialist Learning Technology</t>
  </si>
  <si>
    <t>ID1564</t>
  </si>
  <si>
    <t>Operationsl Regional Manager</t>
  </si>
  <si>
    <t>ID1565</t>
  </si>
  <si>
    <t>Manager - Business Development</t>
  </si>
  <si>
    <t>ID1566</t>
  </si>
  <si>
    <t>QA Data Analyst</t>
  </si>
  <si>
    <t>ID1567</t>
  </si>
  <si>
    <t>SME</t>
  </si>
  <si>
    <t>ID1569</t>
  </si>
  <si>
    <t>Work Force Scheduler for Call Center</t>
  </si>
  <si>
    <t>ID1570</t>
  </si>
  <si>
    <t>ID1571</t>
  </si>
  <si>
    <t>ID1572</t>
  </si>
  <si>
    <t>ID1573</t>
  </si>
  <si>
    <t>Peru</t>
  </si>
  <si>
    <t>Asistente</t>
  </si>
  <si>
    <t>ID1574</t>
  </si>
  <si>
    <t>Sr Business analyst</t>
  </si>
  <si>
    <t>ID1575</t>
  </si>
  <si>
    <t>ID1576</t>
  </si>
  <si>
    <t>ID1577</t>
  </si>
  <si>
    <t>finance director</t>
  </si>
  <si>
    <t>ID1578</t>
  </si>
  <si>
    <t>IT Coordinator</t>
  </si>
  <si>
    <t>ID1579</t>
  </si>
  <si>
    <t>ID1580</t>
  </si>
  <si>
    <t>Morocco</t>
  </si>
  <si>
    <t>Supply chain Controller</t>
  </si>
  <si>
    <t>ID1581</t>
  </si>
  <si>
    <t>ID1582</t>
  </si>
  <si>
    <t>Business Operations Analyst</t>
  </si>
  <si>
    <t>ID1583</t>
  </si>
  <si>
    <t>Sr Report Developer</t>
  </si>
  <si>
    <t>ID1584</t>
  </si>
  <si>
    <t>ID1585</t>
  </si>
  <si>
    <t>ID1586</t>
  </si>
  <si>
    <t>Administrator</t>
  </si>
  <si>
    <t>ID1587</t>
  </si>
  <si>
    <t>ID1588</t>
  </si>
  <si>
    <t xml:space="preserve">team leader </t>
  </si>
  <si>
    <t>ID1589</t>
  </si>
  <si>
    <t>Quality Assurance Analyst</t>
  </si>
  <si>
    <t>ID1590</t>
  </si>
  <si>
    <t>Analytics engineer</t>
  </si>
  <si>
    <t>ID1591</t>
  </si>
  <si>
    <t>Assistant Manger Service Quality Assurance</t>
  </si>
  <si>
    <t>ID1592</t>
  </si>
  <si>
    <t>AVP</t>
  </si>
  <si>
    <t>ID1593</t>
  </si>
  <si>
    <t>ID1594</t>
  </si>
  <si>
    <t>ID1595</t>
  </si>
  <si>
    <t>ID1596</t>
  </si>
  <si>
    <t>Lesotho</t>
  </si>
  <si>
    <t>ID1597</t>
  </si>
  <si>
    <t>ID1598</t>
  </si>
  <si>
    <t>Coordenador PeÃ§as Grupo</t>
  </si>
  <si>
    <t>ID1600</t>
  </si>
  <si>
    <t>Owner of Business Improvement Consultancy</t>
  </si>
  <si>
    <t>ID1601</t>
  </si>
  <si>
    <t>ID1602</t>
  </si>
  <si>
    <t>ID1603</t>
  </si>
  <si>
    <t>ID1604</t>
  </si>
  <si>
    <t>dgm</t>
  </si>
  <si>
    <t>ID1605</t>
  </si>
  <si>
    <t>Catalog Circulation Analyst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</si>
  <si>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</si>
  <si>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</si>
  <si>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</si>
  <si>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</si>
  <si>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</si>
  <si>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</si>
  <si>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</si>
  <si>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</si>
  <si>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SAS Adminstrator</t>
  </si>
  <si>
    <t>ID1614</t>
  </si>
  <si>
    <t>ID1615</t>
  </si>
  <si>
    <t>ID1616</t>
  </si>
  <si>
    <t>ID1617</t>
  </si>
  <si>
    <t>ID1618</t>
  </si>
  <si>
    <t>production clerk</t>
  </si>
  <si>
    <t>ID1619</t>
  </si>
  <si>
    <t>ID1620</t>
  </si>
  <si>
    <t>ID1621</t>
  </si>
  <si>
    <t>Dss Analyst</t>
  </si>
  <si>
    <t>ID1623</t>
  </si>
  <si>
    <t xml:space="preserve">Business Analysis &amp; MIS </t>
  </si>
  <si>
    <t>ID1624</t>
  </si>
  <si>
    <t>Associate Vice President</t>
  </si>
  <si>
    <t>ID1625</t>
  </si>
  <si>
    <t>M.I.S</t>
  </si>
  <si>
    <t>ID1626</t>
  </si>
  <si>
    <t>ID1627</t>
  </si>
  <si>
    <t>application dev</t>
  </si>
  <si>
    <t>ID1628</t>
  </si>
  <si>
    <t>Technical Web Analyst</t>
  </si>
  <si>
    <t>ID1629</t>
  </si>
  <si>
    <t>ID1630</t>
  </si>
  <si>
    <t>ID1631</t>
  </si>
  <si>
    <t>Head of Business</t>
  </si>
  <si>
    <t>ID1632</t>
  </si>
  <si>
    <t>ID1633</t>
  </si>
  <si>
    <t>Mauritius</t>
  </si>
  <si>
    <t>IT Support Engineer</t>
  </si>
  <si>
    <t>ID1634</t>
  </si>
  <si>
    <t>ID1635</t>
  </si>
  <si>
    <t>Azerbaijan</t>
  </si>
  <si>
    <t>Environmental Adviser</t>
  </si>
  <si>
    <t>ID1636</t>
  </si>
  <si>
    <t>Senior Officer</t>
  </si>
  <si>
    <t>ID1637</t>
  </si>
  <si>
    <t>IT Developer</t>
  </si>
  <si>
    <t>ID1638</t>
  </si>
  <si>
    <t>ID1639</t>
  </si>
  <si>
    <t>business support analyst</t>
  </si>
  <si>
    <t>ID1640</t>
  </si>
  <si>
    <t>ID1641</t>
  </si>
  <si>
    <t>Category Manager</t>
  </si>
  <si>
    <t>ID1642</t>
  </si>
  <si>
    <t>assistant director of finance</t>
  </si>
  <si>
    <t>ID1643</t>
  </si>
  <si>
    <t>ID1644</t>
  </si>
  <si>
    <t>ID1645</t>
  </si>
  <si>
    <t>Clinical Intake Specialist</t>
  </si>
  <si>
    <t>ID1646</t>
  </si>
  <si>
    <t>Marketing services</t>
  </si>
  <si>
    <t>ID1647</t>
  </si>
  <si>
    <t>Senior Associate, Finance</t>
  </si>
  <si>
    <t>ID1648</t>
  </si>
  <si>
    <t xml:space="preserve">MIS </t>
  </si>
  <si>
    <t>ID1649</t>
  </si>
  <si>
    <t>No</t>
  </si>
  <si>
    <t>ID1650</t>
  </si>
  <si>
    <t>ID1651</t>
  </si>
  <si>
    <t>ID1652</t>
  </si>
  <si>
    <t>service executive</t>
  </si>
  <si>
    <t>ID1653</t>
  </si>
  <si>
    <t>ID1654</t>
  </si>
  <si>
    <t>Sr financial analyst</t>
  </si>
  <si>
    <t>ID1655</t>
  </si>
  <si>
    <t>Consulting Practice Manager</t>
  </si>
  <si>
    <t>ID1656</t>
  </si>
  <si>
    <t>SVP of Acquisitions</t>
  </si>
  <si>
    <t>ID1657</t>
  </si>
  <si>
    <t>ID1658</t>
  </si>
  <si>
    <t>Store Inventory</t>
  </si>
  <si>
    <t>ID1659</t>
  </si>
  <si>
    <t>ID1660</t>
  </si>
  <si>
    <t>Exicutive TQM</t>
  </si>
  <si>
    <t>ID1661</t>
  </si>
  <si>
    <t>ID1662</t>
  </si>
  <si>
    <t>ID1663</t>
  </si>
  <si>
    <t>ID1664</t>
  </si>
  <si>
    <t>Supply/Demand Planner</t>
  </si>
  <si>
    <t>ID1665</t>
  </si>
  <si>
    <t>ID1666</t>
  </si>
  <si>
    <t>ID1667</t>
  </si>
  <si>
    <t>Slovakia</t>
  </si>
  <si>
    <t>logistics analyst</t>
  </si>
  <si>
    <t>ID1668</t>
  </si>
  <si>
    <t>BI director</t>
  </si>
  <si>
    <t>ID1669</t>
  </si>
  <si>
    <t>Sr Manager</t>
  </si>
  <si>
    <t>ID1670</t>
  </si>
  <si>
    <t>Tunisia</t>
  </si>
  <si>
    <t>Dataminer</t>
  </si>
  <si>
    <t>ID1671</t>
  </si>
  <si>
    <t>Safety technician</t>
  </si>
  <si>
    <t>ID1672</t>
  </si>
  <si>
    <t>Marketing Data Analyst</t>
  </si>
  <si>
    <t>ID1673</t>
  </si>
  <si>
    <t>Category Leader</t>
  </si>
  <si>
    <t>ID1674</t>
  </si>
  <si>
    <t>Customer Sales Analyst</t>
  </si>
  <si>
    <t>ID1675</t>
  </si>
  <si>
    <t>ID1677</t>
  </si>
  <si>
    <t>Maintenance Manager</t>
  </si>
  <si>
    <t>ID1678</t>
  </si>
  <si>
    <t>ID1679</t>
  </si>
  <si>
    <t>Data Resource Specialist</t>
  </si>
  <si>
    <t>ID1680</t>
  </si>
  <si>
    <t>Waiter</t>
  </si>
  <si>
    <t>ID1681</t>
  </si>
  <si>
    <t>Business Systems Analyst I</t>
  </si>
  <si>
    <t>ID1682</t>
  </si>
  <si>
    <t>Technical Specialist</t>
  </si>
  <si>
    <t>ID1683</t>
  </si>
  <si>
    <t>ID1684</t>
  </si>
  <si>
    <t>Enterprise Portfolio Manager</t>
  </si>
  <si>
    <t>ID1685</t>
  </si>
  <si>
    <t>ID1686</t>
  </si>
  <si>
    <t>Sr Executive - MIS</t>
  </si>
  <si>
    <t>ID1687</t>
  </si>
  <si>
    <t>ID1688</t>
  </si>
  <si>
    <t>ID1689</t>
  </si>
  <si>
    <t>ID1690</t>
  </si>
  <si>
    <t>ID1691</t>
  </si>
  <si>
    <t>ID1692</t>
  </si>
  <si>
    <t>Senior QA Tester</t>
  </si>
  <si>
    <t>ID1693</t>
  </si>
  <si>
    <t>Economic analyst</t>
  </si>
  <si>
    <t>ID1694</t>
  </si>
  <si>
    <t>ID1695</t>
  </si>
  <si>
    <t>ID1696</t>
  </si>
  <si>
    <t>ID1697</t>
  </si>
  <si>
    <t>Directer of Sales Support</t>
  </si>
  <si>
    <t>ID1698</t>
  </si>
  <si>
    <t>Anallyst</t>
  </si>
  <si>
    <t>ID1699</t>
  </si>
  <si>
    <t>ID1700</t>
  </si>
  <si>
    <t>ID1701</t>
  </si>
  <si>
    <t>Bussiness Analyst</t>
  </si>
  <si>
    <t>ID1702</t>
  </si>
  <si>
    <t>ID1703</t>
  </si>
  <si>
    <t>functional analyst</t>
  </si>
  <si>
    <t>ID1704</t>
  </si>
  <si>
    <t>ID1705</t>
  </si>
  <si>
    <t>ID1706</t>
  </si>
  <si>
    <t>Actuarial Analyst</t>
  </si>
  <si>
    <t>ID1707</t>
  </si>
  <si>
    <t>process coordinator</t>
  </si>
  <si>
    <t>ID1708</t>
  </si>
  <si>
    <t>ID1710</t>
  </si>
  <si>
    <t>Contact Operations Analyst</t>
  </si>
  <si>
    <t>ID1711</t>
  </si>
  <si>
    <t>Student assistant</t>
  </si>
  <si>
    <t>ID1712</t>
  </si>
  <si>
    <t>ID1713</t>
  </si>
  <si>
    <t>PPC Search Specialist</t>
  </si>
  <si>
    <t>ID1714</t>
  </si>
  <si>
    <t>data organizer</t>
  </si>
  <si>
    <t>ID1716</t>
  </si>
  <si>
    <t>ID1717</t>
  </si>
  <si>
    <t>admin</t>
  </si>
  <si>
    <t>ID1718</t>
  </si>
  <si>
    <t>gov employee</t>
  </si>
  <si>
    <t>ID1719</t>
  </si>
  <si>
    <t>Accounts manager</t>
  </si>
  <si>
    <t>ID1720</t>
  </si>
  <si>
    <t>ID1721</t>
  </si>
  <si>
    <t>ID1722</t>
  </si>
  <si>
    <t>Manager (MIS)</t>
  </si>
  <si>
    <t>ID1723</t>
  </si>
  <si>
    <t>financial analyst (real estate)</t>
  </si>
  <si>
    <t>ID1724</t>
  </si>
  <si>
    <t>ID1725</t>
  </si>
  <si>
    <t>contracts officer</t>
  </si>
  <si>
    <t>ID1726</t>
  </si>
  <si>
    <t>exe</t>
  </si>
  <si>
    <t>ID1727</t>
  </si>
  <si>
    <t>ID1729</t>
  </si>
  <si>
    <t>Network Designer</t>
  </si>
  <si>
    <t>ID1730</t>
  </si>
  <si>
    <t>Senior Production Accountant</t>
  </si>
  <si>
    <t>ID1731</t>
  </si>
  <si>
    <t>ID1732</t>
  </si>
  <si>
    <t>Armenia</t>
  </si>
  <si>
    <t>Reporting Coordinator</t>
  </si>
  <si>
    <t>ID1733</t>
  </si>
  <si>
    <t>ID1734</t>
  </si>
  <si>
    <t>PMO Analyst</t>
  </si>
  <si>
    <t>ID1735</t>
  </si>
  <si>
    <t>AGM - Operations &amp; Customer Support</t>
  </si>
  <si>
    <t>ID1736</t>
  </si>
  <si>
    <t>Baan ERP Functional Consultant</t>
  </si>
  <si>
    <t>ID1737</t>
  </si>
  <si>
    <t>ID1738</t>
  </si>
  <si>
    <t>ID1739</t>
  </si>
  <si>
    <t>ID1740</t>
  </si>
  <si>
    <t>Sourcing Analyst</t>
  </si>
  <si>
    <t>ID1741</t>
  </si>
  <si>
    <t>ID1742</t>
  </si>
  <si>
    <t>Tax Associate</t>
  </si>
  <si>
    <t>ID1743</t>
  </si>
  <si>
    <t>ID1744</t>
  </si>
  <si>
    <t>Senior Fiancial Analyst</t>
  </si>
  <si>
    <t>ID1745</t>
  </si>
  <si>
    <t>Senior Data Associate</t>
  </si>
  <si>
    <t>ID1746</t>
  </si>
  <si>
    <t>Business Analyst II</t>
  </si>
  <si>
    <t>ID1747</t>
  </si>
  <si>
    <t>ID1748</t>
  </si>
  <si>
    <t>Sales / Finance Manager</t>
  </si>
  <si>
    <t>ID1749</t>
  </si>
  <si>
    <t>ID1750</t>
  </si>
  <si>
    <t>ID1751</t>
  </si>
  <si>
    <t>ID1752</t>
  </si>
  <si>
    <t>Associate Manager, Drug Safety Operations</t>
  </si>
  <si>
    <t>ID1753</t>
  </si>
  <si>
    <t>ID1754</t>
  </si>
  <si>
    <t xml:space="preserve">Project Lead </t>
  </si>
  <si>
    <t>ID1755</t>
  </si>
  <si>
    <t>ID1756</t>
  </si>
  <si>
    <t>ID1757</t>
  </si>
  <si>
    <t>ID1758</t>
  </si>
  <si>
    <t>ID1759</t>
  </si>
  <si>
    <t xml:space="preserve">Financial Analyst </t>
  </si>
  <si>
    <t>ID1760</t>
  </si>
  <si>
    <t>ID1761</t>
  </si>
  <si>
    <t>bUSINESS aNALYST</t>
  </si>
  <si>
    <t>ID1762</t>
  </si>
  <si>
    <t>ID1763</t>
  </si>
  <si>
    <t>Customer Service</t>
  </si>
  <si>
    <t>ID1764</t>
  </si>
  <si>
    <t>Projektleiter</t>
  </si>
  <si>
    <t>ID1765</t>
  </si>
  <si>
    <t>Pricing Manager</t>
  </si>
  <si>
    <t>ID1766</t>
  </si>
  <si>
    <t>ID1767</t>
  </si>
  <si>
    <t>ID1768</t>
  </si>
  <si>
    <t>Compliance Officer</t>
  </si>
  <si>
    <t>ID1769</t>
  </si>
  <si>
    <t>ID1770</t>
  </si>
  <si>
    <t>Data Management Solutions Supervisor</t>
  </si>
  <si>
    <t>ID1771</t>
  </si>
  <si>
    <t>Officer</t>
  </si>
  <si>
    <t>ID1772</t>
  </si>
  <si>
    <t>ID1773</t>
  </si>
  <si>
    <t>magic</t>
  </si>
  <si>
    <t>ID1774</t>
  </si>
  <si>
    <t>account</t>
  </si>
  <si>
    <t>ID1775</t>
  </si>
  <si>
    <t>purchasing manager</t>
  </si>
  <si>
    <t>ID1776</t>
  </si>
  <si>
    <t>ID1777</t>
  </si>
  <si>
    <t>equity research trainee</t>
  </si>
  <si>
    <t>ID1778</t>
  </si>
  <si>
    <t>ID1779</t>
  </si>
  <si>
    <t>ID1780</t>
  </si>
  <si>
    <t xml:space="preserve">project engineer </t>
  </si>
  <si>
    <t>ID1781</t>
  </si>
  <si>
    <t>Teacher</t>
  </si>
  <si>
    <t>ID1782</t>
  </si>
  <si>
    <t>regional sales manager</t>
  </si>
  <si>
    <t>ID1783</t>
  </si>
  <si>
    <t>Analysis &amp; insight consultant</t>
  </si>
  <si>
    <t>ID1784</t>
  </si>
  <si>
    <t>Data Team Leader</t>
  </si>
  <si>
    <t>ID1785</t>
  </si>
  <si>
    <t>ID1786</t>
  </si>
  <si>
    <t>assistant account manager</t>
  </si>
  <si>
    <t>ID1787</t>
  </si>
  <si>
    <t>ID1788</t>
  </si>
  <si>
    <t>Scientist III</t>
  </si>
  <si>
    <t>ID1789</t>
  </si>
  <si>
    <t>Compliance Manager</t>
  </si>
  <si>
    <t>ID1790</t>
  </si>
  <si>
    <t>Development Analyst</t>
  </si>
  <si>
    <t>ID1791</t>
  </si>
  <si>
    <t>computer operator</t>
  </si>
  <si>
    <t>ID1792</t>
  </si>
  <si>
    <t>ID1793</t>
  </si>
  <si>
    <t>ID1794</t>
  </si>
  <si>
    <t>ID1795</t>
  </si>
  <si>
    <t>ID1796</t>
  </si>
  <si>
    <t>ECommerce Manager</t>
  </si>
  <si>
    <t>ID1797</t>
  </si>
  <si>
    <t>ID1798</t>
  </si>
  <si>
    <t>ID1799</t>
  </si>
  <si>
    <t>ID1800</t>
  </si>
  <si>
    <t>Machine Scheduler</t>
  </si>
  <si>
    <t>ID1801</t>
  </si>
  <si>
    <t>ID1802</t>
  </si>
  <si>
    <t>Sr Financial Systems Analyst</t>
  </si>
  <si>
    <t>ID1803</t>
  </si>
  <si>
    <t>ID1804</t>
  </si>
  <si>
    <t>ID1805</t>
  </si>
  <si>
    <t>SFA</t>
  </si>
  <si>
    <t>ID1806</t>
  </si>
  <si>
    <t>ID1807</t>
  </si>
  <si>
    <t>Ð˜Ð¨ Ð¤Ñ‚Ñ„Ð´Ð½Ñ‹Ðµ</t>
  </si>
  <si>
    <t>ID1808</t>
  </si>
  <si>
    <t>ba</t>
  </si>
  <si>
    <t>ID1809</t>
  </si>
  <si>
    <t>Lead Financial Analyst</t>
  </si>
  <si>
    <t>ID1810</t>
  </si>
  <si>
    <t>Senior Associate Engineer</t>
  </si>
  <si>
    <t>ID1811</t>
  </si>
  <si>
    <t>Associate Manager</t>
  </si>
  <si>
    <t>ID1812</t>
  </si>
  <si>
    <t>ID1813</t>
  </si>
  <si>
    <t>ID1814</t>
  </si>
  <si>
    <t>ID1815</t>
  </si>
  <si>
    <t>Manager MIS &amp; Analytics</t>
  </si>
  <si>
    <t>ID1816</t>
  </si>
  <si>
    <t>ID1818</t>
  </si>
  <si>
    <t>Sales Cordinator</t>
  </si>
  <si>
    <t>ID1819</t>
  </si>
  <si>
    <t>Sr Executive</t>
  </si>
  <si>
    <t>ID1820</t>
  </si>
  <si>
    <t>ID1821</t>
  </si>
  <si>
    <t>Manager, Operations</t>
  </si>
  <si>
    <t>ID1822</t>
  </si>
  <si>
    <t>IT Trainer</t>
  </si>
  <si>
    <t>ID1823</t>
  </si>
  <si>
    <t>administrator</t>
  </si>
  <si>
    <t>ID1824</t>
  </si>
  <si>
    <t>ID1825</t>
  </si>
  <si>
    <t>Assistant Corporate Controller</t>
  </si>
  <si>
    <t>ID1826</t>
  </si>
  <si>
    <t>Data Integration Engenieer</t>
  </si>
  <si>
    <t>ID1827</t>
  </si>
  <si>
    <t>purchasing operations administrator</t>
  </si>
  <si>
    <t>ID1828</t>
  </si>
  <si>
    <t>Planning and Logistics Coordinator</t>
  </si>
  <si>
    <t>ID1829</t>
  </si>
  <si>
    <t>bank clerk</t>
  </si>
  <si>
    <t>ID1830</t>
  </si>
  <si>
    <t>Financial Modeler</t>
  </si>
  <si>
    <t>ID1831</t>
  </si>
  <si>
    <t>Hong Kong</t>
  </si>
  <si>
    <t>Personal Assistant</t>
  </si>
  <si>
    <t>ID1832</t>
  </si>
  <si>
    <t>ID1833</t>
  </si>
  <si>
    <t>Mnanager- Customer Project finance &amp; recovery</t>
  </si>
  <si>
    <t>ID1834</t>
  </si>
  <si>
    <t xml:space="preserve">Lead </t>
  </si>
  <si>
    <t>ID1835</t>
  </si>
  <si>
    <t>Senior officer data reporting</t>
  </si>
  <si>
    <t>ID1836</t>
  </si>
  <si>
    <t>AM</t>
  </si>
  <si>
    <t>ID1837</t>
  </si>
  <si>
    <t>ID1838</t>
  </si>
  <si>
    <t>ID1839</t>
  </si>
  <si>
    <t>ID1840</t>
  </si>
  <si>
    <t>ID1841</t>
  </si>
  <si>
    <t>Rates Analyst</t>
  </si>
  <si>
    <t>ID1842</t>
  </si>
  <si>
    <t>Project Controller</t>
  </si>
  <si>
    <t>ID1843</t>
  </si>
  <si>
    <t>ID1844</t>
  </si>
  <si>
    <t>ID1845</t>
  </si>
  <si>
    <t>accoutant</t>
  </si>
  <si>
    <t>ID1846</t>
  </si>
  <si>
    <t>Programme Officer</t>
  </si>
  <si>
    <t>ID1847</t>
  </si>
  <si>
    <t>Digital Media Analyst</t>
  </si>
  <si>
    <t>ID1848</t>
  </si>
  <si>
    <t>ID1849</t>
  </si>
  <si>
    <t>ID1850</t>
  </si>
  <si>
    <t>ID1851</t>
  </si>
  <si>
    <t>Research Support Specialist</t>
  </si>
  <si>
    <t>ID1852</t>
  </si>
  <si>
    <t>Chief Financial Officer</t>
  </si>
  <si>
    <t>ID1853</t>
  </si>
  <si>
    <t>ID1854</t>
  </si>
  <si>
    <t>Senior Manufacturing Engineer</t>
  </si>
  <si>
    <t>ID1855</t>
  </si>
  <si>
    <t>Customer Experence Engineer</t>
  </si>
  <si>
    <t>ID1857</t>
  </si>
  <si>
    <t>ID1858</t>
  </si>
  <si>
    <t>ID1859</t>
  </si>
  <si>
    <t>Baltic</t>
  </si>
  <si>
    <t>ID1860</t>
  </si>
  <si>
    <t>ID1861</t>
  </si>
  <si>
    <t>Manager - Controlling</t>
  </si>
  <si>
    <t>ID1862</t>
  </si>
  <si>
    <t>Sr. System Analyst</t>
  </si>
  <si>
    <t>ID1863</t>
  </si>
  <si>
    <t>ID1864</t>
  </si>
  <si>
    <t>Sr.Manager</t>
  </si>
  <si>
    <t>ID1865</t>
  </si>
  <si>
    <t>ID1866</t>
  </si>
  <si>
    <t>ID1867</t>
  </si>
  <si>
    <t>ID1868</t>
  </si>
  <si>
    <t>INFORMATION ANALIST</t>
  </si>
  <si>
    <t>ID1869</t>
  </si>
  <si>
    <t>HR Supervisor</t>
  </si>
  <si>
    <t>ID1870</t>
  </si>
  <si>
    <t>Marketing Initatities Analyst</t>
  </si>
  <si>
    <t>ID1871</t>
  </si>
  <si>
    <t>Sales Compensation Analyst</t>
  </si>
  <si>
    <t>ID1872</t>
  </si>
  <si>
    <t>materials</t>
  </si>
  <si>
    <t>ID1873</t>
  </si>
  <si>
    <t>Actuarial Specialist</t>
  </si>
  <si>
    <t>ID1874</t>
  </si>
  <si>
    <t>Marketing Database Analyst</t>
  </si>
  <si>
    <t>ID1875</t>
  </si>
  <si>
    <t>ID1876</t>
  </si>
  <si>
    <t>ID1877</t>
  </si>
  <si>
    <t>Manager- Customer Support</t>
  </si>
  <si>
    <t>ID1878</t>
  </si>
  <si>
    <t>ID1879</t>
  </si>
  <si>
    <t>ID1880</t>
  </si>
  <si>
    <t>3r23regedf</t>
  </si>
  <si>
    <t>ID1881</t>
  </si>
  <si>
    <t>Revenue Focus Manager</t>
  </si>
  <si>
    <t>ID1882</t>
  </si>
  <si>
    <t>ID1883</t>
  </si>
  <si>
    <t>technical analyst</t>
  </si>
  <si>
    <t>ID1884</t>
  </si>
  <si>
    <t>Senior Manager MIS</t>
  </si>
  <si>
    <t>ID1885</t>
  </si>
  <si>
    <t>ID1886</t>
  </si>
  <si>
    <t>ID1887</t>
  </si>
  <si>
    <t>ID1888</t>
  </si>
  <si>
    <t>Financial Modelling adviser</t>
  </si>
  <si>
    <t>ID1889</t>
  </si>
  <si>
    <t>pm</t>
  </si>
  <si>
    <t>ID1890</t>
  </si>
  <si>
    <t>ID1891</t>
  </si>
  <si>
    <t>AML Analyst</t>
  </si>
  <si>
    <t>ID1892</t>
  </si>
  <si>
    <t xml:space="preserve">analyst </t>
  </si>
  <si>
    <t>ID1893</t>
  </si>
  <si>
    <t>ID1894</t>
  </si>
  <si>
    <t>manager purchase</t>
  </si>
  <si>
    <t>ID1895</t>
  </si>
  <si>
    <t>Process Analyst</t>
  </si>
  <si>
    <t>ID1896</t>
  </si>
  <si>
    <t>ID1897</t>
  </si>
  <si>
    <t>buyer</t>
  </si>
  <si>
    <t>ID1898</t>
  </si>
  <si>
    <t>ID1899</t>
  </si>
  <si>
    <t>ID1900</t>
  </si>
  <si>
    <t>Inventory Analyst</t>
  </si>
  <si>
    <t>ID1901</t>
  </si>
  <si>
    <t>ID1902</t>
  </si>
  <si>
    <t>operator</t>
  </si>
  <si>
    <t>ID1903</t>
  </si>
  <si>
    <t>ID1904</t>
  </si>
  <si>
    <t>Ethiopia</t>
  </si>
  <si>
    <t>Project Costing &amp;Dashboard reporting</t>
  </si>
  <si>
    <t>ID1905</t>
  </si>
  <si>
    <t>ID1906</t>
  </si>
  <si>
    <t>ID1907</t>
  </si>
  <si>
    <t>ID1908</t>
  </si>
  <si>
    <t>ID1909</t>
  </si>
  <si>
    <t>ID1910</t>
  </si>
  <si>
    <t>ID1911</t>
  </si>
  <si>
    <t>Marketing Analyst Co-op</t>
  </si>
  <si>
    <t>ID1912</t>
  </si>
  <si>
    <t>abc</t>
  </si>
  <si>
    <t>ID1914</t>
  </si>
  <si>
    <t>MIS specialist</t>
  </si>
  <si>
    <t>ID1915</t>
  </si>
  <si>
    <t>ID1916</t>
  </si>
  <si>
    <t>research associate</t>
  </si>
  <si>
    <t>ID1917</t>
  </si>
  <si>
    <t>ID1918</t>
  </si>
  <si>
    <t>Monitoring and Evaluation Officer</t>
  </si>
  <si>
    <t>ID1919</t>
  </si>
  <si>
    <t>Vice President - Finance</t>
  </si>
  <si>
    <t>ID1920</t>
  </si>
  <si>
    <t xml:space="preserve">Operations Analyst </t>
  </si>
  <si>
    <t>ID1921</t>
  </si>
  <si>
    <t>Poultry Analyst</t>
  </si>
  <si>
    <t>ID1922</t>
  </si>
  <si>
    <t>ID1924</t>
  </si>
  <si>
    <t>Customer Resolution</t>
  </si>
  <si>
    <t>ID1925</t>
  </si>
  <si>
    <t>ID1927</t>
  </si>
  <si>
    <t>Business Analist</t>
  </si>
  <si>
    <t>ID1928</t>
  </si>
  <si>
    <t>Oman</t>
  </si>
  <si>
    <t>ID1929</t>
  </si>
  <si>
    <t>eorl</t>
  </si>
  <si>
    <t>ID1930</t>
  </si>
  <si>
    <t>Corporate Trainer</t>
  </si>
  <si>
    <t>ID1931</t>
  </si>
  <si>
    <t>ID1932</t>
  </si>
  <si>
    <t>Administrative Coordinator</t>
  </si>
  <si>
    <t>Average Experience</t>
  </si>
  <si>
    <t>South America</t>
  </si>
  <si>
    <t>Top Mgmt</t>
  </si>
  <si>
    <t>Miscellaneous</t>
  </si>
  <si>
    <t>Average Salary in USD</t>
  </si>
  <si>
    <t>All</t>
  </si>
  <si>
    <t>Average Years Experience</t>
  </si>
  <si>
    <t>Salary vs Experience</t>
  </si>
  <si>
    <t xml:space="preserve">       Salary in USD</t>
  </si>
  <si>
    <t>Years Experience</t>
  </si>
  <si>
    <t>Excel, what Excel?</t>
  </si>
  <si>
    <t>Bin</t>
  </si>
  <si>
    <t>Count</t>
  </si>
  <si>
    <t>%</t>
  </si>
  <si>
    <t>Filtered</t>
  </si>
  <si>
    <t>Unfiltered</t>
  </si>
  <si>
    <t>Controllers</t>
  </si>
  <si>
    <t>Consultants</t>
  </si>
  <si>
    <t>Specialists</t>
  </si>
  <si>
    <t>Engineers</t>
  </si>
  <si>
    <t>Managers</t>
  </si>
  <si>
    <t>Analysts</t>
  </si>
  <si>
    <t>Accountants</t>
  </si>
  <si>
    <r>
      <rPr>
        <b/>
        <sz val="8"/>
        <color theme="1" tint="0.499984740745262"/>
        <rFont val="Century Gothic"/>
        <family val="2"/>
      </rPr>
      <t>Click the names</t>
    </r>
    <r>
      <rPr>
        <sz val="8"/>
        <color theme="1" tint="0.499984740745262"/>
        <rFont val="Century Gothic"/>
        <family val="2"/>
      </rPr>
      <t xml:space="preserve"> of the </t>
    </r>
    <r>
      <rPr>
        <sz val="8"/>
        <color theme="9" tint="-0.249977111117893"/>
        <rFont val="Century Gothic"/>
        <family val="2"/>
      </rPr>
      <t>regions</t>
    </r>
    <r>
      <rPr>
        <sz val="8"/>
        <color theme="1" tint="0.499984740745262"/>
        <rFont val="Century Gothic"/>
        <family val="2"/>
      </rPr>
      <t xml:space="preserve"> and </t>
    </r>
    <r>
      <rPr>
        <sz val="8"/>
        <color theme="9" tint="-0.249977111117893"/>
        <rFont val="Century Gothic"/>
        <family val="2"/>
      </rPr>
      <t>job types</t>
    </r>
    <r>
      <rPr>
        <sz val="8"/>
        <color theme="1" tint="0.499984740745262"/>
        <rFont val="Century Gothic"/>
        <family val="2"/>
      </rPr>
      <t xml:space="preserve"> above to filter the information below</t>
    </r>
  </si>
  <si>
    <t xml:space="preserve">0-9  </t>
  </si>
  <si>
    <t>&lt;5</t>
  </si>
  <si>
    <t>Average Salary</t>
  </si>
  <si>
    <t>Respondent Count</t>
  </si>
  <si>
    <t>Hour Translation Table</t>
  </si>
  <si>
    <t>Name</t>
  </si>
  <si>
    <t>Average Excel Hours per Day</t>
  </si>
  <si>
    <t>Region Filter</t>
  </si>
  <si>
    <t>Job Filter</t>
  </si>
  <si>
    <t>* South America includes Central America and The Caribbean</t>
  </si>
  <si>
    <t>All Jobs</t>
  </si>
  <si>
    <t>All Regions</t>
  </si>
  <si>
    <t>Average Excel/Day</t>
  </si>
  <si>
    <t>Top Salary</t>
  </si>
  <si>
    <t>Bottom Salary</t>
  </si>
  <si>
    <t>Clickable</t>
  </si>
  <si>
    <r>
      <rPr>
        <b/>
        <sz val="14"/>
        <color theme="1" tint="0.499984740745262"/>
        <rFont val="Century Gothic"/>
        <family val="2"/>
      </rPr>
      <t>All</t>
    </r>
    <r>
      <rPr>
        <b/>
        <sz val="10"/>
        <rFont val="Century Gothic"/>
        <family val="2"/>
      </rPr>
      <t xml:space="preserve"> </t>
    </r>
    <r>
      <rPr>
        <b/>
        <sz val="14"/>
        <rFont val="Century Gothic"/>
        <family val="2"/>
      </rPr>
      <t>versus</t>
    </r>
  </si>
  <si>
    <r>
      <t>Salary Distribution</t>
    </r>
    <r>
      <rPr>
        <sz val="8"/>
        <color theme="1" tint="0.499984740745262"/>
        <rFont val="Century Gothic"/>
        <family val="2"/>
      </rPr>
      <t xml:space="preserve"> (by thousands USD)</t>
    </r>
  </si>
  <si>
    <r>
      <t>Experience Distribution</t>
    </r>
    <r>
      <rPr>
        <sz val="8"/>
        <color theme="1" tint="0.499984740745262"/>
        <rFont val="Century Gothic"/>
        <family val="2"/>
      </rPr>
      <t xml:space="preserve"> (by years)</t>
    </r>
  </si>
  <si>
    <r>
      <t>Excel per Day Distribution</t>
    </r>
    <r>
      <rPr>
        <b/>
        <sz val="8"/>
        <color theme="1" tint="0.499984740745262"/>
        <rFont val="Century Gothic"/>
        <family val="2"/>
      </rPr>
      <t xml:space="preserve"> (by hours)</t>
    </r>
  </si>
  <si>
    <t xml:space="preserve">Statistics for </t>
  </si>
</sst>
</file>

<file path=xl/styles.xml><?xml version="1.0" encoding="utf-8"?>
<styleSheet xmlns="http://schemas.openxmlformats.org/spreadsheetml/2006/main">
  <numFmts count="3">
    <numFmt numFmtId="6" formatCode="&quot;$&quot;#,##0;[Red]\-&quot;$&quot;#,##0"/>
    <numFmt numFmtId="164" formatCode="#,##0.0"/>
    <numFmt numFmtId="177" formatCode="0.0"/>
  </numFmts>
  <fonts count="20"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8"/>
      <name val="Century Gothic"/>
      <family val="2"/>
    </font>
    <font>
      <sz val="8"/>
      <color theme="1" tint="0.499984740745262"/>
      <name val="Century Gothic"/>
      <family val="2"/>
    </font>
    <font>
      <sz val="10"/>
      <color theme="9" tint="-0.249977111117893"/>
      <name val="Century Gothic"/>
      <family val="2"/>
    </font>
    <font>
      <sz val="6"/>
      <color theme="1" tint="0.499984740745262"/>
      <name val="Century Gothic"/>
      <family val="2"/>
    </font>
    <font>
      <b/>
      <sz val="10"/>
      <name val="Arial"/>
      <family val="2"/>
    </font>
    <font>
      <sz val="9"/>
      <color rgb="FF000000"/>
      <name val="Verdana"/>
      <family val="2"/>
    </font>
    <font>
      <b/>
      <sz val="14"/>
      <name val="Century Gothic"/>
      <family val="2"/>
    </font>
    <font>
      <b/>
      <sz val="14"/>
      <color theme="1" tint="0.499984740745262"/>
      <name val="Century Gothic"/>
      <family val="2"/>
    </font>
    <font>
      <b/>
      <sz val="14"/>
      <color theme="9" tint="-0.249977111117893"/>
      <name val="Century Gothic"/>
      <family val="2"/>
    </font>
    <font>
      <sz val="8"/>
      <color theme="1" tint="0.249977111117893"/>
      <name val="Century Gothic"/>
      <family val="2"/>
    </font>
    <font>
      <sz val="8"/>
      <color theme="9" tint="-0.249977111117893"/>
      <name val="Century Gothic"/>
      <family val="2"/>
    </font>
    <font>
      <b/>
      <sz val="8"/>
      <color theme="1" tint="0.499984740745262"/>
      <name val="Century Gothic"/>
      <family val="2"/>
    </font>
    <font>
      <sz val="16"/>
      <name val="Arial"/>
      <family val="2"/>
    </font>
    <font>
      <sz val="8"/>
      <color theme="1"/>
      <name val="Century Gothic"/>
      <family val="2"/>
    </font>
    <font>
      <b/>
      <sz val="8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xfId="0"/>
    <xf numFmtId="0" fontId="1" fillId="0" borderId="0" xfId="0" applyFont="1"/>
    <xf numFmtId="3" fontId="0" fillId="0" borderId="0" xfId="0" applyNumberFormat="1"/>
    <xf numFmtId="0" fontId="2" fillId="0" borderId="0" xfId="0" applyFont="1"/>
    <xf numFmtId="164" fontId="0" fillId="0" borderId="0" xfId="0" applyNumberFormat="1"/>
    <xf numFmtId="0" fontId="3" fillId="0" borderId="0" xfId="0" applyFont="1"/>
    <xf numFmtId="0" fontId="3" fillId="0" borderId="0" xfId="0" applyFont="1" applyFill="1"/>
    <xf numFmtId="9" fontId="0" fillId="0" borderId="0" xfId="0" applyNumberFormat="1"/>
    <xf numFmtId="0" fontId="4" fillId="0" borderId="0" xfId="0" applyFont="1" applyFill="1"/>
    <xf numFmtId="0" fontId="1" fillId="0" borderId="0" xfId="0" applyFont="1" applyFill="1"/>
    <xf numFmtId="0" fontId="0" fillId="0" borderId="0" xfId="0" applyFill="1"/>
    <xf numFmtId="0" fontId="9" fillId="0" borderId="0" xfId="0" applyFont="1"/>
    <xf numFmtId="9" fontId="9" fillId="0" borderId="0" xfId="0" applyNumberFormat="1" applyFont="1"/>
    <xf numFmtId="0" fontId="9" fillId="0" borderId="0" xfId="0" applyFont="1" applyAlignment="1">
      <alignment horizontal="right"/>
    </xf>
    <xf numFmtId="9" fontId="9" fillId="0" borderId="0" xfId="0" applyNumberFormat="1" applyFont="1" applyAlignment="1">
      <alignment horizontal="right"/>
    </xf>
    <xf numFmtId="0" fontId="10" fillId="0" borderId="0" xfId="0" applyFont="1"/>
    <xf numFmtId="0" fontId="0" fillId="0" borderId="0" xfId="0" applyFont="1"/>
    <xf numFmtId="0" fontId="2" fillId="0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 applyAlignment="1">
      <alignment horizontal="left" vertical="top"/>
    </xf>
    <xf numFmtId="0" fontId="3" fillId="2" borderId="0" xfId="0" applyFont="1" applyFill="1" applyAlignment="1">
      <alignment vertical="top"/>
    </xf>
    <xf numFmtId="0" fontId="14" fillId="0" borderId="0" xfId="0" applyFont="1" applyFill="1"/>
    <xf numFmtId="0" fontId="3" fillId="0" borderId="1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6" fillId="0" borderId="1" xfId="0" applyFont="1" applyFill="1" applyBorder="1" applyAlignment="1">
      <alignment horizontal="right"/>
    </xf>
    <xf numFmtId="0" fontId="8" fillId="2" borderId="0" xfId="0" applyFont="1" applyFill="1" applyAlignment="1">
      <alignment horizontal="right"/>
    </xf>
    <xf numFmtId="0" fontId="7" fillId="0" borderId="0" xfId="0" applyFont="1" applyFill="1"/>
    <xf numFmtId="177" fontId="3" fillId="0" borderId="0" xfId="0" applyNumberFormat="1" applyFont="1" applyFill="1" applyAlignment="1">
      <alignment horizontal="right"/>
    </xf>
    <xf numFmtId="3" fontId="3" fillId="0" borderId="0" xfId="0" applyNumberFormat="1" applyFont="1" applyFill="1"/>
    <xf numFmtId="3" fontId="17" fillId="0" borderId="0" xfId="0" applyNumberFormat="1" applyFont="1"/>
    <xf numFmtId="0" fontId="17" fillId="0" borderId="0" xfId="0" applyFont="1"/>
    <xf numFmtId="0" fontId="0" fillId="3" borderId="0" xfId="0" applyFill="1"/>
    <xf numFmtId="0" fontId="18" fillId="2" borderId="0" xfId="0" applyFont="1" applyFill="1" applyAlignment="1">
      <alignment horizontal="right" vertical="top"/>
    </xf>
    <xf numFmtId="0" fontId="19" fillId="2" borderId="0" xfId="0" applyFont="1" applyFill="1" applyAlignment="1">
      <alignment horizontal="right" vertical="top"/>
    </xf>
    <xf numFmtId="0" fontId="15" fillId="2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6" fontId="3" fillId="0" borderId="0" xfId="0" applyNumberFormat="1" applyFont="1" applyFill="1" applyAlignment="1">
      <alignment horizontal="right"/>
    </xf>
    <xf numFmtId="0" fontId="6" fillId="2" borderId="0" xfId="0" applyFont="1" applyFill="1" applyAlignment="1">
      <alignment horizontal="right"/>
    </xf>
    <xf numFmtId="0" fontId="11" fillId="0" borderId="1" xfId="0" applyFont="1" applyFill="1" applyBorder="1" applyAlignment="1"/>
    <xf numFmtId="0" fontId="13" fillId="0" borderId="1" xfId="0" applyFont="1" applyFill="1" applyBorder="1" applyAlignment="1"/>
  </cellXfs>
  <cellStyles count="2">
    <cellStyle name="Normal" xfId="0" builtinId="0"/>
    <cellStyle name="Style 1" xfId="1"/>
  </cellStyles>
  <dxfs count="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numFmt numFmtId="3" formatCode="#,##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bar"/>
        <c:grouping val="clustered"/>
        <c:ser>
          <c:idx val="0"/>
          <c:order val="0"/>
          <c:tx>
            <c:strRef>
              <c:f>Calc!$D$3</c:f>
              <c:strCache>
                <c:ptCount val="1"/>
                <c:pt idx="0">
                  <c:v>avg</c:v>
                </c:pt>
              </c:strCache>
            </c:strRef>
          </c:tx>
          <c:spPr>
            <a:solidFill>
              <a:srgbClr val="A6A6A6"/>
            </a:solidFill>
          </c:spPr>
          <c:dPt>
            <c:idx val="1"/>
            <c:spPr>
              <a:solidFill>
                <a:srgbClr val="E46C0A"/>
              </a:solidFill>
            </c:spPr>
          </c:dPt>
          <c:dPt>
            <c:idx val="7"/>
            <c:spPr>
              <a:solidFill>
                <a:srgbClr val="A6A6A6"/>
              </a:solidFill>
              <a:ln>
                <a:solidFill>
                  <a:schemeClr val="tx1"/>
                </a:solidFill>
              </a:ln>
            </c:spPr>
          </c:dPt>
          <c:cat>
            <c:numRef>
              <c:f>Calc!$D$4:$D$11</c:f>
              <c:numCache>
                <c:formatCode>#,##0</c:formatCode>
                <c:ptCount val="8"/>
                <c:pt idx="0">
                  <c:v>89331.05565369704</c:v>
                </c:pt>
                <c:pt idx="1">
                  <c:v>72539.906429461393</c:v>
                </c:pt>
                <c:pt idx="2">
                  <c:v>63084.83295606621</c:v>
                </c:pt>
                <c:pt idx="3">
                  <c:v>42575.940660978296</c:v>
                </c:pt>
                <c:pt idx="4">
                  <c:v>42213.809288841891</c:v>
                </c:pt>
                <c:pt idx="5">
                  <c:v>32472.217927323851</c:v>
                </c:pt>
                <c:pt idx="6">
                  <c:v>15067.277491071964</c:v>
                </c:pt>
                <c:pt idx="7">
                  <c:v>49227.087950866866</c:v>
                </c:pt>
              </c:numCache>
            </c:numRef>
          </c:cat>
          <c:val>
            <c:numRef>
              <c:f>Calc!$D$4:$D$11</c:f>
              <c:numCache>
                <c:formatCode>#,##0</c:formatCode>
                <c:ptCount val="8"/>
                <c:pt idx="0">
                  <c:v>89331.05565369704</c:v>
                </c:pt>
                <c:pt idx="1">
                  <c:v>72539.906429461393</c:v>
                </c:pt>
                <c:pt idx="2">
                  <c:v>63084.83295606621</c:v>
                </c:pt>
                <c:pt idx="3">
                  <c:v>42575.940660978296</c:v>
                </c:pt>
                <c:pt idx="4">
                  <c:v>42213.809288841891</c:v>
                </c:pt>
                <c:pt idx="5">
                  <c:v>32472.217927323851</c:v>
                </c:pt>
                <c:pt idx="6">
                  <c:v>15067.277491071964</c:v>
                </c:pt>
                <c:pt idx="7">
                  <c:v>49227.087950866866</c:v>
                </c:pt>
              </c:numCache>
            </c:numRef>
          </c:val>
        </c:ser>
        <c:gapWidth val="50"/>
        <c:axId val="144209024"/>
        <c:axId val="144210560"/>
      </c:barChart>
      <c:catAx>
        <c:axId val="144209024"/>
        <c:scaling>
          <c:orientation val="maxMin"/>
        </c:scaling>
        <c:axPos val="l"/>
        <c:numFmt formatCode="#,##0.0," sourceLinked="0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4210560"/>
        <c:crosses val="autoZero"/>
        <c:auto val="1"/>
        <c:lblAlgn val="ctr"/>
        <c:lblOffset val="100"/>
      </c:catAx>
      <c:valAx>
        <c:axId val="144210560"/>
        <c:scaling>
          <c:orientation val="minMax"/>
        </c:scaling>
        <c:axPos val="t"/>
        <c:numFmt formatCode="#,##0,\k" sourceLinked="0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4209024"/>
        <c:crosses val="autoZero"/>
        <c:crossBetween val="between"/>
        <c:majorUnit val="25000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bar"/>
        <c:grouping val="clustered"/>
        <c:ser>
          <c:idx val="0"/>
          <c:order val="0"/>
          <c:tx>
            <c:strRef>
              <c:f>Calc!$D$3</c:f>
              <c:strCache>
                <c:ptCount val="1"/>
                <c:pt idx="0">
                  <c:v>avg</c:v>
                </c:pt>
              </c:strCache>
            </c:strRef>
          </c:tx>
          <c:spPr>
            <a:solidFill>
              <a:srgbClr val="A6A6A6"/>
            </a:solidFill>
          </c:spPr>
          <c:dPt>
            <c:idx val="1"/>
            <c:spPr>
              <a:solidFill>
                <a:srgbClr val="E46C0A"/>
              </a:solidFill>
            </c:spPr>
          </c:dPt>
          <c:dPt>
            <c:idx val="7"/>
            <c:spPr>
              <a:solidFill>
                <a:srgbClr val="A6A6A6"/>
              </a:solidFill>
              <a:ln w="9525">
                <a:solidFill>
                  <a:prstClr val="black"/>
                </a:solidFill>
              </a:ln>
            </c:spPr>
          </c:dPt>
          <c:cat>
            <c:numRef>
              <c:f>Calc!$E$4:$E$11</c:f>
              <c:numCache>
                <c:formatCode>#,##0.0</c:formatCode>
                <c:ptCount val="8"/>
                <c:pt idx="0">
                  <c:v>4.317708333333333</c:v>
                </c:pt>
                <c:pt idx="1">
                  <c:v>4.738552437223043</c:v>
                </c:pt>
                <c:pt idx="2">
                  <c:v>4.7539936102236418</c:v>
                </c:pt>
                <c:pt idx="3">
                  <c:v>5.8648648648648649</c:v>
                </c:pt>
                <c:pt idx="4">
                  <c:v>4.7941176470588234</c:v>
                </c:pt>
                <c:pt idx="5">
                  <c:v>5.7551020408163263</c:v>
                </c:pt>
                <c:pt idx="6">
                  <c:v>4.875</c:v>
                </c:pt>
                <c:pt idx="7">
                  <c:v>4.8175783324482211</c:v>
                </c:pt>
              </c:numCache>
            </c:numRef>
          </c:cat>
          <c:val>
            <c:numRef>
              <c:f>Calc!$E$4:$E$11</c:f>
              <c:numCache>
                <c:formatCode>#,##0.0</c:formatCode>
                <c:ptCount val="8"/>
                <c:pt idx="0">
                  <c:v>4.317708333333333</c:v>
                </c:pt>
                <c:pt idx="1">
                  <c:v>4.738552437223043</c:v>
                </c:pt>
                <c:pt idx="2">
                  <c:v>4.7539936102236418</c:v>
                </c:pt>
                <c:pt idx="3">
                  <c:v>5.8648648648648649</c:v>
                </c:pt>
                <c:pt idx="4">
                  <c:v>4.7941176470588234</c:v>
                </c:pt>
                <c:pt idx="5">
                  <c:v>5.7551020408163263</c:v>
                </c:pt>
                <c:pt idx="6">
                  <c:v>4.875</c:v>
                </c:pt>
                <c:pt idx="7">
                  <c:v>4.8175783324482211</c:v>
                </c:pt>
              </c:numCache>
            </c:numRef>
          </c:val>
        </c:ser>
        <c:gapWidth val="50"/>
        <c:axId val="146331136"/>
        <c:axId val="146332672"/>
      </c:barChart>
      <c:catAx>
        <c:axId val="146331136"/>
        <c:scaling>
          <c:orientation val="maxMin"/>
        </c:scaling>
        <c:axPos val="l"/>
        <c:numFmt formatCode="#,##0.0" sourceLinked="0"/>
        <c:tickLblPos val="nextTo"/>
        <c:txPr>
          <a:bodyPr/>
          <a:lstStyle/>
          <a:p>
            <a:pPr>
              <a:defRPr sz="9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332672"/>
        <c:crosses val="autoZero"/>
        <c:auto val="1"/>
        <c:lblAlgn val="ctr"/>
        <c:lblOffset val="100"/>
      </c:catAx>
      <c:valAx>
        <c:axId val="146332672"/>
        <c:scaling>
          <c:orientation val="minMax"/>
          <c:max val="6"/>
        </c:scaling>
        <c:axPos val="t"/>
        <c:numFmt formatCode="#,##0" sourceLinked="0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331136"/>
        <c:crosses val="autoZero"/>
        <c:crossBetween val="between"/>
        <c:majorUnit val="2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bar"/>
        <c:grouping val="clustered"/>
        <c:ser>
          <c:idx val="0"/>
          <c:order val="0"/>
          <c:tx>
            <c:strRef>
              <c:f>Calc!$G$4:$G$10</c:f>
              <c:strCache>
                <c:ptCount val="1"/>
                <c:pt idx="0">
                  <c:v>10.48876404 10.21823204 10.34508929 9.838709677 10.32051282 8.321428571 6.666</c:v>
                </c:pt>
              </c:strCache>
            </c:strRef>
          </c:tx>
          <c:spPr>
            <a:solidFill>
              <a:srgbClr val="A6A6A6"/>
            </a:solidFill>
          </c:spPr>
          <c:dPt>
            <c:idx val="1"/>
            <c:spPr>
              <a:solidFill>
                <a:srgbClr val="E46C0A"/>
              </a:solidFill>
            </c:spPr>
          </c:dPt>
          <c:dPt>
            <c:idx val="7"/>
            <c:spPr>
              <a:solidFill>
                <a:srgbClr val="A6A6A6"/>
              </a:solidFill>
              <a:ln w="9525">
                <a:solidFill>
                  <a:prstClr val="black"/>
                </a:solidFill>
              </a:ln>
            </c:spPr>
          </c:dPt>
          <c:cat>
            <c:numRef>
              <c:f>Calc!$G$4:$G$11</c:f>
              <c:numCache>
                <c:formatCode>General</c:formatCode>
                <c:ptCount val="8"/>
                <c:pt idx="0">
                  <c:v>10.488764044943821</c:v>
                </c:pt>
                <c:pt idx="1">
                  <c:v>10.218232044198896</c:v>
                </c:pt>
                <c:pt idx="2">
                  <c:v>10.345089285714286</c:v>
                </c:pt>
                <c:pt idx="3">
                  <c:v>9.8387096774193541</c:v>
                </c:pt>
                <c:pt idx="4">
                  <c:v>10.320512820512821</c:v>
                </c:pt>
                <c:pt idx="5">
                  <c:v>8.3214285714285712</c:v>
                </c:pt>
                <c:pt idx="6">
                  <c:v>6.6659999999999995</c:v>
                </c:pt>
                <c:pt idx="7">
                  <c:v>8.7351473922902496</c:v>
                </c:pt>
              </c:numCache>
            </c:numRef>
          </c:cat>
          <c:val>
            <c:numRef>
              <c:f>Calc!$G$4:$G$11</c:f>
              <c:numCache>
                <c:formatCode>General</c:formatCode>
                <c:ptCount val="8"/>
                <c:pt idx="0">
                  <c:v>10.488764044943821</c:v>
                </c:pt>
                <c:pt idx="1">
                  <c:v>10.218232044198896</c:v>
                </c:pt>
                <c:pt idx="2">
                  <c:v>10.345089285714286</c:v>
                </c:pt>
                <c:pt idx="3">
                  <c:v>9.8387096774193541</c:v>
                </c:pt>
                <c:pt idx="4">
                  <c:v>10.320512820512821</c:v>
                </c:pt>
                <c:pt idx="5">
                  <c:v>8.3214285714285712</c:v>
                </c:pt>
                <c:pt idx="6">
                  <c:v>6.6659999999999995</c:v>
                </c:pt>
                <c:pt idx="7">
                  <c:v>8.7351473922902496</c:v>
                </c:pt>
              </c:numCache>
            </c:numRef>
          </c:val>
        </c:ser>
        <c:gapWidth val="50"/>
        <c:axId val="146429824"/>
        <c:axId val="146431360"/>
      </c:barChart>
      <c:catAx>
        <c:axId val="146429824"/>
        <c:scaling>
          <c:orientation val="maxMin"/>
        </c:scaling>
        <c:axPos val="l"/>
        <c:numFmt formatCode="#,##0.0" sourceLinked="0"/>
        <c:tickLblPos val="nextTo"/>
        <c:txPr>
          <a:bodyPr/>
          <a:lstStyle/>
          <a:p>
            <a:pPr>
              <a:defRPr sz="9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431360"/>
        <c:crosses val="autoZero"/>
        <c:auto val="1"/>
        <c:lblAlgn val="ctr"/>
        <c:lblOffset val="100"/>
      </c:catAx>
      <c:valAx>
        <c:axId val="146431360"/>
        <c:scaling>
          <c:orientation val="minMax"/>
          <c:max val="14"/>
        </c:scaling>
        <c:axPos val="t"/>
        <c:numFmt formatCode="#,##0" sourceLinked="0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429824"/>
        <c:crosses val="autoZero"/>
        <c:crossBetween val="between"/>
        <c:majorUnit val="2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bar"/>
        <c:grouping val="clustered"/>
        <c:ser>
          <c:idx val="0"/>
          <c:order val="0"/>
          <c:tx>
            <c:strRef>
              <c:f>Calc!$D$14</c:f>
              <c:strCache>
                <c:ptCount val="1"/>
                <c:pt idx="0">
                  <c:v>avg</c:v>
                </c:pt>
              </c:strCache>
            </c:strRef>
          </c:tx>
          <c:spPr>
            <a:solidFill>
              <a:srgbClr val="A6A6A6"/>
            </a:solidFill>
          </c:spPr>
          <c:dPt>
            <c:idx val="6"/>
            <c:spPr>
              <a:solidFill>
                <a:srgbClr val="E46C0A"/>
              </a:solidFill>
            </c:spPr>
          </c:dPt>
          <c:dPt>
            <c:idx val="10"/>
            <c:spPr>
              <a:solidFill>
                <a:srgbClr val="A6A6A6"/>
              </a:solidFill>
              <a:ln>
                <a:solidFill>
                  <a:prstClr val="black"/>
                </a:solidFill>
              </a:ln>
            </c:spPr>
          </c:dPt>
          <c:cat>
            <c:numRef>
              <c:f>Calc!$D$15:$D$25</c:f>
              <c:numCache>
                <c:formatCode>#,##0</c:formatCode>
                <c:ptCount val="11"/>
                <c:pt idx="0">
                  <c:v>97265.875618660837</c:v>
                </c:pt>
                <c:pt idx="1">
                  <c:v>65103.929025765538</c:v>
                </c:pt>
                <c:pt idx="2">
                  <c:v>62950.733221147333</c:v>
                </c:pt>
                <c:pt idx="3">
                  <c:v>59812.969274133829</c:v>
                </c:pt>
                <c:pt idx="4">
                  <c:v>51715.151424567106</c:v>
                </c:pt>
                <c:pt idx="5">
                  <c:v>46488.240712802522</c:v>
                </c:pt>
                <c:pt idx="6">
                  <c:v>46295.769417049465</c:v>
                </c:pt>
                <c:pt idx="7">
                  <c:v>46001.75981283158</c:v>
                </c:pt>
                <c:pt idx="8">
                  <c:v>45952.334217962794</c:v>
                </c:pt>
                <c:pt idx="9">
                  <c:v>19574.158532349131</c:v>
                </c:pt>
                <c:pt idx="10">
                  <c:v>49227.087950866866</c:v>
                </c:pt>
              </c:numCache>
            </c:numRef>
          </c:cat>
          <c:val>
            <c:numRef>
              <c:f>Calc!$D$15:$D$25</c:f>
              <c:numCache>
                <c:formatCode>#,##0</c:formatCode>
                <c:ptCount val="11"/>
                <c:pt idx="0">
                  <c:v>97265.875618660837</c:v>
                </c:pt>
                <c:pt idx="1">
                  <c:v>65103.929025765538</c:v>
                </c:pt>
                <c:pt idx="2">
                  <c:v>62950.733221147333</c:v>
                </c:pt>
                <c:pt idx="3">
                  <c:v>59812.969274133829</c:v>
                </c:pt>
                <c:pt idx="4">
                  <c:v>51715.151424567106</c:v>
                </c:pt>
                <c:pt idx="5">
                  <c:v>46488.240712802522</c:v>
                </c:pt>
                <c:pt idx="6">
                  <c:v>46295.769417049465</c:v>
                </c:pt>
                <c:pt idx="7">
                  <c:v>46001.75981283158</c:v>
                </c:pt>
                <c:pt idx="8">
                  <c:v>45952.334217962794</c:v>
                </c:pt>
                <c:pt idx="9">
                  <c:v>19574.158532349131</c:v>
                </c:pt>
                <c:pt idx="10">
                  <c:v>49227.087950866866</c:v>
                </c:pt>
              </c:numCache>
            </c:numRef>
          </c:val>
        </c:ser>
        <c:gapWidth val="50"/>
        <c:axId val="146450304"/>
        <c:axId val="146451840"/>
      </c:barChart>
      <c:catAx>
        <c:axId val="146450304"/>
        <c:scaling>
          <c:orientation val="maxMin"/>
        </c:scaling>
        <c:axPos val="l"/>
        <c:numFmt formatCode="#,##0.0," sourceLinked="0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451840"/>
        <c:crosses val="autoZero"/>
        <c:auto val="1"/>
        <c:lblAlgn val="ctr"/>
        <c:lblOffset val="100"/>
      </c:catAx>
      <c:valAx>
        <c:axId val="146451840"/>
        <c:scaling>
          <c:orientation val="minMax"/>
          <c:max val="100000"/>
        </c:scaling>
        <c:axPos val="t"/>
        <c:numFmt formatCode="#,##0,\k" sourceLinked="0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450304"/>
        <c:crosses val="autoZero"/>
        <c:crossBetween val="between"/>
        <c:majorUnit val="25000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bar"/>
        <c:grouping val="clustered"/>
        <c:ser>
          <c:idx val="0"/>
          <c:order val="0"/>
          <c:tx>
            <c:strRef>
              <c:f>Calc!$E$14</c:f>
              <c:strCache>
                <c:ptCount val="1"/>
                <c:pt idx="0">
                  <c:v>avg</c:v>
                </c:pt>
              </c:strCache>
            </c:strRef>
          </c:tx>
          <c:spPr>
            <a:solidFill>
              <a:srgbClr val="A6A6A6"/>
            </a:solidFill>
          </c:spPr>
          <c:dPt>
            <c:idx val="6"/>
            <c:spPr>
              <a:solidFill>
                <a:srgbClr val="E46C0A"/>
              </a:solidFill>
            </c:spPr>
          </c:dPt>
          <c:dPt>
            <c:idx val="10"/>
            <c:spPr>
              <a:solidFill>
                <a:srgbClr val="A6A6A6"/>
              </a:solidFill>
              <a:ln>
                <a:solidFill>
                  <a:prstClr val="black"/>
                </a:solidFill>
              </a:ln>
            </c:spPr>
          </c:dPt>
          <c:cat>
            <c:numRef>
              <c:f>Calc!$E$15:$E$25</c:f>
              <c:numCache>
                <c:formatCode>#,##0.0</c:formatCode>
                <c:ptCount val="11"/>
                <c:pt idx="0">
                  <c:v>4.24</c:v>
                </c:pt>
                <c:pt idx="1">
                  <c:v>4.9626865671641793</c:v>
                </c:pt>
                <c:pt idx="2">
                  <c:v>4.6444444444444448</c:v>
                </c:pt>
                <c:pt idx="3">
                  <c:v>4.8431372549019605</c:v>
                </c:pt>
                <c:pt idx="4">
                  <c:v>3.7837837837837838</c:v>
                </c:pt>
                <c:pt idx="5">
                  <c:v>4.422043010752688</c:v>
                </c:pt>
                <c:pt idx="6">
                  <c:v>5.1049798115746974</c:v>
                </c:pt>
                <c:pt idx="7">
                  <c:v>5.1333333333333337</c:v>
                </c:pt>
                <c:pt idx="8">
                  <c:v>4.0714285714285712</c:v>
                </c:pt>
                <c:pt idx="9">
                  <c:v>5.9518072289156629</c:v>
                </c:pt>
                <c:pt idx="10">
                  <c:v>4.8175783324482211</c:v>
                </c:pt>
              </c:numCache>
            </c:numRef>
          </c:cat>
          <c:val>
            <c:numRef>
              <c:f>Calc!$E$15:$E$25</c:f>
              <c:numCache>
                <c:formatCode>#,##0.0</c:formatCode>
                <c:ptCount val="11"/>
                <c:pt idx="0">
                  <c:v>4.24</c:v>
                </c:pt>
                <c:pt idx="1">
                  <c:v>4.9626865671641793</c:v>
                </c:pt>
                <c:pt idx="2">
                  <c:v>4.6444444444444448</c:v>
                </c:pt>
                <c:pt idx="3">
                  <c:v>4.8431372549019605</c:v>
                </c:pt>
                <c:pt idx="4">
                  <c:v>3.7837837837837838</c:v>
                </c:pt>
                <c:pt idx="5">
                  <c:v>4.422043010752688</c:v>
                </c:pt>
                <c:pt idx="6">
                  <c:v>5.1049798115746974</c:v>
                </c:pt>
                <c:pt idx="7">
                  <c:v>5.1333333333333337</c:v>
                </c:pt>
                <c:pt idx="8">
                  <c:v>4.0714285714285712</c:v>
                </c:pt>
                <c:pt idx="9">
                  <c:v>5.9518072289156629</c:v>
                </c:pt>
                <c:pt idx="10">
                  <c:v>4.8175783324482211</c:v>
                </c:pt>
              </c:numCache>
            </c:numRef>
          </c:val>
        </c:ser>
        <c:gapWidth val="50"/>
        <c:axId val="146544896"/>
        <c:axId val="146546688"/>
      </c:barChart>
      <c:catAx>
        <c:axId val="146544896"/>
        <c:scaling>
          <c:orientation val="maxMin"/>
        </c:scaling>
        <c:axPos val="l"/>
        <c:numFmt formatCode="#,##0.0" sourceLinked="0"/>
        <c:tickLblPos val="nextTo"/>
        <c:txPr>
          <a:bodyPr/>
          <a:lstStyle/>
          <a:p>
            <a:pPr>
              <a:defRPr sz="9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546688"/>
        <c:crosses val="autoZero"/>
        <c:auto val="1"/>
        <c:lblAlgn val="ctr"/>
        <c:lblOffset val="100"/>
      </c:catAx>
      <c:valAx>
        <c:axId val="146546688"/>
        <c:scaling>
          <c:orientation val="minMax"/>
          <c:max val="6"/>
        </c:scaling>
        <c:axPos val="t"/>
        <c:numFmt formatCode="#,##0" sourceLinked="0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544896"/>
        <c:crosses val="autoZero"/>
        <c:crossBetween val="between"/>
        <c:majorUnit val="2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barChart>
        <c:barDir val="bar"/>
        <c:grouping val="clustered"/>
        <c:ser>
          <c:idx val="0"/>
          <c:order val="0"/>
          <c:tx>
            <c:strRef>
              <c:f>Calc!$G$14</c:f>
              <c:strCache>
                <c:ptCount val="1"/>
                <c:pt idx="0">
                  <c:v>avg</c:v>
                </c:pt>
              </c:strCache>
            </c:strRef>
          </c:tx>
          <c:spPr>
            <a:solidFill>
              <a:srgbClr val="A6A6A6"/>
            </a:solidFill>
          </c:spPr>
          <c:dPt>
            <c:idx val="6"/>
            <c:spPr>
              <a:solidFill>
                <a:srgbClr val="E46C0A"/>
              </a:solidFill>
            </c:spPr>
          </c:dPt>
          <c:dPt>
            <c:idx val="10"/>
            <c:spPr>
              <a:solidFill>
                <a:srgbClr val="A6A6A6"/>
              </a:solidFill>
              <a:ln>
                <a:solidFill>
                  <a:prstClr val="black"/>
                </a:solidFill>
              </a:ln>
            </c:spPr>
          </c:dPt>
          <c:cat>
            <c:numRef>
              <c:f>Calc!$G$15:$G$25</c:f>
              <c:numCache>
                <c:formatCode>General</c:formatCode>
                <c:ptCount val="11"/>
                <c:pt idx="0">
                  <c:v>13.414893617021276</c:v>
                </c:pt>
                <c:pt idx="1">
                  <c:v>11.8</c:v>
                </c:pt>
                <c:pt idx="2">
                  <c:v>9.5535714285714288</c:v>
                </c:pt>
                <c:pt idx="3">
                  <c:v>9.2592592592592595</c:v>
                </c:pt>
                <c:pt idx="4">
                  <c:v>7.9387755102040813</c:v>
                </c:pt>
                <c:pt idx="5">
                  <c:v>10.002827763496144</c:v>
                </c:pt>
                <c:pt idx="6">
                  <c:v>7.3890804597701152</c:v>
                </c:pt>
                <c:pt idx="7">
                  <c:v>9.3366336633663369</c:v>
                </c:pt>
                <c:pt idx="8">
                  <c:v>6.166666666666667</c:v>
                </c:pt>
                <c:pt idx="9">
                  <c:v>5.2802816901408445</c:v>
                </c:pt>
                <c:pt idx="10">
                  <c:v>8.7351473922902496</c:v>
                </c:pt>
              </c:numCache>
            </c:numRef>
          </c:cat>
          <c:val>
            <c:numRef>
              <c:f>Calc!$G$15:$G$25</c:f>
              <c:numCache>
                <c:formatCode>General</c:formatCode>
                <c:ptCount val="11"/>
                <c:pt idx="0">
                  <c:v>13.414893617021276</c:v>
                </c:pt>
                <c:pt idx="1">
                  <c:v>11.8</c:v>
                </c:pt>
                <c:pt idx="2">
                  <c:v>9.5535714285714288</c:v>
                </c:pt>
                <c:pt idx="3">
                  <c:v>9.2592592592592595</c:v>
                </c:pt>
                <c:pt idx="4">
                  <c:v>7.9387755102040813</c:v>
                </c:pt>
                <c:pt idx="5">
                  <c:v>10.002827763496144</c:v>
                </c:pt>
                <c:pt idx="6">
                  <c:v>7.3890804597701152</c:v>
                </c:pt>
                <c:pt idx="7">
                  <c:v>9.3366336633663369</c:v>
                </c:pt>
                <c:pt idx="8">
                  <c:v>6.166666666666667</c:v>
                </c:pt>
                <c:pt idx="9">
                  <c:v>5.2802816901408445</c:v>
                </c:pt>
                <c:pt idx="10">
                  <c:v>8.7351473922902496</c:v>
                </c:pt>
              </c:numCache>
            </c:numRef>
          </c:val>
        </c:ser>
        <c:gapWidth val="50"/>
        <c:axId val="146586240"/>
        <c:axId val="146588032"/>
      </c:barChart>
      <c:catAx>
        <c:axId val="146586240"/>
        <c:scaling>
          <c:orientation val="maxMin"/>
        </c:scaling>
        <c:axPos val="l"/>
        <c:numFmt formatCode="#,##0.0" sourceLinked="0"/>
        <c:tickLblPos val="nextTo"/>
        <c:txPr>
          <a:bodyPr/>
          <a:lstStyle/>
          <a:p>
            <a:pPr>
              <a:defRPr sz="9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588032"/>
        <c:crosses val="autoZero"/>
        <c:auto val="1"/>
        <c:lblAlgn val="ctr"/>
        <c:lblOffset val="100"/>
      </c:catAx>
      <c:valAx>
        <c:axId val="146588032"/>
        <c:scaling>
          <c:orientation val="minMax"/>
          <c:max val="14"/>
        </c:scaling>
        <c:axPos val="t"/>
        <c:numFmt formatCode="#,##0" sourceLinked="0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586240"/>
        <c:crosses val="autoZero"/>
        <c:crossBetween val="between"/>
        <c:majorUnit val="2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1"/>
          <c:order val="0"/>
          <c:tx>
            <c:v>All</c:v>
          </c:tx>
          <c:spPr>
            <a:ln w="28575">
              <a:noFill/>
            </a:ln>
          </c:spPr>
          <c:marker>
            <c:symbol val="circle"/>
            <c:size val="3"/>
            <c:spPr>
              <a:noFill/>
              <a:ln>
                <a:solidFill>
                  <a:sysClr val="window" lastClr="FFFFFF">
                    <a:lumMod val="75000"/>
                    <a:alpha val="50000"/>
                  </a:sysClr>
                </a:solidFill>
              </a:ln>
            </c:spPr>
          </c:marker>
          <c:xVal>
            <c:numRef>
              <c:f>xyData!$A$2:$A$1336</c:f>
              <c:numCache>
                <c:formatCode>#,##0</c:formatCode>
                <c:ptCount val="1335"/>
                <c:pt idx="0">
                  <c:v>54000</c:v>
                </c:pt>
                <c:pt idx="1">
                  <c:v>15600</c:v>
                </c:pt>
                <c:pt idx="2">
                  <c:v>35000</c:v>
                </c:pt>
                <c:pt idx="3">
                  <c:v>188000</c:v>
                </c:pt>
                <c:pt idx="4">
                  <c:v>27500</c:v>
                </c:pt>
                <c:pt idx="5">
                  <c:v>140000</c:v>
                </c:pt>
                <c:pt idx="6">
                  <c:v>69871.969144538423</c:v>
                </c:pt>
                <c:pt idx="7">
                  <c:v>45000</c:v>
                </c:pt>
                <c:pt idx="8">
                  <c:v>95000</c:v>
                </c:pt>
                <c:pt idx="9">
                  <c:v>158085.99674240855</c:v>
                </c:pt>
                <c:pt idx="10">
                  <c:v>63807.047488395103</c:v>
                </c:pt>
                <c:pt idx="11">
                  <c:v>38000</c:v>
                </c:pt>
                <c:pt idx="12">
                  <c:v>90000</c:v>
                </c:pt>
                <c:pt idx="13">
                  <c:v>45393.934235537781</c:v>
                </c:pt>
                <c:pt idx="14">
                  <c:v>33099.743713412965</c:v>
                </c:pt>
                <c:pt idx="15">
                  <c:v>4285</c:v>
                </c:pt>
                <c:pt idx="16">
                  <c:v>6000</c:v>
                </c:pt>
                <c:pt idx="17">
                  <c:v>22438.012440857987</c:v>
                </c:pt>
                <c:pt idx="18">
                  <c:v>90000</c:v>
                </c:pt>
                <c:pt idx="19">
                  <c:v>150000</c:v>
                </c:pt>
                <c:pt idx="20">
                  <c:v>132588.25533234264</c:v>
                </c:pt>
                <c:pt idx="21">
                  <c:v>45000</c:v>
                </c:pt>
                <c:pt idx="22">
                  <c:v>50000</c:v>
                </c:pt>
                <c:pt idx="23">
                  <c:v>300000</c:v>
                </c:pt>
                <c:pt idx="24">
                  <c:v>104030.78495306884</c:v>
                </c:pt>
                <c:pt idx="25">
                  <c:v>115000</c:v>
                </c:pt>
                <c:pt idx="26">
                  <c:v>70000</c:v>
                </c:pt>
                <c:pt idx="27">
                  <c:v>108110.42357867939</c:v>
                </c:pt>
                <c:pt idx="28">
                  <c:v>75000</c:v>
                </c:pt>
                <c:pt idx="29">
                  <c:v>40414</c:v>
                </c:pt>
                <c:pt idx="30">
                  <c:v>65000</c:v>
                </c:pt>
                <c:pt idx="31">
                  <c:v>120000</c:v>
                </c:pt>
                <c:pt idx="32">
                  <c:v>15092.18020692008</c:v>
                </c:pt>
                <c:pt idx="33">
                  <c:v>36000</c:v>
                </c:pt>
                <c:pt idx="34">
                  <c:v>63519.971949580387</c:v>
                </c:pt>
                <c:pt idx="35">
                  <c:v>108000</c:v>
                </c:pt>
                <c:pt idx="36">
                  <c:v>75000</c:v>
                </c:pt>
                <c:pt idx="37">
                  <c:v>7123.1666749770275</c:v>
                </c:pt>
                <c:pt idx="38">
                  <c:v>50000</c:v>
                </c:pt>
                <c:pt idx="39">
                  <c:v>45000</c:v>
                </c:pt>
                <c:pt idx="40">
                  <c:v>45000</c:v>
                </c:pt>
                <c:pt idx="41">
                  <c:v>90000</c:v>
                </c:pt>
                <c:pt idx="42">
                  <c:v>4273.9000049862161</c:v>
                </c:pt>
                <c:pt idx="43">
                  <c:v>50000</c:v>
                </c:pt>
                <c:pt idx="44">
                  <c:v>65000</c:v>
                </c:pt>
                <c:pt idx="45">
                  <c:v>70000</c:v>
                </c:pt>
                <c:pt idx="46">
                  <c:v>160000</c:v>
                </c:pt>
                <c:pt idx="47">
                  <c:v>101990.96564026357</c:v>
                </c:pt>
                <c:pt idx="48">
                  <c:v>6767.0083412281756</c:v>
                </c:pt>
                <c:pt idx="49">
                  <c:v>30000</c:v>
                </c:pt>
                <c:pt idx="50">
                  <c:v>7479.3250087258784</c:v>
                </c:pt>
                <c:pt idx="51">
                  <c:v>61000</c:v>
                </c:pt>
                <c:pt idx="52">
                  <c:v>13800</c:v>
                </c:pt>
                <c:pt idx="53">
                  <c:v>15136.729184326183</c:v>
                </c:pt>
                <c:pt idx="54">
                  <c:v>32054.250037396621</c:v>
                </c:pt>
                <c:pt idx="55">
                  <c:v>80000</c:v>
                </c:pt>
                <c:pt idx="56">
                  <c:v>21000</c:v>
                </c:pt>
                <c:pt idx="57">
                  <c:v>245840.3807575817</c:v>
                </c:pt>
                <c:pt idx="58">
                  <c:v>2849.2666699908109</c:v>
                </c:pt>
                <c:pt idx="59">
                  <c:v>8400</c:v>
                </c:pt>
                <c:pt idx="60">
                  <c:v>86692.320794224041</c:v>
                </c:pt>
                <c:pt idx="61">
                  <c:v>50000</c:v>
                </c:pt>
                <c:pt idx="62">
                  <c:v>4000</c:v>
                </c:pt>
                <c:pt idx="63">
                  <c:v>101990.96564026357</c:v>
                </c:pt>
                <c:pt idx="64">
                  <c:v>95000</c:v>
                </c:pt>
                <c:pt idx="65">
                  <c:v>10000</c:v>
                </c:pt>
                <c:pt idx="66">
                  <c:v>4200</c:v>
                </c:pt>
                <c:pt idx="67">
                  <c:v>12821.700014958649</c:v>
                </c:pt>
                <c:pt idx="68">
                  <c:v>39000</c:v>
                </c:pt>
                <c:pt idx="69">
                  <c:v>60000</c:v>
                </c:pt>
                <c:pt idx="70">
                  <c:v>173384.64158844808</c:v>
                </c:pt>
                <c:pt idx="71">
                  <c:v>125000</c:v>
                </c:pt>
                <c:pt idx="72">
                  <c:v>79552.953199405587</c:v>
                </c:pt>
                <c:pt idx="73">
                  <c:v>3561.5833374885137</c:v>
                </c:pt>
                <c:pt idx="74">
                  <c:v>80000</c:v>
                </c:pt>
                <c:pt idx="75">
                  <c:v>10684.750012465542</c:v>
                </c:pt>
                <c:pt idx="76">
                  <c:v>5342.3750062327708</c:v>
                </c:pt>
                <c:pt idx="77">
                  <c:v>71231.666749770273</c:v>
                </c:pt>
                <c:pt idx="78">
                  <c:v>80135.625093491559</c:v>
                </c:pt>
                <c:pt idx="79">
                  <c:v>54084.883766667976</c:v>
                </c:pt>
                <c:pt idx="80">
                  <c:v>53000</c:v>
                </c:pt>
                <c:pt idx="81">
                  <c:v>5342.3750062327708</c:v>
                </c:pt>
                <c:pt idx="82">
                  <c:v>7123.1666749770275</c:v>
                </c:pt>
                <c:pt idx="83">
                  <c:v>10684.750012465542</c:v>
                </c:pt>
                <c:pt idx="84">
                  <c:v>4000</c:v>
                </c:pt>
                <c:pt idx="85">
                  <c:v>8000</c:v>
                </c:pt>
                <c:pt idx="86">
                  <c:v>2671.1875031163854</c:v>
                </c:pt>
                <c:pt idx="87">
                  <c:v>14246.333349954055</c:v>
                </c:pt>
                <c:pt idx="88">
                  <c:v>8547.8000099724322</c:v>
                </c:pt>
                <c:pt idx="89">
                  <c:v>7693.0200089751897</c:v>
                </c:pt>
                <c:pt idx="90">
                  <c:v>4000</c:v>
                </c:pt>
                <c:pt idx="91">
                  <c:v>5400</c:v>
                </c:pt>
                <c:pt idx="92">
                  <c:v>186983.12521814698</c:v>
                </c:pt>
                <c:pt idx="93">
                  <c:v>21500</c:v>
                </c:pt>
                <c:pt idx="94">
                  <c:v>15000</c:v>
                </c:pt>
                <c:pt idx="95">
                  <c:v>2122.8177433598262</c:v>
                </c:pt>
                <c:pt idx="96">
                  <c:v>16917.52085307044</c:v>
                </c:pt>
                <c:pt idx="97">
                  <c:v>2938.3062534280239</c:v>
                </c:pt>
                <c:pt idx="98">
                  <c:v>16800</c:v>
                </c:pt>
                <c:pt idx="99">
                  <c:v>37000</c:v>
                </c:pt>
                <c:pt idx="100">
                  <c:v>5342.3750062327708</c:v>
                </c:pt>
                <c:pt idx="101">
                  <c:v>3561.5833374885137</c:v>
                </c:pt>
                <c:pt idx="102">
                  <c:v>8547.8000099724322</c:v>
                </c:pt>
                <c:pt idx="103">
                  <c:v>5800</c:v>
                </c:pt>
                <c:pt idx="104">
                  <c:v>4095.8208381117906</c:v>
                </c:pt>
                <c:pt idx="105">
                  <c:v>4914.9850057341491</c:v>
                </c:pt>
                <c:pt idx="106">
                  <c:v>24000</c:v>
                </c:pt>
                <c:pt idx="107">
                  <c:v>24000</c:v>
                </c:pt>
                <c:pt idx="108">
                  <c:v>8738</c:v>
                </c:pt>
                <c:pt idx="109">
                  <c:v>15000</c:v>
                </c:pt>
                <c:pt idx="110">
                  <c:v>56400</c:v>
                </c:pt>
                <c:pt idx="111">
                  <c:v>10200</c:v>
                </c:pt>
                <c:pt idx="112">
                  <c:v>5787.5729234188348</c:v>
                </c:pt>
                <c:pt idx="113">
                  <c:v>105000</c:v>
                </c:pt>
                <c:pt idx="114">
                  <c:v>4451.9791718606421</c:v>
                </c:pt>
                <c:pt idx="115">
                  <c:v>8369.7208430980063</c:v>
                </c:pt>
                <c:pt idx="116">
                  <c:v>17067.637625607145</c:v>
                </c:pt>
                <c:pt idx="117">
                  <c:v>101990.96564026357</c:v>
                </c:pt>
                <c:pt idx="118">
                  <c:v>3917.7416712373652</c:v>
                </c:pt>
                <c:pt idx="119">
                  <c:v>52000</c:v>
                </c:pt>
                <c:pt idx="120">
                  <c:v>4630.058338735068</c:v>
                </c:pt>
                <c:pt idx="121">
                  <c:v>2136.9500024931081</c:v>
                </c:pt>
                <c:pt idx="122">
                  <c:v>13000</c:v>
                </c:pt>
                <c:pt idx="123">
                  <c:v>2564.3400029917298</c:v>
                </c:pt>
                <c:pt idx="124">
                  <c:v>20479.104190558952</c:v>
                </c:pt>
                <c:pt idx="125">
                  <c:v>33500</c:v>
                </c:pt>
                <c:pt idx="126">
                  <c:v>50000</c:v>
                </c:pt>
                <c:pt idx="127">
                  <c:v>5342.3750062327708</c:v>
                </c:pt>
                <c:pt idx="128">
                  <c:v>11539.530013462785</c:v>
                </c:pt>
                <c:pt idx="129">
                  <c:v>7000</c:v>
                </c:pt>
                <c:pt idx="130">
                  <c:v>6767.0083412281756</c:v>
                </c:pt>
                <c:pt idx="131">
                  <c:v>3000</c:v>
                </c:pt>
                <c:pt idx="132">
                  <c:v>4451.9791718606421</c:v>
                </c:pt>
                <c:pt idx="133">
                  <c:v>2671.1875031163854</c:v>
                </c:pt>
                <c:pt idx="134">
                  <c:v>4957.7240057840108</c:v>
                </c:pt>
                <c:pt idx="135">
                  <c:v>3205.4250037396623</c:v>
                </c:pt>
                <c:pt idx="136">
                  <c:v>14246.333349954055</c:v>
                </c:pt>
                <c:pt idx="137">
                  <c:v>5342.3750062327708</c:v>
                </c:pt>
                <c:pt idx="138">
                  <c:v>6588.9291743537506</c:v>
                </c:pt>
                <c:pt idx="139">
                  <c:v>6588.9291743537506</c:v>
                </c:pt>
                <c:pt idx="140">
                  <c:v>35000</c:v>
                </c:pt>
                <c:pt idx="141">
                  <c:v>12821.700014958649</c:v>
                </c:pt>
                <c:pt idx="142">
                  <c:v>10684.750012465542</c:v>
                </c:pt>
                <c:pt idx="143">
                  <c:v>10000</c:v>
                </c:pt>
                <c:pt idx="144">
                  <c:v>2136.9500024931081</c:v>
                </c:pt>
                <c:pt idx="145">
                  <c:v>8547.8000099724322</c:v>
                </c:pt>
                <c:pt idx="146">
                  <c:v>8013.5625093491553</c:v>
                </c:pt>
                <c:pt idx="147">
                  <c:v>7123.1666749770275</c:v>
                </c:pt>
                <c:pt idx="148">
                  <c:v>40958.208381117904</c:v>
                </c:pt>
                <c:pt idx="149">
                  <c:v>11325.835013213473</c:v>
                </c:pt>
                <c:pt idx="150">
                  <c:v>15000</c:v>
                </c:pt>
                <c:pt idx="151">
                  <c:v>12000</c:v>
                </c:pt>
                <c:pt idx="152">
                  <c:v>8903.9583437212841</c:v>
                </c:pt>
                <c:pt idx="153">
                  <c:v>8903.9583437212841</c:v>
                </c:pt>
                <c:pt idx="154">
                  <c:v>12821.700014958649</c:v>
                </c:pt>
                <c:pt idx="155">
                  <c:v>3205.4250037396623</c:v>
                </c:pt>
                <c:pt idx="156">
                  <c:v>6677.9687577909626</c:v>
                </c:pt>
                <c:pt idx="157">
                  <c:v>67794.987956419791</c:v>
                </c:pt>
                <c:pt idx="158">
                  <c:v>31250</c:v>
                </c:pt>
                <c:pt idx="159">
                  <c:v>2165.2740982270229</c:v>
                </c:pt>
                <c:pt idx="160">
                  <c:v>7123.1666749770275</c:v>
                </c:pt>
                <c:pt idx="161">
                  <c:v>130000</c:v>
                </c:pt>
                <c:pt idx="162">
                  <c:v>4451.9791718606421</c:v>
                </c:pt>
                <c:pt idx="163">
                  <c:v>9600</c:v>
                </c:pt>
                <c:pt idx="164">
                  <c:v>6945.0875081026015</c:v>
                </c:pt>
                <c:pt idx="165">
                  <c:v>10684.750012465542</c:v>
                </c:pt>
                <c:pt idx="166">
                  <c:v>8547.8000099724322</c:v>
                </c:pt>
                <c:pt idx="167">
                  <c:v>35000</c:v>
                </c:pt>
                <c:pt idx="168">
                  <c:v>17807.916687442568</c:v>
                </c:pt>
                <c:pt idx="169">
                  <c:v>3205.4250037396623</c:v>
                </c:pt>
                <c:pt idx="170">
                  <c:v>60000</c:v>
                </c:pt>
                <c:pt idx="171">
                  <c:v>14246.333349954055</c:v>
                </c:pt>
                <c:pt idx="172">
                  <c:v>10684.750012465542</c:v>
                </c:pt>
                <c:pt idx="173">
                  <c:v>40000</c:v>
                </c:pt>
                <c:pt idx="174">
                  <c:v>5022</c:v>
                </c:pt>
                <c:pt idx="175">
                  <c:v>7301.2458418514525</c:v>
                </c:pt>
                <c:pt idx="176">
                  <c:v>19831.432821021317</c:v>
                </c:pt>
                <c:pt idx="177">
                  <c:v>10684.750012465542</c:v>
                </c:pt>
                <c:pt idx="178">
                  <c:v>4800</c:v>
                </c:pt>
                <c:pt idx="179">
                  <c:v>83846.362973446114</c:v>
                </c:pt>
                <c:pt idx="180">
                  <c:v>15000</c:v>
                </c:pt>
                <c:pt idx="181">
                  <c:v>10000</c:v>
                </c:pt>
                <c:pt idx="182">
                  <c:v>116637.19213297902</c:v>
                </c:pt>
                <c:pt idx="183">
                  <c:v>34357.533974522659</c:v>
                </c:pt>
                <c:pt idx="184">
                  <c:v>102451.58768437347</c:v>
                </c:pt>
                <c:pt idx="185">
                  <c:v>16000</c:v>
                </c:pt>
                <c:pt idx="186">
                  <c:v>6000</c:v>
                </c:pt>
                <c:pt idx="187">
                  <c:v>6410.8500074793246</c:v>
                </c:pt>
                <c:pt idx="188">
                  <c:v>36000</c:v>
                </c:pt>
                <c:pt idx="189">
                  <c:v>20000</c:v>
                </c:pt>
                <c:pt idx="190">
                  <c:v>4273.9000049862161</c:v>
                </c:pt>
                <c:pt idx="191">
                  <c:v>37828.278529614821</c:v>
                </c:pt>
                <c:pt idx="192">
                  <c:v>11000</c:v>
                </c:pt>
                <c:pt idx="193">
                  <c:v>8000</c:v>
                </c:pt>
                <c:pt idx="194">
                  <c:v>4006.7812546745777</c:v>
                </c:pt>
                <c:pt idx="195">
                  <c:v>9171.0323574730355</c:v>
                </c:pt>
                <c:pt idx="196">
                  <c:v>4273.9000049862161</c:v>
                </c:pt>
                <c:pt idx="197">
                  <c:v>12465.541681209797</c:v>
                </c:pt>
                <c:pt idx="198">
                  <c:v>24000</c:v>
                </c:pt>
                <c:pt idx="199">
                  <c:v>20000</c:v>
                </c:pt>
                <c:pt idx="200">
                  <c:v>62000</c:v>
                </c:pt>
                <c:pt idx="201">
                  <c:v>14960</c:v>
                </c:pt>
                <c:pt idx="202">
                  <c:v>2136.9500024931081</c:v>
                </c:pt>
                <c:pt idx="203">
                  <c:v>30232</c:v>
                </c:pt>
                <c:pt idx="204">
                  <c:v>41000</c:v>
                </c:pt>
                <c:pt idx="205">
                  <c:v>96891.417358250401</c:v>
                </c:pt>
                <c:pt idx="206">
                  <c:v>21369.500024931083</c:v>
                </c:pt>
                <c:pt idx="207">
                  <c:v>3650.6229209257262</c:v>
                </c:pt>
                <c:pt idx="208">
                  <c:v>19068</c:v>
                </c:pt>
                <c:pt idx="209">
                  <c:v>5342.3750062327708</c:v>
                </c:pt>
                <c:pt idx="210">
                  <c:v>48000</c:v>
                </c:pt>
                <c:pt idx="211">
                  <c:v>3917.7416712373652</c:v>
                </c:pt>
                <c:pt idx="212">
                  <c:v>13500</c:v>
                </c:pt>
                <c:pt idx="213">
                  <c:v>45000</c:v>
                </c:pt>
                <c:pt idx="214">
                  <c:v>69871.969144538423</c:v>
                </c:pt>
                <c:pt idx="215">
                  <c:v>8547.8000099724322</c:v>
                </c:pt>
                <c:pt idx="216">
                  <c:v>9146.5655463031271</c:v>
                </c:pt>
                <c:pt idx="217">
                  <c:v>10150.512511842264</c:v>
                </c:pt>
                <c:pt idx="218">
                  <c:v>11325.835013213473</c:v>
                </c:pt>
                <c:pt idx="219">
                  <c:v>1910.5359690238436</c:v>
                </c:pt>
                <c:pt idx="220">
                  <c:v>36000</c:v>
                </c:pt>
                <c:pt idx="221">
                  <c:v>40067.812546745779</c:v>
                </c:pt>
                <c:pt idx="222">
                  <c:v>16000</c:v>
                </c:pt>
                <c:pt idx="223">
                  <c:v>4273.9000049862161</c:v>
                </c:pt>
                <c:pt idx="224">
                  <c:v>7123.1666749770275</c:v>
                </c:pt>
                <c:pt idx="225">
                  <c:v>10000</c:v>
                </c:pt>
                <c:pt idx="226">
                  <c:v>64901.860520001574</c:v>
                </c:pt>
                <c:pt idx="227">
                  <c:v>65000</c:v>
                </c:pt>
                <c:pt idx="228">
                  <c:v>8013.5625093491553</c:v>
                </c:pt>
                <c:pt idx="229">
                  <c:v>98336.152303032693</c:v>
                </c:pt>
                <c:pt idx="230">
                  <c:v>2671.1875031163854</c:v>
                </c:pt>
                <c:pt idx="231">
                  <c:v>96000</c:v>
                </c:pt>
                <c:pt idx="232">
                  <c:v>20514.720023933838</c:v>
                </c:pt>
                <c:pt idx="233">
                  <c:v>19055.991584874118</c:v>
                </c:pt>
                <c:pt idx="234">
                  <c:v>66294.12766617132</c:v>
                </c:pt>
                <c:pt idx="235">
                  <c:v>6713.584591165848</c:v>
                </c:pt>
                <c:pt idx="236">
                  <c:v>45709.169889951241</c:v>
                </c:pt>
                <c:pt idx="237">
                  <c:v>48500</c:v>
                </c:pt>
                <c:pt idx="238">
                  <c:v>10684.750012465542</c:v>
                </c:pt>
                <c:pt idx="239">
                  <c:v>33900</c:v>
                </c:pt>
                <c:pt idx="240">
                  <c:v>109729.60187662003</c:v>
                </c:pt>
                <c:pt idx="241">
                  <c:v>15136.729184326183</c:v>
                </c:pt>
                <c:pt idx="242">
                  <c:v>85000</c:v>
                </c:pt>
                <c:pt idx="243">
                  <c:v>8013.5625093491553</c:v>
                </c:pt>
                <c:pt idx="244">
                  <c:v>48000</c:v>
                </c:pt>
                <c:pt idx="245">
                  <c:v>3027.3458368652364</c:v>
                </c:pt>
                <c:pt idx="246">
                  <c:v>13100</c:v>
                </c:pt>
                <c:pt idx="247">
                  <c:v>60000</c:v>
                </c:pt>
                <c:pt idx="248">
                  <c:v>24000</c:v>
                </c:pt>
                <c:pt idx="249">
                  <c:v>4273.9000049862161</c:v>
                </c:pt>
                <c:pt idx="250">
                  <c:v>11575.14584683767</c:v>
                </c:pt>
                <c:pt idx="251">
                  <c:v>95000</c:v>
                </c:pt>
                <c:pt idx="252">
                  <c:v>9188.8850107203652</c:v>
                </c:pt>
                <c:pt idx="253">
                  <c:v>8975.1900104710548</c:v>
                </c:pt>
                <c:pt idx="254">
                  <c:v>2564.3400029917298</c:v>
                </c:pt>
                <c:pt idx="255">
                  <c:v>86689.804963700633</c:v>
                </c:pt>
                <c:pt idx="256">
                  <c:v>15500</c:v>
                </c:pt>
                <c:pt idx="257">
                  <c:v>148284.35006969364</c:v>
                </c:pt>
                <c:pt idx="258">
                  <c:v>10684.750012465542</c:v>
                </c:pt>
                <c:pt idx="259">
                  <c:v>75000</c:v>
                </c:pt>
                <c:pt idx="260">
                  <c:v>12000</c:v>
                </c:pt>
                <c:pt idx="261">
                  <c:v>30273.458368652366</c:v>
                </c:pt>
                <c:pt idx="262">
                  <c:v>30000</c:v>
                </c:pt>
                <c:pt idx="263">
                  <c:v>6410.8500074793246</c:v>
                </c:pt>
                <c:pt idx="264">
                  <c:v>100000</c:v>
                </c:pt>
                <c:pt idx="265">
                  <c:v>53356.776437647524</c:v>
                </c:pt>
                <c:pt idx="266">
                  <c:v>40000</c:v>
                </c:pt>
                <c:pt idx="267">
                  <c:v>9794.354178093412</c:v>
                </c:pt>
                <c:pt idx="268">
                  <c:v>18499.860539512854</c:v>
                </c:pt>
                <c:pt idx="269">
                  <c:v>19818.231248269083</c:v>
                </c:pt>
                <c:pt idx="270">
                  <c:v>10684.750012465542</c:v>
                </c:pt>
                <c:pt idx="271">
                  <c:v>10684.750012465542</c:v>
                </c:pt>
                <c:pt idx="272">
                  <c:v>17807.916687442568</c:v>
                </c:pt>
                <c:pt idx="273">
                  <c:v>13000</c:v>
                </c:pt>
                <c:pt idx="274">
                  <c:v>16027.125018698311</c:v>
                </c:pt>
                <c:pt idx="275">
                  <c:v>85000</c:v>
                </c:pt>
                <c:pt idx="276">
                  <c:v>6000</c:v>
                </c:pt>
                <c:pt idx="277">
                  <c:v>30000</c:v>
                </c:pt>
                <c:pt idx="278">
                  <c:v>157617.8272067284</c:v>
                </c:pt>
                <c:pt idx="279">
                  <c:v>21369.500024931083</c:v>
                </c:pt>
                <c:pt idx="280">
                  <c:v>3561.5833374885137</c:v>
                </c:pt>
                <c:pt idx="281">
                  <c:v>5000</c:v>
                </c:pt>
                <c:pt idx="282">
                  <c:v>3561.5833374885137</c:v>
                </c:pt>
                <c:pt idx="283">
                  <c:v>38111.983169748237</c:v>
                </c:pt>
                <c:pt idx="284">
                  <c:v>17807.916687442568</c:v>
                </c:pt>
                <c:pt idx="285">
                  <c:v>11575.14584683767</c:v>
                </c:pt>
                <c:pt idx="286">
                  <c:v>98336.152303032693</c:v>
                </c:pt>
                <c:pt idx="287">
                  <c:v>92500</c:v>
                </c:pt>
                <c:pt idx="288">
                  <c:v>9794.354178093412</c:v>
                </c:pt>
                <c:pt idx="289">
                  <c:v>32000</c:v>
                </c:pt>
                <c:pt idx="290">
                  <c:v>55000</c:v>
                </c:pt>
                <c:pt idx="291">
                  <c:v>40000</c:v>
                </c:pt>
                <c:pt idx="292">
                  <c:v>3000</c:v>
                </c:pt>
                <c:pt idx="293">
                  <c:v>43600</c:v>
                </c:pt>
                <c:pt idx="294">
                  <c:v>9616.275011218986</c:v>
                </c:pt>
                <c:pt idx="295">
                  <c:v>35000</c:v>
                </c:pt>
                <c:pt idx="296">
                  <c:v>12000</c:v>
                </c:pt>
                <c:pt idx="297">
                  <c:v>5000</c:v>
                </c:pt>
                <c:pt idx="298">
                  <c:v>16337.518501630093</c:v>
                </c:pt>
                <c:pt idx="299">
                  <c:v>65000</c:v>
                </c:pt>
                <c:pt idx="300">
                  <c:v>40000</c:v>
                </c:pt>
                <c:pt idx="301">
                  <c:v>98000</c:v>
                </c:pt>
                <c:pt idx="302">
                  <c:v>50000</c:v>
                </c:pt>
                <c:pt idx="303">
                  <c:v>135000</c:v>
                </c:pt>
                <c:pt idx="304">
                  <c:v>125000</c:v>
                </c:pt>
                <c:pt idx="305">
                  <c:v>4500</c:v>
                </c:pt>
                <c:pt idx="306">
                  <c:v>115000</c:v>
                </c:pt>
                <c:pt idx="307">
                  <c:v>70000</c:v>
                </c:pt>
                <c:pt idx="308">
                  <c:v>60000</c:v>
                </c:pt>
                <c:pt idx="309">
                  <c:v>87456</c:v>
                </c:pt>
                <c:pt idx="310">
                  <c:v>26400</c:v>
                </c:pt>
                <c:pt idx="311">
                  <c:v>12000</c:v>
                </c:pt>
                <c:pt idx="312">
                  <c:v>2564.3400029917298</c:v>
                </c:pt>
                <c:pt idx="313">
                  <c:v>62000</c:v>
                </c:pt>
                <c:pt idx="314">
                  <c:v>5342.3750062327708</c:v>
                </c:pt>
                <c:pt idx="315">
                  <c:v>50815.977559664309</c:v>
                </c:pt>
                <c:pt idx="316">
                  <c:v>25560</c:v>
                </c:pt>
                <c:pt idx="317">
                  <c:v>12821.700014958649</c:v>
                </c:pt>
                <c:pt idx="318">
                  <c:v>10684.750012465542</c:v>
                </c:pt>
                <c:pt idx="319">
                  <c:v>4457.9172610556352</c:v>
                </c:pt>
                <c:pt idx="320">
                  <c:v>125000</c:v>
                </c:pt>
                <c:pt idx="321">
                  <c:v>43000</c:v>
                </c:pt>
                <c:pt idx="322">
                  <c:v>7123.1666749770275</c:v>
                </c:pt>
                <c:pt idx="323">
                  <c:v>10000</c:v>
                </c:pt>
                <c:pt idx="324">
                  <c:v>8903.9583437212841</c:v>
                </c:pt>
                <c:pt idx="325">
                  <c:v>36500</c:v>
                </c:pt>
                <c:pt idx="326">
                  <c:v>100000</c:v>
                </c:pt>
                <c:pt idx="327">
                  <c:v>7123.1666749770275</c:v>
                </c:pt>
                <c:pt idx="328">
                  <c:v>40958.208381117904</c:v>
                </c:pt>
                <c:pt idx="329">
                  <c:v>21369.500024931083</c:v>
                </c:pt>
                <c:pt idx="330">
                  <c:v>2136.9500024931081</c:v>
                </c:pt>
                <c:pt idx="331">
                  <c:v>8903.9583437212841</c:v>
                </c:pt>
                <c:pt idx="332">
                  <c:v>17807.916687442568</c:v>
                </c:pt>
                <c:pt idx="333">
                  <c:v>15136.729184326183</c:v>
                </c:pt>
                <c:pt idx="334">
                  <c:v>3982.448779308334</c:v>
                </c:pt>
                <c:pt idx="335">
                  <c:v>15600</c:v>
                </c:pt>
                <c:pt idx="336">
                  <c:v>3205.4250037396623</c:v>
                </c:pt>
                <c:pt idx="337">
                  <c:v>10000</c:v>
                </c:pt>
                <c:pt idx="338">
                  <c:v>75010</c:v>
                </c:pt>
                <c:pt idx="339">
                  <c:v>10684.750012465542</c:v>
                </c:pt>
                <c:pt idx="340">
                  <c:v>16350</c:v>
                </c:pt>
                <c:pt idx="341">
                  <c:v>126094.26176538273</c:v>
                </c:pt>
                <c:pt idx="342">
                  <c:v>60000</c:v>
                </c:pt>
                <c:pt idx="343">
                  <c:v>23150.291693675339</c:v>
                </c:pt>
                <c:pt idx="344">
                  <c:v>13801.135432767991</c:v>
                </c:pt>
                <c:pt idx="345">
                  <c:v>18698.312521814696</c:v>
                </c:pt>
                <c:pt idx="346">
                  <c:v>36000</c:v>
                </c:pt>
                <c:pt idx="347">
                  <c:v>8654.6475100970874</c:v>
                </c:pt>
                <c:pt idx="348">
                  <c:v>102451.58768437347</c:v>
                </c:pt>
                <c:pt idx="349">
                  <c:v>36400</c:v>
                </c:pt>
                <c:pt idx="350">
                  <c:v>101206.40684944032</c:v>
                </c:pt>
                <c:pt idx="351">
                  <c:v>5342.3750062327708</c:v>
                </c:pt>
                <c:pt idx="352">
                  <c:v>28310.79811950968</c:v>
                </c:pt>
                <c:pt idx="353">
                  <c:v>26043.18849932796</c:v>
                </c:pt>
                <c:pt idx="354">
                  <c:v>96891.417358250401</c:v>
                </c:pt>
                <c:pt idx="355">
                  <c:v>2564.3400029917298</c:v>
                </c:pt>
                <c:pt idx="356">
                  <c:v>3205.4250037396623</c:v>
                </c:pt>
                <c:pt idx="357">
                  <c:v>10684.750012465542</c:v>
                </c:pt>
                <c:pt idx="358">
                  <c:v>150000</c:v>
                </c:pt>
                <c:pt idx="359">
                  <c:v>12465.541681209797</c:v>
                </c:pt>
                <c:pt idx="360">
                  <c:v>19055.991584874118</c:v>
                </c:pt>
                <c:pt idx="361">
                  <c:v>105000</c:v>
                </c:pt>
                <c:pt idx="362">
                  <c:v>24000</c:v>
                </c:pt>
                <c:pt idx="363">
                  <c:v>78808.913603364199</c:v>
                </c:pt>
                <c:pt idx="364">
                  <c:v>42000</c:v>
                </c:pt>
                <c:pt idx="365">
                  <c:v>9490.1984044603923</c:v>
                </c:pt>
                <c:pt idx="366">
                  <c:v>60000</c:v>
                </c:pt>
                <c:pt idx="367">
                  <c:v>17807.916687442568</c:v>
                </c:pt>
                <c:pt idx="368">
                  <c:v>12465.541681209797</c:v>
                </c:pt>
                <c:pt idx="369">
                  <c:v>20571</c:v>
                </c:pt>
                <c:pt idx="370">
                  <c:v>3480</c:v>
                </c:pt>
                <c:pt idx="371">
                  <c:v>18060</c:v>
                </c:pt>
                <c:pt idx="372">
                  <c:v>30000</c:v>
                </c:pt>
                <c:pt idx="373">
                  <c:v>24000</c:v>
                </c:pt>
                <c:pt idx="374">
                  <c:v>80289.244544269619</c:v>
                </c:pt>
                <c:pt idx="375">
                  <c:v>70000</c:v>
                </c:pt>
                <c:pt idx="376">
                  <c:v>8547.8000099724322</c:v>
                </c:pt>
                <c:pt idx="377">
                  <c:v>10684.750012465542</c:v>
                </c:pt>
                <c:pt idx="378">
                  <c:v>10684.750012465542</c:v>
                </c:pt>
                <c:pt idx="379">
                  <c:v>20000</c:v>
                </c:pt>
                <c:pt idx="380">
                  <c:v>53356.776437647524</c:v>
                </c:pt>
                <c:pt idx="381">
                  <c:v>36000</c:v>
                </c:pt>
                <c:pt idx="382">
                  <c:v>57000</c:v>
                </c:pt>
                <c:pt idx="383">
                  <c:v>135000</c:v>
                </c:pt>
                <c:pt idx="384">
                  <c:v>95279.957924370581</c:v>
                </c:pt>
                <c:pt idx="385">
                  <c:v>57167.974754622352</c:v>
                </c:pt>
                <c:pt idx="386">
                  <c:v>12326.656394453004</c:v>
                </c:pt>
                <c:pt idx="387">
                  <c:v>8000</c:v>
                </c:pt>
                <c:pt idx="388">
                  <c:v>48000</c:v>
                </c:pt>
                <c:pt idx="389">
                  <c:v>40000</c:v>
                </c:pt>
                <c:pt idx="390">
                  <c:v>59819.107020370408</c:v>
                </c:pt>
                <c:pt idx="391">
                  <c:v>150000</c:v>
                </c:pt>
                <c:pt idx="392">
                  <c:v>81592.772512210868</c:v>
                </c:pt>
                <c:pt idx="393">
                  <c:v>96891.417358250401</c:v>
                </c:pt>
                <c:pt idx="394">
                  <c:v>91791.869076237213</c:v>
                </c:pt>
                <c:pt idx="395">
                  <c:v>15000</c:v>
                </c:pt>
                <c:pt idx="396">
                  <c:v>66294.12766617132</c:v>
                </c:pt>
                <c:pt idx="397">
                  <c:v>101990.96564026357</c:v>
                </c:pt>
                <c:pt idx="398">
                  <c:v>60000</c:v>
                </c:pt>
                <c:pt idx="399">
                  <c:v>43856.11522531334</c:v>
                </c:pt>
                <c:pt idx="400">
                  <c:v>45616</c:v>
                </c:pt>
                <c:pt idx="401">
                  <c:v>75770.868892469181</c:v>
                </c:pt>
                <c:pt idx="402">
                  <c:v>57726.886552389187</c:v>
                </c:pt>
                <c:pt idx="403">
                  <c:v>20000</c:v>
                </c:pt>
                <c:pt idx="404">
                  <c:v>203981.93128052715</c:v>
                </c:pt>
                <c:pt idx="405">
                  <c:v>50995.482820131787</c:v>
                </c:pt>
                <c:pt idx="406">
                  <c:v>127488.70705032947</c:v>
                </c:pt>
                <c:pt idx="407">
                  <c:v>66294.12766617132</c:v>
                </c:pt>
                <c:pt idx="408">
                  <c:v>63234.398696963413</c:v>
                </c:pt>
                <c:pt idx="409">
                  <c:v>260000</c:v>
                </c:pt>
                <c:pt idx="410">
                  <c:v>112190.06220428993</c:v>
                </c:pt>
                <c:pt idx="411">
                  <c:v>71393.675948184507</c:v>
                </c:pt>
                <c:pt idx="412">
                  <c:v>85000</c:v>
                </c:pt>
                <c:pt idx="413">
                  <c:v>95871.50770184776</c:v>
                </c:pt>
                <c:pt idx="414">
                  <c:v>109130.33323508203</c:v>
                </c:pt>
                <c:pt idx="415">
                  <c:v>36000</c:v>
                </c:pt>
                <c:pt idx="416">
                  <c:v>122389.15876831629</c:v>
                </c:pt>
                <c:pt idx="417">
                  <c:v>53035.30213293706</c:v>
                </c:pt>
                <c:pt idx="418">
                  <c:v>125000</c:v>
                </c:pt>
                <c:pt idx="419">
                  <c:v>19000</c:v>
                </c:pt>
                <c:pt idx="420">
                  <c:v>93831.688389042494</c:v>
                </c:pt>
                <c:pt idx="421">
                  <c:v>101990.96564026357</c:v>
                </c:pt>
                <c:pt idx="422">
                  <c:v>122389.15876831629</c:v>
                </c:pt>
                <c:pt idx="423">
                  <c:v>34417.653306061438</c:v>
                </c:pt>
                <c:pt idx="424">
                  <c:v>12000</c:v>
                </c:pt>
                <c:pt idx="425">
                  <c:v>3632.815004238284</c:v>
                </c:pt>
                <c:pt idx="426">
                  <c:v>21369.500024931083</c:v>
                </c:pt>
                <c:pt idx="427">
                  <c:v>8903.9583437212841</c:v>
                </c:pt>
                <c:pt idx="428">
                  <c:v>15206.427249917633</c:v>
                </c:pt>
                <c:pt idx="429">
                  <c:v>143565.85684888897</c:v>
                </c:pt>
                <c:pt idx="430">
                  <c:v>9705.3145946561999</c:v>
                </c:pt>
                <c:pt idx="431">
                  <c:v>17807.916687442568</c:v>
                </c:pt>
                <c:pt idx="432">
                  <c:v>3205.4250037396623</c:v>
                </c:pt>
                <c:pt idx="433">
                  <c:v>45000</c:v>
                </c:pt>
                <c:pt idx="434">
                  <c:v>12465.541681209797</c:v>
                </c:pt>
                <c:pt idx="435">
                  <c:v>95871.50770184776</c:v>
                </c:pt>
                <c:pt idx="436">
                  <c:v>173384.64158844808</c:v>
                </c:pt>
                <c:pt idx="437">
                  <c:v>11575.14584683767</c:v>
                </c:pt>
                <c:pt idx="438">
                  <c:v>18000</c:v>
                </c:pt>
                <c:pt idx="439">
                  <c:v>71393.675948184507</c:v>
                </c:pt>
                <c:pt idx="440">
                  <c:v>6232.7708406048987</c:v>
                </c:pt>
                <c:pt idx="441">
                  <c:v>1805.7739622442759</c:v>
                </c:pt>
                <c:pt idx="442">
                  <c:v>11397.066679963244</c:v>
                </c:pt>
                <c:pt idx="443">
                  <c:v>15000</c:v>
                </c:pt>
                <c:pt idx="444">
                  <c:v>37612.869087708088</c:v>
                </c:pt>
                <c:pt idx="445">
                  <c:v>6499.8895909165376</c:v>
                </c:pt>
                <c:pt idx="446">
                  <c:v>20000</c:v>
                </c:pt>
                <c:pt idx="447">
                  <c:v>7265</c:v>
                </c:pt>
                <c:pt idx="448">
                  <c:v>72571.80269935554</c:v>
                </c:pt>
                <c:pt idx="449">
                  <c:v>8013.5625093491553</c:v>
                </c:pt>
                <c:pt idx="450">
                  <c:v>10150.512511842264</c:v>
                </c:pt>
                <c:pt idx="451">
                  <c:v>65000</c:v>
                </c:pt>
                <c:pt idx="452">
                  <c:v>3184.2266150397395</c:v>
                </c:pt>
                <c:pt idx="453">
                  <c:v>10898.445012714852</c:v>
                </c:pt>
                <c:pt idx="454">
                  <c:v>10800</c:v>
                </c:pt>
                <c:pt idx="455">
                  <c:v>2136.9500024931081</c:v>
                </c:pt>
                <c:pt idx="456">
                  <c:v>45000</c:v>
                </c:pt>
                <c:pt idx="457">
                  <c:v>7123.1666749770275</c:v>
                </c:pt>
                <c:pt idx="458">
                  <c:v>5342.3750062327708</c:v>
                </c:pt>
                <c:pt idx="459">
                  <c:v>18000</c:v>
                </c:pt>
                <c:pt idx="460">
                  <c:v>4840.0244548604041</c:v>
                </c:pt>
                <c:pt idx="461">
                  <c:v>7479.3250087258784</c:v>
                </c:pt>
                <c:pt idx="462">
                  <c:v>3739.6625043629392</c:v>
                </c:pt>
                <c:pt idx="463">
                  <c:v>42000</c:v>
                </c:pt>
                <c:pt idx="464">
                  <c:v>28000</c:v>
                </c:pt>
                <c:pt idx="465">
                  <c:v>6000</c:v>
                </c:pt>
                <c:pt idx="466">
                  <c:v>43867.345148271634</c:v>
                </c:pt>
                <c:pt idx="467">
                  <c:v>17807.916687442568</c:v>
                </c:pt>
                <c:pt idx="468">
                  <c:v>10684.750012465542</c:v>
                </c:pt>
                <c:pt idx="469">
                  <c:v>60000</c:v>
                </c:pt>
                <c:pt idx="470">
                  <c:v>8476.5683432226633</c:v>
                </c:pt>
                <c:pt idx="471">
                  <c:v>8700</c:v>
                </c:pt>
                <c:pt idx="472">
                  <c:v>3561.5833374885137</c:v>
                </c:pt>
                <c:pt idx="473">
                  <c:v>3205.4250037396623</c:v>
                </c:pt>
                <c:pt idx="474">
                  <c:v>4487.5950052355274</c:v>
                </c:pt>
                <c:pt idx="475">
                  <c:v>12465.541681209797</c:v>
                </c:pt>
                <c:pt idx="476">
                  <c:v>2400</c:v>
                </c:pt>
                <c:pt idx="477">
                  <c:v>55000</c:v>
                </c:pt>
                <c:pt idx="478">
                  <c:v>12000</c:v>
                </c:pt>
                <c:pt idx="479">
                  <c:v>55262.375596134938</c:v>
                </c:pt>
                <c:pt idx="480">
                  <c:v>21369.500024931083</c:v>
                </c:pt>
                <c:pt idx="481">
                  <c:v>40980.635073749385</c:v>
                </c:pt>
                <c:pt idx="482">
                  <c:v>50995.482820131787</c:v>
                </c:pt>
                <c:pt idx="483">
                  <c:v>20326.391023865726</c:v>
                </c:pt>
                <c:pt idx="484">
                  <c:v>12000</c:v>
                </c:pt>
                <c:pt idx="485">
                  <c:v>29261.227167098674</c:v>
                </c:pt>
                <c:pt idx="486">
                  <c:v>14630.613583549337</c:v>
                </c:pt>
                <c:pt idx="487">
                  <c:v>7265.630008476568</c:v>
                </c:pt>
                <c:pt idx="488">
                  <c:v>44132.991617883956</c:v>
                </c:pt>
                <c:pt idx="489">
                  <c:v>9438.1958443445619</c:v>
                </c:pt>
                <c:pt idx="490">
                  <c:v>18000</c:v>
                </c:pt>
                <c:pt idx="491">
                  <c:v>3561.5833374885137</c:v>
                </c:pt>
                <c:pt idx="492">
                  <c:v>3561.5833374885137</c:v>
                </c:pt>
                <c:pt idx="493">
                  <c:v>5100</c:v>
                </c:pt>
                <c:pt idx="494">
                  <c:v>21369.500024931083</c:v>
                </c:pt>
                <c:pt idx="495">
                  <c:v>5342.3750062327708</c:v>
                </c:pt>
                <c:pt idx="496">
                  <c:v>50000</c:v>
                </c:pt>
                <c:pt idx="497">
                  <c:v>28492.66669990811</c:v>
                </c:pt>
                <c:pt idx="498">
                  <c:v>24588.381044249632</c:v>
                </c:pt>
                <c:pt idx="499">
                  <c:v>7000</c:v>
                </c:pt>
                <c:pt idx="500">
                  <c:v>7799.8675090998449</c:v>
                </c:pt>
                <c:pt idx="501">
                  <c:v>78808.913603364199</c:v>
                </c:pt>
                <c:pt idx="502">
                  <c:v>6720</c:v>
                </c:pt>
                <c:pt idx="503">
                  <c:v>4451.9791718606421</c:v>
                </c:pt>
                <c:pt idx="504">
                  <c:v>47285.348162018527</c:v>
                </c:pt>
                <c:pt idx="505">
                  <c:v>7200</c:v>
                </c:pt>
                <c:pt idx="506">
                  <c:v>44519.791718606422</c:v>
                </c:pt>
                <c:pt idx="507">
                  <c:v>2493.1083362419595</c:v>
                </c:pt>
                <c:pt idx="508">
                  <c:v>31523.565441345683</c:v>
                </c:pt>
                <c:pt idx="509">
                  <c:v>21369.500024931083</c:v>
                </c:pt>
                <c:pt idx="510">
                  <c:v>126094.26176538273</c:v>
                </c:pt>
                <c:pt idx="511">
                  <c:v>99299.231140238902</c:v>
                </c:pt>
                <c:pt idx="512">
                  <c:v>86689.804963700633</c:v>
                </c:pt>
                <c:pt idx="513">
                  <c:v>50000</c:v>
                </c:pt>
                <c:pt idx="514">
                  <c:v>4273.9000049862161</c:v>
                </c:pt>
                <c:pt idx="515">
                  <c:v>4451.9791718606421</c:v>
                </c:pt>
                <c:pt idx="516">
                  <c:v>10684.750012465542</c:v>
                </c:pt>
                <c:pt idx="517">
                  <c:v>63835.220018725006</c:v>
                </c:pt>
                <c:pt idx="518">
                  <c:v>36252.100257547536</c:v>
                </c:pt>
                <c:pt idx="519">
                  <c:v>7960</c:v>
                </c:pt>
                <c:pt idx="520">
                  <c:v>8903.9583437212841</c:v>
                </c:pt>
                <c:pt idx="521">
                  <c:v>50815.977559664309</c:v>
                </c:pt>
                <c:pt idx="522">
                  <c:v>47285.348162018527</c:v>
                </c:pt>
                <c:pt idx="523">
                  <c:v>75656.557059229643</c:v>
                </c:pt>
                <c:pt idx="524">
                  <c:v>4273.9000049862161</c:v>
                </c:pt>
                <c:pt idx="525">
                  <c:v>47004.779242689488</c:v>
                </c:pt>
                <c:pt idx="526">
                  <c:v>47285.348162018527</c:v>
                </c:pt>
                <c:pt idx="527">
                  <c:v>91418.339779902482</c:v>
                </c:pt>
                <c:pt idx="528">
                  <c:v>124518.08349331544</c:v>
                </c:pt>
                <c:pt idx="529">
                  <c:v>69213.140283018583</c:v>
                </c:pt>
                <c:pt idx="530">
                  <c:v>3500</c:v>
                </c:pt>
                <c:pt idx="531">
                  <c:v>63047.130882691366</c:v>
                </c:pt>
                <c:pt idx="532">
                  <c:v>72412.768022521646</c:v>
                </c:pt>
                <c:pt idx="533">
                  <c:v>50815.977559664309</c:v>
                </c:pt>
                <c:pt idx="534">
                  <c:v>21369.500024931083</c:v>
                </c:pt>
                <c:pt idx="535">
                  <c:v>55166.239522354947</c:v>
                </c:pt>
                <c:pt idx="536">
                  <c:v>3205.4250037396623</c:v>
                </c:pt>
                <c:pt idx="537">
                  <c:v>10684.750012465542</c:v>
                </c:pt>
                <c:pt idx="538">
                  <c:v>5342.3750062327708</c:v>
                </c:pt>
                <c:pt idx="539">
                  <c:v>118213.37040504631</c:v>
                </c:pt>
                <c:pt idx="540">
                  <c:v>12192.177986291113</c:v>
                </c:pt>
                <c:pt idx="541">
                  <c:v>70928.022243027779</c:v>
                </c:pt>
                <c:pt idx="542">
                  <c:v>39404.456801682099</c:v>
                </c:pt>
                <c:pt idx="543">
                  <c:v>18987</c:v>
                </c:pt>
                <c:pt idx="544">
                  <c:v>44921.080753917595</c:v>
                </c:pt>
                <c:pt idx="545">
                  <c:v>60000</c:v>
                </c:pt>
                <c:pt idx="546">
                  <c:v>71243.257897441246</c:v>
                </c:pt>
                <c:pt idx="547">
                  <c:v>4487.5950052355274</c:v>
                </c:pt>
                <c:pt idx="548">
                  <c:v>4314.929445034084</c:v>
                </c:pt>
                <c:pt idx="549">
                  <c:v>3739.6625043629392</c:v>
                </c:pt>
                <c:pt idx="550">
                  <c:v>76223.966339496474</c:v>
                </c:pt>
                <c:pt idx="551">
                  <c:v>32666.305522511171</c:v>
                </c:pt>
                <c:pt idx="552">
                  <c:v>19000</c:v>
                </c:pt>
                <c:pt idx="553">
                  <c:v>63519.971949580387</c:v>
                </c:pt>
                <c:pt idx="554">
                  <c:v>16027.125018698311</c:v>
                </c:pt>
                <c:pt idx="555">
                  <c:v>7123.1666749770275</c:v>
                </c:pt>
                <c:pt idx="556">
                  <c:v>2675.675098121621</c:v>
                </c:pt>
                <c:pt idx="557">
                  <c:v>23642.674081009263</c:v>
                </c:pt>
                <c:pt idx="558">
                  <c:v>57167.974754622352</c:v>
                </c:pt>
                <c:pt idx="559">
                  <c:v>42739.000049862167</c:v>
                </c:pt>
                <c:pt idx="560">
                  <c:v>5120.2912876821438</c:v>
                </c:pt>
                <c:pt idx="561">
                  <c:v>127039.94389916077</c:v>
                </c:pt>
                <c:pt idx="562">
                  <c:v>90000</c:v>
                </c:pt>
                <c:pt idx="563">
                  <c:v>7123.1666749770275</c:v>
                </c:pt>
                <c:pt idx="564">
                  <c:v>10000</c:v>
                </c:pt>
                <c:pt idx="565">
                  <c:v>45709.169889951241</c:v>
                </c:pt>
                <c:pt idx="566">
                  <c:v>3561.5833374885137</c:v>
                </c:pt>
                <c:pt idx="567">
                  <c:v>38111.983169748237</c:v>
                </c:pt>
                <c:pt idx="568">
                  <c:v>60000</c:v>
                </c:pt>
                <c:pt idx="569">
                  <c:v>40000</c:v>
                </c:pt>
                <c:pt idx="570">
                  <c:v>15190.15293438851</c:v>
                </c:pt>
                <c:pt idx="571">
                  <c:v>114335.9495092447</c:v>
                </c:pt>
                <c:pt idx="572">
                  <c:v>36252.100257547536</c:v>
                </c:pt>
                <c:pt idx="573">
                  <c:v>47285.348162018527</c:v>
                </c:pt>
                <c:pt idx="574">
                  <c:v>88927.960729412545</c:v>
                </c:pt>
                <c:pt idx="575">
                  <c:v>6000</c:v>
                </c:pt>
                <c:pt idx="576">
                  <c:v>35000</c:v>
                </c:pt>
                <c:pt idx="577">
                  <c:v>55166.239522354947</c:v>
                </c:pt>
                <c:pt idx="578">
                  <c:v>1783.166904422254</c:v>
                </c:pt>
                <c:pt idx="579">
                  <c:v>13500</c:v>
                </c:pt>
                <c:pt idx="580">
                  <c:v>59106.685202523156</c:v>
                </c:pt>
                <c:pt idx="581">
                  <c:v>12608.005014709339</c:v>
                </c:pt>
                <c:pt idx="582">
                  <c:v>44654.095718350931</c:v>
                </c:pt>
                <c:pt idx="583">
                  <c:v>69000</c:v>
                </c:pt>
                <c:pt idx="584">
                  <c:v>6000</c:v>
                </c:pt>
                <c:pt idx="585">
                  <c:v>8903.9583437212841</c:v>
                </c:pt>
                <c:pt idx="586">
                  <c:v>30000</c:v>
                </c:pt>
                <c:pt idx="587">
                  <c:v>8600</c:v>
                </c:pt>
                <c:pt idx="588">
                  <c:v>81600</c:v>
                </c:pt>
                <c:pt idx="589">
                  <c:v>15404.364569961488</c:v>
                </c:pt>
                <c:pt idx="590">
                  <c:v>63918.498996971248</c:v>
                </c:pt>
                <c:pt idx="591">
                  <c:v>75000</c:v>
                </c:pt>
                <c:pt idx="592">
                  <c:v>59000</c:v>
                </c:pt>
                <c:pt idx="593">
                  <c:v>50000</c:v>
                </c:pt>
                <c:pt idx="594">
                  <c:v>126094.26176538273</c:v>
                </c:pt>
                <c:pt idx="595">
                  <c:v>26691.183012544854</c:v>
                </c:pt>
                <c:pt idx="596">
                  <c:v>8903.9583437212841</c:v>
                </c:pt>
                <c:pt idx="597">
                  <c:v>8725</c:v>
                </c:pt>
                <c:pt idx="598">
                  <c:v>50437.70470615309</c:v>
                </c:pt>
                <c:pt idx="599">
                  <c:v>67775.665698893223</c:v>
                </c:pt>
                <c:pt idx="600">
                  <c:v>52118.160720607324</c:v>
                </c:pt>
                <c:pt idx="601">
                  <c:v>3561.5833374885137</c:v>
                </c:pt>
                <c:pt idx="602">
                  <c:v>8013.5625093491553</c:v>
                </c:pt>
                <c:pt idx="603">
                  <c:v>28000</c:v>
                </c:pt>
                <c:pt idx="604">
                  <c:v>50064.150455673145</c:v>
                </c:pt>
                <c:pt idx="605">
                  <c:v>50437.70470615309</c:v>
                </c:pt>
                <c:pt idx="606">
                  <c:v>27840</c:v>
                </c:pt>
                <c:pt idx="607">
                  <c:v>6232.7708406048987</c:v>
                </c:pt>
                <c:pt idx="608">
                  <c:v>50000</c:v>
                </c:pt>
                <c:pt idx="609">
                  <c:v>48000</c:v>
                </c:pt>
                <c:pt idx="610">
                  <c:v>24000</c:v>
                </c:pt>
                <c:pt idx="611">
                  <c:v>75000</c:v>
                </c:pt>
                <c:pt idx="612">
                  <c:v>58799.349940520107</c:v>
                </c:pt>
                <c:pt idx="613">
                  <c:v>21228.177433598263</c:v>
                </c:pt>
                <c:pt idx="614">
                  <c:v>60000</c:v>
                </c:pt>
                <c:pt idx="615">
                  <c:v>18018.883790212141</c:v>
                </c:pt>
                <c:pt idx="616">
                  <c:v>7200</c:v>
                </c:pt>
                <c:pt idx="617">
                  <c:v>56000</c:v>
                </c:pt>
                <c:pt idx="618">
                  <c:v>9616.275011218986</c:v>
                </c:pt>
                <c:pt idx="619">
                  <c:v>51497.005988023957</c:v>
                </c:pt>
                <c:pt idx="620">
                  <c:v>104172.75399731184</c:v>
                </c:pt>
                <c:pt idx="621">
                  <c:v>88000</c:v>
                </c:pt>
                <c:pt idx="622">
                  <c:v>80000</c:v>
                </c:pt>
                <c:pt idx="623">
                  <c:v>19000</c:v>
                </c:pt>
                <c:pt idx="624">
                  <c:v>19055.991584874118</c:v>
                </c:pt>
                <c:pt idx="625">
                  <c:v>8547.8000099724322</c:v>
                </c:pt>
                <c:pt idx="626">
                  <c:v>19588.708356186824</c:v>
                </c:pt>
                <c:pt idx="627">
                  <c:v>61000</c:v>
                </c:pt>
                <c:pt idx="628">
                  <c:v>53590.061250287661</c:v>
                </c:pt>
                <c:pt idx="629">
                  <c:v>53590.061250287661</c:v>
                </c:pt>
                <c:pt idx="630">
                  <c:v>4451.9791718606421</c:v>
                </c:pt>
                <c:pt idx="631">
                  <c:v>25407.988779832154</c:v>
                </c:pt>
                <c:pt idx="632">
                  <c:v>23000</c:v>
                </c:pt>
                <c:pt idx="633">
                  <c:v>16027.125018698311</c:v>
                </c:pt>
                <c:pt idx="634">
                  <c:v>60000</c:v>
                </c:pt>
                <c:pt idx="635">
                  <c:v>4800</c:v>
                </c:pt>
                <c:pt idx="636">
                  <c:v>106815.148267971</c:v>
                </c:pt>
                <c:pt idx="637">
                  <c:v>8903.9583437212841</c:v>
                </c:pt>
                <c:pt idx="638">
                  <c:v>60000</c:v>
                </c:pt>
                <c:pt idx="639">
                  <c:v>46300.583387350678</c:v>
                </c:pt>
                <c:pt idx="640">
                  <c:v>13355.937515581925</c:v>
                </c:pt>
                <c:pt idx="641">
                  <c:v>74000</c:v>
                </c:pt>
                <c:pt idx="642">
                  <c:v>95856</c:v>
                </c:pt>
                <c:pt idx="643">
                  <c:v>40000</c:v>
                </c:pt>
                <c:pt idx="644">
                  <c:v>4400</c:v>
                </c:pt>
                <c:pt idx="645">
                  <c:v>90000</c:v>
                </c:pt>
                <c:pt idx="646">
                  <c:v>8013.5625093491553</c:v>
                </c:pt>
                <c:pt idx="647">
                  <c:v>17807.916687442568</c:v>
                </c:pt>
                <c:pt idx="648">
                  <c:v>12465.541681209797</c:v>
                </c:pt>
                <c:pt idx="649">
                  <c:v>80000</c:v>
                </c:pt>
                <c:pt idx="650">
                  <c:v>100000</c:v>
                </c:pt>
                <c:pt idx="651">
                  <c:v>49200</c:v>
                </c:pt>
                <c:pt idx="652">
                  <c:v>9000</c:v>
                </c:pt>
                <c:pt idx="653">
                  <c:v>5342.3750062327708</c:v>
                </c:pt>
                <c:pt idx="654">
                  <c:v>40000</c:v>
                </c:pt>
                <c:pt idx="655">
                  <c:v>40980.635073749385</c:v>
                </c:pt>
                <c:pt idx="656">
                  <c:v>45709.169889951241</c:v>
                </c:pt>
                <c:pt idx="657">
                  <c:v>7123.1666749770275</c:v>
                </c:pt>
                <c:pt idx="658">
                  <c:v>100000</c:v>
                </c:pt>
                <c:pt idx="659">
                  <c:v>78764.765217479682</c:v>
                </c:pt>
                <c:pt idx="660">
                  <c:v>152986.44846039536</c:v>
                </c:pt>
                <c:pt idx="661">
                  <c:v>44463.980364706273</c:v>
                </c:pt>
                <c:pt idx="662">
                  <c:v>38111.983169748237</c:v>
                </c:pt>
                <c:pt idx="663">
                  <c:v>118213.37040504631</c:v>
                </c:pt>
                <c:pt idx="664">
                  <c:v>39404.456801682099</c:v>
                </c:pt>
                <c:pt idx="665">
                  <c:v>90198.36016840415</c:v>
                </c:pt>
                <c:pt idx="666">
                  <c:v>47285.348162018527</c:v>
                </c:pt>
                <c:pt idx="667">
                  <c:v>56000</c:v>
                </c:pt>
                <c:pt idx="668">
                  <c:v>5082.6943786459069</c:v>
                </c:pt>
                <c:pt idx="669">
                  <c:v>53590.061250287661</c:v>
                </c:pt>
                <c:pt idx="670">
                  <c:v>76906.906752939132</c:v>
                </c:pt>
                <c:pt idx="671">
                  <c:v>85000</c:v>
                </c:pt>
                <c:pt idx="672">
                  <c:v>72000</c:v>
                </c:pt>
                <c:pt idx="673">
                  <c:v>55000</c:v>
                </c:pt>
                <c:pt idx="674">
                  <c:v>67775.665698893223</c:v>
                </c:pt>
                <c:pt idx="675">
                  <c:v>40586.590505732565</c:v>
                </c:pt>
                <c:pt idx="676">
                  <c:v>50846</c:v>
                </c:pt>
                <c:pt idx="677">
                  <c:v>63000</c:v>
                </c:pt>
                <c:pt idx="678">
                  <c:v>81592.772512210868</c:v>
                </c:pt>
                <c:pt idx="679">
                  <c:v>50700</c:v>
                </c:pt>
                <c:pt idx="680">
                  <c:v>31523.565441345683</c:v>
                </c:pt>
                <c:pt idx="681">
                  <c:v>70000</c:v>
                </c:pt>
                <c:pt idx="682">
                  <c:v>63918.498996971248</c:v>
                </c:pt>
                <c:pt idx="683">
                  <c:v>7261.724659606657</c:v>
                </c:pt>
                <c:pt idx="684">
                  <c:v>11404.820437438224</c:v>
                </c:pt>
                <c:pt idx="685">
                  <c:v>120000</c:v>
                </c:pt>
                <c:pt idx="686">
                  <c:v>91791.869076237213</c:v>
                </c:pt>
                <c:pt idx="687">
                  <c:v>112190.06220428993</c:v>
                </c:pt>
                <c:pt idx="688">
                  <c:v>40000</c:v>
                </c:pt>
                <c:pt idx="689">
                  <c:v>107000</c:v>
                </c:pt>
                <c:pt idx="690">
                  <c:v>82000</c:v>
                </c:pt>
                <c:pt idx="691">
                  <c:v>101990.96564026357</c:v>
                </c:pt>
                <c:pt idx="692">
                  <c:v>43000</c:v>
                </c:pt>
                <c:pt idx="693">
                  <c:v>69000</c:v>
                </c:pt>
                <c:pt idx="694">
                  <c:v>30000</c:v>
                </c:pt>
                <c:pt idx="695">
                  <c:v>48955.663507326513</c:v>
                </c:pt>
                <c:pt idx="696">
                  <c:v>70000</c:v>
                </c:pt>
                <c:pt idx="697">
                  <c:v>45000</c:v>
                </c:pt>
                <c:pt idx="698">
                  <c:v>35000</c:v>
                </c:pt>
                <c:pt idx="699">
                  <c:v>8903.9583437212841</c:v>
                </c:pt>
                <c:pt idx="700">
                  <c:v>28353.650809742252</c:v>
                </c:pt>
                <c:pt idx="701">
                  <c:v>11800</c:v>
                </c:pt>
                <c:pt idx="702">
                  <c:v>6410.8500074793246</c:v>
                </c:pt>
                <c:pt idx="703">
                  <c:v>50000</c:v>
                </c:pt>
                <c:pt idx="704">
                  <c:v>85000</c:v>
                </c:pt>
                <c:pt idx="705">
                  <c:v>17807.916687442568</c:v>
                </c:pt>
                <c:pt idx="706">
                  <c:v>16027.125018698311</c:v>
                </c:pt>
                <c:pt idx="707">
                  <c:v>192000</c:v>
                </c:pt>
                <c:pt idx="708">
                  <c:v>54000</c:v>
                </c:pt>
                <c:pt idx="709">
                  <c:v>18000</c:v>
                </c:pt>
                <c:pt idx="710">
                  <c:v>5342.3750062327708</c:v>
                </c:pt>
                <c:pt idx="711">
                  <c:v>7123.1666749770275</c:v>
                </c:pt>
                <c:pt idx="712">
                  <c:v>15000</c:v>
                </c:pt>
                <c:pt idx="713">
                  <c:v>14000</c:v>
                </c:pt>
                <c:pt idx="714">
                  <c:v>8000</c:v>
                </c:pt>
                <c:pt idx="715">
                  <c:v>12500</c:v>
                </c:pt>
                <c:pt idx="716">
                  <c:v>140000</c:v>
                </c:pt>
                <c:pt idx="717">
                  <c:v>12000</c:v>
                </c:pt>
                <c:pt idx="718">
                  <c:v>38111.983169748237</c:v>
                </c:pt>
                <c:pt idx="719">
                  <c:v>10684.750012465542</c:v>
                </c:pt>
                <c:pt idx="720">
                  <c:v>6232.7708406048987</c:v>
                </c:pt>
                <c:pt idx="721">
                  <c:v>45000</c:v>
                </c:pt>
                <c:pt idx="722">
                  <c:v>80000</c:v>
                </c:pt>
                <c:pt idx="723">
                  <c:v>26711.875031163851</c:v>
                </c:pt>
                <c:pt idx="724">
                  <c:v>100000</c:v>
                </c:pt>
                <c:pt idx="725">
                  <c:v>69353.856635379227</c:v>
                </c:pt>
                <c:pt idx="726">
                  <c:v>49975.573163729154</c:v>
                </c:pt>
                <c:pt idx="727">
                  <c:v>10239.552095279476</c:v>
                </c:pt>
                <c:pt idx="728">
                  <c:v>8903.9583437212841</c:v>
                </c:pt>
                <c:pt idx="729">
                  <c:v>36000</c:v>
                </c:pt>
                <c:pt idx="730">
                  <c:v>3739.6625043629392</c:v>
                </c:pt>
                <c:pt idx="731">
                  <c:v>61614.372791092981</c:v>
                </c:pt>
                <c:pt idx="732">
                  <c:v>3561.5833374885137</c:v>
                </c:pt>
                <c:pt idx="733">
                  <c:v>6410.8500074793246</c:v>
                </c:pt>
                <c:pt idx="734">
                  <c:v>36206.384011260823</c:v>
                </c:pt>
                <c:pt idx="735">
                  <c:v>13500</c:v>
                </c:pt>
                <c:pt idx="736">
                  <c:v>3000</c:v>
                </c:pt>
                <c:pt idx="737">
                  <c:v>21369.500024931083</c:v>
                </c:pt>
                <c:pt idx="738">
                  <c:v>10684.750012465542</c:v>
                </c:pt>
                <c:pt idx="739">
                  <c:v>176585.52201983347</c:v>
                </c:pt>
                <c:pt idx="740">
                  <c:v>54627.175876639136</c:v>
                </c:pt>
                <c:pt idx="741">
                  <c:v>30489.586535798586</c:v>
                </c:pt>
                <c:pt idx="742">
                  <c:v>5591.6858398569666</c:v>
                </c:pt>
                <c:pt idx="743">
                  <c:v>82000</c:v>
                </c:pt>
                <c:pt idx="744">
                  <c:v>10000</c:v>
                </c:pt>
                <c:pt idx="745">
                  <c:v>9000</c:v>
                </c:pt>
                <c:pt idx="746">
                  <c:v>9000</c:v>
                </c:pt>
                <c:pt idx="747">
                  <c:v>11753.225013712095</c:v>
                </c:pt>
                <c:pt idx="748">
                  <c:v>3632.815004238284</c:v>
                </c:pt>
                <c:pt idx="749">
                  <c:v>95279.957924370581</c:v>
                </c:pt>
                <c:pt idx="750">
                  <c:v>70928.022243027779</c:v>
                </c:pt>
                <c:pt idx="751">
                  <c:v>52086.37699865592</c:v>
                </c:pt>
                <c:pt idx="752">
                  <c:v>4897.177089046706</c:v>
                </c:pt>
                <c:pt idx="753">
                  <c:v>63807.047488395103</c:v>
                </c:pt>
                <c:pt idx="754">
                  <c:v>24000</c:v>
                </c:pt>
                <c:pt idx="755">
                  <c:v>60000</c:v>
                </c:pt>
                <c:pt idx="756">
                  <c:v>5342.3750062327708</c:v>
                </c:pt>
                <c:pt idx="757">
                  <c:v>8903.9583437212841</c:v>
                </c:pt>
                <c:pt idx="758">
                  <c:v>40980.635073749385</c:v>
                </c:pt>
                <c:pt idx="759">
                  <c:v>10684.750012465542</c:v>
                </c:pt>
                <c:pt idx="760">
                  <c:v>21369.500024931083</c:v>
                </c:pt>
                <c:pt idx="761">
                  <c:v>18000</c:v>
                </c:pt>
                <c:pt idx="762">
                  <c:v>41000</c:v>
                </c:pt>
                <c:pt idx="763">
                  <c:v>28492.66669990811</c:v>
                </c:pt>
                <c:pt idx="764">
                  <c:v>49500</c:v>
                </c:pt>
                <c:pt idx="765">
                  <c:v>6600</c:v>
                </c:pt>
                <c:pt idx="766">
                  <c:v>110332.47904470989</c:v>
                </c:pt>
                <c:pt idx="767">
                  <c:v>47285.348162018527</c:v>
                </c:pt>
                <c:pt idx="768">
                  <c:v>5300</c:v>
                </c:pt>
                <c:pt idx="769">
                  <c:v>43828.780645210471</c:v>
                </c:pt>
                <c:pt idx="770">
                  <c:v>80000</c:v>
                </c:pt>
                <c:pt idx="771">
                  <c:v>11518.711713336908</c:v>
                </c:pt>
                <c:pt idx="772">
                  <c:v>152986.44846039536</c:v>
                </c:pt>
                <c:pt idx="773">
                  <c:v>125000</c:v>
                </c:pt>
                <c:pt idx="774">
                  <c:v>101990.96564026357</c:v>
                </c:pt>
                <c:pt idx="775">
                  <c:v>105000</c:v>
                </c:pt>
                <c:pt idx="776">
                  <c:v>50815.977559664309</c:v>
                </c:pt>
                <c:pt idx="777">
                  <c:v>75000</c:v>
                </c:pt>
                <c:pt idx="778">
                  <c:v>4451.9791718606421</c:v>
                </c:pt>
                <c:pt idx="779">
                  <c:v>110000</c:v>
                </c:pt>
                <c:pt idx="780">
                  <c:v>42556.81334581667</c:v>
                </c:pt>
                <c:pt idx="781">
                  <c:v>8013.5625093491553</c:v>
                </c:pt>
                <c:pt idx="782">
                  <c:v>125000</c:v>
                </c:pt>
                <c:pt idx="783">
                  <c:v>60000</c:v>
                </c:pt>
                <c:pt idx="784">
                  <c:v>39355.495879248076</c:v>
                </c:pt>
                <c:pt idx="785">
                  <c:v>57167.974754622352</c:v>
                </c:pt>
                <c:pt idx="786">
                  <c:v>50694.322109187968</c:v>
                </c:pt>
                <c:pt idx="787">
                  <c:v>57500</c:v>
                </c:pt>
                <c:pt idx="788">
                  <c:v>78764.765217479682</c:v>
                </c:pt>
                <c:pt idx="789">
                  <c:v>80000</c:v>
                </c:pt>
                <c:pt idx="790">
                  <c:v>70928.022243027779</c:v>
                </c:pt>
                <c:pt idx="791">
                  <c:v>33000</c:v>
                </c:pt>
                <c:pt idx="792">
                  <c:v>100000</c:v>
                </c:pt>
                <c:pt idx="793">
                  <c:v>60000</c:v>
                </c:pt>
                <c:pt idx="794">
                  <c:v>95000</c:v>
                </c:pt>
                <c:pt idx="795">
                  <c:v>24000</c:v>
                </c:pt>
                <c:pt idx="796">
                  <c:v>50000</c:v>
                </c:pt>
                <c:pt idx="797">
                  <c:v>103000</c:v>
                </c:pt>
                <c:pt idx="798">
                  <c:v>36000</c:v>
                </c:pt>
                <c:pt idx="799">
                  <c:v>85000</c:v>
                </c:pt>
                <c:pt idx="800">
                  <c:v>100000</c:v>
                </c:pt>
                <c:pt idx="801">
                  <c:v>83000</c:v>
                </c:pt>
                <c:pt idx="802">
                  <c:v>85000</c:v>
                </c:pt>
                <c:pt idx="803">
                  <c:v>120000</c:v>
                </c:pt>
                <c:pt idx="804">
                  <c:v>69960</c:v>
                </c:pt>
                <c:pt idx="805">
                  <c:v>97000</c:v>
                </c:pt>
                <c:pt idx="806">
                  <c:v>94570.696324037053</c:v>
                </c:pt>
                <c:pt idx="807">
                  <c:v>39000</c:v>
                </c:pt>
                <c:pt idx="808">
                  <c:v>4451.9791718606421</c:v>
                </c:pt>
                <c:pt idx="809">
                  <c:v>62000</c:v>
                </c:pt>
                <c:pt idx="810">
                  <c:v>44000</c:v>
                </c:pt>
                <c:pt idx="811">
                  <c:v>150000</c:v>
                </c:pt>
                <c:pt idx="812">
                  <c:v>228671.89901848941</c:v>
                </c:pt>
                <c:pt idx="813">
                  <c:v>73500</c:v>
                </c:pt>
                <c:pt idx="814">
                  <c:v>77500</c:v>
                </c:pt>
                <c:pt idx="815">
                  <c:v>60800</c:v>
                </c:pt>
                <c:pt idx="816">
                  <c:v>136000</c:v>
                </c:pt>
                <c:pt idx="817">
                  <c:v>20000</c:v>
                </c:pt>
                <c:pt idx="818">
                  <c:v>95000</c:v>
                </c:pt>
                <c:pt idx="819">
                  <c:v>130000</c:v>
                </c:pt>
                <c:pt idx="820">
                  <c:v>65000</c:v>
                </c:pt>
                <c:pt idx="821">
                  <c:v>80000</c:v>
                </c:pt>
                <c:pt idx="822">
                  <c:v>37000</c:v>
                </c:pt>
                <c:pt idx="823">
                  <c:v>40000</c:v>
                </c:pt>
                <c:pt idx="824">
                  <c:v>49000</c:v>
                </c:pt>
                <c:pt idx="825">
                  <c:v>65000</c:v>
                </c:pt>
                <c:pt idx="826">
                  <c:v>55000</c:v>
                </c:pt>
                <c:pt idx="827">
                  <c:v>40000</c:v>
                </c:pt>
                <c:pt idx="828">
                  <c:v>60000</c:v>
                </c:pt>
                <c:pt idx="829">
                  <c:v>45734.379803697877</c:v>
                </c:pt>
                <c:pt idx="830">
                  <c:v>150000</c:v>
                </c:pt>
                <c:pt idx="831">
                  <c:v>88000</c:v>
                </c:pt>
                <c:pt idx="832">
                  <c:v>64500</c:v>
                </c:pt>
                <c:pt idx="833">
                  <c:v>57600</c:v>
                </c:pt>
                <c:pt idx="834">
                  <c:v>50000</c:v>
                </c:pt>
                <c:pt idx="835">
                  <c:v>120000</c:v>
                </c:pt>
                <c:pt idx="836">
                  <c:v>107000</c:v>
                </c:pt>
                <c:pt idx="837">
                  <c:v>40000</c:v>
                </c:pt>
                <c:pt idx="838">
                  <c:v>81000</c:v>
                </c:pt>
                <c:pt idx="839">
                  <c:v>45000</c:v>
                </c:pt>
                <c:pt idx="840">
                  <c:v>49000</c:v>
                </c:pt>
                <c:pt idx="841">
                  <c:v>13355.937515581925</c:v>
                </c:pt>
                <c:pt idx="842">
                  <c:v>72000</c:v>
                </c:pt>
                <c:pt idx="843">
                  <c:v>50000</c:v>
                </c:pt>
                <c:pt idx="844">
                  <c:v>57678</c:v>
                </c:pt>
                <c:pt idx="845">
                  <c:v>80442</c:v>
                </c:pt>
                <c:pt idx="846">
                  <c:v>75000</c:v>
                </c:pt>
                <c:pt idx="847">
                  <c:v>61000</c:v>
                </c:pt>
                <c:pt idx="848">
                  <c:v>77000</c:v>
                </c:pt>
                <c:pt idx="849">
                  <c:v>92000</c:v>
                </c:pt>
                <c:pt idx="850">
                  <c:v>72000</c:v>
                </c:pt>
                <c:pt idx="851">
                  <c:v>14000</c:v>
                </c:pt>
                <c:pt idx="852">
                  <c:v>111000</c:v>
                </c:pt>
                <c:pt idx="853">
                  <c:v>80000</c:v>
                </c:pt>
                <c:pt idx="854">
                  <c:v>57875.729234188344</c:v>
                </c:pt>
                <c:pt idx="855">
                  <c:v>25000</c:v>
                </c:pt>
                <c:pt idx="856">
                  <c:v>24000</c:v>
                </c:pt>
                <c:pt idx="857">
                  <c:v>61000</c:v>
                </c:pt>
                <c:pt idx="858">
                  <c:v>56095.031102144967</c:v>
                </c:pt>
                <c:pt idx="859">
                  <c:v>71393.675948184507</c:v>
                </c:pt>
                <c:pt idx="860">
                  <c:v>96230</c:v>
                </c:pt>
                <c:pt idx="861">
                  <c:v>75000</c:v>
                </c:pt>
                <c:pt idx="862">
                  <c:v>102000</c:v>
                </c:pt>
                <c:pt idx="863">
                  <c:v>19008.034062397041</c:v>
                </c:pt>
                <c:pt idx="864">
                  <c:v>4356</c:v>
                </c:pt>
                <c:pt idx="865">
                  <c:v>5342.3750062327708</c:v>
                </c:pt>
                <c:pt idx="866">
                  <c:v>67000</c:v>
                </c:pt>
                <c:pt idx="867">
                  <c:v>8547.8000099724322</c:v>
                </c:pt>
                <c:pt idx="868">
                  <c:v>16027.125018698311</c:v>
                </c:pt>
                <c:pt idx="869">
                  <c:v>10684.750012465542</c:v>
                </c:pt>
                <c:pt idx="870">
                  <c:v>30000</c:v>
                </c:pt>
                <c:pt idx="871">
                  <c:v>8903.9583437212841</c:v>
                </c:pt>
                <c:pt idx="872">
                  <c:v>20000</c:v>
                </c:pt>
                <c:pt idx="873">
                  <c:v>87712.230450626681</c:v>
                </c:pt>
                <c:pt idx="874">
                  <c:v>17807.916687442568</c:v>
                </c:pt>
                <c:pt idx="875">
                  <c:v>41000</c:v>
                </c:pt>
                <c:pt idx="876">
                  <c:v>60000</c:v>
                </c:pt>
                <c:pt idx="877">
                  <c:v>32187.34988380854</c:v>
                </c:pt>
                <c:pt idx="878">
                  <c:v>39879.404680246938</c:v>
                </c:pt>
                <c:pt idx="879">
                  <c:v>5698.5333399816218</c:v>
                </c:pt>
                <c:pt idx="880">
                  <c:v>7123.1666749770275</c:v>
                </c:pt>
                <c:pt idx="881">
                  <c:v>4451.9791718606421</c:v>
                </c:pt>
                <c:pt idx="882">
                  <c:v>6410.8500074793246</c:v>
                </c:pt>
                <c:pt idx="883">
                  <c:v>20479.104190558952</c:v>
                </c:pt>
                <c:pt idx="884">
                  <c:v>11040.908346214392</c:v>
                </c:pt>
                <c:pt idx="885">
                  <c:v>17807.916687442568</c:v>
                </c:pt>
                <c:pt idx="886">
                  <c:v>3561.5833374885137</c:v>
                </c:pt>
                <c:pt idx="887">
                  <c:v>26795.030625143831</c:v>
                </c:pt>
                <c:pt idx="888">
                  <c:v>20400</c:v>
                </c:pt>
                <c:pt idx="889">
                  <c:v>39404.456801682099</c:v>
                </c:pt>
                <c:pt idx="890">
                  <c:v>149907.13380100971</c:v>
                </c:pt>
                <c:pt idx="891">
                  <c:v>4095.8208381117906</c:v>
                </c:pt>
                <c:pt idx="892">
                  <c:v>127488.70705032947</c:v>
                </c:pt>
                <c:pt idx="893">
                  <c:v>58318.59606648951</c:v>
                </c:pt>
                <c:pt idx="894">
                  <c:v>9509.8988293070688</c:v>
                </c:pt>
                <c:pt idx="895">
                  <c:v>12821.700014958649</c:v>
                </c:pt>
                <c:pt idx="896">
                  <c:v>4000</c:v>
                </c:pt>
                <c:pt idx="897">
                  <c:v>42000</c:v>
                </c:pt>
                <c:pt idx="898">
                  <c:v>3200</c:v>
                </c:pt>
                <c:pt idx="899">
                  <c:v>60000</c:v>
                </c:pt>
                <c:pt idx="900">
                  <c:v>85000</c:v>
                </c:pt>
                <c:pt idx="901">
                  <c:v>109000</c:v>
                </c:pt>
                <c:pt idx="902">
                  <c:v>76223.966339496474</c:v>
                </c:pt>
                <c:pt idx="903">
                  <c:v>77000</c:v>
                </c:pt>
                <c:pt idx="904">
                  <c:v>25000</c:v>
                </c:pt>
                <c:pt idx="905">
                  <c:v>64000</c:v>
                </c:pt>
                <c:pt idx="906">
                  <c:v>231119.74856804207</c:v>
                </c:pt>
                <c:pt idx="907">
                  <c:v>76000</c:v>
                </c:pt>
                <c:pt idx="908">
                  <c:v>15761.782720672842</c:v>
                </c:pt>
                <c:pt idx="909">
                  <c:v>168285.09330643489</c:v>
                </c:pt>
                <c:pt idx="910">
                  <c:v>50000</c:v>
                </c:pt>
                <c:pt idx="911">
                  <c:v>7200</c:v>
                </c:pt>
                <c:pt idx="912">
                  <c:v>53356.776437647524</c:v>
                </c:pt>
                <c:pt idx="913">
                  <c:v>45000</c:v>
                </c:pt>
                <c:pt idx="914">
                  <c:v>5000</c:v>
                </c:pt>
                <c:pt idx="915">
                  <c:v>75473.31457379504</c:v>
                </c:pt>
                <c:pt idx="916">
                  <c:v>15000</c:v>
                </c:pt>
                <c:pt idx="917">
                  <c:v>42558.381206218859</c:v>
                </c:pt>
                <c:pt idx="918">
                  <c:v>61000</c:v>
                </c:pt>
                <c:pt idx="919">
                  <c:v>66000</c:v>
                </c:pt>
                <c:pt idx="920">
                  <c:v>4950.6008391090336</c:v>
                </c:pt>
                <c:pt idx="921">
                  <c:v>55000</c:v>
                </c:pt>
                <c:pt idx="922">
                  <c:v>32000</c:v>
                </c:pt>
                <c:pt idx="923">
                  <c:v>18000</c:v>
                </c:pt>
                <c:pt idx="924">
                  <c:v>11575.14584683767</c:v>
                </c:pt>
                <c:pt idx="925">
                  <c:v>63519.971949580387</c:v>
                </c:pt>
                <c:pt idx="926">
                  <c:v>71231.666749770273</c:v>
                </c:pt>
                <c:pt idx="927">
                  <c:v>10000</c:v>
                </c:pt>
                <c:pt idx="928">
                  <c:v>74300</c:v>
                </c:pt>
                <c:pt idx="929">
                  <c:v>26711.875031163851</c:v>
                </c:pt>
                <c:pt idx="930">
                  <c:v>9545.0433444692171</c:v>
                </c:pt>
                <c:pt idx="931">
                  <c:v>95000</c:v>
                </c:pt>
                <c:pt idx="932">
                  <c:v>64300</c:v>
                </c:pt>
                <c:pt idx="933">
                  <c:v>250000</c:v>
                </c:pt>
                <c:pt idx="934">
                  <c:v>89000</c:v>
                </c:pt>
                <c:pt idx="935">
                  <c:v>75000</c:v>
                </c:pt>
                <c:pt idx="936">
                  <c:v>45000</c:v>
                </c:pt>
                <c:pt idx="937">
                  <c:v>127500</c:v>
                </c:pt>
                <c:pt idx="938">
                  <c:v>170000</c:v>
                </c:pt>
                <c:pt idx="939">
                  <c:v>9600</c:v>
                </c:pt>
                <c:pt idx="940">
                  <c:v>62000</c:v>
                </c:pt>
                <c:pt idx="941">
                  <c:v>22000</c:v>
                </c:pt>
                <c:pt idx="942">
                  <c:v>45000</c:v>
                </c:pt>
                <c:pt idx="943">
                  <c:v>145000</c:v>
                </c:pt>
                <c:pt idx="944">
                  <c:v>89000</c:v>
                </c:pt>
                <c:pt idx="945">
                  <c:v>38000</c:v>
                </c:pt>
                <c:pt idx="946">
                  <c:v>49168.076151516347</c:v>
                </c:pt>
                <c:pt idx="947">
                  <c:v>8903.9583437212841</c:v>
                </c:pt>
                <c:pt idx="948">
                  <c:v>10000</c:v>
                </c:pt>
                <c:pt idx="949">
                  <c:v>105000</c:v>
                </c:pt>
                <c:pt idx="950">
                  <c:v>12000</c:v>
                </c:pt>
                <c:pt idx="951">
                  <c:v>3561.5833374885137</c:v>
                </c:pt>
                <c:pt idx="952">
                  <c:v>86692.320794224041</c:v>
                </c:pt>
                <c:pt idx="953">
                  <c:v>8000</c:v>
                </c:pt>
                <c:pt idx="954">
                  <c:v>6767.0083412281756</c:v>
                </c:pt>
                <c:pt idx="955">
                  <c:v>48073.437298052166</c:v>
                </c:pt>
                <c:pt idx="956">
                  <c:v>76223.966339496474</c:v>
                </c:pt>
                <c:pt idx="957">
                  <c:v>85333.333333333328</c:v>
                </c:pt>
                <c:pt idx="958">
                  <c:v>76223.981237173866</c:v>
                </c:pt>
                <c:pt idx="959">
                  <c:v>30000</c:v>
                </c:pt>
                <c:pt idx="960">
                  <c:v>34000</c:v>
                </c:pt>
                <c:pt idx="961">
                  <c:v>3205.4250037396623</c:v>
                </c:pt>
                <c:pt idx="962">
                  <c:v>45000</c:v>
                </c:pt>
                <c:pt idx="963">
                  <c:v>24864</c:v>
                </c:pt>
                <c:pt idx="964">
                  <c:v>47285.348162018527</c:v>
                </c:pt>
                <c:pt idx="965">
                  <c:v>17807.916687442568</c:v>
                </c:pt>
                <c:pt idx="966">
                  <c:v>55166.239522354947</c:v>
                </c:pt>
                <c:pt idx="967">
                  <c:v>69871.969144538423</c:v>
                </c:pt>
                <c:pt idx="968">
                  <c:v>70970</c:v>
                </c:pt>
                <c:pt idx="969">
                  <c:v>76223.966339496474</c:v>
                </c:pt>
                <c:pt idx="970">
                  <c:v>110000</c:v>
                </c:pt>
                <c:pt idx="971">
                  <c:v>14400</c:v>
                </c:pt>
                <c:pt idx="972">
                  <c:v>125000</c:v>
                </c:pt>
                <c:pt idx="973">
                  <c:v>72768.752704244194</c:v>
                </c:pt>
                <c:pt idx="974">
                  <c:v>59000</c:v>
                </c:pt>
                <c:pt idx="975">
                  <c:v>71500</c:v>
                </c:pt>
                <c:pt idx="976">
                  <c:v>39404.456801682099</c:v>
                </c:pt>
                <c:pt idx="977">
                  <c:v>88927.960729412545</c:v>
                </c:pt>
                <c:pt idx="978">
                  <c:v>90000</c:v>
                </c:pt>
                <c:pt idx="979">
                  <c:v>12465.541681209797</c:v>
                </c:pt>
                <c:pt idx="980">
                  <c:v>40000</c:v>
                </c:pt>
                <c:pt idx="981">
                  <c:v>30000</c:v>
                </c:pt>
                <c:pt idx="982">
                  <c:v>46325</c:v>
                </c:pt>
                <c:pt idx="983">
                  <c:v>15000</c:v>
                </c:pt>
                <c:pt idx="984">
                  <c:v>31200</c:v>
                </c:pt>
                <c:pt idx="985">
                  <c:v>8903.9583437212841</c:v>
                </c:pt>
                <c:pt idx="986">
                  <c:v>15840</c:v>
                </c:pt>
                <c:pt idx="987">
                  <c:v>15136.729184326183</c:v>
                </c:pt>
                <c:pt idx="988">
                  <c:v>41000</c:v>
                </c:pt>
                <c:pt idx="989">
                  <c:v>11000</c:v>
                </c:pt>
                <c:pt idx="990">
                  <c:v>55166.239522354947</c:v>
                </c:pt>
                <c:pt idx="991">
                  <c:v>5689.2125418690484</c:v>
                </c:pt>
                <c:pt idx="992">
                  <c:v>17728</c:v>
                </c:pt>
                <c:pt idx="993">
                  <c:v>13745.704467353951</c:v>
                </c:pt>
                <c:pt idx="994">
                  <c:v>50000</c:v>
                </c:pt>
                <c:pt idx="995">
                  <c:v>78668.921842426149</c:v>
                </c:pt>
                <c:pt idx="996">
                  <c:v>85000</c:v>
                </c:pt>
                <c:pt idx="997">
                  <c:v>101990.96564026357</c:v>
                </c:pt>
                <c:pt idx="998">
                  <c:v>100614.72928405051</c:v>
                </c:pt>
                <c:pt idx="999">
                  <c:v>86692.320794224041</c:v>
                </c:pt>
                <c:pt idx="1000">
                  <c:v>122389.15876831629</c:v>
                </c:pt>
                <c:pt idx="1001">
                  <c:v>6410.8500074793246</c:v>
                </c:pt>
                <c:pt idx="1002">
                  <c:v>44000</c:v>
                </c:pt>
                <c:pt idx="1003">
                  <c:v>4451.9791718606421</c:v>
                </c:pt>
                <c:pt idx="1004">
                  <c:v>4500</c:v>
                </c:pt>
                <c:pt idx="1005">
                  <c:v>30273.458368652366</c:v>
                </c:pt>
                <c:pt idx="1006">
                  <c:v>52000</c:v>
                </c:pt>
                <c:pt idx="1007">
                  <c:v>75000</c:v>
                </c:pt>
                <c:pt idx="1008">
                  <c:v>17807.916687442568</c:v>
                </c:pt>
                <c:pt idx="1009">
                  <c:v>177600</c:v>
                </c:pt>
                <c:pt idx="1010">
                  <c:v>11575.14584683767</c:v>
                </c:pt>
                <c:pt idx="1011">
                  <c:v>26678.388218823762</c:v>
                </c:pt>
                <c:pt idx="1012">
                  <c:v>126094.26176538273</c:v>
                </c:pt>
                <c:pt idx="1013">
                  <c:v>6000</c:v>
                </c:pt>
                <c:pt idx="1014">
                  <c:v>10000</c:v>
                </c:pt>
                <c:pt idx="1015">
                  <c:v>50000</c:v>
                </c:pt>
                <c:pt idx="1016">
                  <c:v>10000</c:v>
                </c:pt>
                <c:pt idx="1017">
                  <c:v>50000</c:v>
                </c:pt>
                <c:pt idx="1018">
                  <c:v>20000</c:v>
                </c:pt>
                <c:pt idx="1019">
                  <c:v>31523.565441345683</c:v>
                </c:pt>
                <c:pt idx="1020">
                  <c:v>63519.971949580387</c:v>
                </c:pt>
                <c:pt idx="1021">
                  <c:v>35063.024516168378</c:v>
                </c:pt>
                <c:pt idx="1022">
                  <c:v>55000</c:v>
                </c:pt>
                <c:pt idx="1023">
                  <c:v>38000</c:v>
                </c:pt>
                <c:pt idx="1024">
                  <c:v>32054.250037396621</c:v>
                </c:pt>
                <c:pt idx="1025">
                  <c:v>35500</c:v>
                </c:pt>
                <c:pt idx="1026">
                  <c:v>62000</c:v>
                </c:pt>
                <c:pt idx="1027">
                  <c:v>33887.832849446611</c:v>
                </c:pt>
                <c:pt idx="1028">
                  <c:v>60000</c:v>
                </c:pt>
                <c:pt idx="1029">
                  <c:v>32884</c:v>
                </c:pt>
                <c:pt idx="1030">
                  <c:v>42000</c:v>
                </c:pt>
                <c:pt idx="1031">
                  <c:v>68000</c:v>
                </c:pt>
                <c:pt idx="1032">
                  <c:v>85000</c:v>
                </c:pt>
                <c:pt idx="1033">
                  <c:v>13000</c:v>
                </c:pt>
                <c:pt idx="1034">
                  <c:v>15000</c:v>
                </c:pt>
                <c:pt idx="1035">
                  <c:v>50000</c:v>
                </c:pt>
                <c:pt idx="1036">
                  <c:v>7000</c:v>
                </c:pt>
                <c:pt idx="1037">
                  <c:v>140000</c:v>
                </c:pt>
                <c:pt idx="1038">
                  <c:v>7123.1666749770275</c:v>
                </c:pt>
                <c:pt idx="1039">
                  <c:v>58318.59606648951</c:v>
                </c:pt>
                <c:pt idx="1040">
                  <c:v>12109.383347460946</c:v>
                </c:pt>
                <c:pt idx="1041">
                  <c:v>55000</c:v>
                </c:pt>
                <c:pt idx="1042">
                  <c:v>60000</c:v>
                </c:pt>
                <c:pt idx="1043">
                  <c:v>5698.5333399816218</c:v>
                </c:pt>
                <c:pt idx="1044">
                  <c:v>9376.2513877177607</c:v>
                </c:pt>
                <c:pt idx="1045">
                  <c:v>94570.696324037053</c:v>
                </c:pt>
                <c:pt idx="1046">
                  <c:v>36000</c:v>
                </c:pt>
                <c:pt idx="1047">
                  <c:v>65889.291743537498</c:v>
                </c:pt>
                <c:pt idx="1048">
                  <c:v>106000</c:v>
                </c:pt>
                <c:pt idx="1049">
                  <c:v>82888.5550559455</c:v>
                </c:pt>
                <c:pt idx="1050">
                  <c:v>59819.107020370408</c:v>
                </c:pt>
                <c:pt idx="1051">
                  <c:v>6545</c:v>
                </c:pt>
                <c:pt idx="1052">
                  <c:v>17807.916687442568</c:v>
                </c:pt>
                <c:pt idx="1053">
                  <c:v>54000</c:v>
                </c:pt>
                <c:pt idx="1054">
                  <c:v>100000</c:v>
                </c:pt>
                <c:pt idx="1055">
                  <c:v>49168.076151516347</c:v>
                </c:pt>
                <c:pt idx="1056">
                  <c:v>4019</c:v>
                </c:pt>
                <c:pt idx="1057">
                  <c:v>15000</c:v>
                </c:pt>
                <c:pt idx="1058">
                  <c:v>17807.916687442568</c:v>
                </c:pt>
                <c:pt idx="1059">
                  <c:v>12000</c:v>
                </c:pt>
                <c:pt idx="1060">
                  <c:v>2225.989585930321</c:v>
                </c:pt>
                <c:pt idx="1061">
                  <c:v>86000</c:v>
                </c:pt>
                <c:pt idx="1062">
                  <c:v>6054.6916737304728</c:v>
                </c:pt>
                <c:pt idx="1063">
                  <c:v>3360</c:v>
                </c:pt>
                <c:pt idx="1064">
                  <c:v>10000</c:v>
                </c:pt>
                <c:pt idx="1065">
                  <c:v>70000</c:v>
                </c:pt>
                <c:pt idx="1066">
                  <c:v>155000</c:v>
                </c:pt>
                <c:pt idx="1067">
                  <c:v>225000</c:v>
                </c:pt>
                <c:pt idx="1068">
                  <c:v>10000</c:v>
                </c:pt>
                <c:pt idx="1069">
                  <c:v>5342.3750062327708</c:v>
                </c:pt>
                <c:pt idx="1070">
                  <c:v>85672.4111378214</c:v>
                </c:pt>
                <c:pt idx="1071">
                  <c:v>4273.9000049862161</c:v>
                </c:pt>
                <c:pt idx="1072">
                  <c:v>8903.9583437212841</c:v>
                </c:pt>
                <c:pt idx="1073">
                  <c:v>66199.48742682593</c:v>
                </c:pt>
                <c:pt idx="1074">
                  <c:v>5698.5333399816218</c:v>
                </c:pt>
                <c:pt idx="1075">
                  <c:v>34675.92198548025</c:v>
                </c:pt>
                <c:pt idx="1076">
                  <c:v>31200</c:v>
                </c:pt>
                <c:pt idx="1077">
                  <c:v>55068.245289698301</c:v>
                </c:pt>
                <c:pt idx="1078">
                  <c:v>13000</c:v>
                </c:pt>
                <c:pt idx="1079">
                  <c:v>92000</c:v>
                </c:pt>
                <c:pt idx="1080">
                  <c:v>85000</c:v>
                </c:pt>
                <c:pt idx="1081">
                  <c:v>11000</c:v>
                </c:pt>
                <c:pt idx="1082">
                  <c:v>38111.983169748237</c:v>
                </c:pt>
                <c:pt idx="1083">
                  <c:v>49000</c:v>
                </c:pt>
                <c:pt idx="1084">
                  <c:v>59000</c:v>
                </c:pt>
                <c:pt idx="1085">
                  <c:v>55000</c:v>
                </c:pt>
                <c:pt idx="1086">
                  <c:v>75000</c:v>
                </c:pt>
                <c:pt idx="1087">
                  <c:v>50307.817784067665</c:v>
                </c:pt>
                <c:pt idx="1088">
                  <c:v>30500</c:v>
                </c:pt>
                <c:pt idx="1089">
                  <c:v>80000</c:v>
                </c:pt>
                <c:pt idx="1090">
                  <c:v>12000</c:v>
                </c:pt>
                <c:pt idx="1091">
                  <c:v>48500</c:v>
                </c:pt>
                <c:pt idx="1092">
                  <c:v>63047.130882691366</c:v>
                </c:pt>
                <c:pt idx="1093">
                  <c:v>3419.1200039889732</c:v>
                </c:pt>
                <c:pt idx="1094">
                  <c:v>87734.690296543267</c:v>
                </c:pt>
                <c:pt idx="1095">
                  <c:v>56628.754645950656</c:v>
                </c:pt>
                <c:pt idx="1096">
                  <c:v>8013.5625093491553</c:v>
                </c:pt>
                <c:pt idx="1097">
                  <c:v>3561.5833374885137</c:v>
                </c:pt>
                <c:pt idx="1098">
                  <c:v>62000</c:v>
                </c:pt>
                <c:pt idx="1099">
                  <c:v>26678.388218823762</c:v>
                </c:pt>
                <c:pt idx="1100">
                  <c:v>70928.022243027779</c:v>
                </c:pt>
                <c:pt idx="1101">
                  <c:v>41923.181486723057</c:v>
                </c:pt>
                <c:pt idx="1102">
                  <c:v>90000</c:v>
                </c:pt>
                <c:pt idx="1103">
                  <c:v>67700.452577525488</c:v>
                </c:pt>
                <c:pt idx="1104">
                  <c:v>85000</c:v>
                </c:pt>
                <c:pt idx="1105">
                  <c:v>78808.913603364199</c:v>
                </c:pt>
                <c:pt idx="1106">
                  <c:v>65000</c:v>
                </c:pt>
                <c:pt idx="1107">
                  <c:v>75000</c:v>
                </c:pt>
                <c:pt idx="1108">
                  <c:v>92000</c:v>
                </c:pt>
                <c:pt idx="1109">
                  <c:v>50815.977559664309</c:v>
                </c:pt>
                <c:pt idx="1110">
                  <c:v>55954.328658388586</c:v>
                </c:pt>
                <c:pt idx="1111">
                  <c:v>45000</c:v>
                </c:pt>
                <c:pt idx="1112">
                  <c:v>7123.1666749770275</c:v>
                </c:pt>
                <c:pt idx="1113">
                  <c:v>49443.946165553374</c:v>
                </c:pt>
                <c:pt idx="1114">
                  <c:v>45000</c:v>
                </c:pt>
                <c:pt idx="1115">
                  <c:v>60000</c:v>
                </c:pt>
                <c:pt idx="1116">
                  <c:v>65000</c:v>
                </c:pt>
                <c:pt idx="1117">
                  <c:v>73000</c:v>
                </c:pt>
                <c:pt idx="1118">
                  <c:v>54000</c:v>
                </c:pt>
                <c:pt idx="1119">
                  <c:v>81000</c:v>
                </c:pt>
                <c:pt idx="1120">
                  <c:v>10000</c:v>
                </c:pt>
                <c:pt idx="1121">
                  <c:v>42000</c:v>
                </c:pt>
                <c:pt idx="1122">
                  <c:v>81592.772512210868</c:v>
                </c:pt>
                <c:pt idx="1123">
                  <c:v>35401.014829091764</c:v>
                </c:pt>
                <c:pt idx="1124">
                  <c:v>8903.9583437212841</c:v>
                </c:pt>
                <c:pt idx="1125">
                  <c:v>10684.750012465542</c:v>
                </c:pt>
                <c:pt idx="1126">
                  <c:v>8400</c:v>
                </c:pt>
                <c:pt idx="1127">
                  <c:v>9794.354178093412</c:v>
                </c:pt>
                <c:pt idx="1128">
                  <c:v>14400</c:v>
                </c:pt>
                <c:pt idx="1129">
                  <c:v>2671.1875031163854</c:v>
                </c:pt>
                <c:pt idx="1130">
                  <c:v>22000</c:v>
                </c:pt>
                <c:pt idx="1131">
                  <c:v>100000</c:v>
                </c:pt>
                <c:pt idx="1132">
                  <c:v>63047.130882691366</c:v>
                </c:pt>
                <c:pt idx="1133">
                  <c:v>56742.417794422225</c:v>
                </c:pt>
                <c:pt idx="1134">
                  <c:v>25000</c:v>
                </c:pt>
                <c:pt idx="1135">
                  <c:v>8903.9583437212841</c:v>
                </c:pt>
                <c:pt idx="1136">
                  <c:v>42556.81334581667</c:v>
                </c:pt>
                <c:pt idx="1137">
                  <c:v>131770.4440860638</c:v>
                </c:pt>
                <c:pt idx="1138">
                  <c:v>68835.306612122877</c:v>
                </c:pt>
                <c:pt idx="1139">
                  <c:v>6000</c:v>
                </c:pt>
                <c:pt idx="1140">
                  <c:v>78808.913603364199</c:v>
                </c:pt>
                <c:pt idx="1141">
                  <c:v>7497.1329254133216</c:v>
                </c:pt>
                <c:pt idx="1142">
                  <c:v>10000</c:v>
                </c:pt>
                <c:pt idx="1143">
                  <c:v>6410.8500074793246</c:v>
                </c:pt>
                <c:pt idx="1144">
                  <c:v>63047.130882691366</c:v>
                </c:pt>
                <c:pt idx="1145">
                  <c:v>61194.579384158147</c:v>
                </c:pt>
                <c:pt idx="1146">
                  <c:v>115061.01386091174</c:v>
                </c:pt>
                <c:pt idx="1147">
                  <c:v>45000</c:v>
                </c:pt>
                <c:pt idx="1148">
                  <c:v>36000</c:v>
                </c:pt>
                <c:pt idx="1149">
                  <c:v>68000</c:v>
                </c:pt>
                <c:pt idx="1150">
                  <c:v>75000</c:v>
                </c:pt>
                <c:pt idx="1151">
                  <c:v>88000</c:v>
                </c:pt>
                <c:pt idx="1152">
                  <c:v>4594.4425053601826</c:v>
                </c:pt>
                <c:pt idx="1153">
                  <c:v>69000</c:v>
                </c:pt>
                <c:pt idx="1154">
                  <c:v>30000</c:v>
                </c:pt>
                <c:pt idx="1155">
                  <c:v>80000</c:v>
                </c:pt>
                <c:pt idx="1156">
                  <c:v>75000</c:v>
                </c:pt>
                <c:pt idx="1157">
                  <c:v>31200</c:v>
                </c:pt>
                <c:pt idx="1158">
                  <c:v>85000</c:v>
                </c:pt>
                <c:pt idx="1159">
                  <c:v>16917.52085307044</c:v>
                </c:pt>
                <c:pt idx="1160">
                  <c:v>3205.4250037396623</c:v>
                </c:pt>
                <c:pt idx="1161">
                  <c:v>60000</c:v>
                </c:pt>
                <c:pt idx="1162">
                  <c:v>60000</c:v>
                </c:pt>
                <c:pt idx="1163">
                  <c:v>14246.333349954055</c:v>
                </c:pt>
                <c:pt idx="1164">
                  <c:v>14246.333349954055</c:v>
                </c:pt>
                <c:pt idx="1165">
                  <c:v>28995</c:v>
                </c:pt>
                <c:pt idx="1166">
                  <c:v>21903.737525554359</c:v>
                </c:pt>
                <c:pt idx="1167">
                  <c:v>20122.945856810104</c:v>
                </c:pt>
                <c:pt idx="1168">
                  <c:v>70928.022243027779</c:v>
                </c:pt>
                <c:pt idx="1169">
                  <c:v>67000</c:v>
                </c:pt>
                <c:pt idx="1170">
                  <c:v>30000</c:v>
                </c:pt>
                <c:pt idx="1171">
                  <c:v>148102.22862117883</c:v>
                </c:pt>
                <c:pt idx="1172">
                  <c:v>71500</c:v>
                </c:pt>
                <c:pt idx="1173">
                  <c:v>67000</c:v>
                </c:pt>
                <c:pt idx="1174">
                  <c:v>40000</c:v>
                </c:pt>
                <c:pt idx="1175">
                  <c:v>65000</c:v>
                </c:pt>
                <c:pt idx="1176">
                  <c:v>72000</c:v>
                </c:pt>
                <c:pt idx="1177">
                  <c:v>52500</c:v>
                </c:pt>
                <c:pt idx="1178">
                  <c:v>5320</c:v>
                </c:pt>
                <c:pt idx="1179">
                  <c:v>18000</c:v>
                </c:pt>
                <c:pt idx="1180">
                  <c:v>2493.1083362419595</c:v>
                </c:pt>
                <c:pt idx="1181">
                  <c:v>21342.710575059013</c:v>
                </c:pt>
                <c:pt idx="1182">
                  <c:v>85000</c:v>
                </c:pt>
                <c:pt idx="1183">
                  <c:v>80000</c:v>
                </c:pt>
                <c:pt idx="1184">
                  <c:v>8903.9583437212841</c:v>
                </c:pt>
                <c:pt idx="1185">
                  <c:v>125000</c:v>
                </c:pt>
                <c:pt idx="1186">
                  <c:v>23150.291693675339</c:v>
                </c:pt>
                <c:pt idx="1187">
                  <c:v>12000</c:v>
                </c:pt>
                <c:pt idx="1188">
                  <c:v>30000</c:v>
                </c:pt>
                <c:pt idx="1189">
                  <c:v>91468.759607395754</c:v>
                </c:pt>
                <c:pt idx="1190">
                  <c:v>35148.775467100437</c:v>
                </c:pt>
                <c:pt idx="1191">
                  <c:v>49153.119414418252</c:v>
                </c:pt>
                <c:pt idx="1192">
                  <c:v>2671.1875031163854</c:v>
                </c:pt>
                <c:pt idx="1193">
                  <c:v>42556.81334581667</c:v>
                </c:pt>
                <c:pt idx="1194">
                  <c:v>42556.81334581667</c:v>
                </c:pt>
                <c:pt idx="1195">
                  <c:v>74461</c:v>
                </c:pt>
                <c:pt idx="1196">
                  <c:v>41768.724209783031</c:v>
                </c:pt>
                <c:pt idx="1197">
                  <c:v>8547.8000099724322</c:v>
                </c:pt>
                <c:pt idx="1198">
                  <c:v>2400</c:v>
                </c:pt>
                <c:pt idx="1199">
                  <c:v>3000</c:v>
                </c:pt>
                <c:pt idx="1200">
                  <c:v>11000</c:v>
                </c:pt>
                <c:pt idx="1201">
                  <c:v>40000</c:v>
                </c:pt>
                <c:pt idx="1202">
                  <c:v>3600</c:v>
                </c:pt>
                <c:pt idx="1203">
                  <c:v>56600</c:v>
                </c:pt>
                <c:pt idx="1204">
                  <c:v>33600</c:v>
                </c:pt>
                <c:pt idx="1205">
                  <c:v>33600</c:v>
                </c:pt>
                <c:pt idx="1206">
                  <c:v>100000</c:v>
                </c:pt>
                <c:pt idx="1207">
                  <c:v>39334.460921213074</c:v>
                </c:pt>
                <c:pt idx="1208">
                  <c:v>7123.1666749770275</c:v>
                </c:pt>
                <c:pt idx="1209">
                  <c:v>65000</c:v>
                </c:pt>
                <c:pt idx="1210">
                  <c:v>65000</c:v>
                </c:pt>
                <c:pt idx="1211">
                  <c:v>65000</c:v>
                </c:pt>
                <c:pt idx="1212">
                  <c:v>76702.198796365497</c:v>
                </c:pt>
                <c:pt idx="1213">
                  <c:v>63000</c:v>
                </c:pt>
                <c:pt idx="1214">
                  <c:v>87000</c:v>
                </c:pt>
                <c:pt idx="1215">
                  <c:v>45000</c:v>
                </c:pt>
                <c:pt idx="1216">
                  <c:v>85000</c:v>
                </c:pt>
                <c:pt idx="1217">
                  <c:v>159105.90639881117</c:v>
                </c:pt>
                <c:pt idx="1218">
                  <c:v>9972.4333449678379</c:v>
                </c:pt>
                <c:pt idx="1219">
                  <c:v>14000</c:v>
                </c:pt>
                <c:pt idx="1220">
                  <c:v>50437.70470615309</c:v>
                </c:pt>
                <c:pt idx="1221">
                  <c:v>50437.70470615309</c:v>
                </c:pt>
                <c:pt idx="1222">
                  <c:v>13603.016099449767</c:v>
                </c:pt>
                <c:pt idx="1223">
                  <c:v>147886.90017838217</c:v>
                </c:pt>
                <c:pt idx="1224">
                  <c:v>4986.216672483919</c:v>
                </c:pt>
                <c:pt idx="1225">
                  <c:v>4800</c:v>
                </c:pt>
                <c:pt idx="1226">
                  <c:v>8013.5625093491553</c:v>
                </c:pt>
                <c:pt idx="1227">
                  <c:v>80000</c:v>
                </c:pt>
                <c:pt idx="1228">
                  <c:v>57167.974754622352</c:v>
                </c:pt>
                <c:pt idx="1229">
                  <c:v>20000</c:v>
                </c:pt>
                <c:pt idx="1230">
                  <c:v>70000</c:v>
                </c:pt>
                <c:pt idx="1231">
                  <c:v>214000</c:v>
                </c:pt>
                <c:pt idx="1232">
                  <c:v>78000</c:v>
                </c:pt>
                <c:pt idx="1233">
                  <c:v>42307</c:v>
                </c:pt>
                <c:pt idx="1234">
                  <c:v>33250</c:v>
                </c:pt>
                <c:pt idx="1235">
                  <c:v>24391.669228638868</c:v>
                </c:pt>
                <c:pt idx="1236">
                  <c:v>120000</c:v>
                </c:pt>
                <c:pt idx="1237">
                  <c:v>20000</c:v>
                </c:pt>
                <c:pt idx="1238">
                  <c:v>15000</c:v>
                </c:pt>
                <c:pt idx="1239">
                  <c:v>17807.916687442568</c:v>
                </c:pt>
                <c:pt idx="1240">
                  <c:v>16027.125018698311</c:v>
                </c:pt>
                <c:pt idx="1241">
                  <c:v>56742.417794422225</c:v>
                </c:pt>
                <c:pt idx="1242">
                  <c:v>21369.500024931083</c:v>
                </c:pt>
                <c:pt idx="1243">
                  <c:v>7568.3645921630914</c:v>
                </c:pt>
                <c:pt idx="1244">
                  <c:v>78808.913603364199</c:v>
                </c:pt>
                <c:pt idx="1245">
                  <c:v>60000</c:v>
                </c:pt>
                <c:pt idx="1246">
                  <c:v>57000</c:v>
                </c:pt>
                <c:pt idx="1247">
                  <c:v>40000</c:v>
                </c:pt>
                <c:pt idx="1248">
                  <c:v>80000</c:v>
                </c:pt>
                <c:pt idx="1249">
                  <c:v>118000</c:v>
                </c:pt>
                <c:pt idx="1250">
                  <c:v>60000</c:v>
                </c:pt>
                <c:pt idx="1251">
                  <c:v>6720</c:v>
                </c:pt>
                <c:pt idx="1252">
                  <c:v>20640</c:v>
                </c:pt>
                <c:pt idx="1253">
                  <c:v>50000</c:v>
                </c:pt>
                <c:pt idx="1254">
                  <c:v>24000</c:v>
                </c:pt>
                <c:pt idx="1255">
                  <c:v>60000</c:v>
                </c:pt>
                <c:pt idx="1256">
                  <c:v>37500</c:v>
                </c:pt>
                <c:pt idx="1257">
                  <c:v>40000</c:v>
                </c:pt>
                <c:pt idx="1258">
                  <c:v>85000</c:v>
                </c:pt>
                <c:pt idx="1259">
                  <c:v>30000</c:v>
                </c:pt>
                <c:pt idx="1260">
                  <c:v>52801.972114254015</c:v>
                </c:pt>
                <c:pt idx="1261">
                  <c:v>29000</c:v>
                </c:pt>
                <c:pt idx="1262">
                  <c:v>48000</c:v>
                </c:pt>
                <c:pt idx="1263">
                  <c:v>48000</c:v>
                </c:pt>
                <c:pt idx="1264">
                  <c:v>8400</c:v>
                </c:pt>
                <c:pt idx="1265">
                  <c:v>4808.137505609493</c:v>
                </c:pt>
                <c:pt idx="1266">
                  <c:v>24931.083362419595</c:v>
                </c:pt>
                <c:pt idx="1267">
                  <c:v>12465.541681209797</c:v>
                </c:pt>
                <c:pt idx="1268">
                  <c:v>31523.565441345683</c:v>
                </c:pt>
                <c:pt idx="1269">
                  <c:v>17807.916687442568</c:v>
                </c:pt>
                <c:pt idx="1270">
                  <c:v>112000</c:v>
                </c:pt>
                <c:pt idx="1271">
                  <c:v>11000</c:v>
                </c:pt>
                <c:pt idx="1272">
                  <c:v>114335.9495092447</c:v>
                </c:pt>
                <c:pt idx="1273">
                  <c:v>16110</c:v>
                </c:pt>
                <c:pt idx="1274">
                  <c:v>72000</c:v>
                </c:pt>
                <c:pt idx="1275">
                  <c:v>60000</c:v>
                </c:pt>
                <c:pt idx="1276">
                  <c:v>67000</c:v>
                </c:pt>
                <c:pt idx="1277">
                  <c:v>54000</c:v>
                </c:pt>
                <c:pt idx="1278">
                  <c:v>38666</c:v>
                </c:pt>
                <c:pt idx="1279">
                  <c:v>63000</c:v>
                </c:pt>
                <c:pt idx="1280">
                  <c:v>63000</c:v>
                </c:pt>
                <c:pt idx="1281">
                  <c:v>6410.8500074793246</c:v>
                </c:pt>
                <c:pt idx="1282">
                  <c:v>10684.750012465542</c:v>
                </c:pt>
                <c:pt idx="1283">
                  <c:v>40000</c:v>
                </c:pt>
                <c:pt idx="1284">
                  <c:v>6232.7708406048987</c:v>
                </c:pt>
                <c:pt idx="1285">
                  <c:v>41712.231189497601</c:v>
                </c:pt>
                <c:pt idx="1286">
                  <c:v>12465.541681209797</c:v>
                </c:pt>
                <c:pt idx="1287">
                  <c:v>32311.654577379326</c:v>
                </c:pt>
                <c:pt idx="1288">
                  <c:v>7123.1666749770275</c:v>
                </c:pt>
                <c:pt idx="1289">
                  <c:v>100000</c:v>
                </c:pt>
                <c:pt idx="1290">
                  <c:v>59819.107020370408</c:v>
                </c:pt>
                <c:pt idx="1291">
                  <c:v>25000</c:v>
                </c:pt>
                <c:pt idx="1292">
                  <c:v>5000</c:v>
                </c:pt>
                <c:pt idx="1293">
                  <c:v>64254.308353366054</c:v>
                </c:pt>
                <c:pt idx="1294">
                  <c:v>76223.966339496474</c:v>
                </c:pt>
                <c:pt idx="1295">
                  <c:v>102542.54233725216</c:v>
                </c:pt>
                <c:pt idx="1296">
                  <c:v>46000</c:v>
                </c:pt>
                <c:pt idx="1297">
                  <c:v>5000</c:v>
                </c:pt>
                <c:pt idx="1298">
                  <c:v>77819.106783521114</c:v>
                </c:pt>
                <c:pt idx="1299">
                  <c:v>6232.7708406048987</c:v>
                </c:pt>
                <c:pt idx="1300">
                  <c:v>55166.239522354947</c:v>
                </c:pt>
                <c:pt idx="1301">
                  <c:v>45000</c:v>
                </c:pt>
                <c:pt idx="1302">
                  <c:v>60000</c:v>
                </c:pt>
                <c:pt idx="1303">
                  <c:v>43000</c:v>
                </c:pt>
                <c:pt idx="1304">
                  <c:v>35571.184291765021</c:v>
                </c:pt>
                <c:pt idx="1305">
                  <c:v>48000</c:v>
                </c:pt>
                <c:pt idx="1306">
                  <c:v>122389.15876831629</c:v>
                </c:pt>
                <c:pt idx="1307">
                  <c:v>4000</c:v>
                </c:pt>
                <c:pt idx="1308">
                  <c:v>4451.9791718606421</c:v>
                </c:pt>
                <c:pt idx="1309">
                  <c:v>2953.8461538461538</c:v>
                </c:pt>
                <c:pt idx="1310">
                  <c:v>39404.456801682099</c:v>
                </c:pt>
                <c:pt idx="1311">
                  <c:v>75473.31457379504</c:v>
                </c:pt>
                <c:pt idx="1312">
                  <c:v>13355.937515581925</c:v>
                </c:pt>
                <c:pt idx="1313">
                  <c:v>25000</c:v>
                </c:pt>
                <c:pt idx="1314">
                  <c:v>7479.3250087258784</c:v>
                </c:pt>
                <c:pt idx="1315">
                  <c:v>62000</c:v>
                </c:pt>
                <c:pt idx="1316">
                  <c:v>48000</c:v>
                </c:pt>
                <c:pt idx="1317">
                  <c:v>5000</c:v>
                </c:pt>
                <c:pt idx="1318">
                  <c:v>4914.9850057341491</c:v>
                </c:pt>
                <c:pt idx="1319">
                  <c:v>75000</c:v>
                </c:pt>
                <c:pt idx="1320">
                  <c:v>4451.9791718606421</c:v>
                </c:pt>
                <c:pt idx="1321">
                  <c:v>8400</c:v>
                </c:pt>
                <c:pt idx="1322">
                  <c:v>20000</c:v>
                </c:pt>
                <c:pt idx="1323">
                  <c:v>110000</c:v>
                </c:pt>
                <c:pt idx="1324">
                  <c:v>50000</c:v>
                </c:pt>
                <c:pt idx="1325">
                  <c:v>46000</c:v>
                </c:pt>
                <c:pt idx="1326">
                  <c:v>115000</c:v>
                </c:pt>
                <c:pt idx="1327">
                  <c:v>3205.4250037396623</c:v>
                </c:pt>
                <c:pt idx="1328">
                  <c:v>76223.966339496474</c:v>
                </c:pt>
                <c:pt idx="1329">
                  <c:v>52500</c:v>
                </c:pt>
                <c:pt idx="1330">
                  <c:v>100800</c:v>
                </c:pt>
                <c:pt idx="1331">
                  <c:v>21000</c:v>
                </c:pt>
                <c:pt idx="1332">
                  <c:v>40000</c:v>
                </c:pt>
                <c:pt idx="1333">
                  <c:v>46359</c:v>
                </c:pt>
                <c:pt idx="1334">
                  <c:v>70000</c:v>
                </c:pt>
              </c:numCache>
            </c:numRef>
          </c:xVal>
          <c:yVal>
            <c:numRef>
              <c:f>xyData!$B$2:$B$1336</c:f>
              <c:numCache>
                <c:formatCode>General</c:formatCode>
                <c:ptCount val="1335"/>
                <c:pt idx="0">
                  <c:v>5</c:v>
                </c:pt>
                <c:pt idx="1">
                  <c:v>20</c:v>
                </c:pt>
                <c:pt idx="2">
                  <c:v>7</c:v>
                </c:pt>
                <c:pt idx="3">
                  <c:v>20</c:v>
                </c:pt>
                <c:pt idx="4">
                  <c:v>1</c:v>
                </c:pt>
                <c:pt idx="5">
                  <c:v>10</c:v>
                </c:pt>
                <c:pt idx="6">
                  <c:v>6</c:v>
                </c:pt>
                <c:pt idx="7">
                  <c:v>2</c:v>
                </c:pt>
                <c:pt idx="8">
                  <c:v>11</c:v>
                </c:pt>
                <c:pt idx="9">
                  <c:v>20</c:v>
                </c:pt>
                <c:pt idx="10">
                  <c:v>23</c:v>
                </c:pt>
                <c:pt idx="11">
                  <c:v>11</c:v>
                </c:pt>
                <c:pt idx="12">
                  <c:v>6</c:v>
                </c:pt>
                <c:pt idx="13">
                  <c:v>27</c:v>
                </c:pt>
                <c:pt idx="14">
                  <c:v>10</c:v>
                </c:pt>
                <c:pt idx="15">
                  <c:v>6</c:v>
                </c:pt>
                <c:pt idx="16">
                  <c:v>20</c:v>
                </c:pt>
                <c:pt idx="17">
                  <c:v>8</c:v>
                </c:pt>
                <c:pt idx="18">
                  <c:v>15</c:v>
                </c:pt>
                <c:pt idx="19">
                  <c:v>22</c:v>
                </c:pt>
                <c:pt idx="20">
                  <c:v>27</c:v>
                </c:pt>
                <c:pt idx="21">
                  <c:v>3</c:v>
                </c:pt>
                <c:pt idx="22">
                  <c:v>10</c:v>
                </c:pt>
                <c:pt idx="23">
                  <c:v>30</c:v>
                </c:pt>
                <c:pt idx="24">
                  <c:v>10</c:v>
                </c:pt>
                <c:pt idx="25">
                  <c:v>15</c:v>
                </c:pt>
                <c:pt idx="26">
                  <c:v>3</c:v>
                </c:pt>
                <c:pt idx="27">
                  <c:v>16</c:v>
                </c:pt>
                <c:pt idx="28">
                  <c:v>25</c:v>
                </c:pt>
                <c:pt idx="29">
                  <c:v>8</c:v>
                </c:pt>
                <c:pt idx="30">
                  <c:v>3</c:v>
                </c:pt>
                <c:pt idx="31">
                  <c:v>7</c:v>
                </c:pt>
                <c:pt idx="32">
                  <c:v>10</c:v>
                </c:pt>
                <c:pt idx="33">
                  <c:v>10</c:v>
                </c:pt>
                <c:pt idx="34">
                  <c:v>4</c:v>
                </c:pt>
                <c:pt idx="35">
                  <c:v>7</c:v>
                </c:pt>
                <c:pt idx="36">
                  <c:v>5</c:v>
                </c:pt>
                <c:pt idx="37">
                  <c:v>3</c:v>
                </c:pt>
                <c:pt idx="38">
                  <c:v>25</c:v>
                </c:pt>
                <c:pt idx="39">
                  <c:v>15</c:v>
                </c:pt>
                <c:pt idx="40">
                  <c:v>7</c:v>
                </c:pt>
                <c:pt idx="41">
                  <c:v>20</c:v>
                </c:pt>
                <c:pt idx="42">
                  <c:v>5</c:v>
                </c:pt>
                <c:pt idx="43">
                  <c:v>10</c:v>
                </c:pt>
                <c:pt idx="44">
                  <c:v>17</c:v>
                </c:pt>
                <c:pt idx="45">
                  <c:v>18</c:v>
                </c:pt>
                <c:pt idx="46">
                  <c:v>5</c:v>
                </c:pt>
                <c:pt idx="47">
                  <c:v>20</c:v>
                </c:pt>
                <c:pt idx="48">
                  <c:v>10</c:v>
                </c:pt>
                <c:pt idx="49">
                  <c:v>8</c:v>
                </c:pt>
                <c:pt idx="50">
                  <c:v>3</c:v>
                </c:pt>
                <c:pt idx="51">
                  <c:v>5</c:v>
                </c:pt>
                <c:pt idx="52">
                  <c:v>20</c:v>
                </c:pt>
                <c:pt idx="53">
                  <c:v>6</c:v>
                </c:pt>
                <c:pt idx="54">
                  <c:v>10</c:v>
                </c:pt>
                <c:pt idx="55">
                  <c:v>15</c:v>
                </c:pt>
                <c:pt idx="56">
                  <c:v>23</c:v>
                </c:pt>
                <c:pt idx="57">
                  <c:v>32</c:v>
                </c:pt>
                <c:pt idx="58">
                  <c:v>3</c:v>
                </c:pt>
                <c:pt idx="59">
                  <c:v>26</c:v>
                </c:pt>
                <c:pt idx="60">
                  <c:v>20</c:v>
                </c:pt>
                <c:pt idx="61">
                  <c:v>20</c:v>
                </c:pt>
                <c:pt idx="62">
                  <c:v>6</c:v>
                </c:pt>
                <c:pt idx="63">
                  <c:v>1</c:v>
                </c:pt>
                <c:pt idx="64">
                  <c:v>10</c:v>
                </c:pt>
                <c:pt idx="65">
                  <c:v>5</c:v>
                </c:pt>
                <c:pt idx="66">
                  <c:v>4</c:v>
                </c:pt>
                <c:pt idx="67">
                  <c:v>12</c:v>
                </c:pt>
                <c:pt idx="68">
                  <c:v>3</c:v>
                </c:pt>
                <c:pt idx="69">
                  <c:v>12</c:v>
                </c:pt>
                <c:pt idx="70">
                  <c:v>10</c:v>
                </c:pt>
                <c:pt idx="71">
                  <c:v>20</c:v>
                </c:pt>
                <c:pt idx="72">
                  <c:v>4</c:v>
                </c:pt>
                <c:pt idx="73">
                  <c:v>3</c:v>
                </c:pt>
                <c:pt idx="74">
                  <c:v>8</c:v>
                </c:pt>
                <c:pt idx="75">
                  <c:v>3</c:v>
                </c:pt>
                <c:pt idx="76">
                  <c:v>2</c:v>
                </c:pt>
                <c:pt idx="77">
                  <c:v>1.5</c:v>
                </c:pt>
                <c:pt idx="78">
                  <c:v>6</c:v>
                </c:pt>
                <c:pt idx="79">
                  <c:v>5</c:v>
                </c:pt>
                <c:pt idx="80">
                  <c:v>30</c:v>
                </c:pt>
                <c:pt idx="81">
                  <c:v>1</c:v>
                </c:pt>
                <c:pt idx="82">
                  <c:v>5</c:v>
                </c:pt>
                <c:pt idx="83">
                  <c:v>11</c:v>
                </c:pt>
                <c:pt idx="84">
                  <c:v>4</c:v>
                </c:pt>
                <c:pt idx="85">
                  <c:v>1</c:v>
                </c:pt>
                <c:pt idx="86">
                  <c:v>5</c:v>
                </c:pt>
                <c:pt idx="87">
                  <c:v>3</c:v>
                </c:pt>
                <c:pt idx="88">
                  <c:v>3</c:v>
                </c:pt>
                <c:pt idx="89">
                  <c:v>5</c:v>
                </c:pt>
                <c:pt idx="90">
                  <c:v>8</c:v>
                </c:pt>
                <c:pt idx="91">
                  <c:v>3</c:v>
                </c:pt>
                <c:pt idx="92">
                  <c:v>10</c:v>
                </c:pt>
                <c:pt idx="93">
                  <c:v>9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11</c:v>
                </c:pt>
                <c:pt idx="98">
                  <c:v>12</c:v>
                </c:pt>
                <c:pt idx="99">
                  <c:v>10</c:v>
                </c:pt>
                <c:pt idx="100">
                  <c:v>4.5</c:v>
                </c:pt>
                <c:pt idx="101">
                  <c:v>3</c:v>
                </c:pt>
                <c:pt idx="102">
                  <c:v>8</c:v>
                </c:pt>
                <c:pt idx="103">
                  <c:v>8</c:v>
                </c:pt>
                <c:pt idx="104">
                  <c:v>3</c:v>
                </c:pt>
                <c:pt idx="105">
                  <c:v>3</c:v>
                </c:pt>
                <c:pt idx="106">
                  <c:v>12</c:v>
                </c:pt>
                <c:pt idx="107">
                  <c:v>15</c:v>
                </c:pt>
                <c:pt idx="108">
                  <c:v>7.3</c:v>
                </c:pt>
                <c:pt idx="109">
                  <c:v>1</c:v>
                </c:pt>
                <c:pt idx="110">
                  <c:v>6</c:v>
                </c:pt>
                <c:pt idx="111">
                  <c:v>4.5</c:v>
                </c:pt>
                <c:pt idx="112">
                  <c:v>4.5</c:v>
                </c:pt>
                <c:pt idx="113">
                  <c:v>15</c:v>
                </c:pt>
                <c:pt idx="114">
                  <c:v>5</c:v>
                </c:pt>
                <c:pt idx="115">
                  <c:v>4</c:v>
                </c:pt>
                <c:pt idx="116">
                  <c:v>9</c:v>
                </c:pt>
                <c:pt idx="117">
                  <c:v>20</c:v>
                </c:pt>
                <c:pt idx="118">
                  <c:v>3</c:v>
                </c:pt>
                <c:pt idx="119">
                  <c:v>18</c:v>
                </c:pt>
                <c:pt idx="120">
                  <c:v>2</c:v>
                </c:pt>
                <c:pt idx="121">
                  <c:v>3</c:v>
                </c:pt>
                <c:pt idx="122">
                  <c:v>4</c:v>
                </c:pt>
                <c:pt idx="123">
                  <c:v>7</c:v>
                </c:pt>
                <c:pt idx="124">
                  <c:v>7</c:v>
                </c:pt>
                <c:pt idx="125">
                  <c:v>10</c:v>
                </c:pt>
                <c:pt idx="126">
                  <c:v>20</c:v>
                </c:pt>
                <c:pt idx="127">
                  <c:v>3</c:v>
                </c:pt>
                <c:pt idx="128">
                  <c:v>2</c:v>
                </c:pt>
                <c:pt idx="129">
                  <c:v>23</c:v>
                </c:pt>
                <c:pt idx="130">
                  <c:v>6</c:v>
                </c:pt>
                <c:pt idx="131">
                  <c:v>2</c:v>
                </c:pt>
                <c:pt idx="132">
                  <c:v>4</c:v>
                </c:pt>
                <c:pt idx="133">
                  <c:v>4.5</c:v>
                </c:pt>
                <c:pt idx="134">
                  <c:v>5</c:v>
                </c:pt>
                <c:pt idx="135">
                  <c:v>14</c:v>
                </c:pt>
                <c:pt idx="136">
                  <c:v>7</c:v>
                </c:pt>
                <c:pt idx="137">
                  <c:v>7</c:v>
                </c:pt>
                <c:pt idx="138">
                  <c:v>2</c:v>
                </c:pt>
                <c:pt idx="139">
                  <c:v>2</c:v>
                </c:pt>
                <c:pt idx="140">
                  <c:v>10</c:v>
                </c:pt>
                <c:pt idx="141">
                  <c:v>4</c:v>
                </c:pt>
                <c:pt idx="142">
                  <c:v>2</c:v>
                </c:pt>
                <c:pt idx="143">
                  <c:v>2</c:v>
                </c:pt>
                <c:pt idx="144">
                  <c:v>0</c:v>
                </c:pt>
                <c:pt idx="145">
                  <c:v>4</c:v>
                </c:pt>
                <c:pt idx="146">
                  <c:v>8</c:v>
                </c:pt>
                <c:pt idx="147">
                  <c:v>0</c:v>
                </c:pt>
                <c:pt idx="148">
                  <c:v>5</c:v>
                </c:pt>
                <c:pt idx="149">
                  <c:v>2</c:v>
                </c:pt>
                <c:pt idx="150">
                  <c:v>2</c:v>
                </c:pt>
                <c:pt idx="151">
                  <c:v>12</c:v>
                </c:pt>
                <c:pt idx="152">
                  <c:v>1</c:v>
                </c:pt>
                <c:pt idx="153">
                  <c:v>2</c:v>
                </c:pt>
                <c:pt idx="154">
                  <c:v>10</c:v>
                </c:pt>
                <c:pt idx="155">
                  <c:v>7</c:v>
                </c:pt>
                <c:pt idx="156">
                  <c:v>6</c:v>
                </c:pt>
                <c:pt idx="157">
                  <c:v>15</c:v>
                </c:pt>
                <c:pt idx="158">
                  <c:v>6</c:v>
                </c:pt>
                <c:pt idx="159">
                  <c:v>2</c:v>
                </c:pt>
                <c:pt idx="160">
                  <c:v>4</c:v>
                </c:pt>
                <c:pt idx="161">
                  <c:v>3</c:v>
                </c:pt>
                <c:pt idx="162">
                  <c:v>6</c:v>
                </c:pt>
                <c:pt idx="163">
                  <c:v>2</c:v>
                </c:pt>
                <c:pt idx="164">
                  <c:v>1</c:v>
                </c:pt>
                <c:pt idx="165">
                  <c:v>7</c:v>
                </c:pt>
                <c:pt idx="166">
                  <c:v>3.5</c:v>
                </c:pt>
                <c:pt idx="167">
                  <c:v>10</c:v>
                </c:pt>
                <c:pt idx="168">
                  <c:v>12</c:v>
                </c:pt>
                <c:pt idx="169">
                  <c:v>4</c:v>
                </c:pt>
                <c:pt idx="170">
                  <c:v>10</c:v>
                </c:pt>
                <c:pt idx="171">
                  <c:v>13</c:v>
                </c:pt>
                <c:pt idx="172">
                  <c:v>8</c:v>
                </c:pt>
                <c:pt idx="173">
                  <c:v>15</c:v>
                </c:pt>
                <c:pt idx="174">
                  <c:v>15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2</c:v>
                </c:pt>
                <c:pt idx="179">
                  <c:v>7</c:v>
                </c:pt>
                <c:pt idx="180">
                  <c:v>2</c:v>
                </c:pt>
                <c:pt idx="181">
                  <c:v>12</c:v>
                </c:pt>
                <c:pt idx="182">
                  <c:v>5</c:v>
                </c:pt>
                <c:pt idx="183">
                  <c:v>1.5</c:v>
                </c:pt>
                <c:pt idx="184">
                  <c:v>15</c:v>
                </c:pt>
                <c:pt idx="185">
                  <c:v>5</c:v>
                </c:pt>
                <c:pt idx="186">
                  <c:v>6</c:v>
                </c:pt>
                <c:pt idx="187">
                  <c:v>6</c:v>
                </c:pt>
                <c:pt idx="188">
                  <c:v>7</c:v>
                </c:pt>
                <c:pt idx="189">
                  <c:v>7</c:v>
                </c:pt>
                <c:pt idx="190">
                  <c:v>8</c:v>
                </c:pt>
                <c:pt idx="191">
                  <c:v>8</c:v>
                </c:pt>
                <c:pt idx="192">
                  <c:v>4.5</c:v>
                </c:pt>
                <c:pt idx="193">
                  <c:v>6</c:v>
                </c:pt>
                <c:pt idx="194">
                  <c:v>5.5</c:v>
                </c:pt>
                <c:pt idx="195">
                  <c:v>5</c:v>
                </c:pt>
                <c:pt idx="196">
                  <c:v>20</c:v>
                </c:pt>
                <c:pt idx="197">
                  <c:v>5</c:v>
                </c:pt>
                <c:pt idx="198">
                  <c:v>1</c:v>
                </c:pt>
                <c:pt idx="199">
                  <c:v>15</c:v>
                </c:pt>
                <c:pt idx="200">
                  <c:v>20</c:v>
                </c:pt>
                <c:pt idx="201">
                  <c:v>2</c:v>
                </c:pt>
                <c:pt idx="202">
                  <c:v>2</c:v>
                </c:pt>
                <c:pt idx="203">
                  <c:v>5</c:v>
                </c:pt>
                <c:pt idx="204">
                  <c:v>4</c:v>
                </c:pt>
                <c:pt idx="205">
                  <c:v>11</c:v>
                </c:pt>
                <c:pt idx="206">
                  <c:v>14</c:v>
                </c:pt>
                <c:pt idx="207">
                  <c:v>10</c:v>
                </c:pt>
                <c:pt idx="208">
                  <c:v>20</c:v>
                </c:pt>
                <c:pt idx="209">
                  <c:v>4</c:v>
                </c:pt>
                <c:pt idx="210">
                  <c:v>3</c:v>
                </c:pt>
                <c:pt idx="211">
                  <c:v>2</c:v>
                </c:pt>
                <c:pt idx="212">
                  <c:v>2.5</c:v>
                </c:pt>
                <c:pt idx="213">
                  <c:v>15</c:v>
                </c:pt>
                <c:pt idx="214">
                  <c:v>18</c:v>
                </c:pt>
                <c:pt idx="215">
                  <c:v>11</c:v>
                </c:pt>
                <c:pt idx="216">
                  <c:v>7</c:v>
                </c:pt>
                <c:pt idx="217">
                  <c:v>2.4</c:v>
                </c:pt>
                <c:pt idx="218">
                  <c:v>7</c:v>
                </c:pt>
                <c:pt idx="219">
                  <c:v>7</c:v>
                </c:pt>
                <c:pt idx="220">
                  <c:v>12</c:v>
                </c:pt>
                <c:pt idx="221">
                  <c:v>5</c:v>
                </c:pt>
                <c:pt idx="222">
                  <c:v>1</c:v>
                </c:pt>
                <c:pt idx="223">
                  <c:v>4</c:v>
                </c:pt>
                <c:pt idx="224">
                  <c:v>7</c:v>
                </c:pt>
                <c:pt idx="225">
                  <c:v>12</c:v>
                </c:pt>
                <c:pt idx="226">
                  <c:v>20</c:v>
                </c:pt>
                <c:pt idx="227">
                  <c:v>10</c:v>
                </c:pt>
                <c:pt idx="228">
                  <c:v>1.5</c:v>
                </c:pt>
                <c:pt idx="229">
                  <c:v>5</c:v>
                </c:pt>
                <c:pt idx="230">
                  <c:v>2</c:v>
                </c:pt>
                <c:pt idx="231">
                  <c:v>8</c:v>
                </c:pt>
                <c:pt idx="232">
                  <c:v>6</c:v>
                </c:pt>
                <c:pt idx="233">
                  <c:v>10</c:v>
                </c:pt>
                <c:pt idx="234">
                  <c:v>10</c:v>
                </c:pt>
                <c:pt idx="235">
                  <c:v>7</c:v>
                </c:pt>
                <c:pt idx="236">
                  <c:v>15</c:v>
                </c:pt>
                <c:pt idx="237">
                  <c:v>10</c:v>
                </c:pt>
                <c:pt idx="238">
                  <c:v>4</c:v>
                </c:pt>
                <c:pt idx="239">
                  <c:v>10</c:v>
                </c:pt>
                <c:pt idx="240">
                  <c:v>40</c:v>
                </c:pt>
                <c:pt idx="241">
                  <c:v>2</c:v>
                </c:pt>
                <c:pt idx="242">
                  <c:v>15</c:v>
                </c:pt>
                <c:pt idx="243">
                  <c:v>6</c:v>
                </c:pt>
                <c:pt idx="244">
                  <c:v>16</c:v>
                </c:pt>
                <c:pt idx="245">
                  <c:v>2</c:v>
                </c:pt>
                <c:pt idx="246">
                  <c:v>5</c:v>
                </c:pt>
                <c:pt idx="247">
                  <c:v>15</c:v>
                </c:pt>
                <c:pt idx="248">
                  <c:v>5</c:v>
                </c:pt>
                <c:pt idx="249">
                  <c:v>3</c:v>
                </c:pt>
                <c:pt idx="250">
                  <c:v>5</c:v>
                </c:pt>
                <c:pt idx="251">
                  <c:v>13</c:v>
                </c:pt>
                <c:pt idx="252">
                  <c:v>0</c:v>
                </c:pt>
                <c:pt idx="253">
                  <c:v>3</c:v>
                </c:pt>
                <c:pt idx="254">
                  <c:v>1</c:v>
                </c:pt>
                <c:pt idx="255">
                  <c:v>12</c:v>
                </c:pt>
                <c:pt idx="256">
                  <c:v>3</c:v>
                </c:pt>
                <c:pt idx="257">
                  <c:v>3</c:v>
                </c:pt>
                <c:pt idx="258">
                  <c:v>5</c:v>
                </c:pt>
                <c:pt idx="259">
                  <c:v>27</c:v>
                </c:pt>
                <c:pt idx="260">
                  <c:v>5</c:v>
                </c:pt>
                <c:pt idx="261">
                  <c:v>1.1000000000000001</c:v>
                </c:pt>
                <c:pt idx="262">
                  <c:v>7</c:v>
                </c:pt>
                <c:pt idx="263">
                  <c:v>4</c:v>
                </c:pt>
                <c:pt idx="264">
                  <c:v>10</c:v>
                </c:pt>
                <c:pt idx="265">
                  <c:v>2</c:v>
                </c:pt>
                <c:pt idx="266">
                  <c:v>20</c:v>
                </c:pt>
                <c:pt idx="267">
                  <c:v>1</c:v>
                </c:pt>
                <c:pt idx="268">
                  <c:v>6</c:v>
                </c:pt>
                <c:pt idx="269">
                  <c:v>5</c:v>
                </c:pt>
                <c:pt idx="270">
                  <c:v>20</c:v>
                </c:pt>
                <c:pt idx="271">
                  <c:v>18</c:v>
                </c:pt>
                <c:pt idx="272">
                  <c:v>10</c:v>
                </c:pt>
                <c:pt idx="273">
                  <c:v>6</c:v>
                </c:pt>
                <c:pt idx="274">
                  <c:v>9</c:v>
                </c:pt>
                <c:pt idx="275">
                  <c:v>1</c:v>
                </c:pt>
                <c:pt idx="276">
                  <c:v>10</c:v>
                </c:pt>
                <c:pt idx="277">
                  <c:v>2</c:v>
                </c:pt>
                <c:pt idx="278">
                  <c:v>20</c:v>
                </c:pt>
                <c:pt idx="279">
                  <c:v>18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8</c:v>
                </c:pt>
                <c:pt idx="284">
                  <c:v>6.5</c:v>
                </c:pt>
                <c:pt idx="285">
                  <c:v>3.5</c:v>
                </c:pt>
                <c:pt idx="286">
                  <c:v>10</c:v>
                </c:pt>
                <c:pt idx="287">
                  <c:v>15</c:v>
                </c:pt>
                <c:pt idx="288">
                  <c:v>1</c:v>
                </c:pt>
                <c:pt idx="289">
                  <c:v>1</c:v>
                </c:pt>
                <c:pt idx="290">
                  <c:v>10</c:v>
                </c:pt>
                <c:pt idx="291">
                  <c:v>4</c:v>
                </c:pt>
                <c:pt idx="292">
                  <c:v>2</c:v>
                </c:pt>
                <c:pt idx="293">
                  <c:v>5</c:v>
                </c:pt>
                <c:pt idx="294">
                  <c:v>8</c:v>
                </c:pt>
                <c:pt idx="295">
                  <c:v>10</c:v>
                </c:pt>
                <c:pt idx="296">
                  <c:v>15</c:v>
                </c:pt>
                <c:pt idx="297">
                  <c:v>13</c:v>
                </c:pt>
                <c:pt idx="298">
                  <c:v>2</c:v>
                </c:pt>
                <c:pt idx="299">
                  <c:v>8</c:v>
                </c:pt>
                <c:pt idx="300">
                  <c:v>2</c:v>
                </c:pt>
                <c:pt idx="301">
                  <c:v>14</c:v>
                </c:pt>
                <c:pt idx="302">
                  <c:v>15</c:v>
                </c:pt>
                <c:pt idx="303">
                  <c:v>25</c:v>
                </c:pt>
                <c:pt idx="304">
                  <c:v>6</c:v>
                </c:pt>
                <c:pt idx="305">
                  <c:v>4</c:v>
                </c:pt>
                <c:pt idx="306">
                  <c:v>10</c:v>
                </c:pt>
                <c:pt idx="307">
                  <c:v>15</c:v>
                </c:pt>
                <c:pt idx="308">
                  <c:v>8</c:v>
                </c:pt>
                <c:pt idx="309">
                  <c:v>12</c:v>
                </c:pt>
                <c:pt idx="310">
                  <c:v>6</c:v>
                </c:pt>
                <c:pt idx="311">
                  <c:v>18</c:v>
                </c:pt>
                <c:pt idx="312">
                  <c:v>1</c:v>
                </c:pt>
                <c:pt idx="313">
                  <c:v>11</c:v>
                </c:pt>
                <c:pt idx="314">
                  <c:v>10</c:v>
                </c:pt>
                <c:pt idx="315">
                  <c:v>4</c:v>
                </c:pt>
                <c:pt idx="316">
                  <c:v>3</c:v>
                </c:pt>
                <c:pt idx="317">
                  <c:v>3</c:v>
                </c:pt>
                <c:pt idx="318">
                  <c:v>5</c:v>
                </c:pt>
                <c:pt idx="319">
                  <c:v>4</c:v>
                </c:pt>
                <c:pt idx="320">
                  <c:v>20</c:v>
                </c:pt>
                <c:pt idx="321">
                  <c:v>1</c:v>
                </c:pt>
                <c:pt idx="322">
                  <c:v>6</c:v>
                </c:pt>
                <c:pt idx="323">
                  <c:v>4</c:v>
                </c:pt>
                <c:pt idx="324">
                  <c:v>5</c:v>
                </c:pt>
                <c:pt idx="325">
                  <c:v>15</c:v>
                </c:pt>
                <c:pt idx="326">
                  <c:v>10</c:v>
                </c:pt>
                <c:pt idx="327">
                  <c:v>8</c:v>
                </c:pt>
                <c:pt idx="328">
                  <c:v>8</c:v>
                </c:pt>
                <c:pt idx="329">
                  <c:v>17</c:v>
                </c:pt>
                <c:pt idx="330">
                  <c:v>5</c:v>
                </c:pt>
                <c:pt idx="331">
                  <c:v>3</c:v>
                </c:pt>
                <c:pt idx="332">
                  <c:v>5</c:v>
                </c:pt>
                <c:pt idx="333">
                  <c:v>3</c:v>
                </c:pt>
                <c:pt idx="334">
                  <c:v>10</c:v>
                </c:pt>
                <c:pt idx="335">
                  <c:v>13</c:v>
                </c:pt>
                <c:pt idx="336">
                  <c:v>3.5</c:v>
                </c:pt>
                <c:pt idx="337">
                  <c:v>6</c:v>
                </c:pt>
                <c:pt idx="338">
                  <c:v>6</c:v>
                </c:pt>
                <c:pt idx="339">
                  <c:v>9</c:v>
                </c:pt>
                <c:pt idx="340">
                  <c:v>5</c:v>
                </c:pt>
                <c:pt idx="341">
                  <c:v>10</c:v>
                </c:pt>
                <c:pt idx="342">
                  <c:v>10</c:v>
                </c:pt>
                <c:pt idx="343">
                  <c:v>3</c:v>
                </c:pt>
                <c:pt idx="344">
                  <c:v>2</c:v>
                </c:pt>
                <c:pt idx="345">
                  <c:v>5</c:v>
                </c:pt>
                <c:pt idx="346">
                  <c:v>9</c:v>
                </c:pt>
                <c:pt idx="347">
                  <c:v>6</c:v>
                </c:pt>
                <c:pt idx="348">
                  <c:v>15</c:v>
                </c:pt>
                <c:pt idx="349">
                  <c:v>20</c:v>
                </c:pt>
                <c:pt idx="350">
                  <c:v>16</c:v>
                </c:pt>
                <c:pt idx="351">
                  <c:v>0.5</c:v>
                </c:pt>
                <c:pt idx="352">
                  <c:v>11</c:v>
                </c:pt>
                <c:pt idx="353">
                  <c:v>8</c:v>
                </c:pt>
                <c:pt idx="354">
                  <c:v>7</c:v>
                </c:pt>
                <c:pt idx="355">
                  <c:v>4</c:v>
                </c:pt>
                <c:pt idx="356">
                  <c:v>8</c:v>
                </c:pt>
                <c:pt idx="357">
                  <c:v>8</c:v>
                </c:pt>
                <c:pt idx="358">
                  <c:v>25</c:v>
                </c:pt>
                <c:pt idx="359">
                  <c:v>3</c:v>
                </c:pt>
                <c:pt idx="360">
                  <c:v>4</c:v>
                </c:pt>
                <c:pt idx="361">
                  <c:v>20</c:v>
                </c:pt>
                <c:pt idx="362">
                  <c:v>3</c:v>
                </c:pt>
                <c:pt idx="363">
                  <c:v>10</c:v>
                </c:pt>
                <c:pt idx="364">
                  <c:v>15</c:v>
                </c:pt>
                <c:pt idx="365">
                  <c:v>8</c:v>
                </c:pt>
                <c:pt idx="366">
                  <c:v>5</c:v>
                </c:pt>
                <c:pt idx="367">
                  <c:v>8</c:v>
                </c:pt>
                <c:pt idx="368">
                  <c:v>1</c:v>
                </c:pt>
                <c:pt idx="369">
                  <c:v>8</c:v>
                </c:pt>
                <c:pt idx="370">
                  <c:v>6</c:v>
                </c:pt>
                <c:pt idx="371">
                  <c:v>12</c:v>
                </c:pt>
                <c:pt idx="372">
                  <c:v>30</c:v>
                </c:pt>
                <c:pt idx="373">
                  <c:v>10</c:v>
                </c:pt>
                <c:pt idx="374">
                  <c:v>3</c:v>
                </c:pt>
                <c:pt idx="375">
                  <c:v>4</c:v>
                </c:pt>
                <c:pt idx="376">
                  <c:v>2</c:v>
                </c:pt>
                <c:pt idx="377">
                  <c:v>11</c:v>
                </c:pt>
                <c:pt idx="378">
                  <c:v>4</c:v>
                </c:pt>
                <c:pt idx="379">
                  <c:v>2</c:v>
                </c:pt>
                <c:pt idx="380">
                  <c:v>3</c:v>
                </c:pt>
                <c:pt idx="381">
                  <c:v>4.5</c:v>
                </c:pt>
                <c:pt idx="382">
                  <c:v>4</c:v>
                </c:pt>
                <c:pt idx="383">
                  <c:v>15</c:v>
                </c:pt>
                <c:pt idx="384">
                  <c:v>4</c:v>
                </c:pt>
                <c:pt idx="385">
                  <c:v>10</c:v>
                </c:pt>
                <c:pt idx="386">
                  <c:v>5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10</c:v>
                </c:pt>
                <c:pt idx="391">
                  <c:v>20</c:v>
                </c:pt>
                <c:pt idx="392">
                  <c:v>25</c:v>
                </c:pt>
                <c:pt idx="393">
                  <c:v>20</c:v>
                </c:pt>
                <c:pt idx="394">
                  <c:v>13</c:v>
                </c:pt>
                <c:pt idx="395">
                  <c:v>2</c:v>
                </c:pt>
                <c:pt idx="396">
                  <c:v>5</c:v>
                </c:pt>
                <c:pt idx="397">
                  <c:v>6</c:v>
                </c:pt>
                <c:pt idx="398">
                  <c:v>3</c:v>
                </c:pt>
                <c:pt idx="399">
                  <c:v>1</c:v>
                </c:pt>
                <c:pt idx="400">
                  <c:v>1.5</c:v>
                </c:pt>
                <c:pt idx="401">
                  <c:v>20</c:v>
                </c:pt>
                <c:pt idx="402">
                  <c:v>2</c:v>
                </c:pt>
                <c:pt idx="403">
                  <c:v>2</c:v>
                </c:pt>
                <c:pt idx="404">
                  <c:v>15</c:v>
                </c:pt>
                <c:pt idx="405">
                  <c:v>5</c:v>
                </c:pt>
                <c:pt idx="406">
                  <c:v>15</c:v>
                </c:pt>
                <c:pt idx="407">
                  <c:v>4</c:v>
                </c:pt>
                <c:pt idx="408">
                  <c:v>3</c:v>
                </c:pt>
                <c:pt idx="409">
                  <c:v>10</c:v>
                </c:pt>
                <c:pt idx="410">
                  <c:v>8</c:v>
                </c:pt>
                <c:pt idx="411">
                  <c:v>7</c:v>
                </c:pt>
                <c:pt idx="412">
                  <c:v>8</c:v>
                </c:pt>
                <c:pt idx="413">
                  <c:v>2.5</c:v>
                </c:pt>
                <c:pt idx="414">
                  <c:v>35</c:v>
                </c:pt>
                <c:pt idx="415">
                  <c:v>3</c:v>
                </c:pt>
                <c:pt idx="416">
                  <c:v>2</c:v>
                </c:pt>
                <c:pt idx="417">
                  <c:v>4</c:v>
                </c:pt>
                <c:pt idx="418">
                  <c:v>10</c:v>
                </c:pt>
                <c:pt idx="419">
                  <c:v>6</c:v>
                </c:pt>
                <c:pt idx="420">
                  <c:v>6</c:v>
                </c:pt>
                <c:pt idx="421">
                  <c:v>20</c:v>
                </c:pt>
                <c:pt idx="422">
                  <c:v>5</c:v>
                </c:pt>
                <c:pt idx="423">
                  <c:v>4</c:v>
                </c:pt>
                <c:pt idx="424">
                  <c:v>3</c:v>
                </c:pt>
                <c:pt idx="425">
                  <c:v>0</c:v>
                </c:pt>
                <c:pt idx="426">
                  <c:v>6</c:v>
                </c:pt>
                <c:pt idx="427">
                  <c:v>7</c:v>
                </c:pt>
                <c:pt idx="428">
                  <c:v>2</c:v>
                </c:pt>
                <c:pt idx="429">
                  <c:v>25</c:v>
                </c:pt>
                <c:pt idx="430">
                  <c:v>6</c:v>
                </c:pt>
                <c:pt idx="431">
                  <c:v>8</c:v>
                </c:pt>
                <c:pt idx="432">
                  <c:v>10</c:v>
                </c:pt>
                <c:pt idx="433">
                  <c:v>3</c:v>
                </c:pt>
                <c:pt idx="434">
                  <c:v>7</c:v>
                </c:pt>
                <c:pt idx="435">
                  <c:v>14</c:v>
                </c:pt>
                <c:pt idx="436">
                  <c:v>8</c:v>
                </c:pt>
                <c:pt idx="437">
                  <c:v>1</c:v>
                </c:pt>
                <c:pt idx="438">
                  <c:v>8</c:v>
                </c:pt>
                <c:pt idx="439">
                  <c:v>2</c:v>
                </c:pt>
                <c:pt idx="440">
                  <c:v>2.5</c:v>
                </c:pt>
                <c:pt idx="441">
                  <c:v>3</c:v>
                </c:pt>
                <c:pt idx="442">
                  <c:v>6</c:v>
                </c:pt>
                <c:pt idx="443">
                  <c:v>4</c:v>
                </c:pt>
                <c:pt idx="444">
                  <c:v>3</c:v>
                </c:pt>
                <c:pt idx="445">
                  <c:v>3</c:v>
                </c:pt>
                <c:pt idx="446">
                  <c:v>6</c:v>
                </c:pt>
                <c:pt idx="447">
                  <c:v>6</c:v>
                </c:pt>
                <c:pt idx="448">
                  <c:v>15</c:v>
                </c:pt>
                <c:pt idx="449">
                  <c:v>15</c:v>
                </c:pt>
                <c:pt idx="450">
                  <c:v>5</c:v>
                </c:pt>
                <c:pt idx="451">
                  <c:v>9</c:v>
                </c:pt>
                <c:pt idx="452">
                  <c:v>4</c:v>
                </c:pt>
                <c:pt idx="453">
                  <c:v>13</c:v>
                </c:pt>
                <c:pt idx="454">
                  <c:v>5</c:v>
                </c:pt>
                <c:pt idx="455">
                  <c:v>3.5</c:v>
                </c:pt>
                <c:pt idx="456">
                  <c:v>4</c:v>
                </c:pt>
                <c:pt idx="457">
                  <c:v>5</c:v>
                </c:pt>
                <c:pt idx="458">
                  <c:v>5</c:v>
                </c:pt>
                <c:pt idx="459">
                  <c:v>4.5999999999999996</c:v>
                </c:pt>
                <c:pt idx="460">
                  <c:v>2</c:v>
                </c:pt>
                <c:pt idx="461">
                  <c:v>10</c:v>
                </c:pt>
                <c:pt idx="462">
                  <c:v>3.5</c:v>
                </c:pt>
                <c:pt idx="463">
                  <c:v>5</c:v>
                </c:pt>
                <c:pt idx="464">
                  <c:v>3</c:v>
                </c:pt>
                <c:pt idx="465">
                  <c:v>5</c:v>
                </c:pt>
                <c:pt idx="466">
                  <c:v>10</c:v>
                </c:pt>
                <c:pt idx="467">
                  <c:v>25</c:v>
                </c:pt>
                <c:pt idx="468">
                  <c:v>12</c:v>
                </c:pt>
                <c:pt idx="469">
                  <c:v>5</c:v>
                </c:pt>
                <c:pt idx="470">
                  <c:v>8</c:v>
                </c:pt>
                <c:pt idx="471">
                  <c:v>7</c:v>
                </c:pt>
                <c:pt idx="472">
                  <c:v>8</c:v>
                </c:pt>
                <c:pt idx="473">
                  <c:v>4</c:v>
                </c:pt>
                <c:pt idx="474">
                  <c:v>5</c:v>
                </c:pt>
                <c:pt idx="475">
                  <c:v>5</c:v>
                </c:pt>
                <c:pt idx="476">
                  <c:v>15</c:v>
                </c:pt>
                <c:pt idx="477">
                  <c:v>6</c:v>
                </c:pt>
                <c:pt idx="478">
                  <c:v>3</c:v>
                </c:pt>
                <c:pt idx="479">
                  <c:v>10</c:v>
                </c:pt>
                <c:pt idx="480">
                  <c:v>2</c:v>
                </c:pt>
                <c:pt idx="481">
                  <c:v>8</c:v>
                </c:pt>
                <c:pt idx="482">
                  <c:v>4</c:v>
                </c:pt>
                <c:pt idx="483">
                  <c:v>16</c:v>
                </c:pt>
                <c:pt idx="484">
                  <c:v>8</c:v>
                </c:pt>
                <c:pt idx="485">
                  <c:v>20</c:v>
                </c:pt>
                <c:pt idx="486">
                  <c:v>10</c:v>
                </c:pt>
                <c:pt idx="487">
                  <c:v>5</c:v>
                </c:pt>
                <c:pt idx="488">
                  <c:v>16</c:v>
                </c:pt>
                <c:pt idx="489">
                  <c:v>7</c:v>
                </c:pt>
                <c:pt idx="490">
                  <c:v>7</c:v>
                </c:pt>
                <c:pt idx="491">
                  <c:v>5</c:v>
                </c:pt>
                <c:pt idx="492">
                  <c:v>3</c:v>
                </c:pt>
                <c:pt idx="493">
                  <c:v>8</c:v>
                </c:pt>
                <c:pt idx="494">
                  <c:v>7</c:v>
                </c:pt>
                <c:pt idx="495">
                  <c:v>1</c:v>
                </c:pt>
                <c:pt idx="496">
                  <c:v>26</c:v>
                </c:pt>
                <c:pt idx="497">
                  <c:v>9</c:v>
                </c:pt>
                <c:pt idx="498">
                  <c:v>0</c:v>
                </c:pt>
                <c:pt idx="499">
                  <c:v>5</c:v>
                </c:pt>
                <c:pt idx="500">
                  <c:v>10</c:v>
                </c:pt>
                <c:pt idx="501">
                  <c:v>12</c:v>
                </c:pt>
                <c:pt idx="502">
                  <c:v>6</c:v>
                </c:pt>
                <c:pt idx="503">
                  <c:v>3.5</c:v>
                </c:pt>
                <c:pt idx="504">
                  <c:v>15</c:v>
                </c:pt>
                <c:pt idx="505">
                  <c:v>10</c:v>
                </c:pt>
                <c:pt idx="506">
                  <c:v>9</c:v>
                </c:pt>
                <c:pt idx="507">
                  <c:v>4</c:v>
                </c:pt>
                <c:pt idx="508">
                  <c:v>1</c:v>
                </c:pt>
                <c:pt idx="509">
                  <c:v>8</c:v>
                </c:pt>
                <c:pt idx="510">
                  <c:v>10</c:v>
                </c:pt>
                <c:pt idx="511">
                  <c:v>1</c:v>
                </c:pt>
                <c:pt idx="512">
                  <c:v>22</c:v>
                </c:pt>
                <c:pt idx="513">
                  <c:v>30</c:v>
                </c:pt>
                <c:pt idx="514">
                  <c:v>3</c:v>
                </c:pt>
                <c:pt idx="515">
                  <c:v>3</c:v>
                </c:pt>
                <c:pt idx="516">
                  <c:v>10</c:v>
                </c:pt>
                <c:pt idx="517">
                  <c:v>25</c:v>
                </c:pt>
                <c:pt idx="518">
                  <c:v>5</c:v>
                </c:pt>
                <c:pt idx="519">
                  <c:v>7</c:v>
                </c:pt>
                <c:pt idx="520">
                  <c:v>23</c:v>
                </c:pt>
                <c:pt idx="521">
                  <c:v>3</c:v>
                </c:pt>
                <c:pt idx="522">
                  <c:v>4</c:v>
                </c:pt>
                <c:pt idx="523">
                  <c:v>10</c:v>
                </c:pt>
                <c:pt idx="524">
                  <c:v>20</c:v>
                </c:pt>
                <c:pt idx="525">
                  <c:v>11</c:v>
                </c:pt>
                <c:pt idx="526">
                  <c:v>10</c:v>
                </c:pt>
                <c:pt idx="527">
                  <c:v>8</c:v>
                </c:pt>
                <c:pt idx="528">
                  <c:v>14</c:v>
                </c:pt>
                <c:pt idx="529">
                  <c:v>3</c:v>
                </c:pt>
                <c:pt idx="530">
                  <c:v>4</c:v>
                </c:pt>
                <c:pt idx="531">
                  <c:v>20</c:v>
                </c:pt>
                <c:pt idx="532">
                  <c:v>15</c:v>
                </c:pt>
                <c:pt idx="533">
                  <c:v>10</c:v>
                </c:pt>
                <c:pt idx="534">
                  <c:v>5</c:v>
                </c:pt>
                <c:pt idx="535">
                  <c:v>6</c:v>
                </c:pt>
                <c:pt idx="536">
                  <c:v>3</c:v>
                </c:pt>
                <c:pt idx="537">
                  <c:v>8</c:v>
                </c:pt>
                <c:pt idx="538">
                  <c:v>5</c:v>
                </c:pt>
                <c:pt idx="539">
                  <c:v>10</c:v>
                </c:pt>
                <c:pt idx="540">
                  <c:v>15</c:v>
                </c:pt>
                <c:pt idx="541">
                  <c:v>8</c:v>
                </c:pt>
                <c:pt idx="542">
                  <c:v>3</c:v>
                </c:pt>
                <c:pt idx="543">
                  <c:v>7</c:v>
                </c:pt>
                <c:pt idx="544">
                  <c:v>15</c:v>
                </c:pt>
                <c:pt idx="545">
                  <c:v>14</c:v>
                </c:pt>
                <c:pt idx="546">
                  <c:v>5</c:v>
                </c:pt>
                <c:pt idx="547">
                  <c:v>16</c:v>
                </c:pt>
                <c:pt idx="548">
                  <c:v>7</c:v>
                </c:pt>
                <c:pt idx="549">
                  <c:v>1</c:v>
                </c:pt>
                <c:pt idx="550">
                  <c:v>4</c:v>
                </c:pt>
                <c:pt idx="551">
                  <c:v>12</c:v>
                </c:pt>
                <c:pt idx="552">
                  <c:v>8</c:v>
                </c:pt>
                <c:pt idx="553">
                  <c:v>14</c:v>
                </c:pt>
                <c:pt idx="554">
                  <c:v>22</c:v>
                </c:pt>
                <c:pt idx="555">
                  <c:v>9</c:v>
                </c:pt>
                <c:pt idx="556">
                  <c:v>5</c:v>
                </c:pt>
                <c:pt idx="557">
                  <c:v>2</c:v>
                </c:pt>
                <c:pt idx="558">
                  <c:v>14</c:v>
                </c:pt>
                <c:pt idx="559">
                  <c:v>10</c:v>
                </c:pt>
                <c:pt idx="560">
                  <c:v>2</c:v>
                </c:pt>
                <c:pt idx="561">
                  <c:v>20</c:v>
                </c:pt>
                <c:pt idx="562">
                  <c:v>5</c:v>
                </c:pt>
                <c:pt idx="563">
                  <c:v>2</c:v>
                </c:pt>
                <c:pt idx="564">
                  <c:v>5</c:v>
                </c:pt>
                <c:pt idx="565">
                  <c:v>14</c:v>
                </c:pt>
                <c:pt idx="566">
                  <c:v>5</c:v>
                </c:pt>
                <c:pt idx="567">
                  <c:v>15</c:v>
                </c:pt>
                <c:pt idx="568">
                  <c:v>4</c:v>
                </c:pt>
                <c:pt idx="569">
                  <c:v>2</c:v>
                </c:pt>
                <c:pt idx="570">
                  <c:v>6</c:v>
                </c:pt>
                <c:pt idx="571">
                  <c:v>20</c:v>
                </c:pt>
                <c:pt idx="572">
                  <c:v>10</c:v>
                </c:pt>
                <c:pt idx="573">
                  <c:v>5</c:v>
                </c:pt>
                <c:pt idx="574">
                  <c:v>20</c:v>
                </c:pt>
                <c:pt idx="575">
                  <c:v>5</c:v>
                </c:pt>
                <c:pt idx="576">
                  <c:v>20</c:v>
                </c:pt>
                <c:pt idx="577">
                  <c:v>10</c:v>
                </c:pt>
                <c:pt idx="578">
                  <c:v>10</c:v>
                </c:pt>
                <c:pt idx="579">
                  <c:v>13</c:v>
                </c:pt>
                <c:pt idx="580">
                  <c:v>5</c:v>
                </c:pt>
                <c:pt idx="581">
                  <c:v>5</c:v>
                </c:pt>
                <c:pt idx="582">
                  <c:v>15</c:v>
                </c:pt>
                <c:pt idx="583">
                  <c:v>20</c:v>
                </c:pt>
                <c:pt idx="584">
                  <c:v>6</c:v>
                </c:pt>
                <c:pt idx="585">
                  <c:v>25</c:v>
                </c:pt>
                <c:pt idx="586">
                  <c:v>17</c:v>
                </c:pt>
                <c:pt idx="587">
                  <c:v>2</c:v>
                </c:pt>
                <c:pt idx="588">
                  <c:v>4</c:v>
                </c:pt>
                <c:pt idx="589">
                  <c:v>3</c:v>
                </c:pt>
                <c:pt idx="590">
                  <c:v>20</c:v>
                </c:pt>
                <c:pt idx="591">
                  <c:v>20</c:v>
                </c:pt>
                <c:pt idx="592">
                  <c:v>14</c:v>
                </c:pt>
                <c:pt idx="593">
                  <c:v>5</c:v>
                </c:pt>
                <c:pt idx="594">
                  <c:v>15</c:v>
                </c:pt>
                <c:pt idx="595">
                  <c:v>7</c:v>
                </c:pt>
                <c:pt idx="596">
                  <c:v>0.8</c:v>
                </c:pt>
                <c:pt idx="597">
                  <c:v>18</c:v>
                </c:pt>
                <c:pt idx="598">
                  <c:v>4</c:v>
                </c:pt>
                <c:pt idx="599">
                  <c:v>15</c:v>
                </c:pt>
                <c:pt idx="600">
                  <c:v>6</c:v>
                </c:pt>
                <c:pt idx="601">
                  <c:v>6</c:v>
                </c:pt>
                <c:pt idx="602">
                  <c:v>21</c:v>
                </c:pt>
                <c:pt idx="603">
                  <c:v>5</c:v>
                </c:pt>
                <c:pt idx="604">
                  <c:v>2</c:v>
                </c:pt>
                <c:pt idx="605">
                  <c:v>9</c:v>
                </c:pt>
                <c:pt idx="606">
                  <c:v>1</c:v>
                </c:pt>
                <c:pt idx="607">
                  <c:v>1.5</c:v>
                </c:pt>
                <c:pt idx="608">
                  <c:v>25</c:v>
                </c:pt>
                <c:pt idx="609">
                  <c:v>10</c:v>
                </c:pt>
                <c:pt idx="610">
                  <c:v>21</c:v>
                </c:pt>
                <c:pt idx="611">
                  <c:v>12</c:v>
                </c:pt>
                <c:pt idx="612">
                  <c:v>2</c:v>
                </c:pt>
                <c:pt idx="613">
                  <c:v>8</c:v>
                </c:pt>
                <c:pt idx="614">
                  <c:v>10</c:v>
                </c:pt>
                <c:pt idx="615">
                  <c:v>10</c:v>
                </c:pt>
                <c:pt idx="616">
                  <c:v>7</c:v>
                </c:pt>
                <c:pt idx="617">
                  <c:v>2</c:v>
                </c:pt>
                <c:pt idx="618">
                  <c:v>7.9</c:v>
                </c:pt>
                <c:pt idx="619">
                  <c:v>9</c:v>
                </c:pt>
                <c:pt idx="620">
                  <c:v>25</c:v>
                </c:pt>
                <c:pt idx="621">
                  <c:v>2</c:v>
                </c:pt>
                <c:pt idx="622">
                  <c:v>6</c:v>
                </c:pt>
                <c:pt idx="623">
                  <c:v>20</c:v>
                </c:pt>
                <c:pt idx="624">
                  <c:v>3</c:v>
                </c:pt>
                <c:pt idx="625">
                  <c:v>15</c:v>
                </c:pt>
                <c:pt idx="626">
                  <c:v>13</c:v>
                </c:pt>
                <c:pt idx="627">
                  <c:v>1.5</c:v>
                </c:pt>
                <c:pt idx="628">
                  <c:v>10</c:v>
                </c:pt>
                <c:pt idx="629">
                  <c:v>10</c:v>
                </c:pt>
                <c:pt idx="630">
                  <c:v>1</c:v>
                </c:pt>
                <c:pt idx="631">
                  <c:v>12</c:v>
                </c:pt>
                <c:pt idx="632">
                  <c:v>14</c:v>
                </c:pt>
                <c:pt idx="633">
                  <c:v>13</c:v>
                </c:pt>
                <c:pt idx="634">
                  <c:v>6</c:v>
                </c:pt>
                <c:pt idx="635">
                  <c:v>5</c:v>
                </c:pt>
                <c:pt idx="636">
                  <c:v>25</c:v>
                </c:pt>
                <c:pt idx="637">
                  <c:v>3</c:v>
                </c:pt>
                <c:pt idx="638">
                  <c:v>12</c:v>
                </c:pt>
                <c:pt idx="639">
                  <c:v>4</c:v>
                </c:pt>
                <c:pt idx="640">
                  <c:v>3</c:v>
                </c:pt>
                <c:pt idx="641">
                  <c:v>10</c:v>
                </c:pt>
                <c:pt idx="642">
                  <c:v>13</c:v>
                </c:pt>
                <c:pt idx="643">
                  <c:v>15</c:v>
                </c:pt>
                <c:pt idx="644">
                  <c:v>5</c:v>
                </c:pt>
                <c:pt idx="645">
                  <c:v>30</c:v>
                </c:pt>
                <c:pt idx="646">
                  <c:v>2</c:v>
                </c:pt>
                <c:pt idx="647">
                  <c:v>8.5</c:v>
                </c:pt>
                <c:pt idx="648">
                  <c:v>6</c:v>
                </c:pt>
                <c:pt idx="649">
                  <c:v>6</c:v>
                </c:pt>
                <c:pt idx="650">
                  <c:v>11</c:v>
                </c:pt>
                <c:pt idx="651">
                  <c:v>25</c:v>
                </c:pt>
                <c:pt idx="652">
                  <c:v>1</c:v>
                </c:pt>
                <c:pt idx="653">
                  <c:v>6</c:v>
                </c:pt>
                <c:pt idx="654">
                  <c:v>15</c:v>
                </c:pt>
                <c:pt idx="655">
                  <c:v>2</c:v>
                </c:pt>
                <c:pt idx="656">
                  <c:v>8</c:v>
                </c:pt>
                <c:pt idx="657">
                  <c:v>1</c:v>
                </c:pt>
                <c:pt idx="658">
                  <c:v>12</c:v>
                </c:pt>
                <c:pt idx="659">
                  <c:v>15</c:v>
                </c:pt>
                <c:pt idx="660">
                  <c:v>10</c:v>
                </c:pt>
                <c:pt idx="661">
                  <c:v>12</c:v>
                </c:pt>
                <c:pt idx="662">
                  <c:v>8</c:v>
                </c:pt>
                <c:pt idx="663">
                  <c:v>20</c:v>
                </c:pt>
                <c:pt idx="664">
                  <c:v>10</c:v>
                </c:pt>
                <c:pt idx="665">
                  <c:v>3</c:v>
                </c:pt>
                <c:pt idx="666">
                  <c:v>14</c:v>
                </c:pt>
                <c:pt idx="667">
                  <c:v>1</c:v>
                </c:pt>
                <c:pt idx="668">
                  <c:v>2</c:v>
                </c:pt>
                <c:pt idx="669">
                  <c:v>10</c:v>
                </c:pt>
                <c:pt idx="670">
                  <c:v>17</c:v>
                </c:pt>
                <c:pt idx="671">
                  <c:v>5</c:v>
                </c:pt>
                <c:pt idx="672">
                  <c:v>10</c:v>
                </c:pt>
                <c:pt idx="673">
                  <c:v>7</c:v>
                </c:pt>
                <c:pt idx="674">
                  <c:v>25</c:v>
                </c:pt>
                <c:pt idx="675">
                  <c:v>1</c:v>
                </c:pt>
                <c:pt idx="676">
                  <c:v>25</c:v>
                </c:pt>
                <c:pt idx="677">
                  <c:v>16</c:v>
                </c:pt>
                <c:pt idx="678">
                  <c:v>5</c:v>
                </c:pt>
                <c:pt idx="679">
                  <c:v>15</c:v>
                </c:pt>
                <c:pt idx="680">
                  <c:v>1</c:v>
                </c:pt>
                <c:pt idx="681">
                  <c:v>6</c:v>
                </c:pt>
                <c:pt idx="682">
                  <c:v>15</c:v>
                </c:pt>
                <c:pt idx="683">
                  <c:v>2</c:v>
                </c:pt>
                <c:pt idx="684">
                  <c:v>2</c:v>
                </c:pt>
                <c:pt idx="685">
                  <c:v>5</c:v>
                </c:pt>
                <c:pt idx="686">
                  <c:v>5</c:v>
                </c:pt>
                <c:pt idx="687">
                  <c:v>7</c:v>
                </c:pt>
                <c:pt idx="688">
                  <c:v>18</c:v>
                </c:pt>
                <c:pt idx="689">
                  <c:v>12</c:v>
                </c:pt>
                <c:pt idx="690">
                  <c:v>10</c:v>
                </c:pt>
                <c:pt idx="691">
                  <c:v>15</c:v>
                </c:pt>
                <c:pt idx="692">
                  <c:v>4</c:v>
                </c:pt>
                <c:pt idx="693">
                  <c:v>20</c:v>
                </c:pt>
                <c:pt idx="694">
                  <c:v>3</c:v>
                </c:pt>
                <c:pt idx="695">
                  <c:v>2</c:v>
                </c:pt>
                <c:pt idx="696">
                  <c:v>8</c:v>
                </c:pt>
                <c:pt idx="697">
                  <c:v>7</c:v>
                </c:pt>
                <c:pt idx="698">
                  <c:v>12</c:v>
                </c:pt>
                <c:pt idx="699">
                  <c:v>29</c:v>
                </c:pt>
                <c:pt idx="700">
                  <c:v>20</c:v>
                </c:pt>
                <c:pt idx="701">
                  <c:v>10</c:v>
                </c:pt>
                <c:pt idx="702">
                  <c:v>6</c:v>
                </c:pt>
                <c:pt idx="703">
                  <c:v>3</c:v>
                </c:pt>
                <c:pt idx="704">
                  <c:v>10</c:v>
                </c:pt>
                <c:pt idx="705">
                  <c:v>10</c:v>
                </c:pt>
                <c:pt idx="706">
                  <c:v>8</c:v>
                </c:pt>
                <c:pt idx="707">
                  <c:v>27</c:v>
                </c:pt>
                <c:pt idx="708">
                  <c:v>6</c:v>
                </c:pt>
                <c:pt idx="709">
                  <c:v>12</c:v>
                </c:pt>
                <c:pt idx="710">
                  <c:v>5</c:v>
                </c:pt>
                <c:pt idx="711">
                  <c:v>3</c:v>
                </c:pt>
                <c:pt idx="712">
                  <c:v>10</c:v>
                </c:pt>
                <c:pt idx="713">
                  <c:v>12</c:v>
                </c:pt>
                <c:pt idx="714">
                  <c:v>4</c:v>
                </c:pt>
                <c:pt idx="715">
                  <c:v>7</c:v>
                </c:pt>
                <c:pt idx="716">
                  <c:v>12</c:v>
                </c:pt>
                <c:pt idx="717">
                  <c:v>1</c:v>
                </c:pt>
                <c:pt idx="718">
                  <c:v>15</c:v>
                </c:pt>
                <c:pt idx="719">
                  <c:v>2</c:v>
                </c:pt>
                <c:pt idx="720">
                  <c:v>1.5</c:v>
                </c:pt>
                <c:pt idx="721">
                  <c:v>8</c:v>
                </c:pt>
                <c:pt idx="722">
                  <c:v>6</c:v>
                </c:pt>
                <c:pt idx="723">
                  <c:v>7</c:v>
                </c:pt>
                <c:pt idx="724">
                  <c:v>17</c:v>
                </c:pt>
                <c:pt idx="725">
                  <c:v>10</c:v>
                </c:pt>
                <c:pt idx="726">
                  <c:v>30</c:v>
                </c:pt>
                <c:pt idx="727">
                  <c:v>5</c:v>
                </c:pt>
                <c:pt idx="728">
                  <c:v>2</c:v>
                </c:pt>
                <c:pt idx="729">
                  <c:v>10</c:v>
                </c:pt>
                <c:pt idx="730">
                  <c:v>4.5</c:v>
                </c:pt>
                <c:pt idx="731">
                  <c:v>8</c:v>
                </c:pt>
                <c:pt idx="732">
                  <c:v>3</c:v>
                </c:pt>
                <c:pt idx="733">
                  <c:v>6</c:v>
                </c:pt>
                <c:pt idx="734">
                  <c:v>5</c:v>
                </c:pt>
                <c:pt idx="735">
                  <c:v>20</c:v>
                </c:pt>
                <c:pt idx="736">
                  <c:v>2</c:v>
                </c:pt>
                <c:pt idx="737">
                  <c:v>9</c:v>
                </c:pt>
                <c:pt idx="738">
                  <c:v>28</c:v>
                </c:pt>
                <c:pt idx="739">
                  <c:v>25</c:v>
                </c:pt>
                <c:pt idx="740">
                  <c:v>7</c:v>
                </c:pt>
                <c:pt idx="741">
                  <c:v>10</c:v>
                </c:pt>
                <c:pt idx="742">
                  <c:v>0.1</c:v>
                </c:pt>
                <c:pt idx="743">
                  <c:v>10</c:v>
                </c:pt>
                <c:pt idx="744">
                  <c:v>0.5</c:v>
                </c:pt>
                <c:pt idx="745">
                  <c:v>0.6</c:v>
                </c:pt>
                <c:pt idx="746">
                  <c:v>1</c:v>
                </c:pt>
                <c:pt idx="747">
                  <c:v>7</c:v>
                </c:pt>
                <c:pt idx="748">
                  <c:v>2</c:v>
                </c:pt>
                <c:pt idx="749">
                  <c:v>16</c:v>
                </c:pt>
                <c:pt idx="750">
                  <c:v>4</c:v>
                </c:pt>
                <c:pt idx="751">
                  <c:v>12</c:v>
                </c:pt>
                <c:pt idx="752">
                  <c:v>4</c:v>
                </c:pt>
                <c:pt idx="753">
                  <c:v>15</c:v>
                </c:pt>
                <c:pt idx="754">
                  <c:v>5</c:v>
                </c:pt>
                <c:pt idx="755">
                  <c:v>20</c:v>
                </c:pt>
                <c:pt idx="756">
                  <c:v>3</c:v>
                </c:pt>
                <c:pt idx="757">
                  <c:v>5</c:v>
                </c:pt>
                <c:pt idx="758">
                  <c:v>2</c:v>
                </c:pt>
                <c:pt idx="759">
                  <c:v>7</c:v>
                </c:pt>
                <c:pt idx="760">
                  <c:v>21</c:v>
                </c:pt>
                <c:pt idx="761">
                  <c:v>12</c:v>
                </c:pt>
                <c:pt idx="762">
                  <c:v>4</c:v>
                </c:pt>
                <c:pt idx="763">
                  <c:v>4</c:v>
                </c:pt>
                <c:pt idx="764">
                  <c:v>4.5</c:v>
                </c:pt>
                <c:pt idx="765">
                  <c:v>6.4</c:v>
                </c:pt>
                <c:pt idx="766">
                  <c:v>15</c:v>
                </c:pt>
                <c:pt idx="767">
                  <c:v>6</c:v>
                </c:pt>
                <c:pt idx="768">
                  <c:v>5</c:v>
                </c:pt>
                <c:pt idx="769">
                  <c:v>15</c:v>
                </c:pt>
                <c:pt idx="770">
                  <c:v>14</c:v>
                </c:pt>
                <c:pt idx="771">
                  <c:v>3</c:v>
                </c:pt>
                <c:pt idx="772">
                  <c:v>5.5</c:v>
                </c:pt>
                <c:pt idx="773">
                  <c:v>2</c:v>
                </c:pt>
                <c:pt idx="774">
                  <c:v>30</c:v>
                </c:pt>
                <c:pt idx="775">
                  <c:v>15</c:v>
                </c:pt>
                <c:pt idx="776">
                  <c:v>20</c:v>
                </c:pt>
                <c:pt idx="777">
                  <c:v>7</c:v>
                </c:pt>
                <c:pt idx="778">
                  <c:v>8</c:v>
                </c:pt>
                <c:pt idx="779">
                  <c:v>10</c:v>
                </c:pt>
                <c:pt idx="780">
                  <c:v>1</c:v>
                </c:pt>
                <c:pt idx="781">
                  <c:v>7</c:v>
                </c:pt>
                <c:pt idx="782">
                  <c:v>25</c:v>
                </c:pt>
                <c:pt idx="783">
                  <c:v>12</c:v>
                </c:pt>
                <c:pt idx="784">
                  <c:v>5.6</c:v>
                </c:pt>
                <c:pt idx="785">
                  <c:v>12</c:v>
                </c:pt>
                <c:pt idx="786">
                  <c:v>8</c:v>
                </c:pt>
                <c:pt idx="787">
                  <c:v>30</c:v>
                </c:pt>
                <c:pt idx="788">
                  <c:v>15</c:v>
                </c:pt>
                <c:pt idx="789">
                  <c:v>10</c:v>
                </c:pt>
                <c:pt idx="790">
                  <c:v>15</c:v>
                </c:pt>
                <c:pt idx="791">
                  <c:v>3</c:v>
                </c:pt>
                <c:pt idx="792">
                  <c:v>1</c:v>
                </c:pt>
                <c:pt idx="793">
                  <c:v>20</c:v>
                </c:pt>
                <c:pt idx="794">
                  <c:v>7</c:v>
                </c:pt>
                <c:pt idx="795">
                  <c:v>33</c:v>
                </c:pt>
                <c:pt idx="796">
                  <c:v>0.5</c:v>
                </c:pt>
                <c:pt idx="797">
                  <c:v>22</c:v>
                </c:pt>
                <c:pt idx="798">
                  <c:v>8</c:v>
                </c:pt>
                <c:pt idx="799">
                  <c:v>17</c:v>
                </c:pt>
                <c:pt idx="800">
                  <c:v>20</c:v>
                </c:pt>
                <c:pt idx="801">
                  <c:v>12</c:v>
                </c:pt>
                <c:pt idx="802">
                  <c:v>25</c:v>
                </c:pt>
                <c:pt idx="803">
                  <c:v>5</c:v>
                </c:pt>
                <c:pt idx="804">
                  <c:v>22</c:v>
                </c:pt>
                <c:pt idx="805">
                  <c:v>14</c:v>
                </c:pt>
                <c:pt idx="806">
                  <c:v>7</c:v>
                </c:pt>
                <c:pt idx="807">
                  <c:v>6</c:v>
                </c:pt>
                <c:pt idx="808">
                  <c:v>15</c:v>
                </c:pt>
                <c:pt idx="809">
                  <c:v>25</c:v>
                </c:pt>
                <c:pt idx="810">
                  <c:v>15</c:v>
                </c:pt>
                <c:pt idx="811">
                  <c:v>30</c:v>
                </c:pt>
                <c:pt idx="812">
                  <c:v>15</c:v>
                </c:pt>
                <c:pt idx="813">
                  <c:v>6</c:v>
                </c:pt>
                <c:pt idx="814">
                  <c:v>7</c:v>
                </c:pt>
                <c:pt idx="815">
                  <c:v>10</c:v>
                </c:pt>
                <c:pt idx="816">
                  <c:v>10</c:v>
                </c:pt>
                <c:pt idx="817">
                  <c:v>6</c:v>
                </c:pt>
                <c:pt idx="818">
                  <c:v>14</c:v>
                </c:pt>
                <c:pt idx="819">
                  <c:v>25</c:v>
                </c:pt>
                <c:pt idx="820">
                  <c:v>10</c:v>
                </c:pt>
                <c:pt idx="821">
                  <c:v>8</c:v>
                </c:pt>
                <c:pt idx="822">
                  <c:v>30</c:v>
                </c:pt>
                <c:pt idx="823">
                  <c:v>8</c:v>
                </c:pt>
                <c:pt idx="824">
                  <c:v>10</c:v>
                </c:pt>
                <c:pt idx="825">
                  <c:v>14</c:v>
                </c:pt>
                <c:pt idx="826">
                  <c:v>1</c:v>
                </c:pt>
                <c:pt idx="827">
                  <c:v>1</c:v>
                </c:pt>
                <c:pt idx="828">
                  <c:v>15</c:v>
                </c:pt>
                <c:pt idx="829">
                  <c:v>4</c:v>
                </c:pt>
                <c:pt idx="830">
                  <c:v>30</c:v>
                </c:pt>
                <c:pt idx="831">
                  <c:v>21</c:v>
                </c:pt>
                <c:pt idx="832">
                  <c:v>13</c:v>
                </c:pt>
                <c:pt idx="833">
                  <c:v>20</c:v>
                </c:pt>
                <c:pt idx="834">
                  <c:v>15</c:v>
                </c:pt>
                <c:pt idx="835">
                  <c:v>10</c:v>
                </c:pt>
                <c:pt idx="836">
                  <c:v>29</c:v>
                </c:pt>
                <c:pt idx="837">
                  <c:v>6</c:v>
                </c:pt>
                <c:pt idx="838">
                  <c:v>12</c:v>
                </c:pt>
                <c:pt idx="839">
                  <c:v>20</c:v>
                </c:pt>
                <c:pt idx="840">
                  <c:v>5</c:v>
                </c:pt>
                <c:pt idx="841">
                  <c:v>1</c:v>
                </c:pt>
                <c:pt idx="842">
                  <c:v>20</c:v>
                </c:pt>
                <c:pt idx="843">
                  <c:v>7</c:v>
                </c:pt>
                <c:pt idx="844">
                  <c:v>2</c:v>
                </c:pt>
                <c:pt idx="845">
                  <c:v>16</c:v>
                </c:pt>
                <c:pt idx="846">
                  <c:v>9</c:v>
                </c:pt>
                <c:pt idx="847">
                  <c:v>12</c:v>
                </c:pt>
                <c:pt idx="848">
                  <c:v>10</c:v>
                </c:pt>
                <c:pt idx="849">
                  <c:v>9</c:v>
                </c:pt>
                <c:pt idx="850">
                  <c:v>10</c:v>
                </c:pt>
                <c:pt idx="851">
                  <c:v>3</c:v>
                </c:pt>
                <c:pt idx="852">
                  <c:v>10</c:v>
                </c:pt>
                <c:pt idx="853">
                  <c:v>20</c:v>
                </c:pt>
                <c:pt idx="854">
                  <c:v>5.5</c:v>
                </c:pt>
                <c:pt idx="855">
                  <c:v>8</c:v>
                </c:pt>
                <c:pt idx="856">
                  <c:v>2</c:v>
                </c:pt>
                <c:pt idx="857">
                  <c:v>25</c:v>
                </c:pt>
                <c:pt idx="858">
                  <c:v>11</c:v>
                </c:pt>
                <c:pt idx="859">
                  <c:v>5</c:v>
                </c:pt>
                <c:pt idx="860">
                  <c:v>18</c:v>
                </c:pt>
                <c:pt idx="861">
                  <c:v>1.5</c:v>
                </c:pt>
                <c:pt idx="862">
                  <c:v>5</c:v>
                </c:pt>
                <c:pt idx="863">
                  <c:v>3</c:v>
                </c:pt>
                <c:pt idx="864">
                  <c:v>5</c:v>
                </c:pt>
                <c:pt idx="865">
                  <c:v>4</c:v>
                </c:pt>
                <c:pt idx="866">
                  <c:v>20</c:v>
                </c:pt>
                <c:pt idx="867">
                  <c:v>7</c:v>
                </c:pt>
                <c:pt idx="868">
                  <c:v>4</c:v>
                </c:pt>
                <c:pt idx="869">
                  <c:v>36</c:v>
                </c:pt>
                <c:pt idx="870">
                  <c:v>8</c:v>
                </c:pt>
                <c:pt idx="871">
                  <c:v>0</c:v>
                </c:pt>
                <c:pt idx="872">
                  <c:v>10</c:v>
                </c:pt>
                <c:pt idx="873">
                  <c:v>10</c:v>
                </c:pt>
                <c:pt idx="874">
                  <c:v>6</c:v>
                </c:pt>
                <c:pt idx="875">
                  <c:v>2</c:v>
                </c:pt>
                <c:pt idx="876">
                  <c:v>4</c:v>
                </c:pt>
                <c:pt idx="877">
                  <c:v>2</c:v>
                </c:pt>
                <c:pt idx="878">
                  <c:v>5</c:v>
                </c:pt>
                <c:pt idx="879">
                  <c:v>2</c:v>
                </c:pt>
                <c:pt idx="880">
                  <c:v>6</c:v>
                </c:pt>
                <c:pt idx="881">
                  <c:v>15</c:v>
                </c:pt>
                <c:pt idx="882">
                  <c:v>6</c:v>
                </c:pt>
                <c:pt idx="883">
                  <c:v>12</c:v>
                </c:pt>
                <c:pt idx="884">
                  <c:v>5</c:v>
                </c:pt>
                <c:pt idx="885">
                  <c:v>7</c:v>
                </c:pt>
                <c:pt idx="886">
                  <c:v>11</c:v>
                </c:pt>
                <c:pt idx="887">
                  <c:v>5</c:v>
                </c:pt>
                <c:pt idx="888">
                  <c:v>10</c:v>
                </c:pt>
                <c:pt idx="889">
                  <c:v>35</c:v>
                </c:pt>
                <c:pt idx="890">
                  <c:v>7</c:v>
                </c:pt>
                <c:pt idx="891">
                  <c:v>1.6</c:v>
                </c:pt>
                <c:pt idx="892">
                  <c:v>7</c:v>
                </c:pt>
                <c:pt idx="893">
                  <c:v>20</c:v>
                </c:pt>
                <c:pt idx="894">
                  <c:v>2</c:v>
                </c:pt>
                <c:pt idx="895">
                  <c:v>3</c:v>
                </c:pt>
                <c:pt idx="896">
                  <c:v>6</c:v>
                </c:pt>
                <c:pt idx="897">
                  <c:v>2</c:v>
                </c:pt>
                <c:pt idx="898">
                  <c:v>19</c:v>
                </c:pt>
                <c:pt idx="899">
                  <c:v>10</c:v>
                </c:pt>
                <c:pt idx="900">
                  <c:v>9</c:v>
                </c:pt>
                <c:pt idx="901">
                  <c:v>15</c:v>
                </c:pt>
                <c:pt idx="902">
                  <c:v>14</c:v>
                </c:pt>
                <c:pt idx="903">
                  <c:v>13</c:v>
                </c:pt>
                <c:pt idx="904">
                  <c:v>4</c:v>
                </c:pt>
                <c:pt idx="905">
                  <c:v>12</c:v>
                </c:pt>
                <c:pt idx="906">
                  <c:v>10</c:v>
                </c:pt>
                <c:pt idx="907">
                  <c:v>10</c:v>
                </c:pt>
                <c:pt idx="908">
                  <c:v>8</c:v>
                </c:pt>
                <c:pt idx="909">
                  <c:v>17</c:v>
                </c:pt>
                <c:pt idx="910">
                  <c:v>13</c:v>
                </c:pt>
                <c:pt idx="911">
                  <c:v>8</c:v>
                </c:pt>
                <c:pt idx="912">
                  <c:v>7</c:v>
                </c:pt>
                <c:pt idx="913">
                  <c:v>10</c:v>
                </c:pt>
                <c:pt idx="914">
                  <c:v>4</c:v>
                </c:pt>
                <c:pt idx="915">
                  <c:v>20</c:v>
                </c:pt>
                <c:pt idx="916">
                  <c:v>5</c:v>
                </c:pt>
                <c:pt idx="917">
                  <c:v>8</c:v>
                </c:pt>
                <c:pt idx="918">
                  <c:v>5</c:v>
                </c:pt>
                <c:pt idx="919">
                  <c:v>2</c:v>
                </c:pt>
                <c:pt idx="920">
                  <c:v>8</c:v>
                </c:pt>
                <c:pt idx="921">
                  <c:v>14</c:v>
                </c:pt>
                <c:pt idx="922">
                  <c:v>10</c:v>
                </c:pt>
                <c:pt idx="923">
                  <c:v>6</c:v>
                </c:pt>
                <c:pt idx="924">
                  <c:v>21</c:v>
                </c:pt>
                <c:pt idx="925">
                  <c:v>15</c:v>
                </c:pt>
                <c:pt idx="926">
                  <c:v>5</c:v>
                </c:pt>
                <c:pt idx="927">
                  <c:v>1</c:v>
                </c:pt>
                <c:pt idx="928">
                  <c:v>3</c:v>
                </c:pt>
                <c:pt idx="929">
                  <c:v>10</c:v>
                </c:pt>
                <c:pt idx="930">
                  <c:v>4</c:v>
                </c:pt>
                <c:pt idx="931">
                  <c:v>15</c:v>
                </c:pt>
                <c:pt idx="932">
                  <c:v>15</c:v>
                </c:pt>
                <c:pt idx="933">
                  <c:v>20</c:v>
                </c:pt>
                <c:pt idx="934">
                  <c:v>10</c:v>
                </c:pt>
                <c:pt idx="935">
                  <c:v>1.5</c:v>
                </c:pt>
                <c:pt idx="936">
                  <c:v>5</c:v>
                </c:pt>
                <c:pt idx="937">
                  <c:v>22</c:v>
                </c:pt>
                <c:pt idx="938">
                  <c:v>18</c:v>
                </c:pt>
                <c:pt idx="939">
                  <c:v>2</c:v>
                </c:pt>
                <c:pt idx="940">
                  <c:v>27</c:v>
                </c:pt>
                <c:pt idx="941">
                  <c:v>3</c:v>
                </c:pt>
                <c:pt idx="942">
                  <c:v>8</c:v>
                </c:pt>
                <c:pt idx="943">
                  <c:v>6</c:v>
                </c:pt>
                <c:pt idx="944">
                  <c:v>14</c:v>
                </c:pt>
                <c:pt idx="945">
                  <c:v>11</c:v>
                </c:pt>
                <c:pt idx="946">
                  <c:v>3</c:v>
                </c:pt>
                <c:pt idx="947">
                  <c:v>8</c:v>
                </c:pt>
                <c:pt idx="948">
                  <c:v>8</c:v>
                </c:pt>
                <c:pt idx="949">
                  <c:v>30</c:v>
                </c:pt>
                <c:pt idx="950">
                  <c:v>0</c:v>
                </c:pt>
                <c:pt idx="951">
                  <c:v>3</c:v>
                </c:pt>
                <c:pt idx="952">
                  <c:v>5</c:v>
                </c:pt>
                <c:pt idx="953">
                  <c:v>18</c:v>
                </c:pt>
                <c:pt idx="954">
                  <c:v>6</c:v>
                </c:pt>
                <c:pt idx="955">
                  <c:v>14</c:v>
                </c:pt>
                <c:pt idx="956">
                  <c:v>15</c:v>
                </c:pt>
                <c:pt idx="957">
                  <c:v>15</c:v>
                </c:pt>
                <c:pt idx="958">
                  <c:v>8</c:v>
                </c:pt>
                <c:pt idx="959">
                  <c:v>5</c:v>
                </c:pt>
                <c:pt idx="960">
                  <c:v>4</c:v>
                </c:pt>
                <c:pt idx="961">
                  <c:v>5</c:v>
                </c:pt>
                <c:pt idx="962">
                  <c:v>5</c:v>
                </c:pt>
                <c:pt idx="963">
                  <c:v>8</c:v>
                </c:pt>
                <c:pt idx="964">
                  <c:v>7</c:v>
                </c:pt>
                <c:pt idx="965">
                  <c:v>10</c:v>
                </c:pt>
                <c:pt idx="966">
                  <c:v>3</c:v>
                </c:pt>
                <c:pt idx="967">
                  <c:v>5</c:v>
                </c:pt>
                <c:pt idx="968">
                  <c:v>17</c:v>
                </c:pt>
                <c:pt idx="969">
                  <c:v>7</c:v>
                </c:pt>
                <c:pt idx="970">
                  <c:v>5</c:v>
                </c:pt>
                <c:pt idx="971">
                  <c:v>15</c:v>
                </c:pt>
                <c:pt idx="972">
                  <c:v>8</c:v>
                </c:pt>
                <c:pt idx="973">
                  <c:v>10</c:v>
                </c:pt>
                <c:pt idx="974">
                  <c:v>15</c:v>
                </c:pt>
                <c:pt idx="975">
                  <c:v>5</c:v>
                </c:pt>
                <c:pt idx="976">
                  <c:v>2</c:v>
                </c:pt>
                <c:pt idx="977">
                  <c:v>5</c:v>
                </c:pt>
                <c:pt idx="978">
                  <c:v>25</c:v>
                </c:pt>
                <c:pt idx="979">
                  <c:v>30</c:v>
                </c:pt>
                <c:pt idx="980">
                  <c:v>8</c:v>
                </c:pt>
                <c:pt idx="981">
                  <c:v>4</c:v>
                </c:pt>
                <c:pt idx="982">
                  <c:v>1</c:v>
                </c:pt>
                <c:pt idx="983">
                  <c:v>8</c:v>
                </c:pt>
                <c:pt idx="984">
                  <c:v>15</c:v>
                </c:pt>
                <c:pt idx="985">
                  <c:v>9</c:v>
                </c:pt>
                <c:pt idx="986">
                  <c:v>8</c:v>
                </c:pt>
                <c:pt idx="987">
                  <c:v>5</c:v>
                </c:pt>
                <c:pt idx="988">
                  <c:v>10</c:v>
                </c:pt>
                <c:pt idx="989">
                  <c:v>2</c:v>
                </c:pt>
                <c:pt idx="990">
                  <c:v>30</c:v>
                </c:pt>
                <c:pt idx="991">
                  <c:v>15</c:v>
                </c:pt>
                <c:pt idx="992">
                  <c:v>3</c:v>
                </c:pt>
                <c:pt idx="993">
                  <c:v>8</c:v>
                </c:pt>
                <c:pt idx="994">
                  <c:v>15</c:v>
                </c:pt>
                <c:pt idx="995">
                  <c:v>7</c:v>
                </c:pt>
                <c:pt idx="996">
                  <c:v>10</c:v>
                </c:pt>
                <c:pt idx="997">
                  <c:v>20</c:v>
                </c:pt>
                <c:pt idx="998">
                  <c:v>6</c:v>
                </c:pt>
                <c:pt idx="999">
                  <c:v>30</c:v>
                </c:pt>
                <c:pt idx="1000">
                  <c:v>5</c:v>
                </c:pt>
                <c:pt idx="1001">
                  <c:v>8</c:v>
                </c:pt>
                <c:pt idx="1002">
                  <c:v>3.5</c:v>
                </c:pt>
                <c:pt idx="1003">
                  <c:v>2.5</c:v>
                </c:pt>
                <c:pt idx="1004">
                  <c:v>6</c:v>
                </c:pt>
                <c:pt idx="1005">
                  <c:v>6</c:v>
                </c:pt>
                <c:pt idx="1006">
                  <c:v>5</c:v>
                </c:pt>
                <c:pt idx="1007">
                  <c:v>9</c:v>
                </c:pt>
                <c:pt idx="1008">
                  <c:v>4</c:v>
                </c:pt>
                <c:pt idx="1009">
                  <c:v>6</c:v>
                </c:pt>
                <c:pt idx="1010">
                  <c:v>5</c:v>
                </c:pt>
                <c:pt idx="1011">
                  <c:v>10</c:v>
                </c:pt>
                <c:pt idx="1012">
                  <c:v>12</c:v>
                </c:pt>
                <c:pt idx="1013">
                  <c:v>2</c:v>
                </c:pt>
                <c:pt idx="1014">
                  <c:v>6</c:v>
                </c:pt>
                <c:pt idx="1015">
                  <c:v>2</c:v>
                </c:pt>
                <c:pt idx="1016">
                  <c:v>12</c:v>
                </c:pt>
                <c:pt idx="1017">
                  <c:v>12</c:v>
                </c:pt>
                <c:pt idx="1018">
                  <c:v>1</c:v>
                </c:pt>
                <c:pt idx="1019">
                  <c:v>3</c:v>
                </c:pt>
                <c:pt idx="1020">
                  <c:v>10</c:v>
                </c:pt>
                <c:pt idx="1021">
                  <c:v>15</c:v>
                </c:pt>
                <c:pt idx="1022">
                  <c:v>2</c:v>
                </c:pt>
                <c:pt idx="1023">
                  <c:v>1</c:v>
                </c:pt>
                <c:pt idx="1024">
                  <c:v>1</c:v>
                </c:pt>
                <c:pt idx="1025">
                  <c:v>20</c:v>
                </c:pt>
                <c:pt idx="1026">
                  <c:v>5</c:v>
                </c:pt>
                <c:pt idx="1027">
                  <c:v>1</c:v>
                </c:pt>
                <c:pt idx="1028">
                  <c:v>1</c:v>
                </c:pt>
                <c:pt idx="1029">
                  <c:v>10</c:v>
                </c:pt>
                <c:pt idx="1030">
                  <c:v>2</c:v>
                </c:pt>
                <c:pt idx="1031">
                  <c:v>12</c:v>
                </c:pt>
                <c:pt idx="1032">
                  <c:v>8</c:v>
                </c:pt>
                <c:pt idx="1033">
                  <c:v>4</c:v>
                </c:pt>
                <c:pt idx="1034">
                  <c:v>5</c:v>
                </c:pt>
                <c:pt idx="1035">
                  <c:v>8</c:v>
                </c:pt>
                <c:pt idx="1036">
                  <c:v>1</c:v>
                </c:pt>
                <c:pt idx="1037">
                  <c:v>12</c:v>
                </c:pt>
                <c:pt idx="1038">
                  <c:v>2.5</c:v>
                </c:pt>
                <c:pt idx="1039">
                  <c:v>9</c:v>
                </c:pt>
                <c:pt idx="1040">
                  <c:v>2</c:v>
                </c:pt>
                <c:pt idx="1041">
                  <c:v>1</c:v>
                </c:pt>
                <c:pt idx="1042">
                  <c:v>16</c:v>
                </c:pt>
                <c:pt idx="1043">
                  <c:v>5</c:v>
                </c:pt>
                <c:pt idx="1044">
                  <c:v>7</c:v>
                </c:pt>
                <c:pt idx="1045">
                  <c:v>5</c:v>
                </c:pt>
                <c:pt idx="1046">
                  <c:v>5</c:v>
                </c:pt>
                <c:pt idx="1047">
                  <c:v>4</c:v>
                </c:pt>
                <c:pt idx="1048">
                  <c:v>7</c:v>
                </c:pt>
                <c:pt idx="1049">
                  <c:v>18</c:v>
                </c:pt>
                <c:pt idx="1050">
                  <c:v>10</c:v>
                </c:pt>
                <c:pt idx="1051">
                  <c:v>9</c:v>
                </c:pt>
                <c:pt idx="1052">
                  <c:v>13</c:v>
                </c:pt>
                <c:pt idx="1053">
                  <c:v>10</c:v>
                </c:pt>
                <c:pt idx="1054">
                  <c:v>4</c:v>
                </c:pt>
                <c:pt idx="1055">
                  <c:v>5</c:v>
                </c:pt>
                <c:pt idx="1056">
                  <c:v>3</c:v>
                </c:pt>
                <c:pt idx="1057">
                  <c:v>5</c:v>
                </c:pt>
                <c:pt idx="1058">
                  <c:v>4</c:v>
                </c:pt>
                <c:pt idx="1059">
                  <c:v>3</c:v>
                </c:pt>
                <c:pt idx="1060">
                  <c:v>4</c:v>
                </c:pt>
                <c:pt idx="1061">
                  <c:v>3</c:v>
                </c:pt>
                <c:pt idx="1062">
                  <c:v>5</c:v>
                </c:pt>
                <c:pt idx="1063">
                  <c:v>3</c:v>
                </c:pt>
                <c:pt idx="1064">
                  <c:v>1</c:v>
                </c:pt>
                <c:pt idx="1065">
                  <c:v>9</c:v>
                </c:pt>
                <c:pt idx="1066">
                  <c:v>14</c:v>
                </c:pt>
                <c:pt idx="1067">
                  <c:v>15</c:v>
                </c:pt>
                <c:pt idx="1068">
                  <c:v>2</c:v>
                </c:pt>
                <c:pt idx="1069">
                  <c:v>8</c:v>
                </c:pt>
                <c:pt idx="1070">
                  <c:v>6</c:v>
                </c:pt>
                <c:pt idx="1071">
                  <c:v>15</c:v>
                </c:pt>
                <c:pt idx="1072">
                  <c:v>20</c:v>
                </c:pt>
                <c:pt idx="1073">
                  <c:v>23</c:v>
                </c:pt>
                <c:pt idx="1074">
                  <c:v>2.5</c:v>
                </c:pt>
                <c:pt idx="1075">
                  <c:v>17</c:v>
                </c:pt>
                <c:pt idx="1076">
                  <c:v>11</c:v>
                </c:pt>
                <c:pt idx="1077">
                  <c:v>1</c:v>
                </c:pt>
                <c:pt idx="1078">
                  <c:v>6</c:v>
                </c:pt>
                <c:pt idx="1079">
                  <c:v>12</c:v>
                </c:pt>
                <c:pt idx="1080">
                  <c:v>10</c:v>
                </c:pt>
                <c:pt idx="1081">
                  <c:v>8</c:v>
                </c:pt>
                <c:pt idx="1082">
                  <c:v>12</c:v>
                </c:pt>
                <c:pt idx="1083">
                  <c:v>3</c:v>
                </c:pt>
                <c:pt idx="1084">
                  <c:v>3</c:v>
                </c:pt>
                <c:pt idx="1085">
                  <c:v>15</c:v>
                </c:pt>
                <c:pt idx="1086">
                  <c:v>10</c:v>
                </c:pt>
                <c:pt idx="1087">
                  <c:v>5</c:v>
                </c:pt>
                <c:pt idx="1088">
                  <c:v>8</c:v>
                </c:pt>
                <c:pt idx="1089">
                  <c:v>2</c:v>
                </c:pt>
                <c:pt idx="1090">
                  <c:v>1</c:v>
                </c:pt>
                <c:pt idx="1091">
                  <c:v>6</c:v>
                </c:pt>
                <c:pt idx="1092">
                  <c:v>25</c:v>
                </c:pt>
                <c:pt idx="1093">
                  <c:v>5</c:v>
                </c:pt>
                <c:pt idx="1094">
                  <c:v>6</c:v>
                </c:pt>
                <c:pt idx="1095">
                  <c:v>6</c:v>
                </c:pt>
                <c:pt idx="1096">
                  <c:v>4</c:v>
                </c:pt>
                <c:pt idx="1097">
                  <c:v>16</c:v>
                </c:pt>
                <c:pt idx="1098">
                  <c:v>12</c:v>
                </c:pt>
                <c:pt idx="1099">
                  <c:v>5</c:v>
                </c:pt>
                <c:pt idx="1100">
                  <c:v>5</c:v>
                </c:pt>
                <c:pt idx="1101">
                  <c:v>6</c:v>
                </c:pt>
                <c:pt idx="1102">
                  <c:v>8</c:v>
                </c:pt>
                <c:pt idx="1103">
                  <c:v>5</c:v>
                </c:pt>
                <c:pt idx="1104">
                  <c:v>12</c:v>
                </c:pt>
                <c:pt idx="1105">
                  <c:v>10</c:v>
                </c:pt>
                <c:pt idx="1106">
                  <c:v>8</c:v>
                </c:pt>
                <c:pt idx="1107">
                  <c:v>3</c:v>
                </c:pt>
                <c:pt idx="1108">
                  <c:v>9</c:v>
                </c:pt>
                <c:pt idx="1109">
                  <c:v>3</c:v>
                </c:pt>
                <c:pt idx="1110">
                  <c:v>8</c:v>
                </c:pt>
                <c:pt idx="1111">
                  <c:v>4</c:v>
                </c:pt>
                <c:pt idx="1112">
                  <c:v>4</c:v>
                </c:pt>
                <c:pt idx="1113">
                  <c:v>1.5</c:v>
                </c:pt>
                <c:pt idx="1114">
                  <c:v>5</c:v>
                </c:pt>
                <c:pt idx="1115">
                  <c:v>1</c:v>
                </c:pt>
                <c:pt idx="1116">
                  <c:v>4</c:v>
                </c:pt>
                <c:pt idx="1117">
                  <c:v>6</c:v>
                </c:pt>
                <c:pt idx="1118">
                  <c:v>6</c:v>
                </c:pt>
                <c:pt idx="1119">
                  <c:v>6</c:v>
                </c:pt>
                <c:pt idx="1120">
                  <c:v>2</c:v>
                </c:pt>
                <c:pt idx="1121">
                  <c:v>1</c:v>
                </c:pt>
                <c:pt idx="1122">
                  <c:v>5</c:v>
                </c:pt>
                <c:pt idx="1123">
                  <c:v>2</c:v>
                </c:pt>
                <c:pt idx="1124">
                  <c:v>4</c:v>
                </c:pt>
                <c:pt idx="1125">
                  <c:v>5</c:v>
                </c:pt>
                <c:pt idx="1126">
                  <c:v>14</c:v>
                </c:pt>
                <c:pt idx="1127">
                  <c:v>13</c:v>
                </c:pt>
                <c:pt idx="1128">
                  <c:v>8</c:v>
                </c:pt>
                <c:pt idx="1129">
                  <c:v>3</c:v>
                </c:pt>
                <c:pt idx="1130">
                  <c:v>6</c:v>
                </c:pt>
                <c:pt idx="1131">
                  <c:v>6</c:v>
                </c:pt>
                <c:pt idx="1132">
                  <c:v>15</c:v>
                </c:pt>
                <c:pt idx="1133">
                  <c:v>25</c:v>
                </c:pt>
                <c:pt idx="1134">
                  <c:v>8</c:v>
                </c:pt>
                <c:pt idx="1135">
                  <c:v>2</c:v>
                </c:pt>
                <c:pt idx="1136">
                  <c:v>2</c:v>
                </c:pt>
                <c:pt idx="1137">
                  <c:v>20</c:v>
                </c:pt>
                <c:pt idx="1138">
                  <c:v>2</c:v>
                </c:pt>
                <c:pt idx="1139">
                  <c:v>5</c:v>
                </c:pt>
                <c:pt idx="1140">
                  <c:v>2</c:v>
                </c:pt>
                <c:pt idx="1141">
                  <c:v>4</c:v>
                </c:pt>
                <c:pt idx="1142">
                  <c:v>11</c:v>
                </c:pt>
                <c:pt idx="1143">
                  <c:v>2</c:v>
                </c:pt>
                <c:pt idx="1144">
                  <c:v>5</c:v>
                </c:pt>
                <c:pt idx="1145">
                  <c:v>3</c:v>
                </c:pt>
                <c:pt idx="1146">
                  <c:v>8</c:v>
                </c:pt>
                <c:pt idx="1147">
                  <c:v>2</c:v>
                </c:pt>
                <c:pt idx="1148">
                  <c:v>4</c:v>
                </c:pt>
                <c:pt idx="1149">
                  <c:v>2.5</c:v>
                </c:pt>
                <c:pt idx="1150">
                  <c:v>5</c:v>
                </c:pt>
                <c:pt idx="1151">
                  <c:v>10</c:v>
                </c:pt>
                <c:pt idx="1152">
                  <c:v>4</c:v>
                </c:pt>
                <c:pt idx="1153">
                  <c:v>15</c:v>
                </c:pt>
                <c:pt idx="1154">
                  <c:v>1</c:v>
                </c:pt>
                <c:pt idx="1155">
                  <c:v>7</c:v>
                </c:pt>
                <c:pt idx="1156">
                  <c:v>1</c:v>
                </c:pt>
                <c:pt idx="1157">
                  <c:v>4</c:v>
                </c:pt>
                <c:pt idx="1158">
                  <c:v>20</c:v>
                </c:pt>
                <c:pt idx="1159">
                  <c:v>9</c:v>
                </c:pt>
                <c:pt idx="1160">
                  <c:v>2</c:v>
                </c:pt>
                <c:pt idx="1161">
                  <c:v>2</c:v>
                </c:pt>
                <c:pt idx="1162">
                  <c:v>2</c:v>
                </c:pt>
                <c:pt idx="1163">
                  <c:v>0</c:v>
                </c:pt>
                <c:pt idx="1164">
                  <c:v>0</c:v>
                </c:pt>
                <c:pt idx="1165">
                  <c:v>6</c:v>
                </c:pt>
                <c:pt idx="1166">
                  <c:v>3</c:v>
                </c:pt>
                <c:pt idx="1167">
                  <c:v>3</c:v>
                </c:pt>
                <c:pt idx="1168">
                  <c:v>20</c:v>
                </c:pt>
                <c:pt idx="1169">
                  <c:v>16</c:v>
                </c:pt>
                <c:pt idx="1170">
                  <c:v>4</c:v>
                </c:pt>
                <c:pt idx="1171">
                  <c:v>6</c:v>
                </c:pt>
                <c:pt idx="1172">
                  <c:v>11</c:v>
                </c:pt>
                <c:pt idx="1173">
                  <c:v>6</c:v>
                </c:pt>
                <c:pt idx="1174">
                  <c:v>5</c:v>
                </c:pt>
                <c:pt idx="1175">
                  <c:v>2</c:v>
                </c:pt>
                <c:pt idx="1176">
                  <c:v>13</c:v>
                </c:pt>
                <c:pt idx="1177">
                  <c:v>3</c:v>
                </c:pt>
                <c:pt idx="1178">
                  <c:v>5</c:v>
                </c:pt>
                <c:pt idx="1179">
                  <c:v>3</c:v>
                </c:pt>
                <c:pt idx="1180">
                  <c:v>5</c:v>
                </c:pt>
                <c:pt idx="1181">
                  <c:v>15</c:v>
                </c:pt>
                <c:pt idx="1182">
                  <c:v>15</c:v>
                </c:pt>
                <c:pt idx="1183">
                  <c:v>9</c:v>
                </c:pt>
                <c:pt idx="1184">
                  <c:v>0</c:v>
                </c:pt>
                <c:pt idx="1185">
                  <c:v>10</c:v>
                </c:pt>
                <c:pt idx="1186">
                  <c:v>9</c:v>
                </c:pt>
                <c:pt idx="1187">
                  <c:v>7</c:v>
                </c:pt>
                <c:pt idx="1188">
                  <c:v>12</c:v>
                </c:pt>
                <c:pt idx="1189">
                  <c:v>3</c:v>
                </c:pt>
                <c:pt idx="1190">
                  <c:v>4</c:v>
                </c:pt>
                <c:pt idx="1191">
                  <c:v>7</c:v>
                </c:pt>
                <c:pt idx="1192">
                  <c:v>1</c:v>
                </c:pt>
                <c:pt idx="1193">
                  <c:v>3</c:v>
                </c:pt>
                <c:pt idx="1194">
                  <c:v>3</c:v>
                </c:pt>
                <c:pt idx="1195">
                  <c:v>9</c:v>
                </c:pt>
                <c:pt idx="1196">
                  <c:v>16</c:v>
                </c:pt>
                <c:pt idx="1197">
                  <c:v>1</c:v>
                </c:pt>
                <c:pt idx="1198">
                  <c:v>3</c:v>
                </c:pt>
                <c:pt idx="1199">
                  <c:v>12</c:v>
                </c:pt>
                <c:pt idx="1200">
                  <c:v>2</c:v>
                </c:pt>
                <c:pt idx="1201">
                  <c:v>2</c:v>
                </c:pt>
                <c:pt idx="1202">
                  <c:v>1</c:v>
                </c:pt>
                <c:pt idx="1203">
                  <c:v>12</c:v>
                </c:pt>
                <c:pt idx="1204">
                  <c:v>2</c:v>
                </c:pt>
                <c:pt idx="1205">
                  <c:v>2</c:v>
                </c:pt>
                <c:pt idx="1206">
                  <c:v>12</c:v>
                </c:pt>
                <c:pt idx="1207">
                  <c:v>1</c:v>
                </c:pt>
                <c:pt idx="1208">
                  <c:v>3</c:v>
                </c:pt>
                <c:pt idx="1209">
                  <c:v>14</c:v>
                </c:pt>
                <c:pt idx="1210">
                  <c:v>10</c:v>
                </c:pt>
                <c:pt idx="1211">
                  <c:v>13</c:v>
                </c:pt>
                <c:pt idx="1212">
                  <c:v>4</c:v>
                </c:pt>
                <c:pt idx="1213">
                  <c:v>10</c:v>
                </c:pt>
                <c:pt idx="1214">
                  <c:v>3</c:v>
                </c:pt>
                <c:pt idx="1215">
                  <c:v>4</c:v>
                </c:pt>
                <c:pt idx="1216">
                  <c:v>3</c:v>
                </c:pt>
                <c:pt idx="1217">
                  <c:v>12</c:v>
                </c:pt>
                <c:pt idx="1218">
                  <c:v>4</c:v>
                </c:pt>
                <c:pt idx="1219">
                  <c:v>5</c:v>
                </c:pt>
                <c:pt idx="1220">
                  <c:v>20</c:v>
                </c:pt>
                <c:pt idx="1221">
                  <c:v>1</c:v>
                </c:pt>
                <c:pt idx="1222">
                  <c:v>8</c:v>
                </c:pt>
                <c:pt idx="1223">
                  <c:v>15</c:v>
                </c:pt>
                <c:pt idx="1224">
                  <c:v>8</c:v>
                </c:pt>
                <c:pt idx="1225">
                  <c:v>3</c:v>
                </c:pt>
                <c:pt idx="1226">
                  <c:v>4</c:v>
                </c:pt>
                <c:pt idx="1227">
                  <c:v>2</c:v>
                </c:pt>
                <c:pt idx="1228">
                  <c:v>14</c:v>
                </c:pt>
                <c:pt idx="1229">
                  <c:v>2</c:v>
                </c:pt>
                <c:pt idx="1230">
                  <c:v>5</c:v>
                </c:pt>
                <c:pt idx="1231">
                  <c:v>20</c:v>
                </c:pt>
                <c:pt idx="1232">
                  <c:v>5</c:v>
                </c:pt>
                <c:pt idx="1233">
                  <c:v>25</c:v>
                </c:pt>
                <c:pt idx="1234">
                  <c:v>20</c:v>
                </c:pt>
                <c:pt idx="1235">
                  <c:v>10</c:v>
                </c:pt>
                <c:pt idx="1236">
                  <c:v>20</c:v>
                </c:pt>
                <c:pt idx="1237">
                  <c:v>1</c:v>
                </c:pt>
                <c:pt idx="1238">
                  <c:v>0.3</c:v>
                </c:pt>
                <c:pt idx="1239">
                  <c:v>10</c:v>
                </c:pt>
                <c:pt idx="1240">
                  <c:v>6</c:v>
                </c:pt>
                <c:pt idx="1241">
                  <c:v>7</c:v>
                </c:pt>
                <c:pt idx="1242">
                  <c:v>7</c:v>
                </c:pt>
                <c:pt idx="1243">
                  <c:v>6</c:v>
                </c:pt>
                <c:pt idx="1244">
                  <c:v>10</c:v>
                </c:pt>
                <c:pt idx="1245">
                  <c:v>15</c:v>
                </c:pt>
                <c:pt idx="1246">
                  <c:v>9</c:v>
                </c:pt>
                <c:pt idx="1247">
                  <c:v>0</c:v>
                </c:pt>
                <c:pt idx="1248">
                  <c:v>9</c:v>
                </c:pt>
                <c:pt idx="1249">
                  <c:v>6</c:v>
                </c:pt>
                <c:pt idx="1250">
                  <c:v>5</c:v>
                </c:pt>
                <c:pt idx="1251">
                  <c:v>5</c:v>
                </c:pt>
                <c:pt idx="1252">
                  <c:v>3</c:v>
                </c:pt>
                <c:pt idx="1253">
                  <c:v>15</c:v>
                </c:pt>
                <c:pt idx="1254">
                  <c:v>23</c:v>
                </c:pt>
                <c:pt idx="1255">
                  <c:v>3</c:v>
                </c:pt>
                <c:pt idx="1256">
                  <c:v>0</c:v>
                </c:pt>
                <c:pt idx="1257">
                  <c:v>1</c:v>
                </c:pt>
                <c:pt idx="1258">
                  <c:v>15</c:v>
                </c:pt>
                <c:pt idx="1259">
                  <c:v>1</c:v>
                </c:pt>
                <c:pt idx="1260">
                  <c:v>7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0.3</c:v>
                </c:pt>
                <c:pt idx="1265">
                  <c:v>5</c:v>
                </c:pt>
                <c:pt idx="1266">
                  <c:v>10</c:v>
                </c:pt>
                <c:pt idx="1267">
                  <c:v>4</c:v>
                </c:pt>
                <c:pt idx="1268">
                  <c:v>10</c:v>
                </c:pt>
                <c:pt idx="1269">
                  <c:v>10</c:v>
                </c:pt>
                <c:pt idx="1270">
                  <c:v>8</c:v>
                </c:pt>
                <c:pt idx="1271">
                  <c:v>8</c:v>
                </c:pt>
                <c:pt idx="1272">
                  <c:v>20</c:v>
                </c:pt>
                <c:pt idx="1273">
                  <c:v>10</c:v>
                </c:pt>
                <c:pt idx="1274">
                  <c:v>10</c:v>
                </c:pt>
                <c:pt idx="1275">
                  <c:v>10</c:v>
                </c:pt>
                <c:pt idx="1276">
                  <c:v>6</c:v>
                </c:pt>
                <c:pt idx="1277">
                  <c:v>18</c:v>
                </c:pt>
                <c:pt idx="1278">
                  <c:v>10</c:v>
                </c:pt>
                <c:pt idx="1279">
                  <c:v>6</c:v>
                </c:pt>
                <c:pt idx="1280">
                  <c:v>1</c:v>
                </c:pt>
                <c:pt idx="1281">
                  <c:v>2</c:v>
                </c:pt>
                <c:pt idx="1282">
                  <c:v>12</c:v>
                </c:pt>
                <c:pt idx="1283">
                  <c:v>5</c:v>
                </c:pt>
                <c:pt idx="1284">
                  <c:v>6</c:v>
                </c:pt>
                <c:pt idx="1285">
                  <c:v>12</c:v>
                </c:pt>
                <c:pt idx="1286">
                  <c:v>9</c:v>
                </c:pt>
                <c:pt idx="1287">
                  <c:v>20</c:v>
                </c:pt>
                <c:pt idx="1288">
                  <c:v>2</c:v>
                </c:pt>
                <c:pt idx="1289">
                  <c:v>15</c:v>
                </c:pt>
                <c:pt idx="1290">
                  <c:v>4</c:v>
                </c:pt>
                <c:pt idx="1291">
                  <c:v>1.5</c:v>
                </c:pt>
                <c:pt idx="1292">
                  <c:v>10</c:v>
                </c:pt>
                <c:pt idx="1293">
                  <c:v>3</c:v>
                </c:pt>
                <c:pt idx="1294">
                  <c:v>6</c:v>
                </c:pt>
                <c:pt idx="1295">
                  <c:v>20</c:v>
                </c:pt>
                <c:pt idx="1296">
                  <c:v>1</c:v>
                </c:pt>
                <c:pt idx="1297">
                  <c:v>2</c:v>
                </c:pt>
                <c:pt idx="1298">
                  <c:v>3</c:v>
                </c:pt>
                <c:pt idx="1299">
                  <c:v>27</c:v>
                </c:pt>
                <c:pt idx="1300">
                  <c:v>34</c:v>
                </c:pt>
                <c:pt idx="1301">
                  <c:v>5</c:v>
                </c:pt>
                <c:pt idx="1302">
                  <c:v>10</c:v>
                </c:pt>
                <c:pt idx="1303">
                  <c:v>5</c:v>
                </c:pt>
                <c:pt idx="1304">
                  <c:v>8</c:v>
                </c:pt>
                <c:pt idx="1305">
                  <c:v>12</c:v>
                </c:pt>
                <c:pt idx="1306">
                  <c:v>8</c:v>
                </c:pt>
                <c:pt idx="1307">
                  <c:v>4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8</c:v>
                </c:pt>
                <c:pt idx="1312">
                  <c:v>5</c:v>
                </c:pt>
                <c:pt idx="1313">
                  <c:v>10</c:v>
                </c:pt>
                <c:pt idx="1314">
                  <c:v>2</c:v>
                </c:pt>
                <c:pt idx="1315">
                  <c:v>4</c:v>
                </c:pt>
                <c:pt idx="1316">
                  <c:v>1</c:v>
                </c:pt>
                <c:pt idx="1317">
                  <c:v>3</c:v>
                </c:pt>
                <c:pt idx="1318">
                  <c:v>6</c:v>
                </c:pt>
                <c:pt idx="1319">
                  <c:v>3</c:v>
                </c:pt>
                <c:pt idx="1320">
                  <c:v>1.6</c:v>
                </c:pt>
                <c:pt idx="1321">
                  <c:v>6</c:v>
                </c:pt>
                <c:pt idx="1322">
                  <c:v>5</c:v>
                </c:pt>
                <c:pt idx="1323">
                  <c:v>10</c:v>
                </c:pt>
                <c:pt idx="1324">
                  <c:v>3.5</c:v>
                </c:pt>
                <c:pt idx="1325">
                  <c:v>8</c:v>
                </c:pt>
                <c:pt idx="1326">
                  <c:v>15</c:v>
                </c:pt>
                <c:pt idx="1327">
                  <c:v>3</c:v>
                </c:pt>
                <c:pt idx="1328">
                  <c:v>20</c:v>
                </c:pt>
                <c:pt idx="1329">
                  <c:v>21</c:v>
                </c:pt>
                <c:pt idx="1330">
                  <c:v>4</c:v>
                </c:pt>
                <c:pt idx="1331">
                  <c:v>5</c:v>
                </c:pt>
                <c:pt idx="1332">
                  <c:v>3</c:v>
                </c:pt>
                <c:pt idx="1333">
                  <c:v>5</c:v>
                </c:pt>
                <c:pt idx="1334">
                  <c:v>10</c:v>
                </c:pt>
              </c:numCache>
            </c:numRef>
          </c:yVal>
        </c:ser>
        <c:ser>
          <c:idx val="0"/>
          <c:order val="1"/>
          <c:tx>
            <c:v>Filtered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>
                <a:solidFill>
                  <a:srgbClr val="F79646">
                    <a:lumMod val="75000"/>
                  </a:srgbClr>
                </a:solidFill>
              </a:ln>
            </c:spPr>
          </c:marker>
          <c:xVal>
            <c:numRef>
              <c:f>Data!$D$2:$D$1884</c:f>
              <c:numCache>
                <c:formatCode>#,##0</c:formatCode>
                <c:ptCount val="329"/>
                <c:pt idx="0">
                  <c:v>58000</c:v>
                </c:pt>
                <c:pt idx="1">
                  <c:v>49000</c:v>
                </c:pt>
                <c:pt idx="2">
                  <c:v>96000</c:v>
                </c:pt>
                <c:pt idx="3">
                  <c:v>60000</c:v>
                </c:pt>
                <c:pt idx="4">
                  <c:v>62000</c:v>
                </c:pt>
                <c:pt idx="5">
                  <c:v>38000</c:v>
                </c:pt>
                <c:pt idx="6">
                  <c:v>68000</c:v>
                </c:pt>
                <c:pt idx="7">
                  <c:v>55068.245289698301</c:v>
                </c:pt>
                <c:pt idx="8">
                  <c:v>85087</c:v>
                </c:pt>
                <c:pt idx="9">
                  <c:v>50000</c:v>
                </c:pt>
                <c:pt idx="10">
                  <c:v>57000</c:v>
                </c:pt>
                <c:pt idx="11">
                  <c:v>60000</c:v>
                </c:pt>
                <c:pt idx="12">
                  <c:v>40000</c:v>
                </c:pt>
                <c:pt idx="13">
                  <c:v>41301.183967273726</c:v>
                </c:pt>
                <c:pt idx="14">
                  <c:v>75000</c:v>
                </c:pt>
                <c:pt idx="15">
                  <c:v>40000</c:v>
                </c:pt>
                <c:pt idx="16">
                  <c:v>80000</c:v>
                </c:pt>
                <c:pt idx="17">
                  <c:v>36000</c:v>
                </c:pt>
                <c:pt idx="18">
                  <c:v>57400</c:v>
                </c:pt>
                <c:pt idx="19">
                  <c:v>66000</c:v>
                </c:pt>
                <c:pt idx="20">
                  <c:v>85000</c:v>
                </c:pt>
                <c:pt idx="21">
                  <c:v>67000</c:v>
                </c:pt>
                <c:pt idx="22">
                  <c:v>56160</c:v>
                </c:pt>
                <c:pt idx="23">
                  <c:v>52000</c:v>
                </c:pt>
                <c:pt idx="24">
                  <c:v>59001.691381819612</c:v>
                </c:pt>
                <c:pt idx="25">
                  <c:v>80000</c:v>
                </c:pt>
                <c:pt idx="26">
                  <c:v>45000</c:v>
                </c:pt>
                <c:pt idx="27">
                  <c:v>54000</c:v>
                </c:pt>
                <c:pt idx="28">
                  <c:v>71000</c:v>
                </c:pt>
                <c:pt idx="29">
                  <c:v>40000</c:v>
                </c:pt>
                <c:pt idx="30">
                  <c:v>60968.414427880263</c:v>
                </c:pt>
                <c:pt idx="31">
                  <c:v>53000</c:v>
                </c:pt>
                <c:pt idx="32">
                  <c:v>45000</c:v>
                </c:pt>
                <c:pt idx="33">
                  <c:v>92000</c:v>
                </c:pt>
                <c:pt idx="34">
                  <c:v>80000</c:v>
                </c:pt>
                <c:pt idx="35">
                  <c:v>96000</c:v>
                </c:pt>
                <c:pt idx="36">
                  <c:v>37440</c:v>
                </c:pt>
                <c:pt idx="37">
                  <c:v>90000</c:v>
                </c:pt>
                <c:pt idx="38">
                  <c:v>66500</c:v>
                </c:pt>
                <c:pt idx="39">
                  <c:v>75000</c:v>
                </c:pt>
                <c:pt idx="40">
                  <c:v>60000</c:v>
                </c:pt>
                <c:pt idx="41">
                  <c:v>88502.537072729421</c:v>
                </c:pt>
                <c:pt idx="42">
                  <c:v>46584</c:v>
                </c:pt>
                <c:pt idx="43">
                  <c:v>67000</c:v>
                </c:pt>
                <c:pt idx="44">
                  <c:v>40000</c:v>
                </c:pt>
                <c:pt idx="45">
                  <c:v>111680</c:v>
                </c:pt>
                <c:pt idx="46">
                  <c:v>41406</c:v>
                </c:pt>
                <c:pt idx="47">
                  <c:v>40700</c:v>
                </c:pt>
                <c:pt idx="48">
                  <c:v>40000</c:v>
                </c:pt>
                <c:pt idx="49">
                  <c:v>59001.691381819612</c:v>
                </c:pt>
                <c:pt idx="50">
                  <c:v>28000</c:v>
                </c:pt>
                <c:pt idx="51">
                  <c:v>60000</c:v>
                </c:pt>
                <c:pt idx="52">
                  <c:v>67000</c:v>
                </c:pt>
                <c:pt idx="53">
                  <c:v>70000</c:v>
                </c:pt>
                <c:pt idx="54">
                  <c:v>108160</c:v>
                </c:pt>
                <c:pt idx="55">
                  <c:v>43000</c:v>
                </c:pt>
                <c:pt idx="56">
                  <c:v>42140</c:v>
                </c:pt>
                <c:pt idx="57">
                  <c:v>80000</c:v>
                </c:pt>
                <c:pt idx="58">
                  <c:v>80000</c:v>
                </c:pt>
                <c:pt idx="59">
                  <c:v>52500</c:v>
                </c:pt>
                <c:pt idx="60">
                  <c:v>60000</c:v>
                </c:pt>
                <c:pt idx="61">
                  <c:v>73000</c:v>
                </c:pt>
                <c:pt idx="62">
                  <c:v>50000</c:v>
                </c:pt>
                <c:pt idx="63">
                  <c:v>80000</c:v>
                </c:pt>
                <c:pt idx="64">
                  <c:v>47700</c:v>
                </c:pt>
                <c:pt idx="65">
                  <c:v>52500</c:v>
                </c:pt>
                <c:pt idx="66">
                  <c:v>40000</c:v>
                </c:pt>
                <c:pt idx="67">
                  <c:v>31000</c:v>
                </c:pt>
                <c:pt idx="68">
                  <c:v>51000</c:v>
                </c:pt>
                <c:pt idx="69">
                  <c:v>40000</c:v>
                </c:pt>
                <c:pt idx="70">
                  <c:v>55000</c:v>
                </c:pt>
                <c:pt idx="71">
                  <c:v>99000</c:v>
                </c:pt>
                <c:pt idx="72">
                  <c:v>75000</c:v>
                </c:pt>
                <c:pt idx="73">
                  <c:v>40000</c:v>
                </c:pt>
                <c:pt idx="74">
                  <c:v>46000</c:v>
                </c:pt>
                <c:pt idx="75">
                  <c:v>97000</c:v>
                </c:pt>
                <c:pt idx="76">
                  <c:v>65000</c:v>
                </c:pt>
                <c:pt idx="77">
                  <c:v>50000</c:v>
                </c:pt>
                <c:pt idx="78">
                  <c:v>45000</c:v>
                </c:pt>
                <c:pt idx="79">
                  <c:v>75000</c:v>
                </c:pt>
                <c:pt idx="80">
                  <c:v>36000</c:v>
                </c:pt>
                <c:pt idx="81">
                  <c:v>41301.183967273726</c:v>
                </c:pt>
                <c:pt idx="82">
                  <c:v>53000</c:v>
                </c:pt>
                <c:pt idx="83">
                  <c:v>67000</c:v>
                </c:pt>
                <c:pt idx="84">
                  <c:v>41000</c:v>
                </c:pt>
                <c:pt idx="85">
                  <c:v>59001.691381819612</c:v>
                </c:pt>
                <c:pt idx="86">
                  <c:v>70000</c:v>
                </c:pt>
                <c:pt idx="87">
                  <c:v>55000</c:v>
                </c:pt>
                <c:pt idx="88">
                  <c:v>60000</c:v>
                </c:pt>
                <c:pt idx="89">
                  <c:v>137500</c:v>
                </c:pt>
                <c:pt idx="90">
                  <c:v>65000</c:v>
                </c:pt>
                <c:pt idx="91">
                  <c:v>61000</c:v>
                </c:pt>
                <c:pt idx="92">
                  <c:v>50000</c:v>
                </c:pt>
                <c:pt idx="93">
                  <c:v>63000</c:v>
                </c:pt>
                <c:pt idx="94">
                  <c:v>95000</c:v>
                </c:pt>
                <c:pt idx="95">
                  <c:v>55068.245289698301</c:v>
                </c:pt>
                <c:pt idx="96">
                  <c:v>44200</c:v>
                </c:pt>
                <c:pt idx="97">
                  <c:v>73752.11422727452</c:v>
                </c:pt>
                <c:pt idx="98">
                  <c:v>75000</c:v>
                </c:pt>
                <c:pt idx="99">
                  <c:v>85000</c:v>
                </c:pt>
                <c:pt idx="100">
                  <c:v>78668.921842426149</c:v>
                </c:pt>
                <c:pt idx="101">
                  <c:v>95000</c:v>
                </c:pt>
                <c:pt idx="102">
                  <c:v>48000</c:v>
                </c:pt>
                <c:pt idx="103">
                  <c:v>46000</c:v>
                </c:pt>
                <c:pt idx="104">
                  <c:v>44000</c:v>
                </c:pt>
                <c:pt idx="105">
                  <c:v>100000</c:v>
                </c:pt>
                <c:pt idx="106">
                  <c:v>34000</c:v>
                </c:pt>
                <c:pt idx="107">
                  <c:v>52000</c:v>
                </c:pt>
                <c:pt idx="108">
                  <c:v>60000</c:v>
                </c:pt>
                <c:pt idx="109">
                  <c:v>56000</c:v>
                </c:pt>
                <c:pt idx="110">
                  <c:v>51613</c:v>
                </c:pt>
                <c:pt idx="111">
                  <c:v>90000</c:v>
                </c:pt>
                <c:pt idx="112">
                  <c:v>76600</c:v>
                </c:pt>
                <c:pt idx="113">
                  <c:v>90000</c:v>
                </c:pt>
                <c:pt idx="114">
                  <c:v>75000</c:v>
                </c:pt>
                <c:pt idx="115">
                  <c:v>72000</c:v>
                </c:pt>
                <c:pt idx="116">
                  <c:v>65000</c:v>
                </c:pt>
                <c:pt idx="117">
                  <c:v>80000</c:v>
                </c:pt>
                <c:pt idx="118">
                  <c:v>50000</c:v>
                </c:pt>
                <c:pt idx="119">
                  <c:v>60000</c:v>
                </c:pt>
                <c:pt idx="120">
                  <c:v>52000</c:v>
                </c:pt>
                <c:pt idx="121">
                  <c:v>45000</c:v>
                </c:pt>
                <c:pt idx="122">
                  <c:v>50000</c:v>
                </c:pt>
                <c:pt idx="123">
                  <c:v>70000</c:v>
                </c:pt>
                <c:pt idx="124">
                  <c:v>30000</c:v>
                </c:pt>
                <c:pt idx="125">
                  <c:v>52000</c:v>
                </c:pt>
                <c:pt idx="126">
                  <c:v>50000</c:v>
                </c:pt>
                <c:pt idx="127">
                  <c:v>65000</c:v>
                </c:pt>
                <c:pt idx="128">
                  <c:v>45234.630059395036</c:v>
                </c:pt>
                <c:pt idx="129">
                  <c:v>55000</c:v>
                </c:pt>
                <c:pt idx="130">
                  <c:v>40000</c:v>
                </c:pt>
                <c:pt idx="131">
                  <c:v>84000</c:v>
                </c:pt>
                <c:pt idx="132">
                  <c:v>67360.264327577388</c:v>
                </c:pt>
                <c:pt idx="133">
                  <c:v>77000</c:v>
                </c:pt>
                <c:pt idx="134">
                  <c:v>100000</c:v>
                </c:pt>
                <c:pt idx="135">
                  <c:v>54000</c:v>
                </c:pt>
                <c:pt idx="136">
                  <c:v>70000</c:v>
                </c:pt>
                <c:pt idx="137">
                  <c:v>104000</c:v>
                </c:pt>
                <c:pt idx="138">
                  <c:v>50000</c:v>
                </c:pt>
                <c:pt idx="139">
                  <c:v>50000</c:v>
                </c:pt>
                <c:pt idx="140">
                  <c:v>46000</c:v>
                </c:pt>
                <c:pt idx="141">
                  <c:v>55000</c:v>
                </c:pt>
                <c:pt idx="142">
                  <c:v>80000</c:v>
                </c:pt>
                <c:pt idx="143">
                  <c:v>67000</c:v>
                </c:pt>
                <c:pt idx="144">
                  <c:v>35000</c:v>
                </c:pt>
                <c:pt idx="145">
                  <c:v>35000</c:v>
                </c:pt>
                <c:pt idx="146">
                  <c:v>27500</c:v>
                </c:pt>
                <c:pt idx="147">
                  <c:v>45000</c:v>
                </c:pt>
                <c:pt idx="148">
                  <c:v>38000</c:v>
                </c:pt>
                <c:pt idx="149">
                  <c:v>45000</c:v>
                </c:pt>
                <c:pt idx="150">
                  <c:v>70000</c:v>
                </c:pt>
                <c:pt idx="151">
                  <c:v>75000</c:v>
                </c:pt>
                <c:pt idx="152">
                  <c:v>40414</c:v>
                </c:pt>
                <c:pt idx="153">
                  <c:v>65000</c:v>
                </c:pt>
                <c:pt idx="154">
                  <c:v>120000</c:v>
                </c:pt>
                <c:pt idx="155">
                  <c:v>75000</c:v>
                </c:pt>
                <c:pt idx="156">
                  <c:v>45000</c:v>
                </c:pt>
                <c:pt idx="157">
                  <c:v>65000</c:v>
                </c:pt>
                <c:pt idx="158">
                  <c:v>70000</c:v>
                </c:pt>
                <c:pt idx="159">
                  <c:v>160000</c:v>
                </c:pt>
                <c:pt idx="160">
                  <c:v>30000</c:v>
                </c:pt>
                <c:pt idx="161">
                  <c:v>245840.3807575817</c:v>
                </c:pt>
                <c:pt idx="162">
                  <c:v>39000</c:v>
                </c:pt>
                <c:pt idx="163">
                  <c:v>60000</c:v>
                </c:pt>
                <c:pt idx="164">
                  <c:v>125000</c:v>
                </c:pt>
                <c:pt idx="165">
                  <c:v>53000</c:v>
                </c:pt>
                <c:pt idx="166">
                  <c:v>62000</c:v>
                </c:pt>
                <c:pt idx="167">
                  <c:v>41000</c:v>
                </c:pt>
                <c:pt idx="168">
                  <c:v>64901.860520001574</c:v>
                </c:pt>
                <c:pt idx="169">
                  <c:v>65000</c:v>
                </c:pt>
                <c:pt idx="170">
                  <c:v>33900</c:v>
                </c:pt>
                <c:pt idx="171">
                  <c:v>95000</c:v>
                </c:pt>
                <c:pt idx="172">
                  <c:v>75000</c:v>
                </c:pt>
                <c:pt idx="173">
                  <c:v>92500</c:v>
                </c:pt>
                <c:pt idx="174">
                  <c:v>55000</c:v>
                </c:pt>
                <c:pt idx="175">
                  <c:v>40000</c:v>
                </c:pt>
                <c:pt idx="176">
                  <c:v>43600</c:v>
                </c:pt>
                <c:pt idx="177">
                  <c:v>65000</c:v>
                </c:pt>
                <c:pt idx="178">
                  <c:v>40000</c:v>
                </c:pt>
                <c:pt idx="179">
                  <c:v>115000</c:v>
                </c:pt>
                <c:pt idx="180">
                  <c:v>70000</c:v>
                </c:pt>
                <c:pt idx="181">
                  <c:v>60000</c:v>
                </c:pt>
                <c:pt idx="182">
                  <c:v>43000</c:v>
                </c:pt>
                <c:pt idx="183">
                  <c:v>75010</c:v>
                </c:pt>
                <c:pt idx="184">
                  <c:v>105000</c:v>
                </c:pt>
                <c:pt idx="185">
                  <c:v>34417.653306061438</c:v>
                </c:pt>
                <c:pt idx="186">
                  <c:v>60000</c:v>
                </c:pt>
                <c:pt idx="187">
                  <c:v>35000</c:v>
                </c:pt>
                <c:pt idx="188">
                  <c:v>69000</c:v>
                </c:pt>
                <c:pt idx="189">
                  <c:v>63918.498996971248</c:v>
                </c:pt>
                <c:pt idx="190">
                  <c:v>59000</c:v>
                </c:pt>
                <c:pt idx="191">
                  <c:v>52118.160720607324</c:v>
                </c:pt>
                <c:pt idx="192">
                  <c:v>50437.70470615309</c:v>
                </c:pt>
                <c:pt idx="193">
                  <c:v>27840</c:v>
                </c:pt>
                <c:pt idx="194">
                  <c:v>75000</c:v>
                </c:pt>
                <c:pt idx="195">
                  <c:v>56000</c:v>
                </c:pt>
                <c:pt idx="196">
                  <c:v>80000</c:v>
                </c:pt>
                <c:pt idx="197">
                  <c:v>61000</c:v>
                </c:pt>
                <c:pt idx="198">
                  <c:v>95856</c:v>
                </c:pt>
                <c:pt idx="199">
                  <c:v>90000</c:v>
                </c:pt>
                <c:pt idx="200">
                  <c:v>85000</c:v>
                </c:pt>
                <c:pt idx="201">
                  <c:v>55000</c:v>
                </c:pt>
                <c:pt idx="202">
                  <c:v>50846</c:v>
                </c:pt>
                <c:pt idx="203">
                  <c:v>70000</c:v>
                </c:pt>
                <c:pt idx="204">
                  <c:v>45000</c:v>
                </c:pt>
                <c:pt idx="205">
                  <c:v>50000</c:v>
                </c:pt>
                <c:pt idx="206">
                  <c:v>54000</c:v>
                </c:pt>
                <c:pt idx="207">
                  <c:v>49500</c:v>
                </c:pt>
                <c:pt idx="208">
                  <c:v>80000</c:v>
                </c:pt>
                <c:pt idx="209">
                  <c:v>75000</c:v>
                </c:pt>
                <c:pt idx="210">
                  <c:v>110000</c:v>
                </c:pt>
                <c:pt idx="211">
                  <c:v>60000</c:v>
                </c:pt>
                <c:pt idx="212">
                  <c:v>100000</c:v>
                </c:pt>
                <c:pt idx="213">
                  <c:v>95000</c:v>
                </c:pt>
                <c:pt idx="214">
                  <c:v>24000</c:v>
                </c:pt>
                <c:pt idx="215">
                  <c:v>85000</c:v>
                </c:pt>
                <c:pt idx="216">
                  <c:v>83000</c:v>
                </c:pt>
                <c:pt idx="217">
                  <c:v>73500</c:v>
                </c:pt>
                <c:pt idx="218">
                  <c:v>77500</c:v>
                </c:pt>
                <c:pt idx="219">
                  <c:v>60800</c:v>
                </c:pt>
                <c:pt idx="220">
                  <c:v>65000</c:v>
                </c:pt>
                <c:pt idx="221">
                  <c:v>49000</c:v>
                </c:pt>
                <c:pt idx="222">
                  <c:v>65000</c:v>
                </c:pt>
                <c:pt idx="223">
                  <c:v>55000</c:v>
                </c:pt>
                <c:pt idx="224">
                  <c:v>60000</c:v>
                </c:pt>
                <c:pt idx="225">
                  <c:v>150000</c:v>
                </c:pt>
                <c:pt idx="226">
                  <c:v>64500</c:v>
                </c:pt>
                <c:pt idx="227">
                  <c:v>40000</c:v>
                </c:pt>
                <c:pt idx="228">
                  <c:v>50000</c:v>
                </c:pt>
                <c:pt idx="229">
                  <c:v>57678</c:v>
                </c:pt>
                <c:pt idx="230">
                  <c:v>80442</c:v>
                </c:pt>
                <c:pt idx="231">
                  <c:v>61000</c:v>
                </c:pt>
                <c:pt idx="232">
                  <c:v>72000</c:v>
                </c:pt>
                <c:pt idx="233">
                  <c:v>80000</c:v>
                </c:pt>
                <c:pt idx="234">
                  <c:v>75000</c:v>
                </c:pt>
                <c:pt idx="235">
                  <c:v>102000</c:v>
                </c:pt>
                <c:pt idx="236">
                  <c:v>42000</c:v>
                </c:pt>
                <c:pt idx="237">
                  <c:v>85000</c:v>
                </c:pt>
                <c:pt idx="238">
                  <c:v>76000</c:v>
                </c:pt>
                <c:pt idx="239">
                  <c:v>61000</c:v>
                </c:pt>
                <c:pt idx="240">
                  <c:v>66000</c:v>
                </c:pt>
                <c:pt idx="241">
                  <c:v>74300</c:v>
                </c:pt>
                <c:pt idx="242">
                  <c:v>95000</c:v>
                </c:pt>
                <c:pt idx="243">
                  <c:v>75000</c:v>
                </c:pt>
                <c:pt idx="244">
                  <c:v>45000</c:v>
                </c:pt>
                <c:pt idx="245">
                  <c:v>62000</c:v>
                </c:pt>
                <c:pt idx="246">
                  <c:v>45000</c:v>
                </c:pt>
                <c:pt idx="247">
                  <c:v>145000</c:v>
                </c:pt>
                <c:pt idx="248">
                  <c:v>89000</c:v>
                </c:pt>
                <c:pt idx="249">
                  <c:v>49168.076151516347</c:v>
                </c:pt>
                <c:pt idx="250">
                  <c:v>70970</c:v>
                </c:pt>
                <c:pt idx="251">
                  <c:v>72768.752704244194</c:v>
                </c:pt>
                <c:pt idx="252">
                  <c:v>71500</c:v>
                </c:pt>
                <c:pt idx="253">
                  <c:v>40000</c:v>
                </c:pt>
                <c:pt idx="254">
                  <c:v>15000</c:v>
                </c:pt>
                <c:pt idx="255">
                  <c:v>31200</c:v>
                </c:pt>
                <c:pt idx="256">
                  <c:v>78668.921842426149</c:v>
                </c:pt>
                <c:pt idx="257">
                  <c:v>44000</c:v>
                </c:pt>
                <c:pt idx="258">
                  <c:v>52000</c:v>
                </c:pt>
                <c:pt idx="259">
                  <c:v>50000</c:v>
                </c:pt>
                <c:pt idx="260">
                  <c:v>50000</c:v>
                </c:pt>
                <c:pt idx="261">
                  <c:v>55000</c:v>
                </c:pt>
                <c:pt idx="262">
                  <c:v>38000</c:v>
                </c:pt>
                <c:pt idx="263">
                  <c:v>35500</c:v>
                </c:pt>
                <c:pt idx="264">
                  <c:v>62000</c:v>
                </c:pt>
                <c:pt idx="265">
                  <c:v>60000</c:v>
                </c:pt>
                <c:pt idx="266">
                  <c:v>32884</c:v>
                </c:pt>
                <c:pt idx="267">
                  <c:v>42000</c:v>
                </c:pt>
                <c:pt idx="268">
                  <c:v>68000</c:v>
                </c:pt>
                <c:pt idx="269">
                  <c:v>55000</c:v>
                </c:pt>
                <c:pt idx="270">
                  <c:v>49168.076151516347</c:v>
                </c:pt>
                <c:pt idx="271">
                  <c:v>70000</c:v>
                </c:pt>
                <c:pt idx="272">
                  <c:v>49000</c:v>
                </c:pt>
                <c:pt idx="273">
                  <c:v>55000</c:v>
                </c:pt>
                <c:pt idx="274">
                  <c:v>12000</c:v>
                </c:pt>
                <c:pt idx="275">
                  <c:v>48500</c:v>
                </c:pt>
                <c:pt idx="276">
                  <c:v>90000</c:v>
                </c:pt>
                <c:pt idx="277">
                  <c:v>85000</c:v>
                </c:pt>
                <c:pt idx="278">
                  <c:v>65000</c:v>
                </c:pt>
                <c:pt idx="279">
                  <c:v>92000</c:v>
                </c:pt>
                <c:pt idx="280">
                  <c:v>45000</c:v>
                </c:pt>
                <c:pt idx="281">
                  <c:v>60000</c:v>
                </c:pt>
                <c:pt idx="282">
                  <c:v>65000</c:v>
                </c:pt>
                <c:pt idx="283">
                  <c:v>54000</c:v>
                </c:pt>
                <c:pt idx="284">
                  <c:v>81000</c:v>
                </c:pt>
                <c:pt idx="285">
                  <c:v>10000</c:v>
                </c:pt>
                <c:pt idx="286">
                  <c:v>35401.014829091764</c:v>
                </c:pt>
                <c:pt idx="287">
                  <c:v>68835.306612122877</c:v>
                </c:pt>
                <c:pt idx="288">
                  <c:v>45000</c:v>
                </c:pt>
                <c:pt idx="289">
                  <c:v>36000</c:v>
                </c:pt>
                <c:pt idx="290">
                  <c:v>68000</c:v>
                </c:pt>
                <c:pt idx="291">
                  <c:v>75000</c:v>
                </c:pt>
                <c:pt idx="292">
                  <c:v>88000</c:v>
                </c:pt>
                <c:pt idx="293">
                  <c:v>69000</c:v>
                </c:pt>
                <c:pt idx="294">
                  <c:v>30000</c:v>
                </c:pt>
                <c:pt idx="295">
                  <c:v>40000</c:v>
                </c:pt>
                <c:pt idx="296">
                  <c:v>40000</c:v>
                </c:pt>
                <c:pt idx="297">
                  <c:v>100000</c:v>
                </c:pt>
                <c:pt idx="298">
                  <c:v>39334.460921213074</c:v>
                </c:pt>
                <c:pt idx="299">
                  <c:v>65000</c:v>
                </c:pt>
                <c:pt idx="300">
                  <c:v>65000</c:v>
                </c:pt>
                <c:pt idx="301">
                  <c:v>76702.198796365497</c:v>
                </c:pt>
                <c:pt idx="302">
                  <c:v>63000</c:v>
                </c:pt>
                <c:pt idx="303">
                  <c:v>45000</c:v>
                </c:pt>
                <c:pt idx="304">
                  <c:v>85000</c:v>
                </c:pt>
                <c:pt idx="305">
                  <c:v>20000</c:v>
                </c:pt>
                <c:pt idx="306">
                  <c:v>70000</c:v>
                </c:pt>
                <c:pt idx="307">
                  <c:v>42307</c:v>
                </c:pt>
                <c:pt idx="308">
                  <c:v>60000</c:v>
                </c:pt>
                <c:pt idx="309">
                  <c:v>40000</c:v>
                </c:pt>
                <c:pt idx="310">
                  <c:v>50000</c:v>
                </c:pt>
                <c:pt idx="311">
                  <c:v>60000</c:v>
                </c:pt>
                <c:pt idx="312">
                  <c:v>60000</c:v>
                </c:pt>
                <c:pt idx="313">
                  <c:v>67000</c:v>
                </c:pt>
                <c:pt idx="314">
                  <c:v>54000</c:v>
                </c:pt>
                <c:pt idx="315">
                  <c:v>63000</c:v>
                </c:pt>
                <c:pt idx="316">
                  <c:v>63000</c:v>
                </c:pt>
                <c:pt idx="317">
                  <c:v>46000</c:v>
                </c:pt>
                <c:pt idx="318">
                  <c:v>43000</c:v>
                </c:pt>
                <c:pt idx="319">
                  <c:v>48000</c:v>
                </c:pt>
                <c:pt idx="320">
                  <c:v>62000</c:v>
                </c:pt>
                <c:pt idx="321">
                  <c:v>48000</c:v>
                </c:pt>
                <c:pt idx="322">
                  <c:v>75000</c:v>
                </c:pt>
                <c:pt idx="323">
                  <c:v>50000</c:v>
                </c:pt>
                <c:pt idx="324">
                  <c:v>46000</c:v>
                </c:pt>
                <c:pt idx="325">
                  <c:v>115000</c:v>
                </c:pt>
                <c:pt idx="326">
                  <c:v>40000</c:v>
                </c:pt>
                <c:pt idx="327">
                  <c:v>46359</c:v>
                </c:pt>
                <c:pt idx="328">
                  <c:v>70000</c:v>
                </c:pt>
              </c:numCache>
            </c:numRef>
          </c:xVal>
          <c:yVal>
            <c:numRef>
              <c:f>Data!$F$2:$F$1884</c:f>
              <c:numCache>
                <c:formatCode>General</c:formatCode>
                <c:ptCount val="329"/>
                <c:pt idx="145">
                  <c:v>7</c:v>
                </c:pt>
                <c:pt idx="146">
                  <c:v>1</c:v>
                </c:pt>
                <c:pt idx="147">
                  <c:v>2</c:v>
                </c:pt>
                <c:pt idx="148">
                  <c:v>11</c:v>
                </c:pt>
                <c:pt idx="149">
                  <c:v>3</c:v>
                </c:pt>
                <c:pt idx="150">
                  <c:v>3</c:v>
                </c:pt>
                <c:pt idx="151">
                  <c:v>25</c:v>
                </c:pt>
                <c:pt idx="152">
                  <c:v>8</c:v>
                </c:pt>
                <c:pt idx="153">
                  <c:v>3</c:v>
                </c:pt>
                <c:pt idx="154">
                  <c:v>7</c:v>
                </c:pt>
                <c:pt idx="155">
                  <c:v>5</c:v>
                </c:pt>
                <c:pt idx="156">
                  <c:v>15</c:v>
                </c:pt>
                <c:pt idx="157">
                  <c:v>17</c:v>
                </c:pt>
                <c:pt idx="158">
                  <c:v>18</c:v>
                </c:pt>
                <c:pt idx="159">
                  <c:v>5</c:v>
                </c:pt>
                <c:pt idx="160">
                  <c:v>8</c:v>
                </c:pt>
                <c:pt idx="161">
                  <c:v>32</c:v>
                </c:pt>
                <c:pt idx="162">
                  <c:v>3</c:v>
                </c:pt>
                <c:pt idx="163">
                  <c:v>12</c:v>
                </c:pt>
                <c:pt idx="164">
                  <c:v>20</c:v>
                </c:pt>
                <c:pt idx="165">
                  <c:v>30</c:v>
                </c:pt>
                <c:pt idx="166">
                  <c:v>20</c:v>
                </c:pt>
                <c:pt idx="167">
                  <c:v>4</c:v>
                </c:pt>
                <c:pt idx="168">
                  <c:v>20</c:v>
                </c:pt>
                <c:pt idx="169">
                  <c:v>10</c:v>
                </c:pt>
                <c:pt idx="170">
                  <c:v>10</c:v>
                </c:pt>
                <c:pt idx="171">
                  <c:v>13</c:v>
                </c:pt>
                <c:pt idx="172">
                  <c:v>27</c:v>
                </c:pt>
                <c:pt idx="173">
                  <c:v>15</c:v>
                </c:pt>
                <c:pt idx="174">
                  <c:v>10</c:v>
                </c:pt>
                <c:pt idx="175">
                  <c:v>4</c:v>
                </c:pt>
                <c:pt idx="176">
                  <c:v>5</c:v>
                </c:pt>
                <c:pt idx="177">
                  <c:v>8</c:v>
                </c:pt>
                <c:pt idx="178">
                  <c:v>2</c:v>
                </c:pt>
                <c:pt idx="179">
                  <c:v>10</c:v>
                </c:pt>
                <c:pt idx="180">
                  <c:v>15</c:v>
                </c:pt>
                <c:pt idx="181">
                  <c:v>8</c:v>
                </c:pt>
                <c:pt idx="182">
                  <c:v>1</c:v>
                </c:pt>
                <c:pt idx="183">
                  <c:v>6</c:v>
                </c:pt>
                <c:pt idx="184">
                  <c:v>20</c:v>
                </c:pt>
                <c:pt idx="185">
                  <c:v>4</c:v>
                </c:pt>
                <c:pt idx="186">
                  <c:v>4</c:v>
                </c:pt>
                <c:pt idx="187">
                  <c:v>20</c:v>
                </c:pt>
                <c:pt idx="188">
                  <c:v>20</c:v>
                </c:pt>
                <c:pt idx="189">
                  <c:v>20</c:v>
                </c:pt>
                <c:pt idx="190">
                  <c:v>14</c:v>
                </c:pt>
                <c:pt idx="191">
                  <c:v>6</c:v>
                </c:pt>
                <c:pt idx="192">
                  <c:v>9</c:v>
                </c:pt>
                <c:pt idx="193">
                  <c:v>1</c:v>
                </c:pt>
                <c:pt idx="194">
                  <c:v>12</c:v>
                </c:pt>
                <c:pt idx="195">
                  <c:v>2</c:v>
                </c:pt>
                <c:pt idx="196">
                  <c:v>6</c:v>
                </c:pt>
                <c:pt idx="197">
                  <c:v>1.5</c:v>
                </c:pt>
                <c:pt idx="198">
                  <c:v>13</c:v>
                </c:pt>
                <c:pt idx="199">
                  <c:v>30</c:v>
                </c:pt>
                <c:pt idx="200">
                  <c:v>5</c:v>
                </c:pt>
                <c:pt idx="201">
                  <c:v>7</c:v>
                </c:pt>
                <c:pt idx="202">
                  <c:v>25</c:v>
                </c:pt>
                <c:pt idx="203">
                  <c:v>6</c:v>
                </c:pt>
                <c:pt idx="204">
                  <c:v>7</c:v>
                </c:pt>
                <c:pt idx="205">
                  <c:v>3</c:v>
                </c:pt>
                <c:pt idx="206">
                  <c:v>6</c:v>
                </c:pt>
                <c:pt idx="207">
                  <c:v>4.5</c:v>
                </c:pt>
                <c:pt idx="208">
                  <c:v>14</c:v>
                </c:pt>
                <c:pt idx="209">
                  <c:v>7</c:v>
                </c:pt>
                <c:pt idx="210">
                  <c:v>10</c:v>
                </c:pt>
                <c:pt idx="211">
                  <c:v>12</c:v>
                </c:pt>
                <c:pt idx="212">
                  <c:v>1</c:v>
                </c:pt>
                <c:pt idx="213">
                  <c:v>7</c:v>
                </c:pt>
                <c:pt idx="214">
                  <c:v>33</c:v>
                </c:pt>
                <c:pt idx="215">
                  <c:v>17</c:v>
                </c:pt>
                <c:pt idx="216">
                  <c:v>12</c:v>
                </c:pt>
                <c:pt idx="217">
                  <c:v>6</c:v>
                </c:pt>
                <c:pt idx="218">
                  <c:v>7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14</c:v>
                </c:pt>
                <c:pt idx="223">
                  <c:v>1</c:v>
                </c:pt>
                <c:pt idx="224">
                  <c:v>15</c:v>
                </c:pt>
                <c:pt idx="225">
                  <c:v>30</c:v>
                </c:pt>
                <c:pt idx="226">
                  <c:v>13</c:v>
                </c:pt>
                <c:pt idx="227">
                  <c:v>6</c:v>
                </c:pt>
                <c:pt idx="228">
                  <c:v>7</c:v>
                </c:pt>
                <c:pt idx="229">
                  <c:v>2</c:v>
                </c:pt>
                <c:pt idx="230">
                  <c:v>16</c:v>
                </c:pt>
                <c:pt idx="231">
                  <c:v>12</c:v>
                </c:pt>
                <c:pt idx="232">
                  <c:v>10</c:v>
                </c:pt>
                <c:pt idx="233">
                  <c:v>20</c:v>
                </c:pt>
                <c:pt idx="234">
                  <c:v>1.5</c:v>
                </c:pt>
                <c:pt idx="235">
                  <c:v>5</c:v>
                </c:pt>
                <c:pt idx="236">
                  <c:v>2</c:v>
                </c:pt>
                <c:pt idx="237">
                  <c:v>9</c:v>
                </c:pt>
                <c:pt idx="238">
                  <c:v>10</c:v>
                </c:pt>
                <c:pt idx="239">
                  <c:v>5</c:v>
                </c:pt>
                <c:pt idx="240">
                  <c:v>2</c:v>
                </c:pt>
                <c:pt idx="241">
                  <c:v>3</c:v>
                </c:pt>
                <c:pt idx="242">
                  <c:v>15</c:v>
                </c:pt>
                <c:pt idx="243">
                  <c:v>1.5</c:v>
                </c:pt>
                <c:pt idx="244">
                  <c:v>5</c:v>
                </c:pt>
                <c:pt idx="245">
                  <c:v>27</c:v>
                </c:pt>
                <c:pt idx="246">
                  <c:v>8</c:v>
                </c:pt>
                <c:pt idx="247">
                  <c:v>6</c:v>
                </c:pt>
                <c:pt idx="248">
                  <c:v>14</c:v>
                </c:pt>
                <c:pt idx="249">
                  <c:v>3</c:v>
                </c:pt>
                <c:pt idx="250">
                  <c:v>17</c:v>
                </c:pt>
                <c:pt idx="251">
                  <c:v>10</c:v>
                </c:pt>
                <c:pt idx="252">
                  <c:v>5</c:v>
                </c:pt>
                <c:pt idx="253">
                  <c:v>8</c:v>
                </c:pt>
                <c:pt idx="254">
                  <c:v>8</c:v>
                </c:pt>
                <c:pt idx="255">
                  <c:v>15</c:v>
                </c:pt>
                <c:pt idx="256">
                  <c:v>7</c:v>
                </c:pt>
                <c:pt idx="257">
                  <c:v>3.5</c:v>
                </c:pt>
                <c:pt idx="258">
                  <c:v>5</c:v>
                </c:pt>
                <c:pt idx="259">
                  <c:v>2</c:v>
                </c:pt>
                <c:pt idx="260">
                  <c:v>12</c:v>
                </c:pt>
                <c:pt idx="261">
                  <c:v>2</c:v>
                </c:pt>
                <c:pt idx="262">
                  <c:v>1</c:v>
                </c:pt>
                <c:pt idx="263">
                  <c:v>20</c:v>
                </c:pt>
                <c:pt idx="264">
                  <c:v>5</c:v>
                </c:pt>
                <c:pt idx="265">
                  <c:v>1</c:v>
                </c:pt>
                <c:pt idx="266">
                  <c:v>10</c:v>
                </c:pt>
                <c:pt idx="267">
                  <c:v>2</c:v>
                </c:pt>
                <c:pt idx="268">
                  <c:v>12</c:v>
                </c:pt>
                <c:pt idx="269">
                  <c:v>1</c:v>
                </c:pt>
                <c:pt idx="270">
                  <c:v>5</c:v>
                </c:pt>
                <c:pt idx="271">
                  <c:v>9</c:v>
                </c:pt>
                <c:pt idx="272">
                  <c:v>3</c:v>
                </c:pt>
                <c:pt idx="273">
                  <c:v>15</c:v>
                </c:pt>
                <c:pt idx="274">
                  <c:v>1</c:v>
                </c:pt>
                <c:pt idx="275">
                  <c:v>6</c:v>
                </c:pt>
                <c:pt idx="276">
                  <c:v>8</c:v>
                </c:pt>
                <c:pt idx="277">
                  <c:v>12</c:v>
                </c:pt>
                <c:pt idx="278">
                  <c:v>8</c:v>
                </c:pt>
                <c:pt idx="279">
                  <c:v>9</c:v>
                </c:pt>
                <c:pt idx="280">
                  <c:v>4</c:v>
                </c:pt>
                <c:pt idx="281">
                  <c:v>1</c:v>
                </c:pt>
                <c:pt idx="282">
                  <c:v>4</c:v>
                </c:pt>
                <c:pt idx="283">
                  <c:v>6</c:v>
                </c:pt>
                <c:pt idx="284">
                  <c:v>6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4</c:v>
                </c:pt>
                <c:pt idx="290">
                  <c:v>2.5</c:v>
                </c:pt>
                <c:pt idx="291">
                  <c:v>5</c:v>
                </c:pt>
                <c:pt idx="292">
                  <c:v>10</c:v>
                </c:pt>
                <c:pt idx="293">
                  <c:v>15</c:v>
                </c:pt>
                <c:pt idx="294">
                  <c:v>4</c:v>
                </c:pt>
                <c:pt idx="295">
                  <c:v>5</c:v>
                </c:pt>
                <c:pt idx="296">
                  <c:v>2</c:v>
                </c:pt>
                <c:pt idx="297">
                  <c:v>12</c:v>
                </c:pt>
                <c:pt idx="298">
                  <c:v>1</c:v>
                </c:pt>
                <c:pt idx="299">
                  <c:v>14</c:v>
                </c:pt>
                <c:pt idx="300">
                  <c:v>10</c:v>
                </c:pt>
                <c:pt idx="301">
                  <c:v>4</c:v>
                </c:pt>
                <c:pt idx="302">
                  <c:v>10</c:v>
                </c:pt>
                <c:pt idx="303">
                  <c:v>4</c:v>
                </c:pt>
                <c:pt idx="304">
                  <c:v>3</c:v>
                </c:pt>
                <c:pt idx="305">
                  <c:v>2</c:v>
                </c:pt>
                <c:pt idx="306">
                  <c:v>5</c:v>
                </c:pt>
                <c:pt idx="307">
                  <c:v>25</c:v>
                </c:pt>
                <c:pt idx="308">
                  <c:v>15</c:v>
                </c:pt>
                <c:pt idx="309">
                  <c:v>0</c:v>
                </c:pt>
                <c:pt idx="310">
                  <c:v>15</c:v>
                </c:pt>
                <c:pt idx="311">
                  <c:v>3</c:v>
                </c:pt>
                <c:pt idx="312">
                  <c:v>10</c:v>
                </c:pt>
                <c:pt idx="313">
                  <c:v>6</c:v>
                </c:pt>
                <c:pt idx="314">
                  <c:v>18</c:v>
                </c:pt>
                <c:pt idx="315">
                  <c:v>6</c:v>
                </c:pt>
                <c:pt idx="316">
                  <c:v>1</c:v>
                </c:pt>
                <c:pt idx="317">
                  <c:v>1</c:v>
                </c:pt>
                <c:pt idx="318">
                  <c:v>5</c:v>
                </c:pt>
                <c:pt idx="319">
                  <c:v>12</c:v>
                </c:pt>
                <c:pt idx="320">
                  <c:v>4</c:v>
                </c:pt>
                <c:pt idx="321">
                  <c:v>1</c:v>
                </c:pt>
                <c:pt idx="322">
                  <c:v>3</c:v>
                </c:pt>
                <c:pt idx="323">
                  <c:v>3.5</c:v>
                </c:pt>
                <c:pt idx="324">
                  <c:v>8</c:v>
                </c:pt>
                <c:pt idx="325">
                  <c:v>15</c:v>
                </c:pt>
                <c:pt idx="326">
                  <c:v>3</c:v>
                </c:pt>
                <c:pt idx="327">
                  <c:v>5</c:v>
                </c:pt>
                <c:pt idx="328">
                  <c:v>10</c:v>
                </c:pt>
              </c:numCache>
            </c:numRef>
          </c:yVal>
        </c:ser>
        <c:axId val="146295808"/>
        <c:axId val="146306176"/>
      </c:scatterChart>
      <c:valAx>
        <c:axId val="146295808"/>
        <c:scaling>
          <c:orientation val="minMax"/>
          <c:max val="300000"/>
        </c:scaling>
        <c:axPos val="b"/>
        <c:numFmt formatCode="#,##0,\k" sourceLinked="0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306176"/>
        <c:crosses val="autoZero"/>
        <c:crossBetween val="midCat"/>
      </c:valAx>
      <c:valAx>
        <c:axId val="146306176"/>
        <c:scaling>
          <c:orientation val="minMax"/>
          <c:max val="40"/>
        </c:scaling>
        <c:axPos val="l"/>
        <c:numFmt formatCode="General" sourceLinked="1"/>
        <c:tickLblPos val="nextTo"/>
        <c:txPr>
          <a:bodyPr/>
          <a:lstStyle/>
          <a:p>
            <a:pPr>
              <a:defRPr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6295808"/>
        <c:crosses val="autoZero"/>
        <c:crossBetween val="midCat"/>
      </c:valAx>
    </c:plotArea>
    <c:plotVisOnly val="1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</c:spPr>
          <c:cat>
            <c:strRef>
              <c:f>Calc!$C$45:$C$60</c:f>
              <c:strCache>
                <c:ptCount val="16"/>
                <c:pt idx="0">
                  <c:v>0-9  </c:v>
                </c:pt>
                <c:pt idx="1">
                  <c:v>10  </c:v>
                </c:pt>
                <c:pt idx="2">
                  <c:v>20  </c:v>
                </c:pt>
                <c:pt idx="3">
                  <c:v>30  </c:v>
                </c:pt>
                <c:pt idx="4">
                  <c:v>40  </c:v>
                </c:pt>
                <c:pt idx="5">
                  <c:v>50  </c:v>
                </c:pt>
                <c:pt idx="6">
                  <c:v>60  </c:v>
                </c:pt>
                <c:pt idx="7">
                  <c:v>70  </c:v>
                </c:pt>
                <c:pt idx="8">
                  <c:v>80  </c:v>
                </c:pt>
                <c:pt idx="9">
                  <c:v>90  </c:v>
                </c:pt>
                <c:pt idx="10">
                  <c:v>100  </c:v>
                </c:pt>
                <c:pt idx="11">
                  <c:v>110  </c:v>
                </c:pt>
                <c:pt idx="12">
                  <c:v>120  </c:v>
                </c:pt>
                <c:pt idx="13">
                  <c:v>130  </c:v>
                </c:pt>
                <c:pt idx="14">
                  <c:v>140  </c:v>
                </c:pt>
                <c:pt idx="15">
                  <c:v>150+</c:v>
                </c:pt>
              </c:strCache>
            </c:strRef>
          </c:cat>
          <c:val>
            <c:numRef>
              <c:f>Calc!$G$45:$G$60</c:f>
              <c:numCache>
                <c:formatCode>0%</c:formatCode>
                <c:ptCount val="16"/>
                <c:pt idx="0">
                  <c:v>0.19118428040361127</c:v>
                </c:pt>
                <c:pt idx="1">
                  <c:v>0.13489113117365906</c:v>
                </c:pt>
                <c:pt idx="2">
                  <c:v>6.0541688794476897E-2</c:v>
                </c:pt>
                <c:pt idx="3">
                  <c:v>6.5852363250132773E-2</c:v>
                </c:pt>
                <c:pt idx="4">
                  <c:v>0.1009028146574615</c:v>
                </c:pt>
                <c:pt idx="5">
                  <c:v>9.5592140201805634E-2</c:v>
                </c:pt>
                <c:pt idx="6">
                  <c:v>8.7626128518321827E-2</c:v>
                </c:pt>
                <c:pt idx="7">
                  <c:v>6.6383430695698353E-2</c:v>
                </c:pt>
                <c:pt idx="8">
                  <c:v>5.1513542219861923E-2</c:v>
                </c:pt>
                <c:pt idx="9">
                  <c:v>3.8767923526287836E-2</c:v>
                </c:pt>
                <c:pt idx="10">
                  <c:v>3.3457249070631967E-2</c:v>
                </c:pt>
                <c:pt idx="11">
                  <c:v>1.3807753584705257E-2</c:v>
                </c:pt>
                <c:pt idx="12">
                  <c:v>1.9118428040361127E-2</c:v>
                </c:pt>
                <c:pt idx="13">
                  <c:v>7.4349442379182153E-3</c:v>
                </c:pt>
                <c:pt idx="14">
                  <c:v>5.8417419012214552E-3</c:v>
                </c:pt>
                <c:pt idx="15">
                  <c:v>2.7084439723844927E-2</c:v>
                </c:pt>
              </c:numCache>
            </c:numRef>
          </c:val>
        </c:ser>
        <c:gapWidth val="10"/>
        <c:overlap val="100"/>
        <c:axId val="116709632"/>
        <c:axId val="116981760"/>
      </c:barChart>
      <c:barChart>
        <c:barDir val="col"/>
        <c:grouping val="clustered"/>
        <c:ser>
          <c:idx val="1"/>
          <c:order val="1"/>
          <c:spPr>
            <a:solidFill>
              <a:schemeClr val="accent6">
                <a:lumMod val="75000"/>
              </a:schemeClr>
            </a:solidFill>
          </c:spPr>
          <c:cat>
            <c:strRef>
              <c:f>Calc!$C$45:$C$60</c:f>
              <c:strCache>
                <c:ptCount val="16"/>
                <c:pt idx="0">
                  <c:v>0-9  </c:v>
                </c:pt>
                <c:pt idx="1">
                  <c:v>10  </c:v>
                </c:pt>
                <c:pt idx="2">
                  <c:v>20  </c:v>
                </c:pt>
                <c:pt idx="3">
                  <c:v>30  </c:v>
                </c:pt>
                <c:pt idx="4">
                  <c:v>40  </c:v>
                </c:pt>
                <c:pt idx="5">
                  <c:v>50  </c:v>
                </c:pt>
                <c:pt idx="6">
                  <c:v>60  </c:v>
                </c:pt>
                <c:pt idx="7">
                  <c:v>70  </c:v>
                </c:pt>
                <c:pt idx="8">
                  <c:v>80  </c:v>
                </c:pt>
                <c:pt idx="9">
                  <c:v>90  </c:v>
                </c:pt>
                <c:pt idx="10">
                  <c:v>100  </c:v>
                </c:pt>
                <c:pt idx="11">
                  <c:v>110  </c:v>
                </c:pt>
                <c:pt idx="12">
                  <c:v>120  </c:v>
                </c:pt>
                <c:pt idx="13">
                  <c:v>130  </c:v>
                </c:pt>
                <c:pt idx="14">
                  <c:v>140  </c:v>
                </c:pt>
                <c:pt idx="15">
                  <c:v>150+</c:v>
                </c:pt>
              </c:strCache>
            </c:strRef>
          </c:cat>
          <c:val>
            <c:numRef>
              <c:f>Calc!$E$45:$E$60</c:f>
              <c:numCache>
                <c:formatCode>0%</c:formatCode>
                <c:ptCount val="16"/>
                <c:pt idx="0">
                  <c:v>0</c:v>
                </c:pt>
                <c:pt idx="1">
                  <c:v>9.11854103343465E-3</c:v>
                </c:pt>
                <c:pt idx="2">
                  <c:v>1.5197568389057751E-2</c:v>
                </c:pt>
                <c:pt idx="3">
                  <c:v>6.9908814589665649E-2</c:v>
                </c:pt>
                <c:pt idx="4">
                  <c:v>0.20364741641337386</c:v>
                </c:pt>
                <c:pt idx="5">
                  <c:v>0.17629179331306991</c:v>
                </c:pt>
                <c:pt idx="6">
                  <c:v>0.20060790273556231</c:v>
                </c:pt>
                <c:pt idx="7">
                  <c:v>0.1337386018237082</c:v>
                </c:pt>
                <c:pt idx="8">
                  <c:v>7.9027355623100301E-2</c:v>
                </c:pt>
                <c:pt idx="9">
                  <c:v>5.4711246200607903E-2</c:v>
                </c:pt>
                <c:pt idx="10">
                  <c:v>2.4316109422492401E-2</c:v>
                </c:pt>
                <c:pt idx="11">
                  <c:v>1.2158054711246201E-2</c:v>
                </c:pt>
                <c:pt idx="12">
                  <c:v>6.0790273556231003E-3</c:v>
                </c:pt>
                <c:pt idx="13">
                  <c:v>3.0395136778115501E-3</c:v>
                </c:pt>
                <c:pt idx="14">
                  <c:v>3.0395136778115501E-3</c:v>
                </c:pt>
                <c:pt idx="15">
                  <c:v>9.11854103343465E-3</c:v>
                </c:pt>
              </c:numCache>
            </c:numRef>
          </c:val>
        </c:ser>
        <c:overlap val="100"/>
        <c:axId val="116985216"/>
        <c:axId val="116983680"/>
      </c:barChart>
      <c:catAx>
        <c:axId val="116709632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16981760"/>
        <c:crosses val="autoZero"/>
        <c:auto val="1"/>
        <c:lblAlgn val="ctr"/>
        <c:lblOffset val="100"/>
      </c:catAx>
      <c:valAx>
        <c:axId val="116981760"/>
        <c:scaling>
          <c:orientation val="minMax"/>
        </c:scaling>
        <c:axPos val="l"/>
        <c:numFmt formatCode="0%" sourceLinked="1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16709632"/>
        <c:crosses val="autoZero"/>
        <c:crossBetween val="between"/>
      </c:valAx>
      <c:valAx>
        <c:axId val="116983680"/>
        <c:scaling>
          <c:orientation val="minMax"/>
        </c:scaling>
        <c:delete val="1"/>
        <c:axPos val="r"/>
        <c:numFmt formatCode="0%" sourceLinked="1"/>
        <c:tickLblPos val="none"/>
        <c:crossAx val="116985216"/>
        <c:crosses val="max"/>
        <c:crossBetween val="between"/>
      </c:valAx>
      <c:catAx>
        <c:axId val="116985216"/>
        <c:scaling>
          <c:orientation val="minMax"/>
        </c:scaling>
        <c:delete val="1"/>
        <c:axPos val="b"/>
        <c:numFmt formatCode="General" sourceLinked="1"/>
        <c:tickLblPos val="none"/>
        <c:crossAx val="116983680"/>
        <c:crosses val="autoZero"/>
        <c:auto val="1"/>
        <c:lblAlgn val="ctr"/>
        <c:lblOffset val="100"/>
      </c:catAx>
      <c:spPr>
        <a:noFill/>
      </c:spPr>
    </c:plotArea>
    <c:plotVisOnly val="1"/>
  </c:chart>
  <c:spPr>
    <a:noFill/>
    <a:ln>
      <a:noFill/>
    </a:ln>
  </c:sp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</c:spPr>
          <c:cat>
            <c:strRef>
              <c:f>Calc!$C$68:$C$76</c:f>
              <c:strCache>
                <c:ptCount val="9"/>
                <c:pt idx="0">
                  <c:v>&lt;5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strCache>
            </c:strRef>
          </c:cat>
          <c:val>
            <c:numRef>
              <c:f>Calc!$G$68:$G$76</c:f>
              <c:numCache>
                <c:formatCode>0%</c:formatCode>
                <c:ptCount val="9"/>
                <c:pt idx="0">
                  <c:v>0.3146067415730337</c:v>
                </c:pt>
                <c:pt idx="1">
                  <c:v>0.31235955056179776</c:v>
                </c:pt>
                <c:pt idx="2">
                  <c:v>0.17827715355805243</c:v>
                </c:pt>
                <c:pt idx="3">
                  <c:v>8.7640449438202248E-2</c:v>
                </c:pt>
                <c:pt idx="4">
                  <c:v>6.3670411985018729E-2</c:v>
                </c:pt>
                <c:pt idx="5">
                  <c:v>2.6966292134831461E-2</c:v>
                </c:pt>
                <c:pt idx="6">
                  <c:v>1.3483146067415731E-2</c:v>
                </c:pt>
                <c:pt idx="7">
                  <c:v>2.2471910112359553E-3</c:v>
                </c:pt>
                <c:pt idx="8">
                  <c:v>7.4906367041198505E-4</c:v>
                </c:pt>
              </c:numCache>
            </c:numRef>
          </c:val>
        </c:ser>
        <c:gapWidth val="8"/>
        <c:overlap val="100"/>
        <c:axId val="123662336"/>
        <c:axId val="123664640"/>
      </c:barChart>
      <c:barChart>
        <c:barDir val="col"/>
        <c:grouping val="clustered"/>
        <c:ser>
          <c:idx val="1"/>
          <c:order val="1"/>
          <c:spPr>
            <a:solidFill>
              <a:schemeClr val="accent6">
                <a:lumMod val="75000"/>
              </a:schemeClr>
            </a:solidFill>
          </c:spPr>
          <c:cat>
            <c:strRef>
              <c:f>Calc!$C$68:$C$76</c:f>
              <c:strCache>
                <c:ptCount val="9"/>
                <c:pt idx="0">
                  <c:v>&lt;5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</c:strCache>
            </c:strRef>
          </c:cat>
          <c:val>
            <c:numRef>
              <c:f>Calc!$E$68:$E$76</c:f>
              <c:numCache>
                <c:formatCode>0%</c:formatCode>
                <c:ptCount val="9"/>
                <c:pt idx="0">
                  <c:v>0.32608695652173914</c:v>
                </c:pt>
                <c:pt idx="1">
                  <c:v>0.28260869565217389</c:v>
                </c:pt>
                <c:pt idx="2">
                  <c:v>0.19565217391304349</c:v>
                </c:pt>
                <c:pt idx="3">
                  <c:v>9.2391304347826081E-2</c:v>
                </c:pt>
                <c:pt idx="4">
                  <c:v>4.8913043478260872E-2</c:v>
                </c:pt>
                <c:pt idx="5">
                  <c:v>2.717391304347826E-2</c:v>
                </c:pt>
                <c:pt idx="6">
                  <c:v>2.717391304347826E-2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overlap val="100"/>
        <c:axId val="125468672"/>
        <c:axId val="125389824"/>
      </c:barChart>
      <c:catAx>
        <c:axId val="12366233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23664640"/>
        <c:crosses val="autoZero"/>
        <c:auto val="1"/>
        <c:lblAlgn val="ctr"/>
        <c:lblOffset val="100"/>
      </c:catAx>
      <c:valAx>
        <c:axId val="123664640"/>
        <c:scaling>
          <c:orientation val="minMax"/>
        </c:scaling>
        <c:axPos val="l"/>
        <c:numFmt formatCode="0%" sourceLinked="1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23662336"/>
        <c:crosses val="autoZero"/>
        <c:crossBetween val="between"/>
      </c:valAx>
      <c:valAx>
        <c:axId val="125389824"/>
        <c:scaling>
          <c:orientation val="minMax"/>
        </c:scaling>
        <c:delete val="1"/>
        <c:axPos val="r"/>
        <c:numFmt formatCode="0%" sourceLinked="1"/>
        <c:tickLblPos val="none"/>
        <c:crossAx val="125468672"/>
        <c:crosses val="max"/>
        <c:crossBetween val="between"/>
      </c:valAx>
      <c:catAx>
        <c:axId val="125468672"/>
        <c:scaling>
          <c:orientation val="minMax"/>
        </c:scaling>
        <c:delete val="1"/>
        <c:axPos val="b"/>
        <c:numFmt formatCode="General" sourceLinked="1"/>
        <c:tickLblPos val="none"/>
        <c:crossAx val="125389824"/>
        <c:crosses val="autoZero"/>
        <c:auto val="1"/>
        <c:lblAlgn val="ctr"/>
        <c:lblOffset val="100"/>
      </c:catAx>
      <c:spPr>
        <a:noFill/>
      </c:spPr>
    </c:plotArea>
    <c:plotVisOnly val="1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clustered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</c:spPr>
          <c:cat>
            <c:strRef>
              <c:f>Calc!$C$35:$C$39</c:f>
              <c:strCache>
                <c:ptCount val="5"/>
                <c:pt idx="0">
                  <c:v>Excel, what Excel?</c:v>
                </c:pt>
                <c:pt idx="1">
                  <c:v>1 or 2 hours a day</c:v>
                </c:pt>
                <c:pt idx="2">
                  <c:v>2 to 3 hours a day</c:v>
                </c:pt>
                <c:pt idx="3">
                  <c:v>4 to 6 hours a day</c:v>
                </c:pt>
                <c:pt idx="4">
                  <c:v>All the 8 hours baby!</c:v>
                </c:pt>
              </c:strCache>
            </c:strRef>
          </c:cat>
          <c:val>
            <c:numRef>
              <c:f>Calc!$G$35:$G$39</c:f>
              <c:numCache>
                <c:formatCode>0%</c:formatCode>
                <c:ptCount val="5"/>
                <c:pt idx="0">
                  <c:v>3.7174721189591076E-3</c:v>
                </c:pt>
                <c:pt idx="1">
                  <c:v>9.2405735528412108E-2</c:v>
                </c:pt>
                <c:pt idx="2">
                  <c:v>0.23951141795007966</c:v>
                </c:pt>
                <c:pt idx="3">
                  <c:v>0.4115772703133298</c:v>
                </c:pt>
                <c:pt idx="4">
                  <c:v>0.25278810408921931</c:v>
                </c:pt>
              </c:numCache>
            </c:numRef>
          </c:val>
        </c:ser>
        <c:gapWidth val="8"/>
        <c:overlap val="100"/>
        <c:axId val="149663744"/>
        <c:axId val="149943424"/>
      </c:barChart>
      <c:barChart>
        <c:barDir val="col"/>
        <c:grouping val="clustered"/>
        <c:ser>
          <c:idx val="1"/>
          <c:order val="1"/>
          <c:spPr>
            <a:solidFill>
              <a:schemeClr val="accent6">
                <a:lumMod val="75000"/>
              </a:schemeClr>
            </a:solidFill>
          </c:spPr>
          <c:cat>
            <c:strRef>
              <c:f>Calc!$C$35:$C$39</c:f>
              <c:strCache>
                <c:ptCount val="5"/>
                <c:pt idx="0">
                  <c:v>Excel, what Excel?</c:v>
                </c:pt>
                <c:pt idx="1">
                  <c:v>1 or 2 hours a day</c:v>
                </c:pt>
                <c:pt idx="2">
                  <c:v>2 to 3 hours a day</c:v>
                </c:pt>
                <c:pt idx="3">
                  <c:v>4 to 6 hours a day</c:v>
                </c:pt>
                <c:pt idx="4">
                  <c:v>All the 8 hours baby!</c:v>
                </c:pt>
              </c:strCache>
            </c:strRef>
          </c:cat>
          <c:val>
            <c:numRef>
              <c:f>Calc!$E$35:$E$39</c:f>
              <c:numCache>
                <c:formatCode>0%</c:formatCode>
                <c:ptCount val="5"/>
                <c:pt idx="0">
                  <c:v>9.11854103343465E-3</c:v>
                </c:pt>
                <c:pt idx="1">
                  <c:v>5.7750759878419454E-2</c:v>
                </c:pt>
                <c:pt idx="2">
                  <c:v>0.18541033434650456</c:v>
                </c:pt>
                <c:pt idx="3">
                  <c:v>0.49240121580547114</c:v>
                </c:pt>
                <c:pt idx="4">
                  <c:v>0.25531914893617019</c:v>
                </c:pt>
              </c:numCache>
            </c:numRef>
          </c:val>
        </c:ser>
        <c:overlap val="100"/>
        <c:axId val="150729856"/>
        <c:axId val="149945344"/>
      </c:barChart>
      <c:catAx>
        <c:axId val="149663744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9943424"/>
        <c:crosses val="autoZero"/>
        <c:auto val="1"/>
        <c:lblAlgn val="ctr"/>
        <c:lblOffset val="100"/>
      </c:catAx>
      <c:valAx>
        <c:axId val="149943424"/>
        <c:scaling>
          <c:orientation val="minMax"/>
        </c:scaling>
        <c:axPos val="l"/>
        <c:numFmt formatCode="0%" sourceLinked="1"/>
        <c:tickLblPos val="nextTo"/>
        <c:txPr>
          <a:bodyPr/>
          <a:lstStyle/>
          <a:p>
            <a:pPr>
              <a:defRPr sz="800">
                <a:solidFill>
                  <a:schemeClr val="tx1">
                    <a:lumMod val="50000"/>
                    <a:lumOff val="50000"/>
                  </a:schemeClr>
                </a:solidFill>
                <a:latin typeface="Century Gothic" pitchFamily="34" charset="0"/>
              </a:defRPr>
            </a:pPr>
            <a:endParaRPr lang="en-US"/>
          </a:p>
        </c:txPr>
        <c:crossAx val="149663744"/>
        <c:crosses val="autoZero"/>
        <c:crossBetween val="between"/>
      </c:valAx>
      <c:valAx>
        <c:axId val="149945344"/>
        <c:scaling>
          <c:orientation val="minMax"/>
        </c:scaling>
        <c:delete val="1"/>
        <c:axPos val="r"/>
        <c:numFmt formatCode="0%" sourceLinked="1"/>
        <c:tickLblPos val="none"/>
        <c:crossAx val="150729856"/>
        <c:crosses val="max"/>
        <c:crossBetween val="between"/>
      </c:valAx>
      <c:catAx>
        <c:axId val="150729856"/>
        <c:scaling>
          <c:orientation val="minMax"/>
        </c:scaling>
        <c:delete val="1"/>
        <c:axPos val="b"/>
        <c:numFmt formatCode="General" sourceLinked="1"/>
        <c:tickLblPos val="none"/>
        <c:crossAx val="149945344"/>
        <c:crosses val="autoZero"/>
        <c:auto val="1"/>
        <c:lblAlgn val="ctr"/>
        <c:lblOffset val="100"/>
      </c:catAx>
      <c:spPr>
        <a:noFill/>
      </c:spPr>
    </c:plotArea>
    <c:plotVisOnly val="1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38099</xdr:colOff>
      <xdr:row>1</xdr:row>
      <xdr:rowOff>161925</xdr:rowOff>
    </xdr:from>
    <xdr:to>
      <xdr:col>4</xdr:col>
      <xdr:colOff>95250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247649</xdr:colOff>
      <xdr:row>1</xdr:row>
      <xdr:rowOff>161925</xdr:rowOff>
    </xdr:from>
    <xdr:to>
      <xdr:col>12</xdr:col>
      <xdr:colOff>914399</xdr:colOff>
      <xdr:row>12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190500</xdr:colOff>
      <xdr:row>1</xdr:row>
      <xdr:rowOff>161925</xdr:rowOff>
    </xdr:from>
    <xdr:to>
      <xdr:col>8</xdr:col>
      <xdr:colOff>114300</xdr:colOff>
      <xdr:row>12</xdr:row>
      <xdr:rowOff>133350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38099</xdr:colOff>
      <xdr:row>13</xdr:row>
      <xdr:rowOff>19049</xdr:rowOff>
    </xdr:from>
    <xdr:to>
      <xdr:col>4</xdr:col>
      <xdr:colOff>95250</xdr:colOff>
      <xdr:row>27</xdr:row>
      <xdr:rowOff>57150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247649</xdr:colOff>
      <xdr:row>13</xdr:row>
      <xdr:rowOff>19049</xdr:rowOff>
    </xdr:from>
    <xdr:to>
      <xdr:col>12</xdr:col>
      <xdr:colOff>914399</xdr:colOff>
      <xdr:row>27</xdr:row>
      <xdr:rowOff>57149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</xdr:col>
      <xdr:colOff>190500</xdr:colOff>
      <xdr:row>13</xdr:row>
      <xdr:rowOff>19049</xdr:rowOff>
    </xdr:from>
    <xdr:to>
      <xdr:col>8</xdr:col>
      <xdr:colOff>114300</xdr:colOff>
      <xdr:row>27</xdr:row>
      <xdr:rowOff>57149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19051</xdr:colOff>
      <xdr:row>31</xdr:row>
      <xdr:rowOff>76199</xdr:rowOff>
    </xdr:from>
    <xdr:to>
      <xdr:col>5</xdr:col>
      <xdr:colOff>0</xdr:colOff>
      <xdr:row>47</xdr:row>
      <xdr:rowOff>114300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</xdr:col>
      <xdr:colOff>0</xdr:colOff>
      <xdr:row>30</xdr:row>
      <xdr:rowOff>0</xdr:rowOff>
    </xdr:from>
    <xdr:to>
      <xdr:col>8</xdr:col>
      <xdr:colOff>76200</xdr:colOff>
      <xdr:row>39</xdr:row>
      <xdr:rowOff>76200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0</xdr:col>
      <xdr:colOff>1</xdr:colOff>
      <xdr:row>0</xdr:row>
      <xdr:rowOff>95248</xdr:rowOff>
    </xdr:from>
    <xdr:ext cx="704847" cy="7296151"/>
    <xdr:sp macro="" textlink="">
      <xdr:nvSpPr>
        <xdr:cNvPr id="12" name="TextBox 11"/>
        <xdr:cNvSpPr txBox="1"/>
      </xdr:nvSpPr>
      <xdr:spPr>
        <a:xfrm rot="16200000">
          <a:off x="-3295651" y="3390900"/>
          <a:ext cx="7296151" cy="7048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b">
          <a:noAutofit/>
        </a:bodyPr>
        <a:lstStyle/>
        <a:p>
          <a:r>
            <a:rPr lang="en-US" sz="3900" b="1">
              <a:solidFill>
                <a:schemeClr val="accent6"/>
              </a:solidFill>
              <a:latin typeface="Century Gothic" pitchFamily="34" charset="0"/>
            </a:rPr>
            <a:t>Chandoo </a:t>
          </a:r>
          <a:r>
            <a:rPr lang="en-US" sz="3900" b="1">
              <a:solidFill>
                <a:schemeClr val="tx1">
                  <a:lumMod val="50000"/>
                  <a:lumOff val="50000"/>
                </a:schemeClr>
              </a:solidFill>
              <a:latin typeface="Century Gothic" pitchFamily="34" charset="0"/>
            </a:rPr>
            <a:t> </a:t>
          </a:r>
          <a:r>
            <a:rPr lang="en-US" sz="3900" b="0">
              <a:solidFill>
                <a:schemeClr val="bg1">
                  <a:lumMod val="85000"/>
                </a:schemeClr>
              </a:solidFill>
              <a:latin typeface="Century Gothic" pitchFamily="34" charset="0"/>
            </a:rPr>
            <a:t>Excel Salary</a:t>
          </a:r>
          <a:r>
            <a:rPr lang="en-US" sz="3900" b="0" baseline="0">
              <a:solidFill>
                <a:schemeClr val="bg1">
                  <a:lumMod val="85000"/>
                </a:schemeClr>
              </a:solidFill>
              <a:latin typeface="Century Gothic" pitchFamily="34" charset="0"/>
            </a:rPr>
            <a:t> Survey</a:t>
          </a:r>
          <a:endParaRPr lang="en-US" sz="3900" b="0">
            <a:solidFill>
              <a:schemeClr val="bg1">
                <a:lumMod val="85000"/>
              </a:schemeClr>
            </a:solidFill>
            <a:latin typeface="Century Gothic" pitchFamily="34" charset="0"/>
          </a:endParaRPr>
        </a:p>
      </xdr:txBody>
    </xdr:sp>
    <xdr:clientData/>
  </xdr:oneCellAnchor>
  <xdr:twoCellAnchor editAs="oneCell">
    <xdr:from>
      <xdr:col>5</xdr:col>
      <xdr:colOff>0</xdr:colOff>
      <xdr:row>39</xdr:row>
      <xdr:rowOff>152401</xdr:rowOff>
    </xdr:from>
    <xdr:to>
      <xdr:col>8</xdr:col>
      <xdr:colOff>76200</xdr:colOff>
      <xdr:row>47</xdr:row>
      <xdr:rowOff>66675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8</xdr:col>
      <xdr:colOff>219075</xdr:colOff>
      <xdr:row>39</xdr:row>
      <xdr:rowOff>171449</xdr:rowOff>
    </xdr:from>
    <xdr:to>
      <xdr:col>13</xdr:col>
      <xdr:colOff>38100</xdr:colOff>
      <xdr:row>48</xdr:row>
      <xdr:rowOff>142875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609600</xdr:colOff>
      <xdr:row>2</xdr:row>
      <xdr:rowOff>19050</xdr:rowOff>
    </xdr:from>
    <xdr:to>
      <xdr:col>1</xdr:col>
      <xdr:colOff>609600</xdr:colOff>
      <xdr:row>3</xdr:row>
      <xdr:rowOff>85725</xdr:rowOff>
    </xdr:to>
    <xdr:cxnSp macro="">
      <xdr:nvCxnSpPr>
        <xdr:cNvPr id="16" name="Straight Arrow Connector 15"/>
        <xdr:cNvCxnSpPr/>
      </xdr:nvCxnSpPr>
      <xdr:spPr>
        <a:xfrm>
          <a:off x="1400175" y="371475"/>
          <a:ext cx="0" cy="142875"/>
        </a:xfrm>
        <a:prstGeom prst="straightConnector1">
          <a:avLst/>
        </a:prstGeom>
        <a:ln>
          <a:solidFill>
            <a:schemeClr val="tx1">
              <a:lumMod val="50000"/>
              <a:lumOff val="50000"/>
            </a:schemeClr>
          </a:solidFill>
          <a:tailEnd type="stealth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joeyc/My%20Documents/Downloads/Sparklines.xlt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2" name="Table2" displayName="Table2" ref="A1:I1884" totalsRowShown="0" headerRowDxfId="3" dataDxfId="4">
  <autoFilter ref="A1:I1884">
    <filterColumn colId="1">
      <filters>
        <filter val="Analysts"/>
      </filters>
    </filterColumn>
    <filterColumn colId="2">
      <filters>
        <filter val="North America"/>
      </filters>
    </filterColumn>
  </autoFilter>
  <tableColumns count="9">
    <tableColumn id="1" name="Unique ID"/>
    <tableColumn id="2" name="Job Type"/>
    <tableColumn id="3" name="Region 2"/>
    <tableColumn id="4" name="Salary in USD" dataDxfId="5"/>
    <tableColumn id="5" name="Hours">
      <calculatedColumnFormula>VLOOKUP(I2,Calc!$I$35:$J$39,2,FALSE)</calculatedColumnFormula>
    </tableColumn>
    <tableColumn id="6" name="Years of Experience"/>
    <tableColumn id="7" name="clean Country" dataDxfId="2"/>
    <tableColumn id="8" name="Your Job Title" dataDxfId="1"/>
    <tableColumn id="9" name="How many hours of a day you work on Excel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M48"/>
  <sheetViews>
    <sheetView showGridLines="0" tabSelected="1" workbookViewId="0"/>
  </sheetViews>
  <sheetFormatPr defaultRowHeight="13.5"/>
  <cols>
    <col min="1" max="1" width="11.85546875" style="5" customWidth="1"/>
    <col min="2" max="2" width="12.5703125" style="5" customWidth="1"/>
    <col min="3" max="3" width="6.140625" style="5" customWidth="1"/>
    <col min="4" max="4" width="28.7109375" style="5" customWidth="1"/>
    <col min="5" max="5" width="3.85546875" style="5" customWidth="1"/>
    <col min="6" max="6" width="4.7109375" style="5" customWidth="1"/>
    <col min="7" max="7" width="4.85546875" style="5" customWidth="1"/>
    <col min="8" max="8" width="26.7109375" style="5" customWidth="1"/>
    <col min="9" max="9" width="3.7109375" style="5" customWidth="1"/>
    <col min="10" max="10" width="4.42578125" style="5" customWidth="1"/>
    <col min="11" max="12" width="7.42578125" style="5" customWidth="1"/>
    <col min="13" max="13" width="13.7109375" style="5" customWidth="1"/>
    <col min="14" max="16384" width="9.140625" style="5"/>
  </cols>
  <sheetData>
    <row r="1" spans="2:13" ht="6" customHeight="1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2:13" ht="14.25">
      <c r="B2" s="38" t="s">
        <v>3286</v>
      </c>
      <c r="C2" s="18"/>
      <c r="D2" s="19" t="s">
        <v>3251</v>
      </c>
      <c r="E2" s="18"/>
      <c r="F2" s="18"/>
      <c r="G2" s="19" t="s">
        <v>3253</v>
      </c>
      <c r="H2" s="18"/>
      <c r="I2" s="18"/>
      <c r="J2" s="18"/>
      <c r="K2" s="19" t="s">
        <v>3277</v>
      </c>
      <c r="L2" s="19"/>
      <c r="M2" s="19"/>
    </row>
    <row r="3" spans="2:13" ht="6" customHeight="1">
      <c r="B3" s="18"/>
      <c r="C3" s="18"/>
      <c r="D3" s="19"/>
      <c r="E3" s="18"/>
      <c r="F3" s="19"/>
      <c r="G3" s="19"/>
      <c r="H3" s="18"/>
      <c r="I3" s="18"/>
      <c r="J3" s="18"/>
      <c r="K3" s="18"/>
      <c r="L3" s="18"/>
      <c r="M3" s="19"/>
    </row>
    <row r="4" spans="2:13">
      <c r="B4" s="20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</row>
    <row r="5" spans="2:13" ht="11.25" customHeight="1">
      <c r="B5" s="33" t="s">
        <v>32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2:13" ht="11.25" customHeight="1">
      <c r="B6" s="35" t="s">
        <v>29</v>
      </c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</row>
    <row r="7" spans="2:13" ht="11.25" customHeight="1">
      <c r="B7" s="33" t="s">
        <v>19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</row>
    <row r="8" spans="2:13" ht="11.25" customHeight="1">
      <c r="B8" s="33" t="s">
        <v>42</v>
      </c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</row>
    <row r="9" spans="2:13" ht="11.25" customHeight="1">
      <c r="B9" s="33" t="s">
        <v>48</v>
      </c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</row>
    <row r="10" spans="2:13" ht="11.25" customHeight="1">
      <c r="B10" s="33" t="s">
        <v>3248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</row>
    <row r="11" spans="2:13" ht="11.25" customHeight="1">
      <c r="B11" s="33" t="s">
        <v>11</v>
      </c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</row>
    <row r="12" spans="2:13" ht="11.25" customHeight="1">
      <c r="B12" s="34" t="s">
        <v>3282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</row>
    <row r="13" spans="2:13" ht="11.25" customHeight="1">
      <c r="B13" s="36"/>
      <c r="C13" s="36" t="s">
        <v>3280</v>
      </c>
      <c r="D13" s="36"/>
      <c r="E13" s="18"/>
      <c r="F13" s="18"/>
      <c r="G13" s="18"/>
      <c r="H13" s="18"/>
      <c r="I13" s="18"/>
      <c r="J13" s="18"/>
      <c r="K13" s="18"/>
      <c r="L13" s="18"/>
      <c r="M13" s="18"/>
    </row>
    <row r="14" spans="2:13" ht="11.25" customHeight="1">
      <c r="B14" s="21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</row>
    <row r="15" spans="2:13" ht="11.25" customHeight="1">
      <c r="B15" s="20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</row>
    <row r="16" spans="2:13" ht="11.25" customHeight="1">
      <c r="B16" s="33" t="s">
        <v>3249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</row>
    <row r="17" spans="2:13" ht="11.25" customHeight="1">
      <c r="B17" s="33" t="s">
        <v>3263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</row>
    <row r="18" spans="2:13" ht="11.25" customHeight="1">
      <c r="B18" s="33" t="s">
        <v>3264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</row>
    <row r="19" spans="2:13" ht="11.25" customHeight="1">
      <c r="B19" s="33" t="s">
        <v>3265</v>
      </c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</row>
    <row r="20" spans="2:13" ht="11.25" customHeight="1">
      <c r="B20" s="33" t="s">
        <v>3266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</row>
    <row r="21" spans="2:13" ht="11.25" customHeight="1">
      <c r="B21" s="33" t="s">
        <v>3267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</row>
    <row r="22" spans="2:13" ht="11.25" customHeight="1">
      <c r="B22" s="35" t="s">
        <v>3268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</row>
    <row r="23" spans="2:13" ht="11.25" customHeight="1">
      <c r="B23" s="33" t="s">
        <v>3269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</row>
    <row r="24" spans="2:13" ht="11.25" customHeight="1">
      <c r="B24" s="33" t="s">
        <v>3250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</row>
    <row r="25" spans="2:13" ht="11.25" customHeight="1">
      <c r="B25" s="33" t="s">
        <v>77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</row>
    <row r="26" spans="2:13" ht="11.25" customHeight="1">
      <c r="B26" s="34" t="s">
        <v>3281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</row>
    <row r="27" spans="2:13" ht="8.25" customHeight="1">
      <c r="B27" s="18"/>
      <c r="C27" s="19"/>
      <c r="D27" s="18"/>
      <c r="E27" s="18"/>
      <c r="F27" s="18"/>
      <c r="G27" s="18"/>
      <c r="H27" s="18"/>
      <c r="I27" s="18"/>
      <c r="J27" s="18"/>
      <c r="K27" s="18"/>
      <c r="L27" s="18"/>
      <c r="M27" s="26"/>
    </row>
    <row r="28" spans="2:13" s="24" customFormat="1" ht="27" customHeight="1">
      <c r="B28" s="39" t="s">
        <v>3287</v>
      </c>
      <c r="C28" s="40" t="str">
        <f>region_filter&amp;", "&amp;job_filter</f>
        <v>North America, Analysts</v>
      </c>
      <c r="D28" s="23"/>
      <c r="E28" s="23"/>
      <c r="F28" s="23"/>
      <c r="G28" s="23"/>
      <c r="H28" s="23"/>
      <c r="I28" s="23"/>
      <c r="J28" s="23"/>
      <c r="K28" s="23"/>
      <c r="L28" s="23"/>
      <c r="M28" s="25" t="s">
        <v>3270</v>
      </c>
    </row>
    <row r="29" spans="2:13" ht="7.5" customHeight="1">
      <c r="B29" s="6"/>
      <c r="C29" s="6"/>
      <c r="E29" s="6"/>
    </row>
    <row r="30" spans="2:13" ht="11.25" customHeight="1">
      <c r="B30" s="8" t="s">
        <v>3254</v>
      </c>
      <c r="C30" s="6"/>
      <c r="D30" s="6"/>
      <c r="E30" s="6"/>
      <c r="F30" s="8" t="s">
        <v>3288</v>
      </c>
      <c r="G30" s="8"/>
      <c r="H30" s="6"/>
      <c r="I30" s="6"/>
      <c r="J30" s="8" t="s">
        <v>3291</v>
      </c>
      <c r="K30" s="8"/>
      <c r="L30" s="8"/>
    </row>
    <row r="31" spans="2:13" ht="6" customHeight="1">
      <c r="C31" s="6"/>
      <c r="D31" s="6"/>
      <c r="E31" s="6"/>
      <c r="F31" s="6"/>
      <c r="G31" s="6"/>
      <c r="H31" s="6"/>
      <c r="I31" s="6"/>
      <c r="K31" s="6"/>
      <c r="L31" s="6"/>
      <c r="M31" s="6"/>
    </row>
    <row r="32" spans="2:13" ht="11.25" customHeight="1">
      <c r="B32" s="22" t="s">
        <v>3256</v>
      </c>
      <c r="C32" s="6"/>
      <c r="D32" s="6"/>
      <c r="E32" s="6"/>
      <c r="F32" s="6"/>
      <c r="G32" s="6"/>
      <c r="H32" s="6"/>
      <c r="I32" s="6"/>
      <c r="J32" s="27" t="str">
        <f>C28</f>
        <v>North America, Analysts</v>
      </c>
      <c r="K32" s="6"/>
      <c r="L32" s="6"/>
      <c r="M32" s="6"/>
    </row>
    <row r="33" spans="2:13" ht="15" customHeight="1">
      <c r="B33" s="6"/>
      <c r="C33" s="6"/>
      <c r="D33" s="6"/>
      <c r="E33" s="6"/>
      <c r="F33" s="6"/>
      <c r="G33" s="6"/>
      <c r="H33" s="6"/>
      <c r="I33" s="6"/>
      <c r="J33" s="5" t="s">
        <v>3274</v>
      </c>
      <c r="M33" s="29">
        <f>SUBTOTAL(3,Table2[Salary in USD])</f>
        <v>329</v>
      </c>
    </row>
    <row r="34" spans="2:13" ht="15" customHeight="1">
      <c r="B34" s="6"/>
      <c r="C34" s="6"/>
      <c r="D34" s="6"/>
      <c r="E34" s="6"/>
      <c r="F34" s="6"/>
      <c r="G34" s="6"/>
      <c r="H34" s="6"/>
      <c r="I34" s="6"/>
      <c r="J34" s="6" t="s">
        <v>3247</v>
      </c>
      <c r="L34" s="6"/>
      <c r="M34" s="28" t="str">
        <f>IFERROR(TEXT(SUBTOTAL(1,Table2[Years of Experience]),"0.0")&amp; " Years","n/a")</f>
        <v>8.8 Years</v>
      </c>
    </row>
    <row r="35" spans="2:13" ht="15" customHeight="1">
      <c r="B35" s="6"/>
      <c r="C35" s="6"/>
      <c r="D35" s="6"/>
      <c r="E35" s="6"/>
      <c r="F35" s="6"/>
      <c r="G35" s="6"/>
      <c r="H35" s="6"/>
      <c r="I35" s="6"/>
      <c r="J35" s="6" t="s">
        <v>3283</v>
      </c>
      <c r="L35" s="6"/>
      <c r="M35" s="28" t="str">
        <f>IFERROR(TEXT(SUBTOTAL(1,Table2[Hours]),"0.0")&amp; " Hours","n/a")</f>
        <v>5.1 Hours</v>
      </c>
    </row>
    <row r="36" spans="2:13">
      <c r="B36" s="6"/>
      <c r="C36" s="6"/>
      <c r="D36" s="6"/>
      <c r="E36" s="6"/>
      <c r="F36" s="6"/>
      <c r="G36" s="6"/>
      <c r="H36" s="6"/>
      <c r="I36" s="6"/>
      <c r="J36" s="6" t="s">
        <v>3273</v>
      </c>
      <c r="L36" s="6"/>
      <c r="M36" s="37">
        <f>IFERROR(SUBTOTAL(1,Table2[Salary in USD]),"n/a")</f>
        <v>62637.349184293482</v>
      </c>
    </row>
    <row r="37" spans="2:13">
      <c r="B37" s="6"/>
      <c r="C37" s="6"/>
      <c r="D37" s="6"/>
      <c r="E37" s="6"/>
      <c r="F37" s="6"/>
      <c r="G37" s="6"/>
      <c r="H37" s="6"/>
      <c r="I37" s="6"/>
      <c r="J37" s="6" t="s">
        <v>3284</v>
      </c>
      <c r="K37" s="6"/>
      <c r="L37" s="6"/>
      <c r="M37" s="37">
        <f>IFERROR(SUBTOTAL(4,Table2[Salary in USD]),"n/a")</f>
        <v>245840.3807575817</v>
      </c>
    </row>
    <row r="38" spans="2:13">
      <c r="B38" s="6"/>
      <c r="C38" s="6"/>
      <c r="D38" s="6"/>
      <c r="E38" s="6"/>
      <c r="F38" s="6"/>
      <c r="G38" s="6"/>
      <c r="H38" s="6"/>
      <c r="I38" s="6"/>
      <c r="J38" s="6" t="s">
        <v>3285</v>
      </c>
      <c r="K38" s="6"/>
      <c r="L38" s="6"/>
      <c r="M38" s="37">
        <f>IFERROR(SUBTOTAL(5,Table2[Salary in USD]),"n/a")</f>
        <v>10000</v>
      </c>
    </row>
    <row r="39" spans="2:13" ht="14.25" customHeight="1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</row>
    <row r="40" spans="2:13" ht="14.25">
      <c r="B40" s="6"/>
      <c r="C40" s="6"/>
      <c r="D40" s="6"/>
      <c r="E40" s="6"/>
      <c r="F40" s="8" t="s">
        <v>3289</v>
      </c>
      <c r="G40" s="8"/>
      <c r="H40" s="6"/>
      <c r="I40" s="6"/>
      <c r="J40" s="8" t="s">
        <v>3290</v>
      </c>
      <c r="K40" s="8"/>
      <c r="L40" s="8"/>
    </row>
    <row r="41" spans="2:13"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</row>
    <row r="42" spans="2:13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</row>
    <row r="43" spans="2:13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2:13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</row>
    <row r="45" spans="2:13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2:13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</row>
    <row r="47" spans="2:13" ht="17.25" customHeight="1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2:13" ht="14.25">
      <c r="B48" s="22" t="s">
        <v>3255</v>
      </c>
      <c r="F48" s="6"/>
      <c r="G48" s="6"/>
      <c r="H48" s="6"/>
      <c r="I48" s="6"/>
      <c r="J48" s="6"/>
      <c r="K48" s="6"/>
      <c r="L48" s="6"/>
      <c r="M48" s="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2:J78"/>
  <sheetViews>
    <sheetView showGridLines="0" topLeftCell="A49" workbookViewId="0">
      <selection activeCell="B62" sqref="B62"/>
    </sheetView>
  </sheetViews>
  <sheetFormatPr defaultRowHeight="12.75"/>
  <cols>
    <col min="2" max="2" width="31.140625" bestFit="1" customWidth="1"/>
  </cols>
  <sheetData>
    <row r="2" spans="2:10">
      <c r="D2" s="3" t="s">
        <v>15</v>
      </c>
      <c r="E2" s="3" t="s">
        <v>4</v>
      </c>
      <c r="G2" s="3" t="s">
        <v>16</v>
      </c>
      <c r="I2" t="s">
        <v>15</v>
      </c>
      <c r="J2" s="16" t="s">
        <v>4</v>
      </c>
    </row>
    <row r="3" spans="2:10" ht="15">
      <c r="B3" s="1" t="s">
        <v>23</v>
      </c>
      <c r="C3" s="1" t="s">
        <v>24</v>
      </c>
      <c r="D3" s="1" t="s">
        <v>25</v>
      </c>
      <c r="E3" s="1" t="s">
        <v>25</v>
      </c>
      <c r="F3" s="1" t="s">
        <v>27</v>
      </c>
      <c r="G3" s="1" t="s">
        <v>25</v>
      </c>
      <c r="I3" s="1" t="s">
        <v>26</v>
      </c>
      <c r="J3" s="1" t="s">
        <v>26</v>
      </c>
    </row>
    <row r="4" spans="2:10">
      <c r="B4" t="s">
        <v>32</v>
      </c>
      <c r="C4">
        <f>COUNTIF(Data!$C$2:$C$1884,$B4)</f>
        <v>96</v>
      </c>
      <c r="D4" s="2">
        <f>SUMIF(Data!$C$2:$C$1884,$B4,Data!$D$2:$D$1884)/C4</f>
        <v>89331.05565369704</v>
      </c>
      <c r="E4" s="4">
        <f>SUMIF(Data!$C$2:$C$1884,$B4,Data!$E$2:$E$1884)/C4</f>
        <v>4.317708333333333</v>
      </c>
      <c r="F4" s="2">
        <f>COUNTIFS(Data!$C$2:$C$1884,$B4,Data!$F$2:$F$1884,"&gt;0")</f>
        <v>89</v>
      </c>
      <c r="G4">
        <f>SUMIF(Data!$C$2:$C$1884,$B4,Data!$F$2:$F$1884)/F4</f>
        <v>10.488764044943821</v>
      </c>
      <c r="I4" s="2">
        <f t="array" ref="I4">MEDIAN(IF(Data!$C$2:$C$1884=$B4,Data!$D$2:$D$1884))</f>
        <v>86692.320794224041</v>
      </c>
      <c r="J4" s="2">
        <f t="array" ref="J4">MEDIAN(IF(Data!$C$2:$C$1884=$B4,Data!$E$2:$E$1884))</f>
        <v>5</v>
      </c>
    </row>
    <row r="5" spans="2:10">
      <c r="B5" t="s">
        <v>29</v>
      </c>
      <c r="C5">
        <f>COUNTIF(Data!$C$2:$C$1884,$B5)</f>
        <v>677</v>
      </c>
      <c r="D5" s="2">
        <f>SUMIF(Data!$C$2:$C$1884,$B5,Data!$D$2:$D$1884)/C5</f>
        <v>72539.906429461393</v>
      </c>
      <c r="E5" s="4">
        <f>SUMIF(Data!$C$2:$C$1884,$B5,Data!$E$2:$E$1884)/C5</f>
        <v>4.738552437223043</v>
      </c>
      <c r="F5" s="2">
        <f>COUNTIFS(Data!$C$2:$C$1884,$B5,Data!$F$2:$F$1884,"&gt;0")</f>
        <v>362</v>
      </c>
      <c r="G5">
        <f>SUMIF(Data!$C$2:$C$1884,$B5,Data!$F$2:$F$1884)/F5</f>
        <v>10.218232044198896</v>
      </c>
      <c r="I5" s="2">
        <f t="array" ref="I5">MEDIAN(IF(Data!$C$2:$C$1884=$B5,Data!$D$2:$D$1884))</f>
        <v>65000</v>
      </c>
      <c r="J5" s="2">
        <f t="array" ref="J5">MEDIAN(IF(Data!$C$2:$C$1884=$B5,Data!$E$2:$E$1884))</f>
        <v>5</v>
      </c>
    </row>
    <row r="6" spans="2:10">
      <c r="B6" t="s">
        <v>19</v>
      </c>
      <c r="C6">
        <f>COUNTIF(Data!$C$2:$C$1884,$B6)</f>
        <v>313</v>
      </c>
      <c r="D6" s="2">
        <f>SUMIF(Data!$C$2:$C$1884,$B6,Data!$D$2:$D$1884)/C6</f>
        <v>63084.83295606621</v>
      </c>
      <c r="E6" s="4">
        <f>SUMIF(Data!$C$2:$C$1884,$B6,Data!$E$2:$E$1884)/C6</f>
        <v>4.7539936102236418</v>
      </c>
      <c r="F6" s="2">
        <f>COUNTIFS(Data!$C$2:$C$1884,$B6,Data!$F$2:$F$1884,"&gt;0")</f>
        <v>224</v>
      </c>
      <c r="G6">
        <f>SUMIF(Data!$C$2:$C$1884,$B6,Data!$F$2:$F$1884)/F6</f>
        <v>10.345089285714286</v>
      </c>
      <c r="I6" s="2">
        <f t="array" ref="I6">MEDIAN(IF(Data!$C$2:$C$1884=$B6,Data!$D$2:$D$1884))</f>
        <v>53590.061250287661</v>
      </c>
      <c r="J6" s="2">
        <f t="array" ref="J6">MEDIAN(IF(Data!$C$2:$C$1884=$B6,Data!$E$2:$E$1884))</f>
        <v>5</v>
      </c>
    </row>
    <row r="7" spans="2:10">
      <c r="B7" t="s">
        <v>42</v>
      </c>
      <c r="C7">
        <f>COUNTIF(Data!$C$2:$C$1884,$B7)</f>
        <v>37</v>
      </c>
      <c r="D7" s="2">
        <f>SUMIF(Data!$C$2:$C$1884,$B7,Data!$D$2:$D$1884)/C7</f>
        <v>42575.940660978296</v>
      </c>
      <c r="E7" s="4">
        <f>SUMIF(Data!$C$2:$C$1884,$B7,Data!$E$2:$E$1884)/C7</f>
        <v>5.8648648648648649</v>
      </c>
      <c r="F7" s="2">
        <f>COUNTIFS(Data!$C$2:$C$1884,$B7,Data!$F$2:$F$1884,"&gt;0")</f>
        <v>31</v>
      </c>
      <c r="G7">
        <f>SUMIF(Data!$C$2:$C$1884,$B7,Data!$F$2:$F$1884)/F7</f>
        <v>9.8387096774193541</v>
      </c>
      <c r="I7" s="2">
        <f t="array" ref="I7">MEDIAN(IF(Data!$C$2:$C$1884=$B7,Data!$D$2:$D$1884))</f>
        <v>24864</v>
      </c>
      <c r="J7" s="2">
        <f t="array" ref="J7">MEDIAN(IF(Data!$C$2:$C$1884=$B7,Data!$E$2:$E$1884))</f>
        <v>5</v>
      </c>
    </row>
    <row r="8" spans="2:10">
      <c r="B8" t="s">
        <v>48</v>
      </c>
      <c r="C8">
        <f>COUNTIF(Data!$C$2:$C$1884,$B8)</f>
        <v>51</v>
      </c>
      <c r="D8" s="2">
        <f>SUMIF(Data!$C$2:$C$1884,$B8,Data!$D$2:$D$1884)/C8</f>
        <v>42213.809288841891</v>
      </c>
      <c r="E8" s="4">
        <f>SUMIF(Data!$C$2:$C$1884,$B8,Data!$E$2:$E$1884)/C8</f>
        <v>4.7941176470588234</v>
      </c>
      <c r="F8" s="2">
        <f>COUNTIFS(Data!$C$2:$C$1884,$B8,Data!$F$2:$F$1884,"&gt;0")</f>
        <v>39</v>
      </c>
      <c r="G8">
        <f>SUMIF(Data!$C$2:$C$1884,$B8,Data!$F$2:$F$1884)/F8</f>
        <v>10.320512820512821</v>
      </c>
      <c r="I8" s="2">
        <f t="array" ref="I8">MEDIAN(IF(Data!$C$2:$C$1884=$B8,Data!$D$2:$D$1884))</f>
        <v>36000</v>
      </c>
      <c r="J8" s="2">
        <f t="array" ref="J8">MEDIAN(IF(Data!$C$2:$C$1884=$B8,Data!$E$2:$E$1884))</f>
        <v>5</v>
      </c>
    </row>
    <row r="9" spans="2:10">
      <c r="B9" t="s">
        <v>3248</v>
      </c>
      <c r="C9">
        <f>COUNTIF(Data!$C$2:$C$1884,$B9)</f>
        <v>49</v>
      </c>
      <c r="D9" s="2">
        <f>SUMIF(Data!$C$2:$C$1884,$B9,Data!$D$2:$D$1884)/C9</f>
        <v>32472.217927323851</v>
      </c>
      <c r="E9" s="4">
        <f>SUMIF(Data!$C$2:$C$1884,$B9,Data!$E$2:$E$1884)/C9</f>
        <v>5.7551020408163263</v>
      </c>
      <c r="F9" s="2">
        <f>COUNTIFS(Data!$C$2:$C$1884,$B9,Data!$F$2:$F$1884,"&gt;0")</f>
        <v>28</v>
      </c>
      <c r="G9">
        <f>SUMIF(Data!$C$2:$C$1884,$B9,Data!$F$2:$F$1884)/F9</f>
        <v>8.3214285714285712</v>
      </c>
      <c r="I9" s="2">
        <f t="array" ref="I9">MEDIAN(IF(Data!$C$2:$C$1884=$B9,Data!$D$2:$D$1884))</f>
        <v>19200</v>
      </c>
      <c r="J9" s="2">
        <f t="array" ref="J9">MEDIAN(IF(Data!$C$2:$C$1884=$B9,Data!$E$2:$E$1884))</f>
        <v>8</v>
      </c>
    </row>
    <row r="10" spans="2:10">
      <c r="B10" s="10" t="s">
        <v>11</v>
      </c>
      <c r="C10">
        <f>COUNTIF(Data!$C$2:$C$1884,$B10)</f>
        <v>660</v>
      </c>
      <c r="D10" s="2">
        <f>SUMIF(Data!$C$2:$C$1884,$B10,Data!$D$2:$D$1884)/C10</f>
        <v>15067.277491071964</v>
      </c>
      <c r="E10" s="4">
        <f>SUMIF(Data!$C$2:$C$1884,$B10,Data!$E$2:$E$1884)/C10</f>
        <v>4.875</v>
      </c>
      <c r="F10" s="2">
        <f>COUNTIFS(Data!$C$2:$C$1884,$B10,Data!$F$2:$F$1884,"&gt;0")</f>
        <v>550</v>
      </c>
      <c r="G10">
        <f>SUMIF(Data!$C$2:$C$1884,$B10,Data!$F$2:$F$1884)/F10</f>
        <v>6.6659999999999995</v>
      </c>
      <c r="I10" s="2">
        <f t="array" ref="I10">MEDIAN(IF(Data!$C$2:$C$1884=$B10,Data!$D$2:$D$1884))</f>
        <v>9616.275011218986</v>
      </c>
      <c r="J10" s="2">
        <f>MEDIAN(IF(Data!$C$2:$C$1884=$B10,Data!$E$2:$E$1884))</f>
        <v>0</v>
      </c>
    </row>
    <row r="11" spans="2:10">
      <c r="B11" s="10" t="s">
        <v>3252</v>
      </c>
      <c r="C11">
        <f>COUNTA(Data!$C$2:$C$1884)</f>
        <v>1883</v>
      </c>
      <c r="D11" s="2">
        <f>SUM(Data!$D$2:$D$1884)/C11</f>
        <v>49227.087950866866</v>
      </c>
      <c r="E11" s="4">
        <f>SUM(Data!$E$2:$E$1884)/C11</f>
        <v>4.8175783324482211</v>
      </c>
      <c r="F11" s="2">
        <f>COUNTIF(Data!$F$2:$F$1884,"&gt;0")</f>
        <v>1323</v>
      </c>
      <c r="G11">
        <f>SUM(Data!$F$2:$F$1884)/F11</f>
        <v>8.7351473922902496</v>
      </c>
      <c r="I11" s="2"/>
      <c r="J11" s="2"/>
    </row>
    <row r="12" spans="2:10">
      <c r="B12" s="10"/>
    </row>
    <row r="13" spans="2:10">
      <c r="B13" s="10"/>
      <c r="D13" s="3" t="s">
        <v>15</v>
      </c>
      <c r="E13" s="3" t="s">
        <v>4</v>
      </c>
      <c r="F13" t="s">
        <v>16</v>
      </c>
      <c r="G13" s="3" t="s">
        <v>16</v>
      </c>
      <c r="I13" t="s">
        <v>15</v>
      </c>
      <c r="J13" s="16" t="s">
        <v>4</v>
      </c>
    </row>
    <row r="14" spans="2:10" ht="15">
      <c r="B14" s="9" t="s">
        <v>23</v>
      </c>
      <c r="C14" s="1" t="s">
        <v>24</v>
      </c>
      <c r="D14" s="1" t="s">
        <v>25</v>
      </c>
      <c r="E14" s="1" t="s">
        <v>25</v>
      </c>
      <c r="F14" s="1" t="s">
        <v>27</v>
      </c>
      <c r="G14" s="1" t="s">
        <v>25</v>
      </c>
      <c r="I14" s="1" t="s">
        <v>26</v>
      </c>
      <c r="J14" s="1" t="s">
        <v>26</v>
      </c>
    </row>
    <row r="15" spans="2:10">
      <c r="B15" s="10" t="s">
        <v>3249</v>
      </c>
      <c r="C15">
        <f>COUNTIF(Data!$B$2:$B$1884,$B15)</f>
        <v>75</v>
      </c>
      <c r="D15" s="2">
        <f>SUMIF(Data!$B$2:$B$1884,$B15,Data!$D$2:$D$1884)/C15</f>
        <v>97265.875618660837</v>
      </c>
      <c r="E15" s="4">
        <f t="array" ref="E15">SUMIF(Data!$B$2:$B$1884,$B15,Data!$E$2:$E$1884)/C15</f>
        <v>4.24</v>
      </c>
      <c r="F15" s="2">
        <f>COUNTIFS(Data!$B$2:$B$1884,$B15,Data!$F$2:$F$1884,"&gt;0")</f>
        <v>47</v>
      </c>
      <c r="G15">
        <f>SUMIF(Data!$B$2:$B$1884,$B15,Data!$F$2:$F$1884)/F15</f>
        <v>13.414893617021276</v>
      </c>
      <c r="I15" s="2">
        <f t="array" ref="I15">MEDIAN(IF(Data!$B$2:$B$1884=$B15,Data!$D$2:$D$1884))</f>
        <v>95000</v>
      </c>
      <c r="J15" s="4">
        <f t="array" ref="J15">MEDIAN(IF(Data!$B$2:$B$1884=$B15,Data!$E$2:$E$1884))</f>
        <v>5</v>
      </c>
    </row>
    <row r="16" spans="2:10">
      <c r="B16" s="10" t="s">
        <v>3263</v>
      </c>
      <c r="C16">
        <f>COUNTIF(Data!$B$2:$B$1884,$B16)</f>
        <v>67</v>
      </c>
      <c r="D16" s="2">
        <f>SUMIF(Data!$B$2:$B$1884,$B16,Data!$D$2:$D$1884)/C16</f>
        <v>65103.929025765538</v>
      </c>
      <c r="E16" s="4">
        <f t="array" ref="E16">SUMIF(Data!$B$2:$B$1884,$B16,Data!$E$2:$E$1884)/C16</f>
        <v>4.9626865671641793</v>
      </c>
      <c r="F16" s="2">
        <f>COUNTIFS(Data!$B$2:$B$1884,$B16,Data!$F$2:$F$1884,"&gt;0")</f>
        <v>55</v>
      </c>
      <c r="G16">
        <f>SUMIF(Data!$B$2:$B$1884,$B16,Data!$F$2:$F$1884)/F16</f>
        <v>11.8</v>
      </c>
      <c r="I16" s="2">
        <f t="array" ref="I16">MEDIAN(IF(Data!$B$2:$B$1884=$B16,Data!$D$2:$D$1884))</f>
        <v>57167.974754622352</v>
      </c>
      <c r="J16" s="4">
        <f t="array" ref="J16">MEDIAN(IF(Data!$B$2:$B$1884=$B16,Data!$E$2:$E$1884))</f>
        <v>5</v>
      </c>
    </row>
    <row r="17" spans="2:10">
      <c r="B17" s="10" t="s">
        <v>3264</v>
      </c>
      <c r="C17">
        <f>COUNTIF(Data!$B$2:$B$1884,$B17)</f>
        <v>90</v>
      </c>
      <c r="D17" s="2">
        <f>SUMIF(Data!$B$2:$B$1884,$B17,Data!$D$2:$D$1884)/C17</f>
        <v>62950.733221147333</v>
      </c>
      <c r="E17" s="4">
        <f t="array" ref="E17">SUMIF(Data!$B$2:$B$1884,$B17,Data!$E$2:$E$1884)/C17</f>
        <v>4.6444444444444448</v>
      </c>
      <c r="F17" s="2">
        <f>COUNTIFS(Data!$B$2:$B$1884,$B17,Data!$F$2:$F$1884,"&gt;0")</f>
        <v>56</v>
      </c>
      <c r="G17">
        <f>SUMIF(Data!$B$2:$B$1884,$B17,Data!$F$2:$F$1884)/F17</f>
        <v>9.5535714285714288</v>
      </c>
      <c r="I17" s="2">
        <f t="array" ref="I17">MEDIAN(IF(Data!$B$2:$B$1884=$B17,Data!$D$2:$D$1884))</f>
        <v>54847.710583168722</v>
      </c>
      <c r="J17" s="4">
        <f t="array" ref="J17">MEDIAN(IF(Data!$B$2:$B$1884=$B17,Data!$E$2:$E$1884))</f>
        <v>5</v>
      </c>
    </row>
    <row r="18" spans="2:10">
      <c r="B18" s="10" t="s">
        <v>3265</v>
      </c>
      <c r="C18">
        <f>COUNTIF(Data!$B$2:$B$1884,$B18)</f>
        <v>51</v>
      </c>
      <c r="D18" s="2">
        <f>SUMIF(Data!$B$2:$B$1884,$B18,Data!$D$2:$D$1884)/C18</f>
        <v>59812.969274133829</v>
      </c>
      <c r="E18" s="4">
        <f t="array" ref="E18">SUMIF(Data!$B$2:$B$1884,$B18,Data!$E$2:$E$1884)/C18</f>
        <v>4.8431372549019605</v>
      </c>
      <c r="F18" s="2">
        <f>COUNTIFS(Data!$B$2:$B$1884,$B18,Data!$F$2:$F$1884,"&gt;0")</f>
        <v>27</v>
      </c>
      <c r="G18">
        <f>SUMIF(Data!$B$2:$B$1884,$B18,Data!$F$2:$F$1884)/F18</f>
        <v>9.2592592592592595</v>
      </c>
      <c r="I18" s="2">
        <f t="array" ref="I18">MEDIAN(IF(Data!$B$2:$B$1884=$B18,Data!$D$2:$D$1884))</f>
        <v>49000</v>
      </c>
      <c r="J18" s="4">
        <f t="array" ref="J18">MEDIAN(IF(Data!$B$2:$B$1884=$B18,Data!$E$2:$E$1884))</f>
        <v>5</v>
      </c>
    </row>
    <row r="19" spans="2:10">
      <c r="B19" s="10" t="s">
        <v>3266</v>
      </c>
      <c r="C19">
        <f>COUNTIF(Data!$B$2:$B$1884,$B19)</f>
        <v>74</v>
      </c>
      <c r="D19" s="2">
        <f>SUMIF(Data!$B$2:$B$1884,$B19,Data!$D$2:$D$1884)/C19</f>
        <v>51715.151424567106</v>
      </c>
      <c r="E19" s="4">
        <f t="array" ref="E19">SUMIF(Data!$B$2:$B$1884,$B19,Data!$E$2:$E$1884)/C19</f>
        <v>3.7837837837837838</v>
      </c>
      <c r="F19" s="2">
        <f>COUNTIFS(Data!$B$2:$B$1884,$B19,Data!$F$2:$F$1884,"&gt;0")</f>
        <v>49</v>
      </c>
      <c r="G19">
        <f>SUMIF(Data!$B$2:$B$1884,$B19,Data!$F$2:$F$1884)/F19</f>
        <v>7.9387755102040813</v>
      </c>
      <c r="I19" s="2">
        <f t="array" ref="I19">MEDIAN(IF(Data!$B$2:$B$1884=$B19,Data!$D$2:$D$1884))</f>
        <v>49430.763217042899</v>
      </c>
      <c r="J19" s="4">
        <f t="array" ref="J19">MEDIAN(IF(Data!$B$2:$B$1884=$B19,Data!$E$2:$E$1884))</f>
        <v>2.5</v>
      </c>
    </row>
    <row r="20" spans="2:10">
      <c r="B20" s="10" t="s">
        <v>3267</v>
      </c>
      <c r="C20">
        <f>COUNTIF(Data!$B$2:$B$1884,$B20)</f>
        <v>558</v>
      </c>
      <c r="D20" s="2">
        <f>SUMIF(Data!$B$2:$B$1884,$B20,Data!$D$2:$D$1884)/C20</f>
        <v>46488.240712802522</v>
      </c>
      <c r="E20" s="4">
        <f t="array" ref="E20">SUMIF(Data!$B$2:$B$1884,$B20,Data!$E$2:$E$1884)/C20</f>
        <v>4.422043010752688</v>
      </c>
      <c r="F20" s="2">
        <f>COUNTIFS(Data!$B$2:$B$1884,$B20,Data!$F$2:$F$1884,"&gt;0")</f>
        <v>389</v>
      </c>
      <c r="G20">
        <f>SUMIF(Data!$B$2:$B$1884,$B20,Data!$F$2:$F$1884)/F20</f>
        <v>10.002827763496144</v>
      </c>
      <c r="I20" s="2">
        <f t="array" ref="I20">MEDIAN(IF(Data!$B$2:$B$1884=$B20,Data!$D$2:$D$1884))</f>
        <v>40000</v>
      </c>
      <c r="J20" s="4">
        <f t="array" ref="J20">MEDIAN(IF(Data!$B$2:$B$1884=$B20,Data!$E$2:$E$1884))</f>
        <v>5</v>
      </c>
    </row>
    <row r="21" spans="2:10">
      <c r="B21" s="17" t="s">
        <v>3268</v>
      </c>
      <c r="C21">
        <f>COUNTIF(Data!$B$2:$B$1884,$B21)</f>
        <v>743</v>
      </c>
      <c r="D21" s="2">
        <f>SUMIF(Data!$B$2:$B$1884,$B21,Data!$D$2:$D$1884)/C21</f>
        <v>46295.769417049465</v>
      </c>
      <c r="E21" s="4">
        <f t="array" ref="E21">SUMIF(Data!$B$2:$B$1884,$B21,Data!$E$2:$E$1884)/C21</f>
        <v>5.1049798115746974</v>
      </c>
      <c r="F21" s="2">
        <f>COUNTIFS(Data!$B$2:$B$1884,$B21,Data!$F$2:$F$1884,"&gt;0")</f>
        <v>522</v>
      </c>
      <c r="G21">
        <f>SUMIF(Data!$B$2:$B$1884,$B21,Data!$F$2:$F$1884)/F21</f>
        <v>7.3890804597701152</v>
      </c>
      <c r="I21" s="2">
        <f t="array" ref="I21">MEDIAN(IF(Data!$B$2:$B$1884=$B21,Data!$D$2:$D$1884))</f>
        <v>45000</v>
      </c>
      <c r="J21" s="4">
        <f t="array" ref="J21">MEDIAN(IF(Data!$B$2:$B$1884=$B21,Data!$E$2:$E$1884))</f>
        <v>5</v>
      </c>
    </row>
    <row r="22" spans="2:10">
      <c r="B22" s="10" t="s">
        <v>3269</v>
      </c>
      <c r="C22">
        <f>COUNTIF(Data!$B$2:$B$1884,$B22)</f>
        <v>135</v>
      </c>
      <c r="D22" s="2">
        <f>SUMIF(Data!$B$2:$B$1884,$B22,Data!$D$2:$D$1884)/C22</f>
        <v>46001.75981283158</v>
      </c>
      <c r="E22" s="4">
        <f t="array" ref="E22">SUMIF(Data!$B$2:$B$1884,$B22,Data!$E$2:$E$1884)/C22</f>
        <v>5.1333333333333337</v>
      </c>
      <c r="F22" s="2">
        <f>COUNTIFS(Data!$B$2:$B$1884,$B22,Data!$F$2:$F$1884,"&gt;0")</f>
        <v>101</v>
      </c>
      <c r="G22">
        <f>SUMIF(Data!$B$2:$B$1884,$B22,Data!$F$2:$F$1884)/F22</f>
        <v>9.3366336633663369</v>
      </c>
      <c r="I22" s="2">
        <f t="array" ref="I22">MEDIAN(IF(Data!$B$2:$B$1884=$B22,Data!$D$2:$D$1884))</f>
        <v>45000</v>
      </c>
      <c r="J22" s="4">
        <f t="array" ref="J22">MEDIAN(IF(Data!$B$2:$B$1884=$B22,Data!$E$2:$E$1884))</f>
        <v>5</v>
      </c>
    </row>
    <row r="23" spans="2:10">
      <c r="B23" s="10" t="s">
        <v>3250</v>
      </c>
      <c r="C23">
        <f>COUNTIF(Data!$B$2:$B$1884,$B23)</f>
        <v>7</v>
      </c>
      <c r="D23" s="2">
        <f>SUMIF(Data!$B$2:$B$1884,$B23,Data!$D$2:$D$1884)/C23</f>
        <v>45952.334217962794</v>
      </c>
      <c r="E23" s="4">
        <f t="array" ref="E23">SUMIF(Data!$B$2:$B$1884,$B23,Data!$E$2:$E$1884)/C23</f>
        <v>4.0714285714285712</v>
      </c>
      <c r="F23" s="2">
        <f>COUNTIFS(Data!$B$2:$B$1884,$B23,Data!$F$2:$F$1884,"&gt;0")</f>
        <v>6</v>
      </c>
      <c r="G23">
        <f>SUMIF(Data!$B$2:$B$1884,$B23,Data!$F$2:$F$1884)/F23</f>
        <v>6.166666666666667</v>
      </c>
      <c r="I23" s="2">
        <f t="array" ref="I23">MEDIAN(IF(Data!$B$2:$B$1884=$B23,Data!$D$2:$D$1884))</f>
        <v>41712.231189497601</v>
      </c>
      <c r="J23" s="4">
        <f t="array" ref="J23">MEDIAN(IF(Data!$B$2:$B$1884=$B23,Data!$E$2:$E$1884))</f>
        <v>5</v>
      </c>
    </row>
    <row r="24" spans="2:10">
      <c r="B24" s="10" t="s">
        <v>77</v>
      </c>
      <c r="C24">
        <f>COUNTIF(Data!$B$2:$B$1884,$B24)</f>
        <v>83</v>
      </c>
      <c r="D24" s="2">
        <f>SUMIF(Data!$B$2:$B$1884,$B24,Data!$D$2:$D$1884)/C24</f>
        <v>19574.158532349131</v>
      </c>
      <c r="E24" s="4">
        <f t="array" ref="E24">SUMIF(Data!$B$2:$B$1884,$B24,Data!$E$2:$E$1884)/C24</f>
        <v>5.9518072289156629</v>
      </c>
      <c r="F24" s="2">
        <f>COUNTIFS(Data!$B$2:$B$1884,$B24,Data!$F$2:$F$1884,"&gt;0")</f>
        <v>71</v>
      </c>
      <c r="G24">
        <f>SUMIF(Data!$B$2:$B$1884,$B24,Data!$F$2:$F$1884)/F24</f>
        <v>5.2802816901408445</v>
      </c>
      <c r="I24" s="2">
        <f t="array" ref="I24">MEDIAN(IF(Data!$B$2:$B$1884=$B24,Data!$D$2:$D$1884))</f>
        <v>7123.1666749770275</v>
      </c>
      <c r="J24" s="4">
        <f t="array" ref="J24">MEDIAN(IF(Data!$B$2:$B$1884=$B24,Data!$E$2:$E$1884))</f>
        <v>5</v>
      </c>
    </row>
    <row r="25" spans="2:10">
      <c r="B25" s="10" t="s">
        <v>3252</v>
      </c>
      <c r="C25">
        <f>COUNTA(Data!$C$2:$C$1884)</f>
        <v>1883</v>
      </c>
      <c r="D25" s="2">
        <f>SUM(Data!$D$2:$D$1884)/C25</f>
        <v>49227.087950866866</v>
      </c>
      <c r="E25" s="4">
        <f>SUM(Data!$E$2:$E$1884)/C25</f>
        <v>4.8175783324482211</v>
      </c>
      <c r="F25" s="2">
        <f>COUNTIF(Data!$F$2:$F$1884,"&gt;0")</f>
        <v>1323</v>
      </c>
      <c r="G25">
        <f>SUM(Data!$F$2:$F$1884)/F11</f>
        <v>8.7351473922902496</v>
      </c>
      <c r="I25" s="2"/>
      <c r="J25" s="2"/>
    </row>
    <row r="27" spans="2:10">
      <c r="B27" s="10"/>
    </row>
    <row r="28" spans="2:10">
      <c r="B28" s="10" t="s">
        <v>3278</v>
      </c>
      <c r="C28" s="32" t="s">
        <v>29</v>
      </c>
    </row>
    <row r="29" spans="2:10">
      <c r="B29" s="10" t="s">
        <v>3279</v>
      </c>
      <c r="C29" s="32" t="s">
        <v>3268</v>
      </c>
    </row>
    <row r="30" spans="2:10">
      <c r="B30" s="10"/>
    </row>
    <row r="31" spans="2:10">
      <c r="B31" s="10"/>
    </row>
    <row r="32" spans="2:10" ht="20.25">
      <c r="B32" s="31" t="s">
        <v>4</v>
      </c>
      <c r="H32" s="4"/>
    </row>
    <row r="33" spans="2:10">
      <c r="C33" s="11"/>
      <c r="D33" s="11" t="s">
        <v>3261</v>
      </c>
      <c r="E33" s="11"/>
      <c r="F33" s="11" t="s">
        <v>3262</v>
      </c>
      <c r="G33" s="11"/>
    </row>
    <row r="34" spans="2:10">
      <c r="B34" s="11" t="s">
        <v>3258</v>
      </c>
      <c r="C34" s="11" t="s">
        <v>3276</v>
      </c>
      <c r="D34" s="13" t="s">
        <v>3259</v>
      </c>
      <c r="E34" s="14" t="s">
        <v>3260</v>
      </c>
      <c r="F34" s="13" t="s">
        <v>3259</v>
      </c>
      <c r="G34" s="13" t="s">
        <v>3260</v>
      </c>
      <c r="I34" s="11" t="s">
        <v>3275</v>
      </c>
    </row>
    <row r="35" spans="2:10">
      <c r="B35" t="s">
        <v>119</v>
      </c>
      <c r="C35" t="s">
        <v>3257</v>
      </c>
      <c r="D35" s="15">
        <f ca="1">SUMPRODUCT(SUBTOTAL(3,OFFSET(Data!$I$2:$I$1884,ROW(Data!$I$2:$I$1884)-ROW(Data!$I$2),0,1)),--(Data!$I$2:$I$1884=B35))</f>
        <v>3</v>
      </c>
      <c r="E35" s="7">
        <f ca="1">D35/$D$40</f>
        <v>9.11854103343465E-3</v>
      </c>
      <c r="F35">
        <f>COUNTIF(Table2[How many hours of a day you work on Excel],B35)</f>
        <v>7</v>
      </c>
      <c r="G35" s="7">
        <f t="shared" ref="G35:G38" si="0">F35/$F$40</f>
        <v>3.7174721189591076E-3</v>
      </c>
      <c r="I35" s="10" t="s">
        <v>47</v>
      </c>
      <c r="J35">
        <v>1.5</v>
      </c>
    </row>
    <row r="36" spans="2:10">
      <c r="B36" t="s">
        <v>47</v>
      </c>
      <c r="C36" t="s">
        <v>47</v>
      </c>
      <c r="D36" s="15">
        <f ca="1">SUMPRODUCT(SUBTOTAL(3,OFFSET(Data!$I$2:$I$1884,ROW(Data!$I$2:$I$1884)-ROW(Data!$I$2),0,1)),--(Data!$I$2:$I$1884=B36))</f>
        <v>19</v>
      </c>
      <c r="E36" s="7">
        <f ca="1">D36/$D$40</f>
        <v>5.7750759878419454E-2</v>
      </c>
      <c r="F36">
        <f>COUNTIF(Table2[How many hours of a day you work on Excel],B36)</f>
        <v>174</v>
      </c>
      <c r="G36" s="7">
        <f t="shared" si="0"/>
        <v>9.2405735528412108E-2</v>
      </c>
      <c r="I36" s="10" t="s">
        <v>36</v>
      </c>
      <c r="J36">
        <v>2.5</v>
      </c>
    </row>
    <row r="37" spans="2:10">
      <c r="B37" t="s">
        <v>36</v>
      </c>
      <c r="C37" s="3" t="s">
        <v>130</v>
      </c>
      <c r="D37" s="15">
        <f ca="1">SUMPRODUCT(SUBTOTAL(3,OFFSET(Data!$I$2:$I$1884,ROW(Data!$I$2:$I$1884)-ROW(Data!$I$2),0,1)),--(Data!$I$2:$I$1884=B37))</f>
        <v>61</v>
      </c>
      <c r="E37" s="7">
        <f ca="1">D37/$D$40</f>
        <v>0.18541033434650456</v>
      </c>
      <c r="F37">
        <f>COUNTIF(Table2[How many hours of a day you work on Excel],B37)</f>
        <v>451</v>
      </c>
      <c r="G37" s="7">
        <f t="shared" si="0"/>
        <v>0.23951141795007966</v>
      </c>
      <c r="I37" s="10" t="s">
        <v>14</v>
      </c>
      <c r="J37">
        <v>5</v>
      </c>
    </row>
    <row r="38" spans="2:10">
      <c r="B38" t="s">
        <v>14</v>
      </c>
      <c r="C38" t="s">
        <v>14</v>
      </c>
      <c r="D38" s="15">
        <f ca="1">SUMPRODUCT(SUBTOTAL(3,OFFSET(Data!$I$2:$I$1884,ROW(Data!$I$2:$I$1884)-ROW(Data!$I$2),0,1)),--(Data!$I$2:$I$1884=B38))</f>
        <v>162</v>
      </c>
      <c r="E38" s="7">
        <f ca="1">D38/$D$40</f>
        <v>0.49240121580547114</v>
      </c>
      <c r="F38">
        <f>COUNTIF(Table2[How many hours of a day you work on Excel],B38)</f>
        <v>775</v>
      </c>
      <c r="G38" s="7">
        <f t="shared" si="0"/>
        <v>0.4115772703133298</v>
      </c>
      <c r="I38" s="10" t="s">
        <v>22</v>
      </c>
      <c r="J38">
        <v>8</v>
      </c>
    </row>
    <row r="39" spans="2:10">
      <c r="B39" t="s">
        <v>22</v>
      </c>
      <c r="C39" s="3" t="s">
        <v>135</v>
      </c>
      <c r="D39" s="15">
        <f ca="1">SUMPRODUCT(SUBTOTAL(3,OFFSET(Data!$I$2:$I$1884,ROW(Data!$I$2:$I$1884)-ROW(Data!$I$2),0,1)),--(Data!$I$2:$I$1884=B39))</f>
        <v>84</v>
      </c>
      <c r="E39" s="7">
        <f ca="1">D39/$D$40</f>
        <v>0.25531914893617019</v>
      </c>
      <c r="F39">
        <f>COUNTIF(Table2[How many hours of a day you work on Excel],B39)</f>
        <v>476</v>
      </c>
      <c r="G39" s="7">
        <f>F39/$F$40</f>
        <v>0.25278810408921931</v>
      </c>
      <c r="I39" s="10" t="s">
        <v>119</v>
      </c>
      <c r="J39">
        <v>0</v>
      </c>
    </row>
    <row r="40" spans="2:10">
      <c r="D40" s="11">
        <f ca="1">SUM(D35:D39)</f>
        <v>329</v>
      </c>
      <c r="E40" s="12">
        <f ca="1">D40/$D$40</f>
        <v>1</v>
      </c>
      <c r="F40" s="11">
        <f>SUM(F35:F39)</f>
        <v>1883</v>
      </c>
      <c r="G40" s="7">
        <f>F40/$F$40</f>
        <v>1</v>
      </c>
    </row>
    <row r="41" spans="2:10">
      <c r="D41" s="15"/>
    </row>
    <row r="42" spans="2:10" ht="20.25">
      <c r="B42" s="31" t="s">
        <v>15</v>
      </c>
    </row>
    <row r="43" spans="2:10">
      <c r="B43">
        <v>10000</v>
      </c>
      <c r="C43" s="11"/>
      <c r="D43" s="11" t="s">
        <v>3261</v>
      </c>
      <c r="E43" s="11"/>
      <c r="F43" s="11" t="s">
        <v>3262</v>
      </c>
      <c r="G43" s="11"/>
    </row>
    <row r="44" spans="2:10">
      <c r="B44" s="11" t="s">
        <v>3258</v>
      </c>
      <c r="C44" s="11" t="s">
        <v>3276</v>
      </c>
      <c r="D44" s="13" t="s">
        <v>3259</v>
      </c>
      <c r="E44" s="14" t="s">
        <v>3260</v>
      </c>
      <c r="F44" s="13" t="s">
        <v>3259</v>
      </c>
      <c r="G44" s="13" t="s">
        <v>3260</v>
      </c>
    </row>
    <row r="45" spans="2:10">
      <c r="B45" s="2">
        <v>0</v>
      </c>
      <c r="C45" t="s">
        <v>3271</v>
      </c>
      <c r="D45" s="15">
        <f ca="1">SUMPRODUCT(SUBTOTAL(3,OFFSET(Data!$D$2:$D$1884,ROW(Data!$D$2:$D$1884)-ROW(Data!$D$2),0,1)),--(Data!$D$2:$D$1884&gt;=B45))-SUM(D46:$D$61)</f>
        <v>0</v>
      </c>
      <c r="E45" s="7">
        <f ca="1">D45/$D$62</f>
        <v>0</v>
      </c>
      <c r="F45">
        <f>COUNTIF(Table2[Salary in USD],"&gt;="&amp;B45)-SUM(F46:$F$60)</f>
        <v>360</v>
      </c>
      <c r="G45" s="7">
        <f>F45/$F$62</f>
        <v>0.19118428040361127</v>
      </c>
      <c r="I45">
        <f ca="1">SUMPRODUCT(SUBTOTAL(3,OFFSET(Data!$D$1:$D$1883,ROW(Data!$D$2:$D$1884)-ROW(Data!$D$2),0,1)),--(Data!$D$2:$D$1884&gt;=B45))</f>
        <v>329</v>
      </c>
    </row>
    <row r="46" spans="2:10">
      <c r="B46" s="2">
        <f>B45+$B$43</f>
        <v>10000</v>
      </c>
      <c r="C46" t="str">
        <f>B46/1000&amp;"  "</f>
        <v xml:space="preserve">10  </v>
      </c>
      <c r="D46" s="15">
        <f ca="1">SUMPRODUCT(SUBTOTAL(3,OFFSET(Data!$D$2:$D$1884,ROW(Data!$D$2:$D$1884)-ROW(Data!$D$2),0,1)),--(Data!$D$2:$D$1884&gt;=B46))-SUM(D47:$D$61)</f>
        <v>3</v>
      </c>
      <c r="E46" s="7">
        <f ca="1">D46/$D$62</f>
        <v>9.11854103343465E-3</v>
      </c>
      <c r="F46">
        <f>COUNTIF(Table2[Salary in USD],"&gt;="&amp;B46)-SUM(F47:$F$60)</f>
        <v>254</v>
      </c>
      <c r="G46" s="7">
        <f>F46/$F$62</f>
        <v>0.13489113117365906</v>
      </c>
    </row>
    <row r="47" spans="2:10">
      <c r="B47" s="2">
        <f>B46+$B$43</f>
        <v>20000</v>
      </c>
      <c r="C47" t="str">
        <f>B47/1000&amp;"  "</f>
        <v xml:space="preserve">20  </v>
      </c>
      <c r="D47" s="15">
        <f ca="1">SUMPRODUCT(SUBTOTAL(3,OFFSET(Data!$D$2:$D$1884,ROW(Data!$D$2:$D$1884)-ROW(Data!$D$2),0,1)),--(Data!$D$2:$D$1884&gt;=B47))-SUM(D48:$D$61)</f>
        <v>5</v>
      </c>
      <c r="E47" s="7">
        <f ca="1">D47/$D$62</f>
        <v>1.5197568389057751E-2</v>
      </c>
      <c r="F47">
        <f>COUNTIF(Table2[Salary in USD],"&gt;="&amp;B47)-SUM(F48:$F$60)</f>
        <v>114</v>
      </c>
      <c r="G47" s="7">
        <f>F47/$F$62</f>
        <v>6.0541688794476897E-2</v>
      </c>
    </row>
    <row r="48" spans="2:10">
      <c r="B48" s="2">
        <f>B47+$B$43</f>
        <v>30000</v>
      </c>
      <c r="C48" t="str">
        <f>B48/1000&amp;"  "</f>
        <v xml:space="preserve">30  </v>
      </c>
      <c r="D48" s="15">
        <f ca="1">SUMPRODUCT(SUBTOTAL(3,OFFSET(Data!$D$2:$D$1884,ROW(Data!$D$2:$D$1884)-ROW(Data!$D$2),0,1)),--(Data!$D$2:$D$1884&gt;=B48))-SUM(D49:$D$61)</f>
        <v>23</v>
      </c>
      <c r="E48" s="7">
        <f ca="1">D48/$D$62</f>
        <v>6.9908814589665649E-2</v>
      </c>
      <c r="F48">
        <f>COUNTIF(Table2[Salary in USD],"&gt;="&amp;B48)-SUM(F49:$F$60)</f>
        <v>124</v>
      </c>
      <c r="G48" s="7">
        <f>F48/$F$62</f>
        <v>6.5852363250132773E-2</v>
      </c>
    </row>
    <row r="49" spans="2:7">
      <c r="B49" s="2">
        <f>B48+$B$43</f>
        <v>40000</v>
      </c>
      <c r="C49" t="str">
        <f>B49/1000&amp;"  "</f>
        <v xml:space="preserve">40  </v>
      </c>
      <c r="D49" s="15">
        <f ca="1">SUMPRODUCT(SUBTOTAL(3,OFFSET(Data!$D$2:$D$1884,ROW(Data!$D$2:$D$1884)-ROW(Data!$D$2),0,1)),--(Data!$D$2:$D$1884&gt;=B49))-SUM(D50:$D$61)</f>
        <v>67</v>
      </c>
      <c r="E49" s="7">
        <f ca="1">D49/$D$62</f>
        <v>0.20364741641337386</v>
      </c>
      <c r="F49">
        <f>COUNTIF(Table2[Salary in USD],"&gt;="&amp;B49)-SUM(F50:$F$60)</f>
        <v>190</v>
      </c>
      <c r="G49" s="7">
        <f>F49/$F$62</f>
        <v>0.1009028146574615</v>
      </c>
    </row>
    <row r="50" spans="2:7">
      <c r="B50" s="2">
        <f>B49+$B$43</f>
        <v>50000</v>
      </c>
      <c r="C50" t="str">
        <f>B50/1000&amp;"  "</f>
        <v xml:space="preserve">50  </v>
      </c>
      <c r="D50" s="15">
        <f ca="1">SUMPRODUCT(SUBTOTAL(3,OFFSET(Data!$D$2:$D$1884,ROW(Data!$D$2:$D$1884)-ROW(Data!$D$2),0,1)),--(Data!$D$2:$D$1884&gt;=B50))-SUM(D51:$D$61)</f>
        <v>58</v>
      </c>
      <c r="E50" s="7">
        <f ca="1">D50/$D$62</f>
        <v>0.17629179331306991</v>
      </c>
      <c r="F50">
        <f>COUNTIF(Table2[Salary in USD],"&gt;="&amp;B50)-SUM(F51:$F$60)</f>
        <v>180</v>
      </c>
      <c r="G50" s="7">
        <f>F50/$F$62</f>
        <v>9.5592140201805634E-2</v>
      </c>
    </row>
    <row r="51" spans="2:7">
      <c r="B51" s="2">
        <f>B50+$B$43</f>
        <v>60000</v>
      </c>
      <c r="C51" t="str">
        <f>B51/1000&amp;"  "</f>
        <v xml:space="preserve">60  </v>
      </c>
      <c r="D51" s="15">
        <f ca="1">SUMPRODUCT(SUBTOTAL(3,OFFSET(Data!$D$2:$D$1884,ROW(Data!$D$2:$D$1884)-ROW(Data!$D$2),0,1)),--(Data!$D$2:$D$1884&gt;=B51))-SUM(D52:$D$61)</f>
        <v>66</v>
      </c>
      <c r="E51" s="7">
        <f ca="1">D51/$D$62</f>
        <v>0.20060790273556231</v>
      </c>
      <c r="F51">
        <f>COUNTIF(Table2[Salary in USD],"&gt;="&amp;B51)-SUM(F52:$F$60)</f>
        <v>165</v>
      </c>
      <c r="G51" s="7">
        <f>F51/$F$62</f>
        <v>8.7626128518321827E-2</v>
      </c>
    </row>
    <row r="52" spans="2:7">
      <c r="B52" s="2">
        <f>B51+$B$43</f>
        <v>70000</v>
      </c>
      <c r="C52" t="str">
        <f>B52/1000&amp;"  "</f>
        <v xml:space="preserve">70  </v>
      </c>
      <c r="D52" s="15">
        <f ca="1">SUMPRODUCT(SUBTOTAL(3,OFFSET(Data!$D$2:$D$1884,ROW(Data!$D$2:$D$1884)-ROW(Data!$D$2),0,1)),--(Data!$D$2:$D$1884&gt;=B52))-SUM(D53:$D$61)</f>
        <v>44</v>
      </c>
      <c r="E52" s="7">
        <f ca="1">D52/$D$62</f>
        <v>0.1337386018237082</v>
      </c>
      <c r="F52">
        <f>COUNTIF(Table2[Salary in USD],"&gt;="&amp;B52)-SUM(F53:$F$60)</f>
        <v>125</v>
      </c>
      <c r="G52" s="7">
        <f>F52/$F$62</f>
        <v>6.6383430695698353E-2</v>
      </c>
    </row>
    <row r="53" spans="2:7">
      <c r="B53" s="2">
        <f>B52+$B$43</f>
        <v>80000</v>
      </c>
      <c r="C53" t="str">
        <f>B53/1000&amp;"  "</f>
        <v xml:space="preserve">80  </v>
      </c>
      <c r="D53" s="15">
        <f ca="1">SUMPRODUCT(SUBTOTAL(3,OFFSET(Data!$D$2:$D$1884,ROW(Data!$D$2:$D$1884)-ROW(Data!$D$2),0,1)),--(Data!$D$2:$D$1884&gt;=B53))-SUM(D54:$D$61)</f>
        <v>26</v>
      </c>
      <c r="E53" s="7">
        <f ca="1">D53/$D$62</f>
        <v>7.9027355623100301E-2</v>
      </c>
      <c r="F53">
        <f>COUNTIF(Table2[Salary in USD],"&gt;="&amp;B53)-SUM(F54:$F$60)</f>
        <v>97</v>
      </c>
      <c r="G53" s="7">
        <f>F53/$F$62</f>
        <v>5.1513542219861923E-2</v>
      </c>
    </row>
    <row r="54" spans="2:7">
      <c r="B54" s="2">
        <f>B53+$B$43</f>
        <v>90000</v>
      </c>
      <c r="C54" t="str">
        <f>B54/1000&amp;"  "</f>
        <v xml:space="preserve">90  </v>
      </c>
      <c r="D54" s="15">
        <f ca="1">SUMPRODUCT(SUBTOTAL(3,OFFSET(Data!$D$2:$D$1884,ROW(Data!$D$2:$D$1884)-ROW(Data!$D$2),0,1)),--(Data!$D$2:$D$1884&gt;=B54))-SUM(D55:$D$61)</f>
        <v>18</v>
      </c>
      <c r="E54" s="7">
        <f ca="1">D54/$D$62</f>
        <v>5.4711246200607903E-2</v>
      </c>
      <c r="F54">
        <f>COUNTIF(Table2[Salary in USD],"&gt;="&amp;B54)-SUM(F55:$F$60)</f>
        <v>73</v>
      </c>
      <c r="G54" s="7">
        <f>F54/$F$62</f>
        <v>3.8767923526287836E-2</v>
      </c>
    </row>
    <row r="55" spans="2:7">
      <c r="B55" s="2">
        <f>B54+$B$43</f>
        <v>100000</v>
      </c>
      <c r="C55" t="str">
        <f>B55/1000&amp;"  "</f>
        <v xml:space="preserve">100  </v>
      </c>
      <c r="D55" s="15">
        <f ca="1">SUMPRODUCT(SUBTOTAL(3,OFFSET(Data!$D$2:$D$1884,ROW(Data!$D$2:$D$1884)-ROW(Data!$D$2),0,1)),--(Data!$D$2:$D$1884&gt;=B55))-SUM(D56:$D$61)</f>
        <v>8</v>
      </c>
      <c r="E55" s="7">
        <f ca="1">D55/$D$62</f>
        <v>2.4316109422492401E-2</v>
      </c>
      <c r="F55">
        <f>COUNTIF(Table2[Salary in USD],"&gt;="&amp;B55)-SUM(F56:$F$60)</f>
        <v>63</v>
      </c>
      <c r="G55" s="7">
        <f>F55/$F$62</f>
        <v>3.3457249070631967E-2</v>
      </c>
    </row>
    <row r="56" spans="2:7">
      <c r="B56" s="2">
        <f>B55+$B$43</f>
        <v>110000</v>
      </c>
      <c r="C56" t="str">
        <f>B56/1000&amp;"  "</f>
        <v xml:space="preserve">110  </v>
      </c>
      <c r="D56" s="15">
        <f ca="1">SUMPRODUCT(SUBTOTAL(3,OFFSET(Data!$D$2:$D$1884,ROW(Data!$D$2:$D$1884)-ROW(Data!$D$2),0,1)),--(Data!$D$2:$D$1884&gt;=B56))-SUM(D57:$D$61)</f>
        <v>4</v>
      </c>
      <c r="E56" s="7">
        <f ca="1">D56/$D$62</f>
        <v>1.2158054711246201E-2</v>
      </c>
      <c r="F56">
        <f>COUNTIF(Table2[Salary in USD],"&gt;="&amp;B56)-SUM(F57:$F$60)</f>
        <v>26</v>
      </c>
      <c r="G56" s="7">
        <f>F56/$F$62</f>
        <v>1.3807753584705257E-2</v>
      </c>
    </row>
    <row r="57" spans="2:7">
      <c r="B57" s="2">
        <f>B56+$B$43</f>
        <v>120000</v>
      </c>
      <c r="C57" t="str">
        <f>B57/1000&amp;"  "</f>
        <v xml:space="preserve">120  </v>
      </c>
      <c r="D57" s="15">
        <f ca="1">SUMPRODUCT(SUBTOTAL(3,OFFSET(Data!$D$2:$D$1884,ROW(Data!$D$2:$D$1884)-ROW(Data!$D$2),0,1)),--(Data!$D$2:$D$1884&gt;=B57))-SUM(D58:$D$61)</f>
        <v>2</v>
      </c>
      <c r="E57" s="7">
        <f ca="1">D57/$D$62</f>
        <v>6.0790273556231003E-3</v>
      </c>
      <c r="F57">
        <f>COUNTIF(Table2[Salary in USD],"&gt;="&amp;B57)-SUM(F58:$F$60)</f>
        <v>36</v>
      </c>
      <c r="G57" s="7">
        <f>F57/$F$62</f>
        <v>1.9118428040361127E-2</v>
      </c>
    </row>
    <row r="58" spans="2:7">
      <c r="B58" s="2">
        <f>B57+$B$43</f>
        <v>130000</v>
      </c>
      <c r="C58" t="str">
        <f>B58/1000&amp;"  "</f>
        <v xml:space="preserve">130  </v>
      </c>
      <c r="D58" s="15">
        <f ca="1">SUMPRODUCT(SUBTOTAL(3,OFFSET(Data!$D$2:$D$1884,ROW(Data!$D$2:$D$1884)-ROW(Data!$D$2),0,1)),--(Data!$D$2:$D$1884&gt;=B58))-SUM(D59:$D$61)</f>
        <v>1</v>
      </c>
      <c r="E58" s="7">
        <f ca="1">D58/$D$62</f>
        <v>3.0395136778115501E-3</v>
      </c>
      <c r="F58">
        <f>COUNTIF(Table2[Salary in USD],"&gt;="&amp;B58)-SUM(F59:$F$60)</f>
        <v>14</v>
      </c>
      <c r="G58" s="7">
        <f>F58/$F$62</f>
        <v>7.4349442379182153E-3</v>
      </c>
    </row>
    <row r="59" spans="2:7">
      <c r="B59" s="2">
        <f>B58+$B$43</f>
        <v>140000</v>
      </c>
      <c r="C59" t="str">
        <f>B59/1000&amp;"  "</f>
        <v xml:space="preserve">140  </v>
      </c>
      <c r="D59" s="15">
        <f ca="1">SUMPRODUCT(SUBTOTAL(3,OFFSET(Data!$D$2:$D$1884,ROW(Data!$D$2:$D$1884)-ROW(Data!$D$2),0,1)),--(Data!$D$2:$D$1884&gt;=B59))-SUM(D60:$D$61)</f>
        <v>1</v>
      </c>
      <c r="E59" s="7">
        <f ca="1">D59/$D$62</f>
        <v>3.0395136778115501E-3</v>
      </c>
      <c r="F59">
        <f>COUNTIF(Table2[Salary in USD],"&gt;="&amp;B59)-SUM(F60:$F$60)</f>
        <v>11</v>
      </c>
      <c r="G59" s="7">
        <f>F59/$F$62</f>
        <v>5.8417419012214552E-3</v>
      </c>
    </row>
    <row r="60" spans="2:7">
      <c r="B60" s="2">
        <f>B59+$B$43</f>
        <v>150000</v>
      </c>
      <c r="C60" t="str">
        <f>B60/1000&amp;"+"</f>
        <v>150+</v>
      </c>
      <c r="D60" s="15">
        <f ca="1">SUMPRODUCT(SUBTOTAL(3,OFFSET(Data!$D$2:$D$1884,ROW(Data!$D$2:$D$1884)-ROW(Data!$D$2),0,1)),--(Data!$D$2:$D$1884&gt;=B60))-SUM(D61:$D$61)</f>
        <v>3</v>
      </c>
      <c r="E60" s="7">
        <f ca="1">D60/$D$62</f>
        <v>9.11854103343465E-3</v>
      </c>
      <c r="F60">
        <f>COUNTIF(Table2[Salary in USD],"&gt;="&amp;B60)</f>
        <v>51</v>
      </c>
      <c r="G60" s="7">
        <f>F60/$F$62</f>
        <v>2.7084439723844927E-2</v>
      </c>
    </row>
    <row r="61" spans="2:7">
      <c r="B61" s="2"/>
    </row>
    <row r="62" spans="2:7">
      <c r="B62" s="2"/>
      <c r="D62" s="15">
        <f ca="1">SUM(D45:D60)</f>
        <v>329</v>
      </c>
      <c r="E62" s="7">
        <f ca="1">D62/$D$62</f>
        <v>1</v>
      </c>
      <c r="F62" s="15">
        <f>SUM(F45:F60)</f>
        <v>1883</v>
      </c>
      <c r="G62" s="7">
        <f>F62/$F$62</f>
        <v>1</v>
      </c>
    </row>
    <row r="63" spans="2:7">
      <c r="B63" s="2"/>
      <c r="D63" s="15"/>
    </row>
    <row r="64" spans="2:7">
      <c r="D64" s="15"/>
    </row>
    <row r="65" spans="2:7" ht="20.25">
      <c r="B65" s="30" t="s">
        <v>16</v>
      </c>
    </row>
    <row r="66" spans="2:7">
      <c r="B66">
        <v>5</v>
      </c>
      <c r="C66" s="11"/>
      <c r="D66" s="11" t="s">
        <v>3261</v>
      </c>
      <c r="E66" s="11"/>
      <c r="F66" s="11" t="s">
        <v>3262</v>
      </c>
      <c r="G66" s="11"/>
    </row>
    <row r="67" spans="2:7">
      <c r="B67" s="11" t="s">
        <v>3258</v>
      </c>
      <c r="C67" s="11" t="s">
        <v>3276</v>
      </c>
      <c r="D67" s="13" t="s">
        <v>3259</v>
      </c>
      <c r="E67" s="14" t="s">
        <v>3260</v>
      </c>
      <c r="F67" s="13" t="s">
        <v>3259</v>
      </c>
      <c r="G67" s="13" t="s">
        <v>3260</v>
      </c>
    </row>
    <row r="68" spans="2:7">
      <c r="B68" s="2">
        <v>0</v>
      </c>
      <c r="C68" s="2" t="s">
        <v>3272</v>
      </c>
      <c r="D68" s="15">
        <f ca="1">SUMPRODUCT(SUBTOTAL(3,OFFSET(Data!$F$2:$F$1884,ROW(Data!$F$2:$F$1884)-ROW(Data!$F$2),0,1)),--(Data!$F$2:$F$1884&gt;=B68))-SUM(D69:$D$77)</f>
        <v>60</v>
      </c>
      <c r="E68" s="7">
        <f ca="1">D68/$D$78</f>
        <v>0.32608695652173914</v>
      </c>
      <c r="F68">
        <f>COUNTIF(Table2[Years of Experience],"&gt;="&amp;B68)-SUM(F69:$F$77)</f>
        <v>420</v>
      </c>
      <c r="G68" s="7">
        <f>F68/$F$78</f>
        <v>0.3146067415730337</v>
      </c>
    </row>
    <row r="69" spans="2:7">
      <c r="B69" s="2">
        <f>B68+$B$66</f>
        <v>5</v>
      </c>
      <c r="C69" s="2">
        <f t="shared" ref="C69:C77" si="1">B69</f>
        <v>5</v>
      </c>
      <c r="D69" s="15">
        <f ca="1">SUMPRODUCT(SUBTOTAL(3,OFFSET(Data!$F$2:$F$1884,ROW(Data!$F$2:$F$1884)-ROW(Data!$F$2),0,1)),--(Data!$F$2:$F$1884&gt;=B69))-SUM(D70:$D$77)</f>
        <v>52</v>
      </c>
      <c r="E69" s="7">
        <f ca="1">D69/$D$78</f>
        <v>0.28260869565217389</v>
      </c>
      <c r="F69">
        <f>COUNTIF(Table2[Years of Experience],"&gt;="&amp;B69)-SUM(F70:$F$77)</f>
        <v>417</v>
      </c>
      <c r="G69" s="7">
        <f>F69/$F$78</f>
        <v>0.31235955056179776</v>
      </c>
    </row>
    <row r="70" spans="2:7">
      <c r="B70" s="2">
        <f t="shared" ref="B70:B77" si="2">B69+$B$66</f>
        <v>10</v>
      </c>
      <c r="C70" s="2">
        <f t="shared" si="1"/>
        <v>10</v>
      </c>
      <c r="D70" s="15">
        <f ca="1">SUMPRODUCT(SUBTOTAL(3,OFFSET(Data!$F$2:$F$1884,ROW(Data!$F$2:$F$1884)-ROW(Data!$F$2),0,1)),--(Data!$F$2:$F$1884&gt;=B70))-SUM(D71:$D$77)</f>
        <v>36</v>
      </c>
      <c r="E70" s="7">
        <f ca="1">D70/$D$78</f>
        <v>0.19565217391304349</v>
      </c>
      <c r="F70">
        <f>COUNTIF(Table2[Years of Experience],"&gt;="&amp;B70)-SUM(F71:$F$77)</f>
        <v>238</v>
      </c>
      <c r="G70" s="7">
        <f>F70/$F$78</f>
        <v>0.17827715355805243</v>
      </c>
    </row>
    <row r="71" spans="2:7">
      <c r="B71" s="2">
        <f t="shared" si="2"/>
        <v>15</v>
      </c>
      <c r="C71" s="2">
        <f t="shared" si="1"/>
        <v>15</v>
      </c>
      <c r="D71" s="15">
        <f ca="1">SUMPRODUCT(SUBTOTAL(3,OFFSET(Data!$F$2:$F$1884,ROW(Data!$F$2:$F$1884)-ROW(Data!$F$2),0,1)),--(Data!$F$2:$F$1884&gt;=B71))-SUM(D72:$D$77)</f>
        <v>17</v>
      </c>
      <c r="E71" s="7">
        <f ca="1">D71/$D$78</f>
        <v>9.2391304347826081E-2</v>
      </c>
      <c r="F71">
        <f>COUNTIF(Table2[Years of Experience],"&gt;="&amp;B71)-SUM(F72:$F$77)</f>
        <v>117</v>
      </c>
      <c r="G71" s="7">
        <f>F71/$F$78</f>
        <v>8.7640449438202248E-2</v>
      </c>
    </row>
    <row r="72" spans="2:7">
      <c r="B72" s="2">
        <f t="shared" si="2"/>
        <v>20</v>
      </c>
      <c r="C72" s="2">
        <f t="shared" si="1"/>
        <v>20</v>
      </c>
      <c r="D72" s="15">
        <f ca="1">SUMPRODUCT(SUBTOTAL(3,OFFSET(Data!$F$2:$F$1884,ROW(Data!$F$2:$F$1884)-ROW(Data!$F$2),0,1)),--(Data!$F$2:$F$1884&gt;=B72))-SUM(D73:$D$77)</f>
        <v>9</v>
      </c>
      <c r="E72" s="7">
        <f ca="1">D72/$D$78</f>
        <v>4.8913043478260872E-2</v>
      </c>
      <c r="F72">
        <f>COUNTIF(Table2[Years of Experience],"&gt;="&amp;B72)-SUM(F73:$F$77)</f>
        <v>85</v>
      </c>
      <c r="G72" s="7">
        <f>F72/$F$78</f>
        <v>6.3670411985018729E-2</v>
      </c>
    </row>
    <row r="73" spans="2:7">
      <c r="B73" s="2">
        <f t="shared" si="2"/>
        <v>25</v>
      </c>
      <c r="C73" s="2">
        <f t="shared" si="1"/>
        <v>25</v>
      </c>
      <c r="D73" s="15">
        <f ca="1">SUMPRODUCT(SUBTOTAL(3,OFFSET(Data!$F$2:$F$1884,ROW(Data!$F$2:$F$1884)-ROW(Data!$F$2),0,1)),--(Data!$F$2:$F$1884&gt;=B73))-SUM(D74:$D$77)</f>
        <v>5</v>
      </c>
      <c r="E73" s="7">
        <f ca="1">D73/$D$78</f>
        <v>2.717391304347826E-2</v>
      </c>
      <c r="F73">
        <f>COUNTIF(Table2[Years of Experience],"&gt;="&amp;B73)-SUM(F74:$F$77)</f>
        <v>36</v>
      </c>
      <c r="G73" s="7">
        <f>F73/$F$78</f>
        <v>2.6966292134831461E-2</v>
      </c>
    </row>
    <row r="74" spans="2:7">
      <c r="B74" s="2">
        <f t="shared" si="2"/>
        <v>30</v>
      </c>
      <c r="C74" s="2">
        <f t="shared" si="1"/>
        <v>30</v>
      </c>
      <c r="D74" s="15">
        <f ca="1">SUMPRODUCT(SUBTOTAL(3,OFFSET(Data!$F$2:$F$1884,ROW(Data!$F$2:$F$1884)-ROW(Data!$F$2),0,1)),--(Data!$F$2:$F$1884&gt;=B74))-SUM(D75:$D$77)</f>
        <v>5</v>
      </c>
      <c r="E74" s="7">
        <f ca="1">D74/$D$78</f>
        <v>2.717391304347826E-2</v>
      </c>
      <c r="F74">
        <f>COUNTIF(Table2[Years of Experience],"&gt;="&amp;B74)-SUM(F75:$F$77)</f>
        <v>18</v>
      </c>
      <c r="G74" s="7">
        <f>F74/$F$78</f>
        <v>1.3483146067415731E-2</v>
      </c>
    </row>
    <row r="75" spans="2:7">
      <c r="B75" s="2">
        <f t="shared" si="2"/>
        <v>35</v>
      </c>
      <c r="C75" s="2">
        <f t="shared" si="1"/>
        <v>35</v>
      </c>
      <c r="D75" s="15">
        <f ca="1">SUMPRODUCT(SUBTOTAL(3,OFFSET(Data!$F$2:$F$1884,ROW(Data!$F$2:$F$1884)-ROW(Data!$F$2),0,1)),--(Data!$F$2:$F$1884&gt;=B75))-SUM(D76:$D$77)</f>
        <v>0</v>
      </c>
      <c r="E75" s="7">
        <f ca="1">D75/$D$78</f>
        <v>0</v>
      </c>
      <c r="F75">
        <f>COUNTIF(Table2[Years of Experience],"&gt;="&amp;B75)-SUM(F76:$F$77)</f>
        <v>3</v>
      </c>
      <c r="G75" s="7">
        <f>F75/$F$78</f>
        <v>2.2471910112359553E-3</v>
      </c>
    </row>
    <row r="76" spans="2:7">
      <c r="B76" s="2">
        <f t="shared" si="2"/>
        <v>40</v>
      </c>
      <c r="C76" s="2">
        <f t="shared" si="1"/>
        <v>40</v>
      </c>
      <c r="D76" s="15">
        <f ca="1">SUMPRODUCT(SUBTOTAL(3,OFFSET(Data!$F$2:$F$1884,ROW(Data!$F$2:$F$1884)-ROW(Data!$F$2),0,1)),--(Data!$F$2:$F$1884&gt;=B76))-SUM(D77:$D$77)</f>
        <v>0</v>
      </c>
      <c r="E76" s="7">
        <f ca="1">D76/$D$78</f>
        <v>0</v>
      </c>
      <c r="F76">
        <f>COUNTIF(Table2[Years of Experience],"&gt;="&amp;B76)-SUM(F77:$F$77)</f>
        <v>1</v>
      </c>
      <c r="G76" s="7">
        <f>F76/$F$78</f>
        <v>7.4906367041198505E-4</v>
      </c>
    </row>
    <row r="77" spans="2:7">
      <c r="B77" s="2">
        <f t="shared" si="2"/>
        <v>45</v>
      </c>
      <c r="C77" s="2">
        <f t="shared" si="1"/>
        <v>45</v>
      </c>
      <c r="D77" s="15"/>
      <c r="E77" s="7"/>
      <c r="G77" s="7"/>
    </row>
    <row r="78" spans="2:7">
      <c r="D78">
        <f ca="1">SUM(D68:D77)</f>
        <v>184</v>
      </c>
      <c r="E78" s="7">
        <f ca="1">D78/$D$78</f>
        <v>1</v>
      </c>
      <c r="F78">
        <f>SUM(F68:F77)</f>
        <v>1335</v>
      </c>
      <c r="G78" s="7">
        <f ca="1">F78/$D$78</f>
        <v>7.2554347826086953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1884"/>
  <sheetViews>
    <sheetView workbookViewId="0">
      <selection activeCell="D3" sqref="D3"/>
    </sheetView>
  </sheetViews>
  <sheetFormatPr defaultRowHeight="12.75"/>
  <cols>
    <col min="1" max="1" width="11.85546875" customWidth="1"/>
    <col min="2" max="2" width="17" bestFit="1" customWidth="1"/>
    <col min="3" max="3" width="20.85546875" customWidth="1"/>
    <col min="4" max="4" width="14.5703125" customWidth="1"/>
    <col min="6" max="6" width="20.42578125" customWidth="1"/>
    <col min="7" max="7" width="20.85546875" style="10" bestFit="1" customWidth="1"/>
    <col min="8" max="8" width="20.7109375" style="10" customWidth="1"/>
    <col min="9" max="9" width="41.28515625" style="10" customWidth="1"/>
  </cols>
  <sheetData>
    <row r="1" spans="1:9" ht="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9" t="s">
        <v>6</v>
      </c>
      <c r="H1" s="9" t="s">
        <v>7</v>
      </c>
      <c r="I1" s="9" t="s">
        <v>8</v>
      </c>
    </row>
    <row r="2" spans="1:9" hidden="1">
      <c r="A2" t="s">
        <v>9</v>
      </c>
      <c r="B2" t="s">
        <v>3268</v>
      </c>
      <c r="C2" t="s">
        <v>11</v>
      </c>
      <c r="D2" s="2">
        <v>5846</v>
      </c>
      <c r="E2">
        <f>VLOOKUP(I2,Calc!$I$35:$J$39,2,FALSE)</f>
        <v>5</v>
      </c>
      <c r="G2" s="10" t="s">
        <v>12</v>
      </c>
      <c r="H2" s="10" t="s">
        <v>13</v>
      </c>
      <c r="I2" s="10" t="s">
        <v>14</v>
      </c>
    </row>
    <row r="3" spans="1:9" hidden="1">
      <c r="A3" t="s">
        <v>17</v>
      </c>
      <c r="B3" t="s">
        <v>3263</v>
      </c>
      <c r="C3" t="s">
        <v>19</v>
      </c>
      <c r="D3" s="2">
        <v>15000</v>
      </c>
      <c r="E3">
        <f>VLOOKUP(I3,Calc!$I$35:$J$39,2,FALSE)</f>
        <v>8</v>
      </c>
      <c r="G3" s="10" t="s">
        <v>20</v>
      </c>
      <c r="H3" s="10" t="s">
        <v>21</v>
      </c>
      <c r="I3" s="10" t="s">
        <v>22</v>
      </c>
    </row>
    <row r="4" spans="1:9">
      <c r="A4" t="s">
        <v>28</v>
      </c>
      <c r="B4" t="s">
        <v>3268</v>
      </c>
      <c r="C4" t="s">
        <v>29</v>
      </c>
      <c r="D4" s="2">
        <v>58000</v>
      </c>
      <c r="E4">
        <f>VLOOKUP(I4,Calc!$I$35:$J$39,2,FALSE)</f>
        <v>8</v>
      </c>
      <c r="G4" s="10" t="s">
        <v>30</v>
      </c>
      <c r="H4" s="10" t="s">
        <v>31</v>
      </c>
      <c r="I4" s="10" t="s">
        <v>22</v>
      </c>
    </row>
    <row r="5" spans="1:9" hidden="1">
      <c r="A5" t="s">
        <v>33</v>
      </c>
      <c r="B5" t="s">
        <v>3263</v>
      </c>
      <c r="C5" t="s">
        <v>11</v>
      </c>
      <c r="D5" s="2">
        <v>48000</v>
      </c>
      <c r="E5">
        <f>VLOOKUP(I5,Calc!$I$35:$J$39,2,FALSE)</f>
        <v>2.5</v>
      </c>
      <c r="G5" s="10" t="s">
        <v>34</v>
      </c>
      <c r="H5" s="10" t="s">
        <v>35</v>
      </c>
      <c r="I5" s="10" t="s">
        <v>36</v>
      </c>
    </row>
    <row r="6" spans="1:9" hidden="1">
      <c r="A6" t="s">
        <v>37</v>
      </c>
      <c r="B6" t="s">
        <v>3266</v>
      </c>
      <c r="C6" t="s">
        <v>29</v>
      </c>
      <c r="D6" s="2">
        <v>54000</v>
      </c>
      <c r="E6">
        <f>VLOOKUP(I6,Calc!$I$35:$J$39,2,FALSE)</f>
        <v>8</v>
      </c>
      <c r="G6" s="10" t="s">
        <v>30</v>
      </c>
      <c r="H6" s="10" t="s">
        <v>39</v>
      </c>
      <c r="I6" s="10" t="s">
        <v>22</v>
      </c>
    </row>
    <row r="7" spans="1:9" hidden="1">
      <c r="A7" t="s">
        <v>40</v>
      </c>
      <c r="B7" t="s">
        <v>3268</v>
      </c>
      <c r="C7" t="s">
        <v>19</v>
      </c>
      <c r="D7" s="2">
        <v>41731</v>
      </c>
      <c r="E7">
        <f>VLOOKUP(I7,Calc!$I$35:$J$39,2,FALSE)</f>
        <v>8</v>
      </c>
      <c r="G7" s="10" t="s">
        <v>41</v>
      </c>
      <c r="H7" s="10" t="s">
        <v>10</v>
      </c>
      <c r="I7" s="10" t="s">
        <v>22</v>
      </c>
    </row>
    <row r="8" spans="1:9" hidden="1">
      <c r="A8" t="s">
        <v>43</v>
      </c>
      <c r="B8" t="s">
        <v>3267</v>
      </c>
      <c r="C8" t="s">
        <v>19</v>
      </c>
      <c r="D8" s="2">
        <v>184207.91865378313</v>
      </c>
      <c r="E8">
        <f>VLOOKUP(I8,Calc!$I$35:$J$39,2,FALSE)</f>
        <v>1.5</v>
      </c>
      <c r="G8" s="10" t="s">
        <v>45</v>
      </c>
      <c r="H8" s="10" t="s">
        <v>46</v>
      </c>
      <c r="I8" s="10" t="s">
        <v>47</v>
      </c>
    </row>
    <row r="9" spans="1:9" hidden="1">
      <c r="A9" t="s">
        <v>49</v>
      </c>
      <c r="B9" t="s">
        <v>3268</v>
      </c>
      <c r="C9" t="s">
        <v>19</v>
      </c>
      <c r="D9" s="2">
        <v>12000</v>
      </c>
      <c r="E9">
        <f>VLOOKUP(I9,Calc!$I$35:$J$39,2,FALSE)</f>
        <v>8</v>
      </c>
      <c r="G9" s="10" t="s">
        <v>50</v>
      </c>
      <c r="H9" s="10" t="s">
        <v>51</v>
      </c>
      <c r="I9" s="10" t="s">
        <v>22</v>
      </c>
    </row>
    <row r="10" spans="1:9" hidden="1">
      <c r="A10" t="s">
        <v>52</v>
      </c>
      <c r="B10" t="s">
        <v>3249</v>
      </c>
      <c r="C10" t="s">
        <v>19</v>
      </c>
      <c r="D10" s="2">
        <v>44000</v>
      </c>
      <c r="E10">
        <f>VLOOKUP(I10,Calc!$I$35:$J$39,2,FALSE)</f>
        <v>1.5</v>
      </c>
      <c r="G10" s="10" t="s">
        <v>53</v>
      </c>
      <c r="H10" s="10" t="s">
        <v>54</v>
      </c>
      <c r="I10" s="10" t="s">
        <v>47</v>
      </c>
    </row>
    <row r="11" spans="1:9" hidden="1">
      <c r="A11" t="s">
        <v>55</v>
      </c>
      <c r="B11" t="s">
        <v>3269</v>
      </c>
      <c r="C11" t="s">
        <v>11</v>
      </c>
      <c r="D11" s="2">
        <v>12227.430201752599</v>
      </c>
      <c r="E11">
        <f>VLOOKUP(I11,Calc!$I$35:$J$39,2,FALSE)</f>
        <v>8</v>
      </c>
      <c r="G11" s="10" t="s">
        <v>34</v>
      </c>
      <c r="H11" s="10" t="s">
        <v>57</v>
      </c>
      <c r="I11" s="10" t="s">
        <v>22</v>
      </c>
    </row>
    <row r="12" spans="1:9" hidden="1">
      <c r="A12" t="s">
        <v>58</v>
      </c>
      <c r="B12" t="s">
        <v>3265</v>
      </c>
      <c r="C12" t="s">
        <v>19</v>
      </c>
      <c r="D12" s="2">
        <v>65616.131023916547</v>
      </c>
      <c r="E12">
        <f>VLOOKUP(I12,Calc!$I$35:$J$39,2,FALSE)</f>
        <v>2.5</v>
      </c>
      <c r="G12" s="10" t="s">
        <v>60</v>
      </c>
      <c r="H12" s="10" t="s">
        <v>61</v>
      </c>
      <c r="I12" s="10" t="s">
        <v>36</v>
      </c>
    </row>
    <row r="13" spans="1:9" hidden="1">
      <c r="A13" t="s">
        <v>62</v>
      </c>
      <c r="B13" t="s">
        <v>3266</v>
      </c>
      <c r="C13" t="s">
        <v>19</v>
      </c>
      <c r="D13" s="2">
        <v>14000</v>
      </c>
      <c r="E13">
        <f>VLOOKUP(I13,Calc!$I$35:$J$39,2,FALSE)</f>
        <v>5</v>
      </c>
      <c r="G13" s="10" t="s">
        <v>63</v>
      </c>
      <c r="H13" s="10" t="s">
        <v>64</v>
      </c>
      <c r="I13" s="10" t="s">
        <v>14</v>
      </c>
    </row>
    <row r="14" spans="1:9" hidden="1">
      <c r="A14" t="s">
        <v>65</v>
      </c>
      <c r="B14" t="s">
        <v>3268</v>
      </c>
      <c r="C14" t="s">
        <v>11</v>
      </c>
      <c r="D14" s="2">
        <v>13338.129598894484</v>
      </c>
      <c r="E14">
        <f>VLOOKUP(I14,Calc!$I$35:$J$39,2,FALSE)</f>
        <v>8</v>
      </c>
      <c r="G14" s="10" t="s">
        <v>12</v>
      </c>
      <c r="H14" s="10" t="s">
        <v>66</v>
      </c>
      <c r="I14" s="10" t="s">
        <v>22</v>
      </c>
    </row>
    <row r="15" spans="1:9">
      <c r="A15" t="s">
        <v>67</v>
      </c>
      <c r="B15" t="s">
        <v>3268</v>
      </c>
      <c r="C15" t="s">
        <v>29</v>
      </c>
      <c r="D15" s="2">
        <v>49000</v>
      </c>
      <c r="E15">
        <f>VLOOKUP(I15,Calc!$I$35:$J$39,2,FALSE)</f>
        <v>8</v>
      </c>
      <c r="G15" s="10" t="s">
        <v>30</v>
      </c>
      <c r="H15" s="10" t="s">
        <v>68</v>
      </c>
      <c r="I15" s="10" t="s">
        <v>22</v>
      </c>
    </row>
    <row r="16" spans="1:9" hidden="1">
      <c r="A16" t="s">
        <v>69</v>
      </c>
      <c r="B16" t="s">
        <v>3266</v>
      </c>
      <c r="C16" t="s">
        <v>29</v>
      </c>
      <c r="D16" s="2">
        <v>85000</v>
      </c>
      <c r="E16">
        <f>VLOOKUP(I16,Calc!$I$35:$J$39,2,FALSE)</f>
        <v>1.5</v>
      </c>
      <c r="G16" s="10" t="s">
        <v>30</v>
      </c>
      <c r="H16" s="10" t="s">
        <v>70</v>
      </c>
      <c r="I16" s="10" t="s">
        <v>47</v>
      </c>
    </row>
    <row r="17" spans="1:9" hidden="1">
      <c r="A17" t="s">
        <v>71</v>
      </c>
      <c r="B17" t="s">
        <v>3266</v>
      </c>
      <c r="C17" t="s">
        <v>29</v>
      </c>
      <c r="D17" s="2">
        <v>75000</v>
      </c>
      <c r="E17">
        <f>VLOOKUP(I17,Calc!$I$35:$J$39,2,FALSE)</f>
        <v>8</v>
      </c>
      <c r="G17" s="10" t="s">
        <v>30</v>
      </c>
      <c r="H17" s="10" t="s">
        <v>72</v>
      </c>
      <c r="I17" s="10" t="s">
        <v>22</v>
      </c>
    </row>
    <row r="18" spans="1:9" hidden="1">
      <c r="A18" t="s">
        <v>73</v>
      </c>
      <c r="B18" t="s">
        <v>3267</v>
      </c>
      <c r="C18" t="s">
        <v>19</v>
      </c>
      <c r="D18" s="2">
        <v>107000</v>
      </c>
      <c r="E18">
        <f>VLOOKUP(I18,Calc!$I$35:$J$39,2,FALSE)</f>
        <v>5</v>
      </c>
      <c r="G18" s="10" t="s">
        <v>74</v>
      </c>
      <c r="H18" s="10" t="s">
        <v>75</v>
      </c>
      <c r="I18" s="10" t="s">
        <v>14</v>
      </c>
    </row>
    <row r="19" spans="1:9" hidden="1">
      <c r="A19" t="s">
        <v>76</v>
      </c>
      <c r="B19" t="s">
        <v>77</v>
      </c>
      <c r="C19" t="s">
        <v>42</v>
      </c>
      <c r="D19" s="2">
        <v>45000</v>
      </c>
      <c r="E19">
        <f>VLOOKUP(I19,Calc!$I$35:$J$39,2,FALSE)</f>
        <v>8</v>
      </c>
      <c r="G19" s="10" t="s">
        <v>78</v>
      </c>
      <c r="H19" s="10" t="s">
        <v>79</v>
      </c>
      <c r="I19" s="10" t="s">
        <v>22</v>
      </c>
    </row>
    <row r="20" spans="1:9" hidden="1">
      <c r="A20" t="s">
        <v>80</v>
      </c>
      <c r="B20" t="s">
        <v>3267</v>
      </c>
      <c r="C20" t="s">
        <v>11</v>
      </c>
      <c r="D20" s="2">
        <v>9794.354178093412</v>
      </c>
      <c r="E20">
        <f>VLOOKUP(I20,Calc!$I$35:$J$39,2,FALSE)</f>
        <v>2.5</v>
      </c>
      <c r="G20" s="10" t="s">
        <v>12</v>
      </c>
      <c r="H20" s="10" t="s">
        <v>81</v>
      </c>
      <c r="I20" s="10" t="s">
        <v>36</v>
      </c>
    </row>
    <row r="21" spans="1:9" hidden="1">
      <c r="A21" t="s">
        <v>82</v>
      </c>
      <c r="B21" t="s">
        <v>3267</v>
      </c>
      <c r="C21" t="s">
        <v>11</v>
      </c>
      <c r="D21" s="2">
        <v>50000</v>
      </c>
      <c r="E21">
        <f>VLOOKUP(I21,Calc!$I$35:$J$39,2,FALSE)</f>
        <v>1.5</v>
      </c>
      <c r="G21" s="10" t="s">
        <v>12</v>
      </c>
      <c r="H21" s="10" t="s">
        <v>83</v>
      </c>
      <c r="I21" s="10" t="s">
        <v>47</v>
      </c>
    </row>
    <row r="22" spans="1:9" hidden="1">
      <c r="A22" t="s">
        <v>84</v>
      </c>
      <c r="B22" t="s">
        <v>3267</v>
      </c>
      <c r="C22" t="s">
        <v>11</v>
      </c>
      <c r="D22" s="2">
        <v>13500</v>
      </c>
      <c r="E22">
        <f>VLOOKUP(I22,Calc!$I$35:$J$39,2,FALSE)</f>
        <v>5</v>
      </c>
      <c r="G22" s="10" t="s">
        <v>12</v>
      </c>
      <c r="H22" s="10" t="s">
        <v>85</v>
      </c>
      <c r="I22" s="10" t="s">
        <v>14</v>
      </c>
    </row>
    <row r="23" spans="1:9">
      <c r="A23" t="s">
        <v>86</v>
      </c>
      <c r="B23" t="s">
        <v>3268</v>
      </c>
      <c r="C23" t="s">
        <v>29</v>
      </c>
      <c r="D23" s="2">
        <v>96000</v>
      </c>
      <c r="E23">
        <f>VLOOKUP(I23,Calc!$I$35:$J$39,2,FALSE)</f>
        <v>2.5</v>
      </c>
      <c r="G23" s="10" t="s">
        <v>30</v>
      </c>
      <c r="H23" s="10" t="s">
        <v>10</v>
      </c>
      <c r="I23" s="10" t="s">
        <v>36</v>
      </c>
    </row>
    <row r="24" spans="1:9" hidden="1">
      <c r="A24" t="s">
        <v>87</v>
      </c>
      <c r="B24" t="s">
        <v>3267</v>
      </c>
      <c r="C24" t="s">
        <v>11</v>
      </c>
      <c r="D24" s="2">
        <v>17807.916687442568</v>
      </c>
      <c r="E24">
        <f>VLOOKUP(I24,Calc!$I$35:$J$39,2,FALSE)</f>
        <v>5</v>
      </c>
      <c r="G24" s="10" t="s">
        <v>12</v>
      </c>
      <c r="H24" s="10" t="s">
        <v>44</v>
      </c>
      <c r="I24" s="10" t="s">
        <v>14</v>
      </c>
    </row>
    <row r="25" spans="1:9" hidden="1">
      <c r="A25" t="s">
        <v>88</v>
      </c>
      <c r="B25" t="s">
        <v>3249</v>
      </c>
      <c r="C25" t="s">
        <v>29</v>
      </c>
      <c r="D25" s="2">
        <v>75000</v>
      </c>
      <c r="E25">
        <f>VLOOKUP(I25,Calc!$I$35:$J$39,2,FALSE)</f>
        <v>5</v>
      </c>
      <c r="G25" s="10" t="s">
        <v>30</v>
      </c>
      <c r="H25" s="10" t="s">
        <v>89</v>
      </c>
      <c r="I25" s="10" t="s">
        <v>14</v>
      </c>
    </row>
    <row r="26" spans="1:9" hidden="1">
      <c r="A26" t="s">
        <v>91</v>
      </c>
      <c r="B26" t="s">
        <v>3267</v>
      </c>
      <c r="C26" t="s">
        <v>29</v>
      </c>
      <c r="D26" s="2">
        <v>40000</v>
      </c>
      <c r="E26">
        <f>VLOOKUP(I26,Calc!$I$35:$J$39,2,FALSE)</f>
        <v>2.5</v>
      </c>
      <c r="G26" s="10" t="s">
        <v>30</v>
      </c>
      <c r="H26" s="10" t="s">
        <v>92</v>
      </c>
      <c r="I26" s="10" t="s">
        <v>36</v>
      </c>
    </row>
    <row r="27" spans="1:9">
      <c r="A27" t="s">
        <v>93</v>
      </c>
      <c r="B27" t="s">
        <v>3268</v>
      </c>
      <c r="C27" t="s">
        <v>29</v>
      </c>
      <c r="D27" s="2">
        <v>60000</v>
      </c>
      <c r="E27">
        <f>VLOOKUP(I27,Calc!$I$35:$J$39,2,FALSE)</f>
        <v>8</v>
      </c>
      <c r="G27" s="10" t="s">
        <v>30</v>
      </c>
      <c r="H27" s="10" t="s">
        <v>94</v>
      </c>
      <c r="I27" s="10" t="s">
        <v>22</v>
      </c>
    </row>
    <row r="28" spans="1:9" hidden="1">
      <c r="A28" t="s">
        <v>95</v>
      </c>
      <c r="B28" t="s">
        <v>3267</v>
      </c>
      <c r="C28" t="s">
        <v>19</v>
      </c>
      <c r="D28" s="2">
        <v>41160.941823328096</v>
      </c>
      <c r="E28">
        <f>VLOOKUP(I28,Calc!$I$35:$J$39,2,FALSE)</f>
        <v>5</v>
      </c>
      <c r="G28" s="10" t="s">
        <v>96</v>
      </c>
      <c r="H28" s="10" t="s">
        <v>97</v>
      </c>
      <c r="I28" s="10" t="s">
        <v>14</v>
      </c>
    </row>
    <row r="29" spans="1:9" hidden="1">
      <c r="A29" t="s">
        <v>98</v>
      </c>
      <c r="B29" t="s">
        <v>3266</v>
      </c>
      <c r="C29" t="s">
        <v>11</v>
      </c>
      <c r="D29" s="2">
        <v>16027.125018698311</v>
      </c>
      <c r="E29">
        <f>VLOOKUP(I29,Calc!$I$35:$J$39,2,FALSE)</f>
        <v>1.5</v>
      </c>
      <c r="G29" s="10" t="s">
        <v>12</v>
      </c>
      <c r="H29" s="10" t="s">
        <v>99</v>
      </c>
      <c r="I29" s="10" t="s">
        <v>47</v>
      </c>
    </row>
    <row r="30" spans="1:9" hidden="1">
      <c r="A30" t="s">
        <v>100</v>
      </c>
      <c r="B30" t="s">
        <v>3267</v>
      </c>
      <c r="C30" t="s">
        <v>11</v>
      </c>
      <c r="D30" s="2">
        <v>10684.750012465542</v>
      </c>
      <c r="E30">
        <f>VLOOKUP(I30,Calc!$I$35:$J$39,2,FALSE)</f>
        <v>5</v>
      </c>
      <c r="G30" s="10" t="s">
        <v>12</v>
      </c>
      <c r="H30" s="10" t="s">
        <v>101</v>
      </c>
      <c r="I30" s="10" t="s">
        <v>14</v>
      </c>
    </row>
    <row r="31" spans="1:9" hidden="1">
      <c r="A31" t="s">
        <v>102</v>
      </c>
      <c r="B31" t="s">
        <v>3267</v>
      </c>
      <c r="C31" t="s">
        <v>19</v>
      </c>
      <c r="D31" s="2">
        <v>41000</v>
      </c>
      <c r="E31">
        <f>VLOOKUP(I31,Calc!$I$35:$J$39,2,FALSE)</f>
        <v>8</v>
      </c>
      <c r="G31" s="10" t="s">
        <v>103</v>
      </c>
      <c r="H31" s="10" t="s">
        <v>104</v>
      </c>
      <c r="I31" s="10" t="s">
        <v>22</v>
      </c>
    </row>
    <row r="32" spans="1:9" hidden="1">
      <c r="A32" t="s">
        <v>105</v>
      </c>
      <c r="B32" t="s">
        <v>3265</v>
      </c>
      <c r="C32" t="s">
        <v>11</v>
      </c>
      <c r="D32" s="2">
        <v>6410.8500074793246</v>
      </c>
      <c r="E32">
        <f>VLOOKUP(I32,Calc!$I$35:$J$39,2,FALSE)</f>
        <v>5</v>
      </c>
      <c r="G32" s="10" t="s">
        <v>12</v>
      </c>
      <c r="H32" s="10" t="s">
        <v>59</v>
      </c>
      <c r="I32" s="10" t="s">
        <v>14</v>
      </c>
    </row>
    <row r="33" spans="1:9" hidden="1">
      <c r="A33" t="s">
        <v>106</v>
      </c>
      <c r="B33" t="s">
        <v>3268</v>
      </c>
      <c r="C33" t="s">
        <v>19</v>
      </c>
      <c r="D33" s="2">
        <v>55166.239522354947</v>
      </c>
      <c r="E33">
        <f>VLOOKUP(I33,Calc!$I$35:$J$39,2,FALSE)</f>
        <v>8</v>
      </c>
      <c r="G33" s="10" t="s">
        <v>107</v>
      </c>
      <c r="H33" s="10" t="s">
        <v>108</v>
      </c>
      <c r="I33" s="10" t="s">
        <v>22</v>
      </c>
    </row>
    <row r="34" spans="1:9" hidden="1">
      <c r="A34" t="s">
        <v>109</v>
      </c>
      <c r="B34" t="s">
        <v>3268</v>
      </c>
      <c r="C34" t="s">
        <v>19</v>
      </c>
      <c r="D34" s="2">
        <v>19200</v>
      </c>
      <c r="E34">
        <f>VLOOKUP(I34,Calc!$I$35:$J$39,2,FALSE)</f>
        <v>2.5</v>
      </c>
      <c r="G34" s="10" t="s">
        <v>110</v>
      </c>
      <c r="H34" s="10" t="s">
        <v>10</v>
      </c>
      <c r="I34" s="10" t="s">
        <v>36</v>
      </c>
    </row>
    <row r="35" spans="1:9" hidden="1">
      <c r="A35" t="s">
        <v>111</v>
      </c>
      <c r="B35" t="s">
        <v>3264</v>
      </c>
      <c r="C35" t="s">
        <v>11</v>
      </c>
      <c r="D35" s="2">
        <v>8903.9583437212841</v>
      </c>
      <c r="E35">
        <f>VLOOKUP(I35,Calc!$I$35:$J$39,2,FALSE)</f>
        <v>8</v>
      </c>
      <c r="G35" s="10" t="s">
        <v>12</v>
      </c>
      <c r="H35" s="10" t="s">
        <v>112</v>
      </c>
      <c r="I35" s="10" t="s">
        <v>22</v>
      </c>
    </row>
    <row r="36" spans="1:9" hidden="1">
      <c r="A36" t="s">
        <v>113</v>
      </c>
      <c r="B36" t="s">
        <v>3267</v>
      </c>
      <c r="C36" t="s">
        <v>29</v>
      </c>
      <c r="D36" s="2">
        <v>150000</v>
      </c>
      <c r="E36">
        <f>VLOOKUP(I36,Calc!$I$35:$J$39,2,FALSE)</f>
        <v>2.5</v>
      </c>
      <c r="G36" s="10" t="s">
        <v>30</v>
      </c>
      <c r="H36" s="10" t="s">
        <v>114</v>
      </c>
      <c r="I36" s="10" t="s">
        <v>36</v>
      </c>
    </row>
    <row r="37" spans="1:9" hidden="1">
      <c r="A37" t="s">
        <v>115</v>
      </c>
      <c r="B37" t="s">
        <v>3266</v>
      </c>
      <c r="C37" t="s">
        <v>29</v>
      </c>
      <c r="D37" s="2">
        <v>69000</v>
      </c>
      <c r="E37">
        <f>VLOOKUP(I37,Calc!$I$35:$J$39,2,FALSE)</f>
        <v>5</v>
      </c>
      <c r="G37" s="10" t="s">
        <v>30</v>
      </c>
      <c r="H37" s="10" t="s">
        <v>116</v>
      </c>
      <c r="I37" s="10" t="s">
        <v>14</v>
      </c>
    </row>
    <row r="38" spans="1:9" hidden="1">
      <c r="A38" t="s">
        <v>117</v>
      </c>
      <c r="B38" t="s">
        <v>3264</v>
      </c>
      <c r="C38" t="s">
        <v>29</v>
      </c>
      <c r="D38" s="2">
        <v>30000</v>
      </c>
      <c r="E38">
        <f>VLOOKUP(I38,Calc!$I$35:$J$39,2,FALSE)</f>
        <v>2.5</v>
      </c>
      <c r="G38" s="10" t="s">
        <v>30</v>
      </c>
      <c r="H38" s="10" t="s">
        <v>118</v>
      </c>
      <c r="I38" s="10" t="s">
        <v>36</v>
      </c>
    </row>
    <row r="39" spans="1:9" hidden="1">
      <c r="A39" t="s">
        <v>120</v>
      </c>
      <c r="B39" t="s">
        <v>3267</v>
      </c>
      <c r="C39" t="s">
        <v>11</v>
      </c>
      <c r="D39" s="2">
        <v>7123.1666749770275</v>
      </c>
      <c r="E39">
        <f>VLOOKUP(I39,Calc!$I$35:$J$39,2,FALSE)</f>
        <v>5</v>
      </c>
      <c r="G39" s="10" t="s">
        <v>12</v>
      </c>
      <c r="H39" s="10" t="s">
        <v>121</v>
      </c>
      <c r="I39" s="10" t="s">
        <v>14</v>
      </c>
    </row>
    <row r="40" spans="1:9" hidden="1">
      <c r="A40" t="s">
        <v>122</v>
      </c>
      <c r="B40" t="s">
        <v>3264</v>
      </c>
      <c r="C40" t="s">
        <v>32</v>
      </c>
      <c r="D40" s="2">
        <v>71393.675948184507</v>
      </c>
      <c r="E40">
        <f>VLOOKUP(I40,Calc!$I$35:$J$39,2,FALSE)</f>
        <v>2.5</v>
      </c>
      <c r="G40" s="10" t="s">
        <v>123</v>
      </c>
      <c r="H40" s="10" t="s">
        <v>124</v>
      </c>
      <c r="I40" s="10" t="s">
        <v>36</v>
      </c>
    </row>
    <row r="41" spans="1:9" hidden="1">
      <c r="A41" t="s">
        <v>125</v>
      </c>
      <c r="B41" t="s">
        <v>3268</v>
      </c>
      <c r="C41" t="s">
        <v>11</v>
      </c>
      <c r="D41" s="2">
        <v>14500</v>
      </c>
      <c r="E41">
        <f>VLOOKUP(I41,Calc!$I$35:$J$39,2,FALSE)</f>
        <v>5</v>
      </c>
      <c r="G41" s="10" t="s">
        <v>12</v>
      </c>
      <c r="H41" s="10" t="s">
        <v>126</v>
      </c>
      <c r="I41" s="10" t="s">
        <v>14</v>
      </c>
    </row>
    <row r="42" spans="1:9" hidden="1">
      <c r="A42" t="s">
        <v>127</v>
      </c>
      <c r="B42" t="s">
        <v>3266</v>
      </c>
      <c r="C42" t="s">
        <v>29</v>
      </c>
      <c r="D42" s="2">
        <v>68835.306612122877</v>
      </c>
      <c r="E42">
        <f>VLOOKUP(I42,Calc!$I$35:$J$39,2,FALSE)</f>
        <v>2.5</v>
      </c>
      <c r="G42" s="10" t="s">
        <v>128</v>
      </c>
      <c r="H42" s="10" t="s">
        <v>129</v>
      </c>
      <c r="I42" s="10" t="s">
        <v>36</v>
      </c>
    </row>
    <row r="43" spans="1:9" hidden="1">
      <c r="A43" t="s">
        <v>131</v>
      </c>
      <c r="B43" t="s">
        <v>3269</v>
      </c>
      <c r="C43" t="s">
        <v>29</v>
      </c>
      <c r="D43" s="2">
        <v>58000</v>
      </c>
      <c r="E43">
        <f>VLOOKUP(I43,Calc!$I$35:$J$39,2,FALSE)</f>
        <v>5</v>
      </c>
      <c r="G43" s="10" t="s">
        <v>30</v>
      </c>
      <c r="H43" s="10" t="s">
        <v>132</v>
      </c>
      <c r="I43" s="10" t="s">
        <v>14</v>
      </c>
    </row>
    <row r="44" spans="1:9" hidden="1">
      <c r="A44" t="s">
        <v>133</v>
      </c>
      <c r="B44" t="s">
        <v>3250</v>
      </c>
      <c r="C44" t="s">
        <v>29</v>
      </c>
      <c r="D44" s="2">
        <v>90000</v>
      </c>
      <c r="E44">
        <f>VLOOKUP(I44,Calc!$I$35:$J$39,2,FALSE)</f>
        <v>1.5</v>
      </c>
      <c r="G44" s="10" t="s">
        <v>30</v>
      </c>
      <c r="H44" s="10" t="s">
        <v>134</v>
      </c>
      <c r="I44" s="10" t="s">
        <v>47</v>
      </c>
    </row>
    <row r="45" spans="1:9" hidden="1">
      <c r="A45" t="s">
        <v>136</v>
      </c>
      <c r="B45" t="s">
        <v>3267</v>
      </c>
      <c r="C45" t="s">
        <v>11</v>
      </c>
      <c r="D45" s="2">
        <v>14246.333349954055</v>
      </c>
      <c r="E45">
        <f>VLOOKUP(I45,Calc!$I$35:$J$39,2,FALSE)</f>
        <v>2.5</v>
      </c>
      <c r="G45" s="10" t="s">
        <v>12</v>
      </c>
      <c r="H45" s="10" t="s">
        <v>137</v>
      </c>
      <c r="I45" s="10" t="s">
        <v>36</v>
      </c>
    </row>
    <row r="46" spans="1:9" hidden="1">
      <c r="A46" t="s">
        <v>138</v>
      </c>
      <c r="B46" t="s">
        <v>3268</v>
      </c>
      <c r="C46" t="s">
        <v>19</v>
      </c>
      <c r="D46" s="2">
        <v>50437.70470615309</v>
      </c>
      <c r="E46">
        <f>VLOOKUP(I46,Calc!$I$35:$J$39,2,FALSE)</f>
        <v>5</v>
      </c>
      <c r="G46" s="10" t="s">
        <v>107</v>
      </c>
      <c r="H46" s="10" t="s">
        <v>139</v>
      </c>
      <c r="I46" s="10" t="s">
        <v>14</v>
      </c>
    </row>
    <row r="47" spans="1:9" hidden="1">
      <c r="A47" t="s">
        <v>140</v>
      </c>
      <c r="B47" t="s">
        <v>3264</v>
      </c>
      <c r="C47" t="s">
        <v>29</v>
      </c>
      <c r="D47" s="2">
        <v>12000</v>
      </c>
      <c r="E47">
        <f>VLOOKUP(I47,Calc!$I$35:$J$39,2,FALSE)</f>
        <v>1.5</v>
      </c>
      <c r="G47" s="10" t="s">
        <v>30</v>
      </c>
      <c r="H47" s="10" t="s">
        <v>141</v>
      </c>
      <c r="I47" s="10" t="s">
        <v>47</v>
      </c>
    </row>
    <row r="48" spans="1:9" hidden="1">
      <c r="A48" t="s">
        <v>142</v>
      </c>
      <c r="B48" t="s">
        <v>3267</v>
      </c>
      <c r="C48" t="s">
        <v>19</v>
      </c>
      <c r="D48" s="2">
        <v>57167.974754622352</v>
      </c>
      <c r="E48">
        <f>VLOOKUP(I48,Calc!$I$35:$J$39,2,FALSE)</f>
        <v>5</v>
      </c>
      <c r="G48" s="10" t="s">
        <v>143</v>
      </c>
      <c r="H48" s="10" t="s">
        <v>144</v>
      </c>
      <c r="I48" s="10" t="s">
        <v>14</v>
      </c>
    </row>
    <row r="49" spans="1:9" hidden="1">
      <c r="A49" t="s">
        <v>145</v>
      </c>
      <c r="B49" t="s">
        <v>3268</v>
      </c>
      <c r="C49" t="s">
        <v>19</v>
      </c>
      <c r="D49" s="2">
        <v>100000</v>
      </c>
      <c r="E49">
        <f>VLOOKUP(I49,Calc!$I$35:$J$39,2,FALSE)</f>
        <v>8</v>
      </c>
      <c r="G49" s="10" t="s">
        <v>45</v>
      </c>
      <c r="H49" s="10" t="s">
        <v>146</v>
      </c>
      <c r="I49" s="10" t="s">
        <v>22</v>
      </c>
    </row>
    <row r="50" spans="1:9" hidden="1">
      <c r="A50" t="s">
        <v>147</v>
      </c>
      <c r="B50" t="s">
        <v>3269</v>
      </c>
      <c r="C50" t="s">
        <v>29</v>
      </c>
      <c r="D50" s="2">
        <v>57000</v>
      </c>
      <c r="E50">
        <f>VLOOKUP(I50,Calc!$I$35:$J$39,2,FALSE)</f>
        <v>2.5</v>
      </c>
      <c r="G50" s="10" t="s">
        <v>30</v>
      </c>
      <c r="H50" s="10" t="s">
        <v>148</v>
      </c>
      <c r="I50" s="10" t="s">
        <v>36</v>
      </c>
    </row>
    <row r="51" spans="1:9" hidden="1">
      <c r="A51" t="s">
        <v>149</v>
      </c>
      <c r="B51" t="s">
        <v>3269</v>
      </c>
      <c r="C51" t="s">
        <v>19</v>
      </c>
      <c r="D51" s="2">
        <v>63047.130882691366</v>
      </c>
      <c r="E51">
        <f>VLOOKUP(I51,Calc!$I$35:$J$39,2,FALSE)</f>
        <v>5</v>
      </c>
      <c r="G51" s="10" t="s">
        <v>107</v>
      </c>
      <c r="H51" s="10" t="s">
        <v>132</v>
      </c>
      <c r="I51" s="10" t="s">
        <v>14</v>
      </c>
    </row>
    <row r="52" spans="1:9" hidden="1">
      <c r="A52" t="s">
        <v>150</v>
      </c>
      <c r="B52" t="s">
        <v>3267</v>
      </c>
      <c r="C52" t="s">
        <v>19</v>
      </c>
      <c r="D52" s="2">
        <v>30489.586535798586</v>
      </c>
      <c r="E52">
        <f>VLOOKUP(I52,Calc!$I$35:$J$39,2,FALSE)</f>
        <v>8</v>
      </c>
      <c r="G52" s="10" t="s">
        <v>45</v>
      </c>
      <c r="H52" s="10" t="s">
        <v>151</v>
      </c>
      <c r="I52" s="10" t="s">
        <v>22</v>
      </c>
    </row>
    <row r="53" spans="1:9" hidden="1">
      <c r="A53" t="s">
        <v>152</v>
      </c>
      <c r="B53" t="s">
        <v>3269</v>
      </c>
      <c r="C53" t="s">
        <v>11</v>
      </c>
      <c r="D53" s="2">
        <v>4320</v>
      </c>
      <c r="E53">
        <f>VLOOKUP(I53,Calc!$I$35:$J$39,2,FALSE)</f>
        <v>2.5</v>
      </c>
      <c r="G53" s="10" t="s">
        <v>12</v>
      </c>
      <c r="H53" s="10" t="s">
        <v>153</v>
      </c>
      <c r="I53" s="10" t="s">
        <v>36</v>
      </c>
    </row>
    <row r="54" spans="1:9">
      <c r="A54" t="s">
        <v>154</v>
      </c>
      <c r="B54" t="s">
        <v>3268</v>
      </c>
      <c r="C54" t="s">
        <v>29</v>
      </c>
      <c r="D54" s="2">
        <v>62000</v>
      </c>
      <c r="E54">
        <f>VLOOKUP(I54,Calc!$I$35:$J$39,2,FALSE)</f>
        <v>5</v>
      </c>
      <c r="G54" s="10" t="s">
        <v>30</v>
      </c>
      <c r="H54" s="10" t="s">
        <v>10</v>
      </c>
      <c r="I54" s="10" t="s">
        <v>14</v>
      </c>
    </row>
    <row r="55" spans="1:9" hidden="1">
      <c r="A55" t="s">
        <v>155</v>
      </c>
      <c r="B55" t="s">
        <v>3268</v>
      </c>
      <c r="C55" t="s">
        <v>11</v>
      </c>
      <c r="D55" s="2">
        <v>7500</v>
      </c>
      <c r="E55">
        <f>VLOOKUP(I55,Calc!$I$35:$J$39,2,FALSE)</f>
        <v>5</v>
      </c>
      <c r="G55" s="10" t="s">
        <v>12</v>
      </c>
      <c r="H55" s="10" t="s">
        <v>10</v>
      </c>
      <c r="I55" s="10" t="s">
        <v>14</v>
      </c>
    </row>
    <row r="56" spans="1:9" hidden="1">
      <c r="A56" t="s">
        <v>156</v>
      </c>
      <c r="B56" t="s">
        <v>3267</v>
      </c>
      <c r="C56" t="s">
        <v>19</v>
      </c>
      <c r="D56" s="2">
        <v>28371.208897211112</v>
      </c>
      <c r="E56">
        <f>VLOOKUP(I56,Calc!$I$35:$J$39,2,FALSE)</f>
        <v>1.5</v>
      </c>
      <c r="G56" s="10" t="s">
        <v>107</v>
      </c>
      <c r="H56" s="10" t="s">
        <v>157</v>
      </c>
      <c r="I56" s="10" t="s">
        <v>47</v>
      </c>
    </row>
    <row r="57" spans="1:9" hidden="1">
      <c r="A57" t="s">
        <v>158</v>
      </c>
      <c r="B57" t="s">
        <v>3267</v>
      </c>
      <c r="C57" t="s">
        <v>19</v>
      </c>
      <c r="D57" s="2">
        <v>62249.572510588783</v>
      </c>
      <c r="E57">
        <f>VLOOKUP(I57,Calc!$I$35:$J$39,2,FALSE)</f>
        <v>2.5</v>
      </c>
      <c r="G57" s="10" t="s">
        <v>159</v>
      </c>
      <c r="H57" s="10" t="s">
        <v>160</v>
      </c>
      <c r="I57" s="10" t="s">
        <v>36</v>
      </c>
    </row>
    <row r="58" spans="1:9">
      <c r="A58" t="s">
        <v>161</v>
      </c>
      <c r="B58" t="s">
        <v>3268</v>
      </c>
      <c r="C58" t="s">
        <v>29</v>
      </c>
      <c r="D58" s="2">
        <v>38000</v>
      </c>
      <c r="E58">
        <f>VLOOKUP(I58,Calc!$I$35:$J$39,2,FALSE)</f>
        <v>5</v>
      </c>
      <c r="G58" s="10" t="s">
        <v>30</v>
      </c>
      <c r="H58" s="10" t="s">
        <v>162</v>
      </c>
      <c r="I58" s="10" t="s">
        <v>14</v>
      </c>
    </row>
    <row r="59" spans="1:9" hidden="1">
      <c r="A59" t="s">
        <v>163</v>
      </c>
      <c r="B59" t="s">
        <v>3265</v>
      </c>
      <c r="C59" t="s">
        <v>29</v>
      </c>
      <c r="D59" s="2">
        <v>41000</v>
      </c>
      <c r="E59">
        <f>VLOOKUP(I59,Calc!$I$35:$J$39,2,FALSE)</f>
        <v>5</v>
      </c>
      <c r="G59" s="10" t="s">
        <v>30</v>
      </c>
      <c r="H59" s="10" t="s">
        <v>59</v>
      </c>
      <c r="I59" s="10" t="s">
        <v>14</v>
      </c>
    </row>
    <row r="60" spans="1:9">
      <c r="A60" t="s">
        <v>164</v>
      </c>
      <c r="B60" t="s">
        <v>3268</v>
      </c>
      <c r="C60" t="s">
        <v>29</v>
      </c>
      <c r="D60" s="2">
        <v>68000</v>
      </c>
      <c r="E60">
        <f>VLOOKUP(I60,Calc!$I$35:$J$39,2,FALSE)</f>
        <v>8</v>
      </c>
      <c r="G60" s="10" t="s">
        <v>30</v>
      </c>
      <c r="H60" s="10" t="s">
        <v>165</v>
      </c>
      <c r="I60" s="10" t="s">
        <v>22</v>
      </c>
    </row>
    <row r="61" spans="1:9">
      <c r="A61" t="s">
        <v>166</v>
      </c>
      <c r="B61" t="s">
        <v>3268</v>
      </c>
      <c r="C61" t="s">
        <v>29</v>
      </c>
      <c r="D61" s="2">
        <v>55068.245289698301</v>
      </c>
      <c r="E61">
        <f>VLOOKUP(I61,Calc!$I$35:$J$39,2,FALSE)</f>
        <v>8</v>
      </c>
      <c r="G61" s="10" t="s">
        <v>128</v>
      </c>
      <c r="H61" s="10" t="s">
        <v>167</v>
      </c>
      <c r="I61" s="10" t="s">
        <v>22</v>
      </c>
    </row>
    <row r="62" spans="1:9" hidden="1">
      <c r="A62" t="s">
        <v>168</v>
      </c>
      <c r="B62" t="s">
        <v>3267</v>
      </c>
      <c r="C62" t="s">
        <v>3248</v>
      </c>
      <c r="D62" s="2">
        <v>61000</v>
      </c>
      <c r="E62">
        <f>VLOOKUP(I62,Calc!$I$35:$J$39,2,FALSE)</f>
        <v>8</v>
      </c>
      <c r="G62" s="10" t="s">
        <v>169</v>
      </c>
      <c r="H62" s="10" t="s">
        <v>170</v>
      </c>
      <c r="I62" s="10" t="s">
        <v>22</v>
      </c>
    </row>
    <row r="63" spans="1:9" hidden="1">
      <c r="A63" t="s">
        <v>171</v>
      </c>
      <c r="B63" t="s">
        <v>3264</v>
      </c>
      <c r="C63" t="s">
        <v>19</v>
      </c>
      <c r="D63" s="2">
        <v>54627.175876639136</v>
      </c>
      <c r="E63">
        <f>VLOOKUP(I63,Calc!$I$35:$J$39,2,FALSE)</f>
        <v>5</v>
      </c>
      <c r="G63" s="10" t="s">
        <v>159</v>
      </c>
      <c r="H63" s="10" t="s">
        <v>172</v>
      </c>
      <c r="I63" s="10" t="s">
        <v>14</v>
      </c>
    </row>
    <row r="64" spans="1:9" hidden="1">
      <c r="A64" t="s">
        <v>173</v>
      </c>
      <c r="B64" t="s">
        <v>3267</v>
      </c>
      <c r="C64" t="s">
        <v>29</v>
      </c>
      <c r="D64" s="2">
        <v>85000</v>
      </c>
      <c r="E64">
        <f>VLOOKUP(I64,Calc!$I$35:$J$39,2,FALSE)</f>
        <v>5</v>
      </c>
      <c r="G64" s="10" t="s">
        <v>30</v>
      </c>
      <c r="H64" s="10" t="s">
        <v>44</v>
      </c>
      <c r="I64" s="10" t="s">
        <v>14</v>
      </c>
    </row>
    <row r="65" spans="1:9" hidden="1">
      <c r="A65" t="s">
        <v>174</v>
      </c>
      <c r="B65" t="s">
        <v>3268</v>
      </c>
      <c r="C65" t="s">
        <v>19</v>
      </c>
      <c r="D65" s="2">
        <v>48275.178681681093</v>
      </c>
      <c r="E65">
        <f>VLOOKUP(I65,Calc!$I$35:$J$39,2,FALSE)</f>
        <v>1.5</v>
      </c>
      <c r="G65" s="10" t="s">
        <v>143</v>
      </c>
      <c r="H65" s="10" t="s">
        <v>175</v>
      </c>
      <c r="I65" s="10" t="s">
        <v>47</v>
      </c>
    </row>
    <row r="66" spans="1:9" hidden="1">
      <c r="A66" t="s">
        <v>176</v>
      </c>
      <c r="B66" t="s">
        <v>3249</v>
      </c>
      <c r="C66" t="s">
        <v>32</v>
      </c>
      <c r="D66" s="2">
        <v>86692.320794224041</v>
      </c>
      <c r="E66">
        <f>VLOOKUP(I66,Calc!$I$35:$J$39,2,FALSE)</f>
        <v>5</v>
      </c>
      <c r="G66" s="10" t="s">
        <v>123</v>
      </c>
      <c r="H66" s="10" t="s">
        <v>177</v>
      </c>
      <c r="I66" s="10" t="s">
        <v>14</v>
      </c>
    </row>
    <row r="67" spans="1:9">
      <c r="A67" t="s">
        <v>178</v>
      </c>
      <c r="B67" t="s">
        <v>3268</v>
      </c>
      <c r="C67" t="s">
        <v>29</v>
      </c>
      <c r="D67" s="2">
        <v>85087</v>
      </c>
      <c r="E67">
        <f>VLOOKUP(I67,Calc!$I$35:$J$39,2,FALSE)</f>
        <v>2.5</v>
      </c>
      <c r="G67" s="10" t="s">
        <v>30</v>
      </c>
      <c r="H67" s="10" t="s">
        <v>179</v>
      </c>
      <c r="I67" s="10" t="s">
        <v>36</v>
      </c>
    </row>
    <row r="68" spans="1:9">
      <c r="A68" t="s">
        <v>180</v>
      </c>
      <c r="B68" t="s">
        <v>3268</v>
      </c>
      <c r="C68" t="s">
        <v>29</v>
      </c>
      <c r="D68" s="2">
        <v>50000</v>
      </c>
      <c r="E68">
        <f>VLOOKUP(I68,Calc!$I$35:$J$39,2,FALSE)</f>
        <v>8</v>
      </c>
      <c r="G68" s="10" t="s">
        <v>30</v>
      </c>
      <c r="H68" s="10" t="s">
        <v>181</v>
      </c>
      <c r="I68" s="10" t="s">
        <v>22</v>
      </c>
    </row>
    <row r="69" spans="1:9" hidden="1">
      <c r="A69" t="s">
        <v>182</v>
      </c>
      <c r="B69" t="s">
        <v>3267</v>
      </c>
      <c r="C69" t="s">
        <v>42</v>
      </c>
      <c r="D69" s="2">
        <v>100000</v>
      </c>
      <c r="E69">
        <f>VLOOKUP(I69,Calc!$I$35:$J$39,2,FALSE)</f>
        <v>5</v>
      </c>
      <c r="G69" s="10" t="s">
        <v>78</v>
      </c>
      <c r="H69" s="10" t="s">
        <v>183</v>
      </c>
      <c r="I69" s="10" t="s">
        <v>14</v>
      </c>
    </row>
    <row r="70" spans="1:9">
      <c r="A70" t="s">
        <v>184</v>
      </c>
      <c r="B70" t="s">
        <v>3268</v>
      </c>
      <c r="C70" t="s">
        <v>29</v>
      </c>
      <c r="D70" s="2">
        <v>57000</v>
      </c>
      <c r="E70">
        <f>VLOOKUP(I70,Calc!$I$35:$J$39,2,FALSE)</f>
        <v>5</v>
      </c>
      <c r="G70" s="10" t="s">
        <v>30</v>
      </c>
      <c r="H70" s="10" t="s">
        <v>185</v>
      </c>
      <c r="I70" s="10" t="s">
        <v>14</v>
      </c>
    </row>
    <row r="71" spans="1:9" hidden="1">
      <c r="A71" t="s">
        <v>186</v>
      </c>
      <c r="B71" t="s">
        <v>3267</v>
      </c>
      <c r="C71" t="s">
        <v>29</v>
      </c>
      <c r="D71" s="2">
        <v>75000</v>
      </c>
      <c r="E71">
        <f>VLOOKUP(I71,Calc!$I$35:$J$39,2,FALSE)</f>
        <v>8</v>
      </c>
      <c r="G71" s="10" t="s">
        <v>30</v>
      </c>
      <c r="H71" s="10" t="s">
        <v>187</v>
      </c>
      <c r="I71" s="10" t="s">
        <v>22</v>
      </c>
    </row>
    <row r="72" spans="1:9" hidden="1">
      <c r="A72" t="s">
        <v>188</v>
      </c>
      <c r="B72" t="s">
        <v>3267</v>
      </c>
      <c r="C72" t="s">
        <v>32</v>
      </c>
      <c r="D72" s="2">
        <v>101990.96564026357</v>
      </c>
      <c r="E72">
        <f>VLOOKUP(I72,Calc!$I$35:$J$39,2,FALSE)</f>
        <v>5</v>
      </c>
      <c r="G72" s="10" t="s">
        <v>123</v>
      </c>
      <c r="H72" s="10" t="s">
        <v>189</v>
      </c>
      <c r="I72" s="10" t="s">
        <v>14</v>
      </c>
    </row>
    <row r="73" spans="1:9" hidden="1">
      <c r="A73" t="s">
        <v>190</v>
      </c>
      <c r="B73" t="s">
        <v>3267</v>
      </c>
      <c r="C73" t="s">
        <v>48</v>
      </c>
      <c r="D73" s="2">
        <v>33420</v>
      </c>
      <c r="E73">
        <f>VLOOKUP(I73,Calc!$I$35:$J$39,2,FALSE)</f>
        <v>8</v>
      </c>
      <c r="G73" s="10" t="s">
        <v>191</v>
      </c>
      <c r="H73" s="10" t="s">
        <v>192</v>
      </c>
      <c r="I73" s="10" t="s">
        <v>22</v>
      </c>
    </row>
    <row r="74" spans="1:9" hidden="1">
      <c r="A74" t="s">
        <v>193</v>
      </c>
      <c r="B74" t="s">
        <v>3265</v>
      </c>
      <c r="C74" t="s">
        <v>29</v>
      </c>
      <c r="D74" s="2">
        <v>58460.842544152933</v>
      </c>
      <c r="E74">
        <f>VLOOKUP(I74,Calc!$I$35:$J$39,2,FALSE)</f>
        <v>8</v>
      </c>
      <c r="G74" s="10" t="s">
        <v>128</v>
      </c>
      <c r="H74" s="10" t="s">
        <v>194</v>
      </c>
      <c r="I74" s="10" t="s">
        <v>22</v>
      </c>
    </row>
    <row r="75" spans="1:9" hidden="1">
      <c r="A75" t="s">
        <v>195</v>
      </c>
      <c r="B75" t="s">
        <v>3264</v>
      </c>
      <c r="C75" t="s">
        <v>29</v>
      </c>
      <c r="D75" s="2">
        <v>15000</v>
      </c>
      <c r="E75">
        <f>VLOOKUP(I75,Calc!$I$35:$J$39,2,FALSE)</f>
        <v>8</v>
      </c>
      <c r="G75" s="10" t="s">
        <v>30</v>
      </c>
      <c r="H75" s="10" t="s">
        <v>196</v>
      </c>
      <c r="I75" s="10" t="s">
        <v>22</v>
      </c>
    </row>
    <row r="76" spans="1:9">
      <c r="A76" t="s">
        <v>197</v>
      </c>
      <c r="B76" t="s">
        <v>3268</v>
      </c>
      <c r="C76" t="s">
        <v>29</v>
      </c>
      <c r="D76" s="2">
        <v>60000</v>
      </c>
      <c r="E76">
        <f>VLOOKUP(I76,Calc!$I$35:$J$39,2,FALSE)</f>
        <v>1.5</v>
      </c>
      <c r="G76" s="10" t="s">
        <v>128</v>
      </c>
      <c r="H76" s="10" t="s">
        <v>198</v>
      </c>
      <c r="I76" s="10" t="s">
        <v>47</v>
      </c>
    </row>
    <row r="77" spans="1:9" hidden="1">
      <c r="A77" t="s">
        <v>199</v>
      </c>
      <c r="B77" t="s">
        <v>3268</v>
      </c>
      <c r="C77" t="s">
        <v>19</v>
      </c>
      <c r="D77" s="2">
        <v>157617.8272067284</v>
      </c>
      <c r="E77">
        <f>VLOOKUP(I77,Calc!$I$35:$J$39,2,FALSE)</f>
        <v>2.5</v>
      </c>
      <c r="G77" s="10" t="s">
        <v>107</v>
      </c>
      <c r="H77" s="10" t="s">
        <v>10</v>
      </c>
      <c r="I77" s="10" t="s">
        <v>36</v>
      </c>
    </row>
    <row r="78" spans="1:9" hidden="1">
      <c r="A78" t="s">
        <v>200</v>
      </c>
      <c r="B78" t="s">
        <v>3268</v>
      </c>
      <c r="C78" t="s">
        <v>48</v>
      </c>
      <c r="D78" s="2">
        <v>18000</v>
      </c>
      <c r="E78">
        <f>VLOOKUP(I78,Calc!$I$35:$J$39,2,FALSE)</f>
        <v>8</v>
      </c>
      <c r="G78" s="10" t="s">
        <v>201</v>
      </c>
      <c r="H78" s="10" t="s">
        <v>202</v>
      </c>
      <c r="I78" s="10" t="s">
        <v>22</v>
      </c>
    </row>
    <row r="79" spans="1:9" hidden="1">
      <c r="A79" t="s">
        <v>203</v>
      </c>
      <c r="B79" t="s">
        <v>3267</v>
      </c>
      <c r="C79" t="s">
        <v>29</v>
      </c>
      <c r="D79" s="2">
        <v>50000</v>
      </c>
      <c r="E79">
        <f>VLOOKUP(I79,Calc!$I$35:$J$39,2,FALSE)</f>
        <v>2.5</v>
      </c>
      <c r="G79" s="10" t="s">
        <v>30</v>
      </c>
      <c r="H79" s="10" t="s">
        <v>204</v>
      </c>
      <c r="I79" s="10" t="s">
        <v>36</v>
      </c>
    </row>
    <row r="80" spans="1:9" hidden="1">
      <c r="A80" t="s">
        <v>205</v>
      </c>
      <c r="B80" t="s">
        <v>3268</v>
      </c>
      <c r="C80" t="s">
        <v>3248</v>
      </c>
      <c r="D80" s="2">
        <v>26000</v>
      </c>
      <c r="E80">
        <f>VLOOKUP(I80,Calc!$I$35:$J$39,2,FALSE)</f>
        <v>8</v>
      </c>
      <c r="G80" s="10" t="s">
        <v>206</v>
      </c>
      <c r="H80" s="10" t="s">
        <v>207</v>
      </c>
      <c r="I80" s="10" t="s">
        <v>22</v>
      </c>
    </row>
    <row r="81" spans="1:9" hidden="1">
      <c r="A81" t="s">
        <v>208</v>
      </c>
      <c r="B81" t="s">
        <v>3267</v>
      </c>
      <c r="C81" t="s">
        <v>19</v>
      </c>
      <c r="D81" s="2">
        <v>47285.348162018527</v>
      </c>
      <c r="E81">
        <f>VLOOKUP(I81,Calc!$I$35:$J$39,2,FALSE)</f>
        <v>5</v>
      </c>
      <c r="G81" s="10" t="s">
        <v>107</v>
      </c>
      <c r="H81" s="10" t="s">
        <v>209</v>
      </c>
      <c r="I81" s="10" t="s">
        <v>14</v>
      </c>
    </row>
    <row r="82" spans="1:9" hidden="1">
      <c r="A82" t="s">
        <v>210</v>
      </c>
      <c r="B82" t="s">
        <v>3249</v>
      </c>
      <c r="C82" t="s">
        <v>29</v>
      </c>
      <c r="D82" s="2">
        <v>150000</v>
      </c>
      <c r="E82">
        <f>VLOOKUP(I82,Calc!$I$35:$J$39,2,FALSE)</f>
        <v>8</v>
      </c>
      <c r="G82" s="10" t="s">
        <v>30</v>
      </c>
      <c r="H82" s="10" t="s">
        <v>211</v>
      </c>
      <c r="I82" s="10" t="s">
        <v>22</v>
      </c>
    </row>
    <row r="83" spans="1:9" hidden="1">
      <c r="A83" t="s">
        <v>212</v>
      </c>
      <c r="B83" t="s">
        <v>3267</v>
      </c>
      <c r="C83" t="s">
        <v>29</v>
      </c>
      <c r="D83" s="2">
        <v>120000</v>
      </c>
      <c r="E83">
        <f>VLOOKUP(I83,Calc!$I$35:$J$39,2,FALSE)</f>
        <v>5</v>
      </c>
      <c r="G83" s="10" t="s">
        <v>30</v>
      </c>
      <c r="H83" s="10" t="s">
        <v>213</v>
      </c>
      <c r="I83" s="10" t="s">
        <v>14</v>
      </c>
    </row>
    <row r="84" spans="1:9" hidden="1">
      <c r="A84" t="s">
        <v>214</v>
      </c>
      <c r="B84" t="s">
        <v>3264</v>
      </c>
      <c r="C84" t="s">
        <v>11</v>
      </c>
      <c r="D84" s="2">
        <v>8903.9583437212841</v>
      </c>
      <c r="E84">
        <f>VLOOKUP(I84,Calc!$I$35:$J$39,2,FALSE)</f>
        <v>8</v>
      </c>
      <c r="G84" s="10" t="s">
        <v>12</v>
      </c>
      <c r="H84" s="10" t="s">
        <v>112</v>
      </c>
      <c r="I84" s="10" t="s">
        <v>22</v>
      </c>
    </row>
    <row r="85" spans="1:9" hidden="1">
      <c r="A85" t="s">
        <v>215</v>
      </c>
      <c r="B85" t="s">
        <v>3268</v>
      </c>
      <c r="C85" t="s">
        <v>3248</v>
      </c>
      <c r="D85" s="2">
        <v>31330</v>
      </c>
      <c r="E85">
        <f>VLOOKUP(I85,Calc!$I$35:$J$39,2,FALSE)</f>
        <v>8</v>
      </c>
      <c r="G85" s="10" t="s">
        <v>216</v>
      </c>
      <c r="H85" s="10" t="s">
        <v>217</v>
      </c>
      <c r="I85" s="10" t="s">
        <v>22</v>
      </c>
    </row>
    <row r="86" spans="1:9" hidden="1">
      <c r="A86" t="s">
        <v>218</v>
      </c>
      <c r="B86" t="s">
        <v>3266</v>
      </c>
      <c r="C86" t="s">
        <v>29</v>
      </c>
      <c r="D86" s="2">
        <v>110000</v>
      </c>
      <c r="E86">
        <f>VLOOKUP(I86,Calc!$I$35:$J$39,2,FALSE)</f>
        <v>2.5</v>
      </c>
      <c r="G86" s="10" t="s">
        <v>30</v>
      </c>
      <c r="H86" s="10" t="s">
        <v>219</v>
      </c>
      <c r="I86" s="10" t="s">
        <v>36</v>
      </c>
    </row>
    <row r="87" spans="1:9" hidden="1">
      <c r="A87" t="s">
        <v>220</v>
      </c>
      <c r="B87" t="s">
        <v>3264</v>
      </c>
      <c r="C87" t="s">
        <v>19</v>
      </c>
      <c r="D87" s="2">
        <v>81000</v>
      </c>
      <c r="E87">
        <f>VLOOKUP(I87,Calc!$I$35:$J$39,2,FALSE)</f>
        <v>5</v>
      </c>
      <c r="G87" s="10" t="s">
        <v>107</v>
      </c>
      <c r="H87" s="10" t="s">
        <v>221</v>
      </c>
      <c r="I87" s="10" t="s">
        <v>14</v>
      </c>
    </row>
    <row r="88" spans="1:9">
      <c r="A88" t="s">
        <v>222</v>
      </c>
      <c r="B88" t="s">
        <v>3268</v>
      </c>
      <c r="C88" t="s">
        <v>29</v>
      </c>
      <c r="D88" s="2">
        <v>40000</v>
      </c>
      <c r="E88">
        <f>VLOOKUP(I88,Calc!$I$35:$J$39,2,FALSE)</f>
        <v>5</v>
      </c>
      <c r="G88" s="10" t="s">
        <v>30</v>
      </c>
      <c r="H88" s="10" t="s">
        <v>223</v>
      </c>
      <c r="I88" s="10" t="s">
        <v>14</v>
      </c>
    </row>
    <row r="89" spans="1:9">
      <c r="A89" t="s">
        <v>224</v>
      </c>
      <c r="B89" t="s">
        <v>3268</v>
      </c>
      <c r="C89" t="s">
        <v>29</v>
      </c>
      <c r="D89" s="2">
        <v>41301.183967273726</v>
      </c>
      <c r="E89">
        <f>VLOOKUP(I89,Calc!$I$35:$J$39,2,FALSE)</f>
        <v>5</v>
      </c>
      <c r="G89" s="10" t="s">
        <v>128</v>
      </c>
      <c r="H89" s="10" t="s">
        <v>225</v>
      </c>
      <c r="I89" s="10" t="s">
        <v>14</v>
      </c>
    </row>
    <row r="90" spans="1:9" hidden="1">
      <c r="A90" t="s">
        <v>226</v>
      </c>
      <c r="B90" t="s">
        <v>3249</v>
      </c>
      <c r="C90" t="s">
        <v>29</v>
      </c>
      <c r="D90" s="2">
        <v>125000</v>
      </c>
      <c r="E90">
        <f>VLOOKUP(I90,Calc!$I$35:$J$39,2,FALSE)</f>
        <v>5</v>
      </c>
      <c r="G90" s="10" t="s">
        <v>30</v>
      </c>
      <c r="H90" s="10" t="s">
        <v>227</v>
      </c>
      <c r="I90" s="10" t="s">
        <v>14</v>
      </c>
    </row>
    <row r="91" spans="1:9" hidden="1">
      <c r="A91" t="s">
        <v>228</v>
      </c>
      <c r="B91" t="s">
        <v>3267</v>
      </c>
      <c r="C91" t="s">
        <v>29</v>
      </c>
      <c r="D91" s="2">
        <v>36000</v>
      </c>
      <c r="E91">
        <f>VLOOKUP(I91,Calc!$I$35:$J$39,2,FALSE)</f>
        <v>2.5</v>
      </c>
      <c r="G91" s="10" t="s">
        <v>30</v>
      </c>
      <c r="H91" s="10" t="s">
        <v>229</v>
      </c>
      <c r="I91" s="10" t="s">
        <v>36</v>
      </c>
    </row>
    <row r="92" spans="1:9" hidden="1">
      <c r="A92" t="s">
        <v>230</v>
      </c>
      <c r="B92" t="s">
        <v>3264</v>
      </c>
      <c r="C92" t="s">
        <v>11</v>
      </c>
      <c r="D92" s="2">
        <v>2564.3400029917298</v>
      </c>
      <c r="E92">
        <f>VLOOKUP(I92,Calc!$I$35:$J$39,2,FALSE)</f>
        <v>1.5</v>
      </c>
      <c r="G92" s="10" t="s">
        <v>12</v>
      </c>
      <c r="H92" s="10" t="s">
        <v>231</v>
      </c>
      <c r="I92" s="10" t="s">
        <v>47</v>
      </c>
    </row>
    <row r="93" spans="1:9">
      <c r="A93" t="s">
        <v>232</v>
      </c>
      <c r="B93" t="s">
        <v>3268</v>
      </c>
      <c r="C93" t="s">
        <v>29</v>
      </c>
      <c r="D93" s="2">
        <v>75000</v>
      </c>
      <c r="E93">
        <f>VLOOKUP(I93,Calc!$I$35:$J$39,2,FALSE)</f>
        <v>1.5</v>
      </c>
      <c r="G93" s="10" t="s">
        <v>30</v>
      </c>
      <c r="H93" s="10" t="s">
        <v>233</v>
      </c>
      <c r="I93" s="10" t="s">
        <v>47</v>
      </c>
    </row>
    <row r="94" spans="1:9" hidden="1">
      <c r="A94" t="s">
        <v>234</v>
      </c>
      <c r="B94" t="s">
        <v>3249</v>
      </c>
      <c r="C94" t="s">
        <v>29</v>
      </c>
      <c r="D94" s="2">
        <v>95000</v>
      </c>
      <c r="E94">
        <f>VLOOKUP(I94,Calc!$I$35:$J$39,2,FALSE)</f>
        <v>5</v>
      </c>
      <c r="G94" s="10" t="s">
        <v>30</v>
      </c>
      <c r="H94" s="10" t="s">
        <v>54</v>
      </c>
      <c r="I94" s="10" t="s">
        <v>14</v>
      </c>
    </row>
    <row r="95" spans="1:9" hidden="1">
      <c r="A95" t="s">
        <v>235</v>
      </c>
      <c r="B95" t="s">
        <v>3267</v>
      </c>
      <c r="C95" t="s">
        <v>29</v>
      </c>
      <c r="D95" s="2">
        <v>24000</v>
      </c>
      <c r="E95">
        <f>VLOOKUP(I95,Calc!$I$35:$J$39,2,FALSE)</f>
        <v>2.5</v>
      </c>
      <c r="G95" s="10" t="s">
        <v>30</v>
      </c>
      <c r="H95" s="10" t="s">
        <v>236</v>
      </c>
      <c r="I95" s="10" t="s">
        <v>36</v>
      </c>
    </row>
    <row r="96" spans="1:9" hidden="1">
      <c r="A96" t="s">
        <v>237</v>
      </c>
      <c r="B96" t="s">
        <v>3267</v>
      </c>
      <c r="C96" t="s">
        <v>29</v>
      </c>
      <c r="D96" s="2">
        <v>91000</v>
      </c>
      <c r="E96">
        <f>VLOOKUP(I96,Calc!$I$35:$J$39,2,FALSE)</f>
        <v>1.5</v>
      </c>
      <c r="G96" s="10" t="s">
        <v>30</v>
      </c>
      <c r="H96" s="10" t="s">
        <v>238</v>
      </c>
      <c r="I96" s="10" t="s">
        <v>47</v>
      </c>
    </row>
    <row r="97" spans="1:9">
      <c r="A97" t="s">
        <v>239</v>
      </c>
      <c r="B97" t="s">
        <v>3268</v>
      </c>
      <c r="C97" t="s">
        <v>29</v>
      </c>
      <c r="D97" s="2">
        <v>40000</v>
      </c>
      <c r="E97">
        <f>VLOOKUP(I97,Calc!$I$35:$J$39,2,FALSE)</f>
        <v>5</v>
      </c>
      <c r="G97" s="10" t="s">
        <v>30</v>
      </c>
      <c r="H97" s="10" t="s">
        <v>240</v>
      </c>
      <c r="I97" s="10" t="s">
        <v>14</v>
      </c>
    </row>
    <row r="98" spans="1:9" hidden="1">
      <c r="A98" t="s">
        <v>241</v>
      </c>
      <c r="B98" t="s">
        <v>3267</v>
      </c>
      <c r="C98" t="s">
        <v>29</v>
      </c>
      <c r="D98" s="2">
        <v>57000</v>
      </c>
      <c r="E98">
        <f>VLOOKUP(I98,Calc!$I$35:$J$39,2,FALSE)</f>
        <v>5</v>
      </c>
      <c r="G98" s="10" t="s">
        <v>30</v>
      </c>
      <c r="H98" s="10" t="s">
        <v>242</v>
      </c>
      <c r="I98" s="10" t="s">
        <v>14</v>
      </c>
    </row>
    <row r="99" spans="1:9" hidden="1">
      <c r="A99" t="s">
        <v>243</v>
      </c>
      <c r="B99" t="s">
        <v>3264</v>
      </c>
      <c r="C99" t="s">
        <v>29</v>
      </c>
      <c r="D99" s="2">
        <v>74000</v>
      </c>
      <c r="E99">
        <f>VLOOKUP(I99,Calc!$I$35:$J$39,2,FALSE)</f>
        <v>5</v>
      </c>
      <c r="G99" s="10" t="s">
        <v>30</v>
      </c>
      <c r="H99" s="10" t="s">
        <v>112</v>
      </c>
      <c r="I99" s="10" t="s">
        <v>14</v>
      </c>
    </row>
    <row r="100" spans="1:9">
      <c r="A100" t="s">
        <v>244</v>
      </c>
      <c r="B100" t="s">
        <v>3268</v>
      </c>
      <c r="C100" t="s">
        <v>29</v>
      </c>
      <c r="D100" s="2">
        <v>80000</v>
      </c>
      <c r="E100">
        <f>VLOOKUP(I100,Calc!$I$35:$J$39,2,FALSE)</f>
        <v>5</v>
      </c>
      <c r="G100" s="10" t="s">
        <v>30</v>
      </c>
      <c r="H100" s="10" t="s">
        <v>245</v>
      </c>
      <c r="I100" s="10" t="s">
        <v>14</v>
      </c>
    </row>
    <row r="101" spans="1:9" hidden="1">
      <c r="A101" t="s">
        <v>246</v>
      </c>
      <c r="B101" t="s">
        <v>3265</v>
      </c>
      <c r="C101" t="s">
        <v>29</v>
      </c>
      <c r="D101" s="2">
        <v>90000</v>
      </c>
      <c r="E101">
        <f>VLOOKUP(I101,Calc!$I$35:$J$39,2,FALSE)</f>
        <v>5</v>
      </c>
      <c r="G101" s="10" t="s">
        <v>30</v>
      </c>
      <c r="H101" s="10" t="s">
        <v>247</v>
      </c>
      <c r="I101" s="10" t="s">
        <v>14</v>
      </c>
    </row>
    <row r="102" spans="1:9" hidden="1">
      <c r="A102" t="s">
        <v>248</v>
      </c>
      <c r="B102" t="s">
        <v>3268</v>
      </c>
      <c r="C102" t="s">
        <v>48</v>
      </c>
      <c r="D102" s="2">
        <v>21000</v>
      </c>
      <c r="E102">
        <f>VLOOKUP(I102,Calc!$I$35:$J$39,2,FALSE)</f>
        <v>1.5</v>
      </c>
      <c r="G102" s="10" t="s">
        <v>249</v>
      </c>
      <c r="H102" s="10" t="s">
        <v>250</v>
      </c>
      <c r="I102" s="10" t="s">
        <v>47</v>
      </c>
    </row>
    <row r="103" spans="1:9" hidden="1">
      <c r="A103" t="s">
        <v>251</v>
      </c>
      <c r="B103" t="s">
        <v>3267</v>
      </c>
      <c r="C103" t="s">
        <v>29</v>
      </c>
      <c r="D103" s="2">
        <v>52000</v>
      </c>
      <c r="E103">
        <f>VLOOKUP(I103,Calc!$I$35:$J$39,2,FALSE)</f>
        <v>5</v>
      </c>
      <c r="G103" s="10" t="s">
        <v>30</v>
      </c>
      <c r="H103" s="10" t="s">
        <v>252</v>
      </c>
      <c r="I103" s="10" t="s">
        <v>14</v>
      </c>
    </row>
    <row r="104" spans="1:9" hidden="1">
      <c r="A104" t="s">
        <v>253</v>
      </c>
      <c r="B104" t="s">
        <v>3268</v>
      </c>
      <c r="C104" t="s">
        <v>3248</v>
      </c>
      <c r="D104" s="2">
        <v>19200</v>
      </c>
      <c r="E104">
        <f>VLOOKUP(I104,Calc!$I$35:$J$39,2,FALSE)</f>
        <v>5</v>
      </c>
      <c r="G104" s="10" t="s">
        <v>254</v>
      </c>
      <c r="H104" s="10" t="s">
        <v>255</v>
      </c>
      <c r="I104" s="10" t="s">
        <v>14</v>
      </c>
    </row>
    <row r="105" spans="1:9">
      <c r="A105" t="s">
        <v>256</v>
      </c>
      <c r="B105" t="s">
        <v>3268</v>
      </c>
      <c r="C105" t="s">
        <v>29</v>
      </c>
      <c r="D105" s="2">
        <v>36000</v>
      </c>
      <c r="E105">
        <f>VLOOKUP(I105,Calc!$I$35:$J$39,2,FALSE)</f>
        <v>5</v>
      </c>
      <c r="G105" s="10" t="s">
        <v>30</v>
      </c>
      <c r="H105" s="10" t="s">
        <v>10</v>
      </c>
      <c r="I105" s="10" t="s">
        <v>14</v>
      </c>
    </row>
    <row r="106" spans="1:9">
      <c r="A106" t="s">
        <v>257</v>
      </c>
      <c r="B106" t="s">
        <v>3268</v>
      </c>
      <c r="C106" t="s">
        <v>29</v>
      </c>
      <c r="D106" s="2">
        <v>57400</v>
      </c>
      <c r="E106">
        <f>VLOOKUP(I106,Calc!$I$35:$J$39,2,FALSE)</f>
        <v>5</v>
      </c>
      <c r="G106" s="10" t="s">
        <v>30</v>
      </c>
      <c r="H106" s="10" t="s">
        <v>258</v>
      </c>
      <c r="I106" s="10" t="s">
        <v>14</v>
      </c>
    </row>
    <row r="107" spans="1:9">
      <c r="A107" t="s">
        <v>259</v>
      </c>
      <c r="B107" t="s">
        <v>3268</v>
      </c>
      <c r="C107" t="s">
        <v>29</v>
      </c>
      <c r="D107" s="2">
        <v>66000</v>
      </c>
      <c r="E107">
        <f>VLOOKUP(I107,Calc!$I$35:$J$39,2,FALSE)</f>
        <v>2.5</v>
      </c>
      <c r="G107" s="10" t="s">
        <v>30</v>
      </c>
      <c r="H107" s="10" t="s">
        <v>10</v>
      </c>
      <c r="I107" s="10" t="s">
        <v>36</v>
      </c>
    </row>
    <row r="108" spans="1:9" hidden="1">
      <c r="A108" t="s">
        <v>260</v>
      </c>
      <c r="B108" t="s">
        <v>3267</v>
      </c>
      <c r="C108" t="s">
        <v>19</v>
      </c>
      <c r="D108" s="2">
        <v>44463.980364706273</v>
      </c>
      <c r="E108">
        <f>VLOOKUP(I108,Calc!$I$35:$J$39,2,FALSE)</f>
        <v>5</v>
      </c>
      <c r="G108" s="10" t="s">
        <v>261</v>
      </c>
      <c r="H108" s="10" t="s">
        <v>262</v>
      </c>
      <c r="I108" s="10" t="s">
        <v>14</v>
      </c>
    </row>
    <row r="109" spans="1:9">
      <c r="A109" t="s">
        <v>263</v>
      </c>
      <c r="B109" t="s">
        <v>3268</v>
      </c>
      <c r="C109" t="s">
        <v>29</v>
      </c>
      <c r="D109" s="2">
        <v>85000</v>
      </c>
      <c r="E109">
        <f>VLOOKUP(I109,Calc!$I$35:$J$39,2,FALSE)</f>
        <v>5</v>
      </c>
      <c r="G109" s="10" t="s">
        <v>30</v>
      </c>
      <c r="H109" s="10" t="s">
        <v>264</v>
      </c>
      <c r="I109" s="10" t="s">
        <v>14</v>
      </c>
    </row>
    <row r="110" spans="1:9" hidden="1">
      <c r="A110" t="s">
        <v>265</v>
      </c>
      <c r="B110" t="s">
        <v>3265</v>
      </c>
      <c r="C110" t="s">
        <v>29</v>
      </c>
      <c r="D110" s="2">
        <v>50000</v>
      </c>
      <c r="E110">
        <f>VLOOKUP(I110,Calc!$I$35:$J$39,2,FALSE)</f>
        <v>5</v>
      </c>
      <c r="G110" s="10" t="s">
        <v>30</v>
      </c>
      <c r="H110" s="10" t="s">
        <v>266</v>
      </c>
      <c r="I110" s="10" t="s">
        <v>14</v>
      </c>
    </row>
    <row r="111" spans="1:9" hidden="1">
      <c r="A111" t="s">
        <v>267</v>
      </c>
      <c r="B111" t="s">
        <v>3267</v>
      </c>
      <c r="C111" t="s">
        <v>29</v>
      </c>
      <c r="D111" s="2">
        <v>58000</v>
      </c>
      <c r="E111">
        <f>VLOOKUP(I111,Calc!$I$35:$J$39,2,FALSE)</f>
        <v>5</v>
      </c>
      <c r="G111" s="10" t="s">
        <v>30</v>
      </c>
      <c r="H111" s="10" t="s">
        <v>268</v>
      </c>
      <c r="I111" s="10" t="s">
        <v>14</v>
      </c>
    </row>
    <row r="112" spans="1:9" hidden="1">
      <c r="A112" t="s">
        <v>269</v>
      </c>
      <c r="B112" t="s">
        <v>3269</v>
      </c>
      <c r="C112" t="s">
        <v>29</v>
      </c>
      <c r="D112" s="2">
        <v>37900</v>
      </c>
      <c r="E112">
        <f>VLOOKUP(I112,Calc!$I$35:$J$39,2,FALSE)</f>
        <v>8</v>
      </c>
      <c r="G112" s="10" t="s">
        <v>30</v>
      </c>
      <c r="H112" s="10" t="s">
        <v>270</v>
      </c>
      <c r="I112" s="10" t="s">
        <v>22</v>
      </c>
    </row>
    <row r="113" spans="1:9" hidden="1">
      <c r="A113" t="s">
        <v>271</v>
      </c>
      <c r="B113" t="s">
        <v>3267</v>
      </c>
      <c r="C113" t="s">
        <v>48</v>
      </c>
      <c r="D113" s="2">
        <v>48000</v>
      </c>
      <c r="E113">
        <f>VLOOKUP(I113,Calc!$I$35:$J$39,2,FALSE)</f>
        <v>2.5</v>
      </c>
      <c r="G113" s="10" t="s">
        <v>191</v>
      </c>
      <c r="H113" s="10" t="s">
        <v>272</v>
      </c>
      <c r="I113" s="10" t="s">
        <v>36</v>
      </c>
    </row>
    <row r="114" spans="1:9">
      <c r="A114" t="s">
        <v>273</v>
      </c>
      <c r="B114" t="s">
        <v>3268</v>
      </c>
      <c r="C114" t="s">
        <v>29</v>
      </c>
      <c r="D114" s="2">
        <v>67000</v>
      </c>
      <c r="E114">
        <f>VLOOKUP(I114,Calc!$I$35:$J$39,2,FALSE)</f>
        <v>5</v>
      </c>
      <c r="G114" s="10" t="s">
        <v>30</v>
      </c>
      <c r="H114" s="10" t="s">
        <v>274</v>
      </c>
      <c r="I114" s="10" t="s">
        <v>14</v>
      </c>
    </row>
    <row r="115" spans="1:9" hidden="1">
      <c r="A115" t="s">
        <v>275</v>
      </c>
      <c r="B115" t="s">
        <v>3263</v>
      </c>
      <c r="C115" t="s">
        <v>48</v>
      </c>
      <c r="D115" s="2">
        <v>85000</v>
      </c>
      <c r="E115">
        <f>VLOOKUP(I115,Calc!$I$35:$J$39,2,FALSE)</f>
        <v>5</v>
      </c>
      <c r="G115" s="10" t="s">
        <v>191</v>
      </c>
      <c r="H115" s="10" t="s">
        <v>276</v>
      </c>
      <c r="I115" s="10" t="s">
        <v>14</v>
      </c>
    </row>
    <row r="116" spans="1:9">
      <c r="A116" t="s">
        <v>277</v>
      </c>
      <c r="B116" t="s">
        <v>3268</v>
      </c>
      <c r="C116" t="s">
        <v>29</v>
      </c>
      <c r="D116" s="2">
        <v>56160</v>
      </c>
      <c r="E116">
        <f>VLOOKUP(I116,Calc!$I$35:$J$39,2,FALSE)</f>
        <v>5</v>
      </c>
      <c r="G116" s="10" t="s">
        <v>30</v>
      </c>
      <c r="H116" s="10" t="s">
        <v>278</v>
      </c>
      <c r="I116" s="10" t="s">
        <v>14</v>
      </c>
    </row>
    <row r="117" spans="1:9" hidden="1">
      <c r="A117" t="s">
        <v>279</v>
      </c>
      <c r="B117" t="s">
        <v>3267</v>
      </c>
      <c r="C117" t="s">
        <v>3248</v>
      </c>
      <c r="D117" s="2">
        <v>24000</v>
      </c>
      <c r="E117">
        <f>VLOOKUP(I117,Calc!$I$35:$J$39,2,FALSE)</f>
        <v>8</v>
      </c>
      <c r="G117" s="10" t="s">
        <v>280</v>
      </c>
      <c r="H117" s="10" t="s">
        <v>281</v>
      </c>
      <c r="I117" s="10" t="s">
        <v>22</v>
      </c>
    </row>
    <row r="118" spans="1:9">
      <c r="A118" t="s">
        <v>282</v>
      </c>
      <c r="B118" t="s">
        <v>3268</v>
      </c>
      <c r="C118" t="s">
        <v>29</v>
      </c>
      <c r="D118" s="2">
        <v>52000</v>
      </c>
      <c r="E118">
        <f>VLOOKUP(I118,Calc!$I$35:$J$39,2,FALSE)</f>
        <v>0</v>
      </c>
      <c r="G118" s="10" t="s">
        <v>30</v>
      </c>
      <c r="H118" s="10" t="s">
        <v>283</v>
      </c>
      <c r="I118" s="10" t="s">
        <v>119</v>
      </c>
    </row>
    <row r="119" spans="1:9">
      <c r="A119" t="s">
        <v>284</v>
      </c>
      <c r="B119" t="s">
        <v>3268</v>
      </c>
      <c r="C119" t="s">
        <v>29</v>
      </c>
      <c r="D119" s="2">
        <v>59001.691381819612</v>
      </c>
      <c r="E119">
        <f>VLOOKUP(I119,Calc!$I$35:$J$39,2,FALSE)</f>
        <v>0</v>
      </c>
      <c r="G119" s="10" t="s">
        <v>128</v>
      </c>
      <c r="H119" s="10" t="s">
        <v>285</v>
      </c>
      <c r="I119" s="10" t="s">
        <v>119</v>
      </c>
    </row>
    <row r="120" spans="1:9" hidden="1">
      <c r="A120" t="s">
        <v>286</v>
      </c>
      <c r="B120" t="s">
        <v>3269</v>
      </c>
      <c r="C120" t="s">
        <v>29</v>
      </c>
      <c r="D120" s="2">
        <v>70000</v>
      </c>
      <c r="E120">
        <f>VLOOKUP(I120,Calc!$I$35:$J$39,2,FALSE)</f>
        <v>8</v>
      </c>
      <c r="G120" s="10" t="s">
        <v>30</v>
      </c>
      <c r="H120" s="10" t="s">
        <v>287</v>
      </c>
      <c r="I120" s="10" t="s">
        <v>22</v>
      </c>
    </row>
    <row r="121" spans="1:9" hidden="1">
      <c r="A121" t="s">
        <v>288</v>
      </c>
      <c r="B121" t="s">
        <v>3265</v>
      </c>
      <c r="C121" t="s">
        <v>29</v>
      </c>
      <c r="D121" s="2">
        <v>50000</v>
      </c>
      <c r="E121">
        <f>VLOOKUP(I121,Calc!$I$35:$J$39,2,FALSE)</f>
        <v>5</v>
      </c>
      <c r="G121" s="10" t="s">
        <v>30</v>
      </c>
      <c r="H121" s="10" t="s">
        <v>289</v>
      </c>
      <c r="I121" s="10" t="s">
        <v>14</v>
      </c>
    </row>
    <row r="122" spans="1:9" hidden="1">
      <c r="A122" t="s">
        <v>290</v>
      </c>
      <c r="B122" t="s">
        <v>3268</v>
      </c>
      <c r="C122" t="s">
        <v>11</v>
      </c>
      <c r="D122" s="2">
        <v>40958.208381117904</v>
      </c>
      <c r="E122">
        <f>VLOOKUP(I122,Calc!$I$35:$J$39,2,FALSE)</f>
        <v>1.5</v>
      </c>
      <c r="G122" s="10" t="s">
        <v>12</v>
      </c>
      <c r="H122" s="10" t="s">
        <v>291</v>
      </c>
      <c r="I122" s="10" t="s">
        <v>47</v>
      </c>
    </row>
    <row r="123" spans="1:9">
      <c r="A123" t="s">
        <v>292</v>
      </c>
      <c r="B123" t="s">
        <v>3268</v>
      </c>
      <c r="C123" t="s">
        <v>29</v>
      </c>
      <c r="D123" s="2">
        <v>80000</v>
      </c>
      <c r="E123">
        <f>VLOOKUP(I123,Calc!$I$35:$J$39,2,FALSE)</f>
        <v>5</v>
      </c>
      <c r="G123" s="10" t="s">
        <v>30</v>
      </c>
      <c r="H123" s="10" t="s">
        <v>31</v>
      </c>
      <c r="I123" s="10" t="s">
        <v>14</v>
      </c>
    </row>
    <row r="124" spans="1:9" hidden="1">
      <c r="A124" t="s">
        <v>293</v>
      </c>
      <c r="B124" t="s">
        <v>3267</v>
      </c>
      <c r="C124" t="s">
        <v>29</v>
      </c>
      <c r="D124" s="2">
        <v>128000</v>
      </c>
      <c r="E124">
        <f>VLOOKUP(I124,Calc!$I$35:$J$39,2,FALSE)</f>
        <v>8</v>
      </c>
      <c r="G124" s="10" t="s">
        <v>30</v>
      </c>
      <c r="H124" s="10" t="s">
        <v>294</v>
      </c>
      <c r="I124" s="10" t="s">
        <v>22</v>
      </c>
    </row>
    <row r="125" spans="1:9" hidden="1">
      <c r="A125" t="s">
        <v>295</v>
      </c>
      <c r="B125" t="s">
        <v>3267</v>
      </c>
      <c r="C125" t="s">
        <v>29</v>
      </c>
      <c r="D125" s="2">
        <v>44000</v>
      </c>
      <c r="E125">
        <f>VLOOKUP(I125,Calc!$I$35:$J$39,2,FALSE)</f>
        <v>1.5</v>
      </c>
      <c r="G125" s="10" t="s">
        <v>30</v>
      </c>
      <c r="H125" s="10" t="s">
        <v>296</v>
      </c>
      <c r="I125" s="10" t="s">
        <v>47</v>
      </c>
    </row>
    <row r="126" spans="1:9" hidden="1">
      <c r="A126" t="s">
        <v>297</v>
      </c>
      <c r="B126" t="s">
        <v>3269</v>
      </c>
      <c r="C126" t="s">
        <v>29</v>
      </c>
      <c r="D126" s="2">
        <v>65000</v>
      </c>
      <c r="E126">
        <f>VLOOKUP(I126,Calc!$I$35:$J$39,2,FALSE)</f>
        <v>8</v>
      </c>
      <c r="G126" s="10" t="s">
        <v>30</v>
      </c>
      <c r="H126" s="10" t="s">
        <v>298</v>
      </c>
      <c r="I126" s="10" t="s">
        <v>22</v>
      </c>
    </row>
    <row r="127" spans="1:9" hidden="1">
      <c r="A127" t="s">
        <v>299</v>
      </c>
      <c r="B127" t="s">
        <v>3269</v>
      </c>
      <c r="C127" t="s">
        <v>19</v>
      </c>
      <c r="D127" s="2">
        <v>36000</v>
      </c>
      <c r="E127">
        <f>VLOOKUP(I127,Calc!$I$35:$J$39,2,FALSE)</f>
        <v>5</v>
      </c>
      <c r="G127" s="10" t="s">
        <v>300</v>
      </c>
      <c r="H127" s="10" t="s">
        <v>301</v>
      </c>
      <c r="I127" s="10" t="s">
        <v>14</v>
      </c>
    </row>
    <row r="128" spans="1:9" hidden="1">
      <c r="A128" t="s">
        <v>302</v>
      </c>
      <c r="B128" t="s">
        <v>3264</v>
      </c>
      <c r="C128" t="s">
        <v>11</v>
      </c>
      <c r="D128" s="2">
        <v>12000</v>
      </c>
      <c r="E128">
        <f>VLOOKUP(I128,Calc!$I$35:$J$39,2,FALSE)</f>
        <v>1.5</v>
      </c>
      <c r="G128" s="10" t="s">
        <v>34</v>
      </c>
      <c r="H128" s="10" t="s">
        <v>303</v>
      </c>
      <c r="I128" s="10" t="s">
        <v>47</v>
      </c>
    </row>
    <row r="129" spans="1:9" hidden="1">
      <c r="A129" t="s">
        <v>304</v>
      </c>
      <c r="B129" t="s">
        <v>3268</v>
      </c>
      <c r="C129" t="s">
        <v>19</v>
      </c>
      <c r="D129" s="2">
        <v>44383.603963142654</v>
      </c>
      <c r="E129">
        <f>VLOOKUP(I129,Calc!$I$35:$J$39,2,FALSE)</f>
        <v>8</v>
      </c>
      <c r="G129" s="10" t="s">
        <v>107</v>
      </c>
      <c r="H129" s="10" t="s">
        <v>233</v>
      </c>
      <c r="I129" s="10" t="s">
        <v>22</v>
      </c>
    </row>
    <row r="130" spans="1:9">
      <c r="A130" t="s">
        <v>305</v>
      </c>
      <c r="B130" t="s">
        <v>3268</v>
      </c>
      <c r="C130" t="s">
        <v>29</v>
      </c>
      <c r="D130" s="2">
        <v>45000</v>
      </c>
      <c r="E130">
        <f>VLOOKUP(I130,Calc!$I$35:$J$39,2,FALSE)</f>
        <v>5</v>
      </c>
      <c r="G130" s="10" t="s">
        <v>30</v>
      </c>
      <c r="H130" s="10" t="s">
        <v>306</v>
      </c>
      <c r="I130" s="10" t="s">
        <v>14</v>
      </c>
    </row>
    <row r="131" spans="1:9">
      <c r="A131" t="s">
        <v>307</v>
      </c>
      <c r="B131" t="s">
        <v>3268</v>
      </c>
      <c r="C131" t="s">
        <v>29</v>
      </c>
      <c r="D131" s="2">
        <v>54000</v>
      </c>
      <c r="E131">
        <f>VLOOKUP(I131,Calc!$I$35:$J$39,2,FALSE)</f>
        <v>2.5</v>
      </c>
      <c r="G131" s="10" t="s">
        <v>30</v>
      </c>
      <c r="H131" s="10" t="s">
        <v>308</v>
      </c>
      <c r="I131" s="10" t="s">
        <v>36</v>
      </c>
    </row>
    <row r="132" spans="1:9" hidden="1">
      <c r="A132" t="s">
        <v>309</v>
      </c>
      <c r="B132" t="s">
        <v>3267</v>
      </c>
      <c r="C132" t="s">
        <v>19</v>
      </c>
      <c r="D132" s="2">
        <v>110332.47904470989</v>
      </c>
      <c r="E132">
        <f>VLOOKUP(I132,Calc!$I$35:$J$39,2,FALSE)</f>
        <v>2.5</v>
      </c>
      <c r="G132" s="10" t="s">
        <v>107</v>
      </c>
      <c r="H132" s="10" t="s">
        <v>310</v>
      </c>
      <c r="I132" s="10" t="s">
        <v>36</v>
      </c>
    </row>
    <row r="133" spans="1:9">
      <c r="A133" t="s">
        <v>311</v>
      </c>
      <c r="B133" t="s">
        <v>3268</v>
      </c>
      <c r="C133" t="s">
        <v>29</v>
      </c>
      <c r="D133" s="2">
        <v>71000</v>
      </c>
      <c r="E133">
        <f>VLOOKUP(I133,Calc!$I$35:$J$39,2,FALSE)</f>
        <v>5</v>
      </c>
      <c r="G133" s="10" t="s">
        <v>30</v>
      </c>
      <c r="H133" s="10" t="s">
        <v>312</v>
      </c>
      <c r="I133" s="10" t="s">
        <v>14</v>
      </c>
    </row>
    <row r="134" spans="1:9" hidden="1">
      <c r="A134" t="s">
        <v>313</v>
      </c>
      <c r="B134" t="s">
        <v>3267</v>
      </c>
      <c r="C134" t="s">
        <v>11</v>
      </c>
      <c r="D134" s="2">
        <v>14246.333349954055</v>
      </c>
      <c r="E134">
        <f>VLOOKUP(I134,Calc!$I$35:$J$39,2,FALSE)</f>
        <v>2.5</v>
      </c>
      <c r="G134" s="10" t="s">
        <v>12</v>
      </c>
      <c r="H134" s="10" t="s">
        <v>314</v>
      </c>
      <c r="I134" s="10" t="s">
        <v>36</v>
      </c>
    </row>
    <row r="135" spans="1:9" hidden="1">
      <c r="A135" t="s">
        <v>315</v>
      </c>
      <c r="B135" t="s">
        <v>3267</v>
      </c>
      <c r="C135" t="s">
        <v>29</v>
      </c>
      <c r="D135" s="2">
        <v>68835.306612122877</v>
      </c>
      <c r="E135">
        <f>VLOOKUP(I135,Calc!$I$35:$J$39,2,FALSE)</f>
        <v>5</v>
      </c>
      <c r="G135" s="10" t="s">
        <v>128</v>
      </c>
      <c r="H135" s="10" t="s">
        <v>316</v>
      </c>
      <c r="I135" s="10" t="s">
        <v>14</v>
      </c>
    </row>
    <row r="136" spans="1:9" hidden="1">
      <c r="A136" t="s">
        <v>317</v>
      </c>
      <c r="B136" t="s">
        <v>3267</v>
      </c>
      <c r="C136" t="s">
        <v>29</v>
      </c>
      <c r="D136" s="2">
        <v>49168.076151516347</v>
      </c>
      <c r="E136">
        <f>VLOOKUP(I136,Calc!$I$35:$J$39,2,FALSE)</f>
        <v>5</v>
      </c>
      <c r="G136" s="10" t="s">
        <v>128</v>
      </c>
      <c r="H136" s="10" t="s">
        <v>318</v>
      </c>
      <c r="I136" s="10" t="s">
        <v>14</v>
      </c>
    </row>
    <row r="137" spans="1:9">
      <c r="A137" t="s">
        <v>319</v>
      </c>
      <c r="B137" t="s">
        <v>3268</v>
      </c>
      <c r="C137" t="s">
        <v>29</v>
      </c>
      <c r="D137" s="2">
        <v>40000</v>
      </c>
      <c r="E137">
        <f>VLOOKUP(I137,Calc!$I$35:$J$39,2,FALSE)</f>
        <v>5</v>
      </c>
      <c r="G137" s="10" t="s">
        <v>30</v>
      </c>
      <c r="H137" s="10" t="s">
        <v>320</v>
      </c>
      <c r="I137" s="10" t="s">
        <v>14</v>
      </c>
    </row>
    <row r="138" spans="1:9">
      <c r="A138" t="s">
        <v>321</v>
      </c>
      <c r="B138" t="s">
        <v>3268</v>
      </c>
      <c r="C138" t="s">
        <v>29</v>
      </c>
      <c r="D138" s="2">
        <v>60968.414427880263</v>
      </c>
      <c r="E138">
        <f>VLOOKUP(I138,Calc!$I$35:$J$39,2,FALSE)</f>
        <v>2.5</v>
      </c>
      <c r="G138" s="10" t="s">
        <v>128</v>
      </c>
      <c r="H138" s="10" t="s">
        <v>322</v>
      </c>
      <c r="I138" s="10" t="s">
        <v>36</v>
      </c>
    </row>
    <row r="139" spans="1:9" hidden="1">
      <c r="A139" t="s">
        <v>323</v>
      </c>
      <c r="B139" t="s">
        <v>77</v>
      </c>
      <c r="C139" t="s">
        <v>11</v>
      </c>
      <c r="D139" s="2">
        <v>5983.4600069807029</v>
      </c>
      <c r="E139">
        <f>VLOOKUP(I139,Calc!$I$35:$J$39,2,FALSE)</f>
        <v>5</v>
      </c>
      <c r="G139" s="10" t="s">
        <v>12</v>
      </c>
      <c r="H139" s="10" t="s">
        <v>324</v>
      </c>
      <c r="I139" s="10" t="s">
        <v>14</v>
      </c>
    </row>
    <row r="140" spans="1:9">
      <c r="A140" t="s">
        <v>325</v>
      </c>
      <c r="B140" t="s">
        <v>3268</v>
      </c>
      <c r="C140" t="s">
        <v>29</v>
      </c>
      <c r="D140" s="2">
        <v>53000</v>
      </c>
      <c r="E140">
        <f>VLOOKUP(I140,Calc!$I$35:$J$39,2,FALSE)</f>
        <v>5</v>
      </c>
      <c r="G140" s="10" t="s">
        <v>30</v>
      </c>
      <c r="H140" s="10" t="s">
        <v>233</v>
      </c>
      <c r="I140" s="10" t="s">
        <v>14</v>
      </c>
    </row>
    <row r="141" spans="1:9" hidden="1">
      <c r="A141" t="s">
        <v>326</v>
      </c>
      <c r="B141" t="s">
        <v>3249</v>
      </c>
      <c r="C141" t="s">
        <v>29</v>
      </c>
      <c r="D141" s="2">
        <v>104000</v>
      </c>
      <c r="E141">
        <f>VLOOKUP(I141,Calc!$I$35:$J$39,2,FALSE)</f>
        <v>2.5</v>
      </c>
      <c r="G141" s="10" t="s">
        <v>30</v>
      </c>
      <c r="H141" s="10" t="s">
        <v>327</v>
      </c>
      <c r="I141" s="10" t="s">
        <v>36</v>
      </c>
    </row>
    <row r="142" spans="1:9" hidden="1">
      <c r="A142" t="s">
        <v>328</v>
      </c>
      <c r="B142" t="s">
        <v>3266</v>
      </c>
      <c r="C142" t="s">
        <v>29</v>
      </c>
      <c r="D142" s="2">
        <v>57000</v>
      </c>
      <c r="E142">
        <f>VLOOKUP(I142,Calc!$I$35:$J$39,2,FALSE)</f>
        <v>5</v>
      </c>
      <c r="G142" s="10" t="s">
        <v>30</v>
      </c>
      <c r="H142" s="10" t="s">
        <v>329</v>
      </c>
      <c r="I142" s="10" t="s">
        <v>14</v>
      </c>
    </row>
    <row r="143" spans="1:9">
      <c r="A143" t="s">
        <v>330</v>
      </c>
      <c r="B143" t="s">
        <v>3268</v>
      </c>
      <c r="C143" t="s">
        <v>29</v>
      </c>
      <c r="D143" s="2">
        <v>45000</v>
      </c>
      <c r="E143">
        <f>VLOOKUP(I143,Calc!$I$35:$J$39,2,FALSE)</f>
        <v>2.5</v>
      </c>
      <c r="G143" s="10" t="s">
        <v>30</v>
      </c>
      <c r="H143" s="10" t="s">
        <v>331</v>
      </c>
      <c r="I143" s="10" t="s">
        <v>36</v>
      </c>
    </row>
    <row r="144" spans="1:9">
      <c r="A144" t="s">
        <v>332</v>
      </c>
      <c r="B144" t="s">
        <v>3268</v>
      </c>
      <c r="C144" t="s">
        <v>29</v>
      </c>
      <c r="D144" s="2">
        <v>92000</v>
      </c>
      <c r="E144">
        <f>VLOOKUP(I144,Calc!$I$35:$J$39,2,FALSE)</f>
        <v>5</v>
      </c>
      <c r="G144" s="10" t="s">
        <v>30</v>
      </c>
      <c r="H144" s="10" t="s">
        <v>333</v>
      </c>
      <c r="I144" s="10" t="s">
        <v>14</v>
      </c>
    </row>
    <row r="145" spans="1:9" hidden="1">
      <c r="A145" t="s">
        <v>334</v>
      </c>
      <c r="B145" t="s">
        <v>3267</v>
      </c>
      <c r="C145" t="s">
        <v>29</v>
      </c>
      <c r="D145" s="2">
        <v>88000</v>
      </c>
      <c r="E145">
        <f>VLOOKUP(I145,Calc!$I$35:$J$39,2,FALSE)</f>
        <v>5</v>
      </c>
      <c r="G145" s="10" t="s">
        <v>30</v>
      </c>
      <c r="H145" s="10" t="s">
        <v>335</v>
      </c>
      <c r="I145" s="10" t="s">
        <v>14</v>
      </c>
    </row>
    <row r="146" spans="1:9">
      <c r="A146" t="s">
        <v>336</v>
      </c>
      <c r="B146" t="s">
        <v>3268</v>
      </c>
      <c r="C146" t="s">
        <v>29</v>
      </c>
      <c r="D146" s="2">
        <v>80000</v>
      </c>
      <c r="E146">
        <f>VLOOKUP(I146,Calc!$I$35:$J$39,2,FALSE)</f>
        <v>2.5</v>
      </c>
      <c r="G146" s="10" t="s">
        <v>30</v>
      </c>
      <c r="H146" s="10" t="s">
        <v>337</v>
      </c>
      <c r="I146" s="10" t="s">
        <v>36</v>
      </c>
    </row>
    <row r="147" spans="1:9" hidden="1">
      <c r="A147" t="s">
        <v>338</v>
      </c>
      <c r="B147" t="s">
        <v>3264</v>
      </c>
      <c r="C147" t="s">
        <v>29</v>
      </c>
      <c r="D147" s="2">
        <v>69000</v>
      </c>
      <c r="E147">
        <f>VLOOKUP(I147,Calc!$I$35:$J$39,2,FALSE)</f>
        <v>5</v>
      </c>
      <c r="G147" s="10" t="s">
        <v>30</v>
      </c>
      <c r="H147" s="10" t="s">
        <v>339</v>
      </c>
      <c r="I147" s="10" t="s">
        <v>14</v>
      </c>
    </row>
    <row r="148" spans="1:9" hidden="1">
      <c r="A148" t="s">
        <v>340</v>
      </c>
      <c r="B148" t="s">
        <v>3268</v>
      </c>
      <c r="C148" t="s">
        <v>3248</v>
      </c>
      <c r="D148" s="2">
        <v>50000</v>
      </c>
      <c r="E148">
        <f>VLOOKUP(I148,Calc!$I$35:$J$39,2,FALSE)</f>
        <v>8</v>
      </c>
      <c r="G148" s="10" t="s">
        <v>254</v>
      </c>
      <c r="H148" s="10" t="s">
        <v>341</v>
      </c>
      <c r="I148" s="10" t="s">
        <v>22</v>
      </c>
    </row>
    <row r="149" spans="1:9" hidden="1">
      <c r="A149" t="s">
        <v>342</v>
      </c>
      <c r="B149" t="s">
        <v>3267</v>
      </c>
      <c r="C149" t="s">
        <v>29</v>
      </c>
      <c r="D149" s="2">
        <v>35000</v>
      </c>
      <c r="E149">
        <f>VLOOKUP(I149,Calc!$I$35:$J$39,2,FALSE)</f>
        <v>2.5</v>
      </c>
      <c r="G149" s="10" t="s">
        <v>30</v>
      </c>
      <c r="H149" s="10" t="s">
        <v>343</v>
      </c>
      <c r="I149" s="10" t="s">
        <v>36</v>
      </c>
    </row>
    <row r="150" spans="1:9">
      <c r="A150" t="s">
        <v>344</v>
      </c>
      <c r="B150" t="s">
        <v>3268</v>
      </c>
      <c r="C150" t="s">
        <v>29</v>
      </c>
      <c r="D150" s="2">
        <v>96000</v>
      </c>
      <c r="E150">
        <f>VLOOKUP(I150,Calc!$I$35:$J$39,2,FALSE)</f>
        <v>5</v>
      </c>
      <c r="G150" s="10" t="s">
        <v>30</v>
      </c>
      <c r="H150" s="10" t="s">
        <v>345</v>
      </c>
      <c r="I150" s="10" t="s">
        <v>14</v>
      </c>
    </row>
    <row r="151" spans="1:9" hidden="1">
      <c r="A151" t="s">
        <v>346</v>
      </c>
      <c r="B151" t="s">
        <v>3269</v>
      </c>
      <c r="C151" t="s">
        <v>29</v>
      </c>
      <c r="D151" s="2">
        <v>65000</v>
      </c>
      <c r="E151">
        <f>VLOOKUP(I151,Calc!$I$35:$J$39,2,FALSE)</f>
        <v>8</v>
      </c>
      <c r="G151" s="10" t="s">
        <v>30</v>
      </c>
      <c r="H151" s="10" t="s">
        <v>347</v>
      </c>
      <c r="I151" s="10" t="s">
        <v>22</v>
      </c>
    </row>
    <row r="152" spans="1:9">
      <c r="A152" t="s">
        <v>348</v>
      </c>
      <c r="B152" t="s">
        <v>3268</v>
      </c>
      <c r="C152" t="s">
        <v>29</v>
      </c>
      <c r="D152" s="2">
        <v>37440</v>
      </c>
      <c r="E152">
        <f>VLOOKUP(I152,Calc!$I$35:$J$39,2,FALSE)</f>
        <v>8</v>
      </c>
      <c r="G152" s="10" t="s">
        <v>30</v>
      </c>
      <c r="H152" s="10" t="s">
        <v>185</v>
      </c>
      <c r="I152" s="10" t="s">
        <v>22</v>
      </c>
    </row>
    <row r="153" spans="1:9" hidden="1">
      <c r="A153" t="s">
        <v>349</v>
      </c>
      <c r="B153" t="s">
        <v>3269</v>
      </c>
      <c r="C153" t="s">
        <v>3248</v>
      </c>
      <c r="D153" s="2">
        <v>15500</v>
      </c>
      <c r="E153">
        <f>VLOOKUP(I153,Calc!$I$35:$J$39,2,FALSE)</f>
        <v>8</v>
      </c>
      <c r="G153" s="10" t="s">
        <v>254</v>
      </c>
      <c r="H153" s="10" t="s">
        <v>350</v>
      </c>
      <c r="I153" s="10" t="s">
        <v>22</v>
      </c>
    </row>
    <row r="154" spans="1:9">
      <c r="A154" t="s">
        <v>351</v>
      </c>
      <c r="B154" t="s">
        <v>3268</v>
      </c>
      <c r="C154" t="s">
        <v>29</v>
      </c>
      <c r="D154" s="2">
        <v>90000</v>
      </c>
      <c r="E154">
        <f>VLOOKUP(I154,Calc!$I$35:$J$39,2,FALSE)</f>
        <v>2.5</v>
      </c>
      <c r="G154" s="10" t="s">
        <v>30</v>
      </c>
      <c r="H154" s="10" t="s">
        <v>352</v>
      </c>
      <c r="I154" s="10" t="s">
        <v>36</v>
      </c>
    </row>
    <row r="155" spans="1:9">
      <c r="A155" t="s">
        <v>353</v>
      </c>
      <c r="B155" t="s">
        <v>3268</v>
      </c>
      <c r="C155" t="s">
        <v>29</v>
      </c>
      <c r="D155" s="2">
        <v>66500</v>
      </c>
      <c r="E155">
        <f>VLOOKUP(I155,Calc!$I$35:$J$39,2,FALSE)</f>
        <v>8</v>
      </c>
      <c r="G155" s="10" t="s">
        <v>30</v>
      </c>
      <c r="H155" s="10" t="s">
        <v>354</v>
      </c>
      <c r="I155" s="10" t="s">
        <v>22</v>
      </c>
    </row>
    <row r="156" spans="1:9" hidden="1">
      <c r="A156" t="s">
        <v>355</v>
      </c>
      <c r="B156" t="s">
        <v>3269</v>
      </c>
      <c r="C156" t="s">
        <v>29</v>
      </c>
      <c r="D156" s="2">
        <v>100000</v>
      </c>
      <c r="E156">
        <f>VLOOKUP(I156,Calc!$I$35:$J$39,2,FALSE)</f>
        <v>8</v>
      </c>
      <c r="G156" s="10" t="s">
        <v>30</v>
      </c>
      <c r="H156" s="10" t="s">
        <v>356</v>
      </c>
      <c r="I156" s="10" t="s">
        <v>22</v>
      </c>
    </row>
    <row r="157" spans="1:9" hidden="1">
      <c r="A157" t="s">
        <v>357</v>
      </c>
      <c r="B157" t="s">
        <v>3267</v>
      </c>
      <c r="C157" t="s">
        <v>19</v>
      </c>
      <c r="D157" s="2">
        <v>50831.74927416991</v>
      </c>
      <c r="E157">
        <f>VLOOKUP(I157,Calc!$I$35:$J$39,2,FALSE)</f>
        <v>5</v>
      </c>
      <c r="G157" s="10" t="s">
        <v>107</v>
      </c>
      <c r="H157" s="10" t="s">
        <v>358</v>
      </c>
      <c r="I157" s="10" t="s">
        <v>14</v>
      </c>
    </row>
    <row r="158" spans="1:9" hidden="1">
      <c r="A158" t="s">
        <v>359</v>
      </c>
      <c r="B158" t="s">
        <v>3267</v>
      </c>
      <c r="C158" t="s">
        <v>11</v>
      </c>
      <c r="D158" s="2">
        <v>7479.3250087258784</v>
      </c>
      <c r="E158">
        <f>VLOOKUP(I158,Calc!$I$35:$J$39,2,FALSE)</f>
        <v>1.5</v>
      </c>
      <c r="G158" s="10" t="s">
        <v>12</v>
      </c>
      <c r="H158" s="10" t="s">
        <v>360</v>
      </c>
      <c r="I158" s="10" t="s">
        <v>47</v>
      </c>
    </row>
    <row r="159" spans="1:9">
      <c r="A159" t="s">
        <v>361</v>
      </c>
      <c r="B159" t="s">
        <v>3268</v>
      </c>
      <c r="C159" t="s">
        <v>29</v>
      </c>
      <c r="D159" s="2">
        <v>75000</v>
      </c>
      <c r="E159">
        <f>VLOOKUP(I159,Calc!$I$35:$J$39,2,FALSE)</f>
        <v>1.5</v>
      </c>
      <c r="G159" s="10" t="s">
        <v>30</v>
      </c>
      <c r="H159" s="10" t="s">
        <v>362</v>
      </c>
      <c r="I159" s="10" t="s">
        <v>47</v>
      </c>
    </row>
    <row r="160" spans="1:9" hidden="1">
      <c r="A160" t="s">
        <v>363</v>
      </c>
      <c r="B160" t="s">
        <v>3267</v>
      </c>
      <c r="C160" t="s">
        <v>29</v>
      </c>
      <c r="D160" s="2">
        <v>58000</v>
      </c>
      <c r="E160">
        <f>VLOOKUP(I160,Calc!$I$35:$J$39,2,FALSE)</f>
        <v>1.5</v>
      </c>
      <c r="G160" s="10" t="s">
        <v>128</v>
      </c>
      <c r="H160" s="10" t="s">
        <v>364</v>
      </c>
      <c r="I160" s="10" t="s">
        <v>47</v>
      </c>
    </row>
    <row r="161" spans="1:9" hidden="1">
      <c r="A161" t="s">
        <v>365</v>
      </c>
      <c r="B161" t="s">
        <v>3267</v>
      </c>
      <c r="C161" t="s">
        <v>29</v>
      </c>
      <c r="D161" s="2">
        <v>55000</v>
      </c>
      <c r="E161">
        <f>VLOOKUP(I161,Calc!$I$35:$J$39,2,FALSE)</f>
        <v>2.5</v>
      </c>
      <c r="G161" s="10" t="s">
        <v>30</v>
      </c>
      <c r="H161" s="10" t="s">
        <v>366</v>
      </c>
      <c r="I161" s="10" t="s">
        <v>36</v>
      </c>
    </row>
    <row r="162" spans="1:9">
      <c r="A162" t="s">
        <v>367</v>
      </c>
      <c r="B162" t="s">
        <v>3268</v>
      </c>
      <c r="C162" t="s">
        <v>29</v>
      </c>
      <c r="D162" s="2">
        <v>60000</v>
      </c>
      <c r="E162">
        <f>VLOOKUP(I162,Calc!$I$35:$J$39,2,FALSE)</f>
        <v>5</v>
      </c>
      <c r="G162" s="10" t="s">
        <v>30</v>
      </c>
      <c r="H162" s="10" t="s">
        <v>368</v>
      </c>
      <c r="I162" s="10" t="s">
        <v>14</v>
      </c>
    </row>
    <row r="163" spans="1:9" hidden="1">
      <c r="A163" t="s">
        <v>369</v>
      </c>
      <c r="B163" t="s">
        <v>3267</v>
      </c>
      <c r="C163" t="s">
        <v>11</v>
      </c>
      <c r="D163" s="2">
        <v>23150.291693675339</v>
      </c>
      <c r="E163">
        <f>VLOOKUP(I163,Calc!$I$35:$J$39,2,FALSE)</f>
        <v>5</v>
      </c>
      <c r="G163" s="10" t="s">
        <v>12</v>
      </c>
      <c r="H163" s="10" t="s">
        <v>44</v>
      </c>
      <c r="I163" s="10" t="s">
        <v>14</v>
      </c>
    </row>
    <row r="164" spans="1:9" hidden="1">
      <c r="A164" t="s">
        <v>370</v>
      </c>
      <c r="B164" t="s">
        <v>3267</v>
      </c>
      <c r="C164" t="s">
        <v>29</v>
      </c>
      <c r="D164" s="2">
        <v>105219.68296424497</v>
      </c>
      <c r="E164">
        <f>VLOOKUP(I164,Calc!$I$35:$J$39,2,FALSE)</f>
        <v>2.5</v>
      </c>
      <c r="G164" s="10" t="s">
        <v>128</v>
      </c>
      <c r="H164" s="10" t="s">
        <v>371</v>
      </c>
      <c r="I164" s="10" t="s">
        <v>36</v>
      </c>
    </row>
    <row r="165" spans="1:9" hidden="1">
      <c r="A165" t="s">
        <v>372</v>
      </c>
      <c r="B165" t="s">
        <v>3263</v>
      </c>
      <c r="C165" t="s">
        <v>19</v>
      </c>
      <c r="D165" s="2">
        <v>145000</v>
      </c>
      <c r="E165">
        <f>VLOOKUP(I165,Calc!$I$35:$J$39,2,FALSE)</f>
        <v>8</v>
      </c>
      <c r="G165" s="10" t="s">
        <v>74</v>
      </c>
      <c r="H165" s="10" t="s">
        <v>373</v>
      </c>
      <c r="I165" s="10" t="s">
        <v>22</v>
      </c>
    </row>
    <row r="166" spans="1:9" hidden="1">
      <c r="A166" t="s">
        <v>374</v>
      </c>
      <c r="B166" t="s">
        <v>3269</v>
      </c>
      <c r="C166" t="s">
        <v>29</v>
      </c>
      <c r="D166" s="2">
        <v>22880</v>
      </c>
      <c r="E166">
        <f>VLOOKUP(I166,Calc!$I$35:$J$39,2,FALSE)</f>
        <v>5</v>
      </c>
      <c r="G166" s="10" t="s">
        <v>30</v>
      </c>
      <c r="H166" s="10" t="s">
        <v>375</v>
      </c>
      <c r="I166" s="10" t="s">
        <v>14</v>
      </c>
    </row>
    <row r="167" spans="1:9" hidden="1">
      <c r="A167" t="s">
        <v>376</v>
      </c>
      <c r="B167" t="s">
        <v>3264</v>
      </c>
      <c r="C167" t="s">
        <v>29</v>
      </c>
      <c r="D167" s="2">
        <v>80000</v>
      </c>
      <c r="E167">
        <f>VLOOKUP(I167,Calc!$I$35:$J$39,2,FALSE)</f>
        <v>5</v>
      </c>
      <c r="G167" s="10" t="s">
        <v>30</v>
      </c>
      <c r="H167" s="10" t="s">
        <v>377</v>
      </c>
      <c r="I167" s="10" t="s">
        <v>14</v>
      </c>
    </row>
    <row r="168" spans="1:9" hidden="1">
      <c r="A168" t="s">
        <v>378</v>
      </c>
      <c r="B168" t="s">
        <v>3268</v>
      </c>
      <c r="C168" t="s">
        <v>11</v>
      </c>
      <c r="D168" s="2">
        <v>8903.9583437212841</v>
      </c>
      <c r="E168">
        <f>VLOOKUP(I168,Calc!$I$35:$J$39,2,FALSE)</f>
        <v>2.5</v>
      </c>
      <c r="G168" s="10" t="s">
        <v>12</v>
      </c>
      <c r="H168" s="10" t="s">
        <v>379</v>
      </c>
      <c r="I168" s="10" t="s">
        <v>36</v>
      </c>
    </row>
    <row r="169" spans="1:9">
      <c r="A169" t="s">
        <v>380</v>
      </c>
      <c r="B169" t="s">
        <v>3268</v>
      </c>
      <c r="C169" t="s">
        <v>29</v>
      </c>
      <c r="D169" s="2">
        <v>88502.537072729421</v>
      </c>
      <c r="E169">
        <f>VLOOKUP(I169,Calc!$I$35:$J$39,2,FALSE)</f>
        <v>5</v>
      </c>
      <c r="G169" s="10" t="s">
        <v>128</v>
      </c>
      <c r="H169" s="10" t="s">
        <v>381</v>
      </c>
      <c r="I169" s="10" t="s">
        <v>14</v>
      </c>
    </row>
    <row r="170" spans="1:9" hidden="1">
      <c r="A170" t="s">
        <v>382</v>
      </c>
      <c r="B170" t="s">
        <v>3268</v>
      </c>
      <c r="C170" t="s">
        <v>11</v>
      </c>
      <c r="D170" s="2">
        <v>3205.4250037396623</v>
      </c>
      <c r="E170">
        <f>VLOOKUP(I170,Calc!$I$35:$J$39,2,FALSE)</f>
        <v>5</v>
      </c>
      <c r="G170" s="10" t="s">
        <v>12</v>
      </c>
      <c r="H170" s="10" t="s">
        <v>383</v>
      </c>
      <c r="I170" s="10" t="s">
        <v>14</v>
      </c>
    </row>
    <row r="171" spans="1:9">
      <c r="A171" t="s">
        <v>384</v>
      </c>
      <c r="B171" t="s">
        <v>3268</v>
      </c>
      <c r="C171" t="s">
        <v>29</v>
      </c>
      <c r="D171" s="2">
        <v>46584</v>
      </c>
      <c r="E171">
        <f>VLOOKUP(I171,Calc!$I$35:$J$39,2,FALSE)</f>
        <v>5</v>
      </c>
      <c r="G171" s="10" t="s">
        <v>30</v>
      </c>
      <c r="H171" s="10" t="s">
        <v>385</v>
      </c>
      <c r="I171" s="10" t="s">
        <v>14</v>
      </c>
    </row>
    <row r="172" spans="1:9">
      <c r="A172" t="s">
        <v>386</v>
      </c>
      <c r="B172" t="s">
        <v>3268</v>
      </c>
      <c r="C172" t="s">
        <v>29</v>
      </c>
      <c r="D172" s="2">
        <v>67000</v>
      </c>
      <c r="E172">
        <f>VLOOKUP(I172,Calc!$I$35:$J$39,2,FALSE)</f>
        <v>5</v>
      </c>
      <c r="G172" s="10" t="s">
        <v>30</v>
      </c>
      <c r="H172" s="10" t="s">
        <v>387</v>
      </c>
      <c r="I172" s="10" t="s">
        <v>14</v>
      </c>
    </row>
    <row r="173" spans="1:9" hidden="1">
      <c r="A173" t="s">
        <v>388</v>
      </c>
      <c r="B173" t="s">
        <v>3267</v>
      </c>
      <c r="C173" t="s">
        <v>11</v>
      </c>
      <c r="D173" s="2">
        <v>19588.708356186824</v>
      </c>
      <c r="E173">
        <f>VLOOKUP(I173,Calc!$I$35:$J$39,2,FALSE)</f>
        <v>5</v>
      </c>
      <c r="G173" s="10" t="s">
        <v>12</v>
      </c>
      <c r="H173" s="10" t="s">
        <v>389</v>
      </c>
      <c r="I173" s="10" t="s">
        <v>14</v>
      </c>
    </row>
    <row r="174" spans="1:9" hidden="1">
      <c r="A174" t="s">
        <v>390</v>
      </c>
      <c r="B174" t="s">
        <v>3266</v>
      </c>
      <c r="C174" t="s">
        <v>29</v>
      </c>
      <c r="D174" s="2">
        <v>92000</v>
      </c>
      <c r="E174">
        <f>VLOOKUP(I174,Calc!$I$35:$J$39,2,FALSE)</f>
        <v>5</v>
      </c>
      <c r="G174" s="10" t="s">
        <v>30</v>
      </c>
      <c r="H174" s="10" t="s">
        <v>391</v>
      </c>
      <c r="I174" s="10" t="s">
        <v>14</v>
      </c>
    </row>
    <row r="175" spans="1:9" hidden="1">
      <c r="A175" t="s">
        <v>392</v>
      </c>
      <c r="B175" t="s">
        <v>3265</v>
      </c>
      <c r="C175" t="s">
        <v>29</v>
      </c>
      <c r="D175" s="2">
        <v>75000</v>
      </c>
      <c r="E175">
        <f>VLOOKUP(I175,Calc!$I$35:$J$39,2,FALSE)</f>
        <v>8</v>
      </c>
      <c r="G175" s="10" t="s">
        <v>30</v>
      </c>
      <c r="H175" s="10" t="s">
        <v>393</v>
      </c>
      <c r="I175" s="10" t="s">
        <v>22</v>
      </c>
    </row>
    <row r="176" spans="1:9" hidden="1">
      <c r="A176" t="s">
        <v>394</v>
      </c>
      <c r="B176" t="s">
        <v>3268</v>
      </c>
      <c r="C176" t="s">
        <v>11</v>
      </c>
      <c r="D176" s="2">
        <v>3205.4250037396623</v>
      </c>
      <c r="E176">
        <f>VLOOKUP(I176,Calc!$I$35:$J$39,2,FALSE)</f>
        <v>5</v>
      </c>
      <c r="G176" s="10" t="s">
        <v>12</v>
      </c>
      <c r="H176" s="10" t="s">
        <v>383</v>
      </c>
      <c r="I176" s="10" t="s">
        <v>14</v>
      </c>
    </row>
    <row r="177" spans="1:9" hidden="1">
      <c r="A177" t="s">
        <v>395</v>
      </c>
      <c r="B177" t="s">
        <v>3267</v>
      </c>
      <c r="C177" t="s">
        <v>19</v>
      </c>
      <c r="D177" s="2">
        <v>29159.298033244755</v>
      </c>
      <c r="E177">
        <f>VLOOKUP(I177,Calc!$I$35:$J$39,2,FALSE)</f>
        <v>8</v>
      </c>
      <c r="G177" s="10" t="s">
        <v>107</v>
      </c>
      <c r="H177" s="10" t="s">
        <v>396</v>
      </c>
      <c r="I177" s="10" t="s">
        <v>22</v>
      </c>
    </row>
    <row r="178" spans="1:9">
      <c r="A178" t="s">
        <v>397</v>
      </c>
      <c r="B178" t="s">
        <v>3268</v>
      </c>
      <c r="C178" t="s">
        <v>29</v>
      </c>
      <c r="D178" s="2">
        <v>40000</v>
      </c>
      <c r="E178">
        <f>VLOOKUP(I178,Calc!$I$35:$J$39,2,FALSE)</f>
        <v>8</v>
      </c>
      <c r="G178" s="10" t="s">
        <v>30</v>
      </c>
      <c r="H178" s="10" t="s">
        <v>398</v>
      </c>
      <c r="I178" s="10" t="s">
        <v>22</v>
      </c>
    </row>
    <row r="179" spans="1:9">
      <c r="A179" t="s">
        <v>399</v>
      </c>
      <c r="B179" t="s">
        <v>3268</v>
      </c>
      <c r="C179" t="s">
        <v>29</v>
      </c>
      <c r="D179" s="2">
        <v>111680</v>
      </c>
      <c r="E179">
        <f>VLOOKUP(I179,Calc!$I$35:$J$39,2,FALSE)</f>
        <v>2.5</v>
      </c>
      <c r="G179" s="10" t="s">
        <v>30</v>
      </c>
      <c r="H179" s="10" t="s">
        <v>400</v>
      </c>
      <c r="I179" s="10" t="s">
        <v>36</v>
      </c>
    </row>
    <row r="180" spans="1:9">
      <c r="A180" t="s">
        <v>401</v>
      </c>
      <c r="B180" t="s">
        <v>3268</v>
      </c>
      <c r="C180" t="s">
        <v>29</v>
      </c>
      <c r="D180" s="2">
        <v>41406</v>
      </c>
      <c r="E180">
        <f>VLOOKUP(I180,Calc!$I$35:$J$39,2,FALSE)</f>
        <v>1.5</v>
      </c>
      <c r="G180" s="10" t="s">
        <v>128</v>
      </c>
      <c r="H180" s="10" t="s">
        <v>402</v>
      </c>
      <c r="I180" s="10" t="s">
        <v>47</v>
      </c>
    </row>
    <row r="181" spans="1:9" hidden="1">
      <c r="A181" t="s">
        <v>403</v>
      </c>
      <c r="B181" t="s">
        <v>3267</v>
      </c>
      <c r="C181" t="s">
        <v>29</v>
      </c>
      <c r="D181" s="2">
        <v>70000</v>
      </c>
      <c r="E181">
        <f>VLOOKUP(I181,Calc!$I$35:$J$39,2,FALSE)</f>
        <v>5</v>
      </c>
      <c r="G181" s="10" t="s">
        <v>30</v>
      </c>
      <c r="H181" s="10" t="s">
        <v>404</v>
      </c>
      <c r="I181" s="10" t="s">
        <v>14</v>
      </c>
    </row>
    <row r="182" spans="1:9">
      <c r="A182" t="s">
        <v>405</v>
      </c>
      <c r="B182" t="s">
        <v>3268</v>
      </c>
      <c r="C182" t="s">
        <v>29</v>
      </c>
      <c r="D182" s="2">
        <v>40700</v>
      </c>
      <c r="E182">
        <f>VLOOKUP(I182,Calc!$I$35:$J$39,2,FALSE)</f>
        <v>1.5</v>
      </c>
      <c r="G182" s="10" t="s">
        <v>30</v>
      </c>
      <c r="H182" s="10" t="s">
        <v>406</v>
      </c>
      <c r="I182" s="10" t="s">
        <v>47</v>
      </c>
    </row>
    <row r="183" spans="1:9">
      <c r="A183" t="s">
        <v>407</v>
      </c>
      <c r="B183" t="s">
        <v>3268</v>
      </c>
      <c r="C183" t="s">
        <v>29</v>
      </c>
      <c r="D183" s="2">
        <v>40000</v>
      </c>
      <c r="E183">
        <f>VLOOKUP(I183,Calc!$I$35:$J$39,2,FALSE)</f>
        <v>5</v>
      </c>
      <c r="G183" s="10" t="s">
        <v>30</v>
      </c>
      <c r="H183" s="10" t="s">
        <v>408</v>
      </c>
      <c r="I183" s="10" t="s">
        <v>14</v>
      </c>
    </row>
    <row r="184" spans="1:9" hidden="1">
      <c r="A184" t="s">
        <v>409</v>
      </c>
      <c r="B184" t="s">
        <v>3269</v>
      </c>
      <c r="C184" t="s">
        <v>29</v>
      </c>
      <c r="D184" s="2">
        <v>60000</v>
      </c>
      <c r="E184">
        <f>VLOOKUP(I184,Calc!$I$35:$J$39,2,FALSE)</f>
        <v>5</v>
      </c>
      <c r="G184" s="10" t="s">
        <v>30</v>
      </c>
      <c r="H184" s="10" t="s">
        <v>410</v>
      </c>
      <c r="I184" s="10" t="s">
        <v>14</v>
      </c>
    </row>
    <row r="185" spans="1:9" hidden="1">
      <c r="A185" t="s">
        <v>411</v>
      </c>
      <c r="B185" t="s">
        <v>3264</v>
      </c>
      <c r="C185" t="s">
        <v>29</v>
      </c>
      <c r="D185" s="2">
        <v>90469.260118790073</v>
      </c>
      <c r="E185">
        <f>VLOOKUP(I185,Calc!$I$35:$J$39,2,FALSE)</f>
        <v>8</v>
      </c>
      <c r="G185" s="10" t="s">
        <v>128</v>
      </c>
      <c r="H185" s="10" t="s">
        <v>412</v>
      </c>
      <c r="I185" s="10" t="s">
        <v>22</v>
      </c>
    </row>
    <row r="186" spans="1:9" hidden="1">
      <c r="A186" t="s">
        <v>413</v>
      </c>
      <c r="B186" t="s">
        <v>3267</v>
      </c>
      <c r="C186" t="s">
        <v>11</v>
      </c>
      <c r="D186" s="2">
        <v>13636</v>
      </c>
      <c r="E186">
        <f>VLOOKUP(I186,Calc!$I$35:$J$39,2,FALSE)</f>
        <v>8</v>
      </c>
      <c r="G186" s="10" t="s">
        <v>12</v>
      </c>
      <c r="H186" s="10" t="s">
        <v>414</v>
      </c>
      <c r="I186" s="10" t="s">
        <v>22</v>
      </c>
    </row>
    <row r="187" spans="1:9" hidden="1">
      <c r="A187" t="s">
        <v>415</v>
      </c>
      <c r="B187" t="s">
        <v>3267</v>
      </c>
      <c r="C187" t="s">
        <v>29</v>
      </c>
      <c r="D187" s="2">
        <v>80000</v>
      </c>
      <c r="E187">
        <f>VLOOKUP(I187,Calc!$I$35:$J$39,2,FALSE)</f>
        <v>2.5</v>
      </c>
      <c r="G187" s="10" t="s">
        <v>30</v>
      </c>
      <c r="H187" s="10" t="s">
        <v>416</v>
      </c>
      <c r="I187" s="10" t="s">
        <v>36</v>
      </c>
    </row>
    <row r="188" spans="1:9">
      <c r="A188" t="s">
        <v>417</v>
      </c>
      <c r="B188" t="s">
        <v>3268</v>
      </c>
      <c r="C188" t="s">
        <v>29</v>
      </c>
      <c r="D188" s="2">
        <v>59001.691381819612</v>
      </c>
      <c r="E188">
        <f>VLOOKUP(I188,Calc!$I$35:$J$39,2,FALSE)</f>
        <v>2.5</v>
      </c>
      <c r="G188" s="10" t="s">
        <v>128</v>
      </c>
      <c r="H188" s="10" t="s">
        <v>418</v>
      </c>
      <c r="I188" s="10" t="s">
        <v>36</v>
      </c>
    </row>
    <row r="189" spans="1:9">
      <c r="A189" t="s">
        <v>419</v>
      </c>
      <c r="B189" t="s">
        <v>3268</v>
      </c>
      <c r="C189" t="s">
        <v>29</v>
      </c>
      <c r="D189" s="2">
        <v>28000</v>
      </c>
      <c r="E189">
        <f>VLOOKUP(I189,Calc!$I$35:$J$39,2,FALSE)</f>
        <v>5</v>
      </c>
      <c r="G189" s="10" t="s">
        <v>30</v>
      </c>
      <c r="H189" s="10" t="s">
        <v>420</v>
      </c>
      <c r="I189" s="10" t="s">
        <v>14</v>
      </c>
    </row>
    <row r="190" spans="1:9">
      <c r="A190" t="s">
        <v>421</v>
      </c>
      <c r="B190" t="s">
        <v>3268</v>
      </c>
      <c r="C190" t="s">
        <v>29</v>
      </c>
      <c r="D190" s="2">
        <v>60000</v>
      </c>
      <c r="E190">
        <f>VLOOKUP(I190,Calc!$I$35:$J$39,2,FALSE)</f>
        <v>5</v>
      </c>
      <c r="G190" s="10" t="s">
        <v>30</v>
      </c>
      <c r="H190" s="10" t="s">
        <v>422</v>
      </c>
      <c r="I190" s="10" t="s">
        <v>14</v>
      </c>
    </row>
    <row r="191" spans="1:9" hidden="1">
      <c r="A191" t="s">
        <v>423</v>
      </c>
      <c r="B191" t="s">
        <v>3265</v>
      </c>
      <c r="C191" t="s">
        <v>29</v>
      </c>
      <c r="D191" s="2">
        <v>96000</v>
      </c>
      <c r="E191">
        <f>VLOOKUP(I191,Calc!$I$35:$J$39,2,FALSE)</f>
        <v>2.5</v>
      </c>
      <c r="G191" s="10" t="s">
        <v>30</v>
      </c>
      <c r="H191" s="10" t="s">
        <v>424</v>
      </c>
      <c r="I191" s="10" t="s">
        <v>36</v>
      </c>
    </row>
    <row r="192" spans="1:9">
      <c r="A192" t="s">
        <v>425</v>
      </c>
      <c r="B192" t="s">
        <v>3268</v>
      </c>
      <c r="C192" t="s">
        <v>29</v>
      </c>
      <c r="D192" s="2">
        <v>67000</v>
      </c>
      <c r="E192">
        <f>VLOOKUP(I192,Calc!$I$35:$J$39,2,FALSE)</f>
        <v>5</v>
      </c>
      <c r="G192" s="10" t="s">
        <v>30</v>
      </c>
      <c r="H192" s="10" t="s">
        <v>31</v>
      </c>
      <c r="I192" s="10" t="s">
        <v>14</v>
      </c>
    </row>
    <row r="193" spans="1:9">
      <c r="A193" t="s">
        <v>426</v>
      </c>
      <c r="B193" t="s">
        <v>3268</v>
      </c>
      <c r="C193" t="s">
        <v>29</v>
      </c>
      <c r="D193" s="2">
        <v>70000</v>
      </c>
      <c r="E193">
        <f>VLOOKUP(I193,Calc!$I$35:$J$39,2,FALSE)</f>
        <v>5</v>
      </c>
      <c r="G193" s="10" t="s">
        <v>30</v>
      </c>
      <c r="H193" s="10" t="s">
        <v>427</v>
      </c>
      <c r="I193" s="10" t="s">
        <v>14</v>
      </c>
    </row>
    <row r="194" spans="1:9" hidden="1">
      <c r="A194" t="s">
        <v>428</v>
      </c>
      <c r="B194" t="s">
        <v>3267</v>
      </c>
      <c r="C194" t="s">
        <v>11</v>
      </c>
      <c r="D194" s="2">
        <v>4149.2445881741187</v>
      </c>
      <c r="E194">
        <f>VLOOKUP(I194,Calc!$I$35:$J$39,2,FALSE)</f>
        <v>8</v>
      </c>
      <c r="G194" s="10" t="s">
        <v>12</v>
      </c>
      <c r="H194" s="10" t="s">
        <v>429</v>
      </c>
      <c r="I194" s="10" t="s">
        <v>22</v>
      </c>
    </row>
    <row r="195" spans="1:9" hidden="1">
      <c r="A195" t="s">
        <v>430</v>
      </c>
      <c r="B195" t="s">
        <v>3263</v>
      </c>
      <c r="C195" t="s">
        <v>29</v>
      </c>
      <c r="D195" s="2">
        <v>99000</v>
      </c>
      <c r="E195">
        <f>VLOOKUP(I195,Calc!$I$35:$J$39,2,FALSE)</f>
        <v>5</v>
      </c>
      <c r="G195" s="10" t="s">
        <v>30</v>
      </c>
      <c r="H195" s="10" t="s">
        <v>431</v>
      </c>
      <c r="I195" s="10" t="s">
        <v>14</v>
      </c>
    </row>
    <row r="196" spans="1:9" hidden="1">
      <c r="A196" t="s">
        <v>432</v>
      </c>
      <c r="B196" t="s">
        <v>3267</v>
      </c>
      <c r="C196" t="s">
        <v>29</v>
      </c>
      <c r="D196" s="2">
        <v>90000</v>
      </c>
      <c r="E196">
        <f>VLOOKUP(I196,Calc!$I$35:$J$39,2,FALSE)</f>
        <v>2.5</v>
      </c>
      <c r="G196" s="10" t="s">
        <v>30</v>
      </c>
      <c r="H196" s="10" t="s">
        <v>310</v>
      </c>
      <c r="I196" s="10" t="s">
        <v>36</v>
      </c>
    </row>
    <row r="197" spans="1:9" hidden="1">
      <c r="A197" t="s">
        <v>433</v>
      </c>
      <c r="B197" t="s">
        <v>3268</v>
      </c>
      <c r="C197" t="s">
        <v>11</v>
      </c>
      <c r="D197" s="2">
        <v>4897.177089046706</v>
      </c>
      <c r="E197">
        <f>VLOOKUP(I197,Calc!$I$35:$J$39,2,FALSE)</f>
        <v>2.5</v>
      </c>
      <c r="G197" s="10" t="s">
        <v>12</v>
      </c>
      <c r="H197" s="10" t="s">
        <v>434</v>
      </c>
      <c r="I197" s="10" t="s">
        <v>36</v>
      </c>
    </row>
    <row r="198" spans="1:9" hidden="1">
      <c r="A198" t="s">
        <v>435</v>
      </c>
      <c r="B198" t="s">
        <v>3268</v>
      </c>
      <c r="C198" t="s">
        <v>11</v>
      </c>
      <c r="D198" s="2">
        <v>3419.1200039889732</v>
      </c>
      <c r="E198">
        <f>VLOOKUP(I198,Calc!$I$35:$J$39,2,FALSE)</f>
        <v>8</v>
      </c>
      <c r="G198" s="10" t="s">
        <v>12</v>
      </c>
      <c r="H198" s="10" t="s">
        <v>436</v>
      </c>
      <c r="I198" s="10" t="s">
        <v>22</v>
      </c>
    </row>
    <row r="199" spans="1:9" hidden="1">
      <c r="A199" t="s">
        <v>437</v>
      </c>
      <c r="B199" t="s">
        <v>3267</v>
      </c>
      <c r="C199" t="s">
        <v>29</v>
      </c>
      <c r="D199" s="2">
        <v>51000</v>
      </c>
      <c r="E199">
        <f>VLOOKUP(I199,Calc!$I$35:$J$39,2,FALSE)</f>
        <v>5</v>
      </c>
      <c r="G199" s="10" t="s">
        <v>30</v>
      </c>
      <c r="H199" s="10" t="s">
        <v>438</v>
      </c>
      <c r="I199" s="10" t="s">
        <v>14</v>
      </c>
    </row>
    <row r="200" spans="1:9" hidden="1">
      <c r="A200" t="s">
        <v>439</v>
      </c>
      <c r="B200" t="s">
        <v>3267</v>
      </c>
      <c r="C200" t="s">
        <v>29</v>
      </c>
      <c r="D200" s="2">
        <v>100000</v>
      </c>
      <c r="E200">
        <f>VLOOKUP(I200,Calc!$I$35:$J$39,2,FALSE)</f>
        <v>8</v>
      </c>
      <c r="G200" s="10" t="s">
        <v>30</v>
      </c>
      <c r="H200" s="10" t="s">
        <v>440</v>
      </c>
      <c r="I200" s="10" t="s">
        <v>22</v>
      </c>
    </row>
    <row r="201" spans="1:9" hidden="1">
      <c r="A201" t="s">
        <v>441</v>
      </c>
      <c r="B201" t="s">
        <v>3267</v>
      </c>
      <c r="C201" t="s">
        <v>11</v>
      </c>
      <c r="D201" s="2">
        <v>32054.250037396621</v>
      </c>
      <c r="E201">
        <f>VLOOKUP(I201,Calc!$I$35:$J$39,2,FALSE)</f>
        <v>1.5</v>
      </c>
      <c r="G201" s="10" t="s">
        <v>12</v>
      </c>
      <c r="H201" s="10" t="s">
        <v>442</v>
      </c>
      <c r="I201" s="10" t="s">
        <v>47</v>
      </c>
    </row>
    <row r="202" spans="1:9" hidden="1">
      <c r="A202" t="s">
        <v>443</v>
      </c>
      <c r="B202" t="s">
        <v>3268</v>
      </c>
      <c r="C202" t="s">
        <v>19</v>
      </c>
      <c r="D202" s="2">
        <v>47285.348162018527</v>
      </c>
      <c r="E202">
        <f>VLOOKUP(I202,Calc!$I$35:$J$39,2,FALSE)</f>
        <v>2.5</v>
      </c>
      <c r="G202" s="10" t="s">
        <v>107</v>
      </c>
      <c r="H202" s="10" t="s">
        <v>444</v>
      </c>
      <c r="I202" s="10" t="s">
        <v>36</v>
      </c>
    </row>
    <row r="203" spans="1:9" hidden="1">
      <c r="A203" t="s">
        <v>445</v>
      </c>
      <c r="B203" t="s">
        <v>3268</v>
      </c>
      <c r="C203" t="s">
        <v>19</v>
      </c>
      <c r="D203" s="2">
        <v>63519.971949580387</v>
      </c>
      <c r="E203">
        <f>VLOOKUP(I203,Calc!$I$35:$J$39,2,FALSE)</f>
        <v>5</v>
      </c>
      <c r="G203" s="10" t="s">
        <v>60</v>
      </c>
      <c r="H203" s="10" t="s">
        <v>233</v>
      </c>
      <c r="I203" s="10" t="s">
        <v>14</v>
      </c>
    </row>
    <row r="204" spans="1:9">
      <c r="A204" t="s">
        <v>446</v>
      </c>
      <c r="B204" t="s">
        <v>3268</v>
      </c>
      <c r="C204" t="s">
        <v>29</v>
      </c>
      <c r="D204" s="2">
        <v>108160</v>
      </c>
      <c r="E204">
        <f>VLOOKUP(I204,Calc!$I$35:$J$39,2,FALSE)</f>
        <v>5</v>
      </c>
      <c r="G204" s="10" t="s">
        <v>30</v>
      </c>
      <c r="H204" s="10" t="s">
        <v>447</v>
      </c>
      <c r="I204" s="10" t="s">
        <v>14</v>
      </c>
    </row>
    <row r="205" spans="1:9" hidden="1">
      <c r="A205" t="s">
        <v>448</v>
      </c>
      <c r="B205" t="s">
        <v>3267</v>
      </c>
      <c r="C205" t="s">
        <v>29</v>
      </c>
      <c r="D205" s="2">
        <v>50000</v>
      </c>
      <c r="E205">
        <f>VLOOKUP(I205,Calc!$I$35:$J$39,2,FALSE)</f>
        <v>5</v>
      </c>
      <c r="G205" s="10" t="s">
        <v>30</v>
      </c>
      <c r="H205" s="10" t="s">
        <v>449</v>
      </c>
      <c r="I205" s="10" t="s">
        <v>14</v>
      </c>
    </row>
    <row r="206" spans="1:9" hidden="1">
      <c r="A206" t="s">
        <v>450</v>
      </c>
      <c r="B206" t="s">
        <v>3267</v>
      </c>
      <c r="C206" t="s">
        <v>29</v>
      </c>
      <c r="D206" s="2">
        <v>400000</v>
      </c>
      <c r="E206">
        <f>VLOOKUP(I206,Calc!$I$35:$J$39,2,FALSE)</f>
        <v>1.5</v>
      </c>
      <c r="G206" s="10" t="s">
        <v>30</v>
      </c>
      <c r="H206" s="10" t="s">
        <v>451</v>
      </c>
      <c r="I206" s="10" t="s">
        <v>47</v>
      </c>
    </row>
    <row r="207" spans="1:9">
      <c r="A207" t="s">
        <v>452</v>
      </c>
      <c r="B207" t="s">
        <v>3268</v>
      </c>
      <c r="C207" t="s">
        <v>29</v>
      </c>
      <c r="D207" s="2">
        <v>43000</v>
      </c>
      <c r="E207">
        <f>VLOOKUP(I207,Calc!$I$35:$J$39,2,FALSE)</f>
        <v>8</v>
      </c>
      <c r="G207" s="10" t="s">
        <v>30</v>
      </c>
      <c r="H207" s="10" t="s">
        <v>453</v>
      </c>
      <c r="I207" s="10" t="s">
        <v>22</v>
      </c>
    </row>
    <row r="208" spans="1:9" hidden="1">
      <c r="A208" t="s">
        <v>454</v>
      </c>
      <c r="B208" t="s">
        <v>3268</v>
      </c>
      <c r="C208" t="s">
        <v>11</v>
      </c>
      <c r="D208" s="2">
        <v>27000</v>
      </c>
      <c r="E208">
        <f>VLOOKUP(I208,Calc!$I$35:$J$39,2,FALSE)</f>
        <v>8</v>
      </c>
      <c r="G208" s="10" t="s">
        <v>455</v>
      </c>
      <c r="H208" s="10" t="s">
        <v>456</v>
      </c>
      <c r="I208" s="10" t="s">
        <v>22</v>
      </c>
    </row>
    <row r="209" spans="1:9" hidden="1">
      <c r="A209" t="s">
        <v>457</v>
      </c>
      <c r="B209" t="s">
        <v>3267</v>
      </c>
      <c r="C209" t="s">
        <v>29</v>
      </c>
      <c r="D209" s="2">
        <v>41000</v>
      </c>
      <c r="E209">
        <f>VLOOKUP(I209,Calc!$I$35:$J$39,2,FALSE)</f>
        <v>8</v>
      </c>
      <c r="G209" s="10" t="s">
        <v>30</v>
      </c>
      <c r="H209" s="10" t="s">
        <v>458</v>
      </c>
      <c r="I209" s="10" t="s">
        <v>22</v>
      </c>
    </row>
    <row r="210" spans="1:9" hidden="1">
      <c r="A210" t="s">
        <v>459</v>
      </c>
      <c r="B210" t="s">
        <v>3249</v>
      </c>
      <c r="C210" t="s">
        <v>29</v>
      </c>
      <c r="D210" s="2">
        <v>100000</v>
      </c>
      <c r="E210">
        <f>VLOOKUP(I210,Calc!$I$35:$J$39,2,FALSE)</f>
        <v>5</v>
      </c>
      <c r="G210" s="10" t="s">
        <v>30</v>
      </c>
      <c r="H210" s="10" t="s">
        <v>460</v>
      </c>
      <c r="I210" s="10" t="s">
        <v>14</v>
      </c>
    </row>
    <row r="211" spans="1:9">
      <c r="A211" t="s">
        <v>461</v>
      </c>
      <c r="B211" t="s">
        <v>3268</v>
      </c>
      <c r="C211" t="s">
        <v>29</v>
      </c>
      <c r="D211" s="2">
        <v>42140</v>
      </c>
      <c r="E211">
        <f>VLOOKUP(I211,Calc!$I$35:$J$39,2,FALSE)</f>
        <v>5</v>
      </c>
      <c r="G211" s="10" t="s">
        <v>30</v>
      </c>
      <c r="H211" s="10" t="s">
        <v>462</v>
      </c>
      <c r="I211" s="10" t="s">
        <v>14</v>
      </c>
    </row>
    <row r="212" spans="1:9">
      <c r="A212" t="s">
        <v>463</v>
      </c>
      <c r="B212" t="s">
        <v>3268</v>
      </c>
      <c r="C212" t="s">
        <v>29</v>
      </c>
      <c r="D212" s="2">
        <v>80000</v>
      </c>
      <c r="E212">
        <f>VLOOKUP(I212,Calc!$I$35:$J$39,2,FALSE)</f>
        <v>5</v>
      </c>
      <c r="G212" s="10" t="s">
        <v>30</v>
      </c>
      <c r="H212" s="10" t="s">
        <v>207</v>
      </c>
      <c r="I212" s="10" t="s">
        <v>14</v>
      </c>
    </row>
    <row r="213" spans="1:9" hidden="1">
      <c r="A213" t="s">
        <v>464</v>
      </c>
      <c r="B213" t="s">
        <v>3267</v>
      </c>
      <c r="C213" t="s">
        <v>29</v>
      </c>
      <c r="D213" s="2">
        <v>41600</v>
      </c>
      <c r="E213">
        <f>VLOOKUP(I213,Calc!$I$35:$J$39,2,FALSE)</f>
        <v>5</v>
      </c>
      <c r="G213" s="10" t="s">
        <v>30</v>
      </c>
      <c r="H213" s="10" t="s">
        <v>310</v>
      </c>
      <c r="I213" s="10" t="s">
        <v>14</v>
      </c>
    </row>
    <row r="214" spans="1:9" hidden="1">
      <c r="A214" t="s">
        <v>465</v>
      </c>
      <c r="B214" t="s">
        <v>3269</v>
      </c>
      <c r="C214" t="s">
        <v>29</v>
      </c>
      <c r="D214" s="2">
        <v>45000</v>
      </c>
      <c r="E214">
        <f>VLOOKUP(I214,Calc!$I$35:$J$39,2,FALSE)</f>
        <v>2.5</v>
      </c>
      <c r="G214" s="10" t="s">
        <v>30</v>
      </c>
      <c r="H214" s="10" t="s">
        <v>466</v>
      </c>
      <c r="I214" s="10" t="s">
        <v>36</v>
      </c>
    </row>
    <row r="215" spans="1:9" hidden="1">
      <c r="A215" t="s">
        <v>467</v>
      </c>
      <c r="B215" t="s">
        <v>3269</v>
      </c>
      <c r="C215" t="s">
        <v>29</v>
      </c>
      <c r="D215" s="2">
        <v>78000</v>
      </c>
      <c r="E215">
        <f>VLOOKUP(I215,Calc!$I$35:$J$39,2,FALSE)</f>
        <v>5</v>
      </c>
      <c r="G215" s="10" t="s">
        <v>468</v>
      </c>
      <c r="H215" s="10" t="s">
        <v>469</v>
      </c>
      <c r="I215" s="10" t="s">
        <v>14</v>
      </c>
    </row>
    <row r="216" spans="1:9" hidden="1">
      <c r="A216" t="s">
        <v>470</v>
      </c>
      <c r="B216" t="s">
        <v>3267</v>
      </c>
      <c r="C216" t="s">
        <v>11</v>
      </c>
      <c r="D216" s="2">
        <v>8903.9583437212841</v>
      </c>
      <c r="E216">
        <f>VLOOKUP(I216,Calc!$I$35:$J$39,2,FALSE)</f>
        <v>5</v>
      </c>
      <c r="G216" s="10" t="s">
        <v>12</v>
      </c>
      <c r="H216" s="10" t="s">
        <v>310</v>
      </c>
      <c r="I216" s="10" t="s">
        <v>14</v>
      </c>
    </row>
    <row r="217" spans="1:9" hidden="1">
      <c r="A217" t="s">
        <v>471</v>
      </c>
      <c r="B217" t="s">
        <v>3269</v>
      </c>
      <c r="C217" t="s">
        <v>11</v>
      </c>
      <c r="D217" s="2">
        <v>6232.7708406048987</v>
      </c>
      <c r="E217">
        <f>VLOOKUP(I217,Calc!$I$35:$J$39,2,FALSE)</f>
        <v>5</v>
      </c>
      <c r="G217" s="10" t="s">
        <v>12</v>
      </c>
      <c r="H217" s="10" t="s">
        <v>472</v>
      </c>
      <c r="I217" s="10" t="s">
        <v>14</v>
      </c>
    </row>
    <row r="218" spans="1:9" hidden="1">
      <c r="A218" t="s">
        <v>473</v>
      </c>
      <c r="B218" t="s">
        <v>3263</v>
      </c>
      <c r="C218" t="s">
        <v>29</v>
      </c>
      <c r="D218" s="2">
        <v>72500</v>
      </c>
      <c r="E218">
        <f>VLOOKUP(I218,Calc!$I$35:$J$39,2,FALSE)</f>
        <v>5</v>
      </c>
      <c r="G218" s="10" t="s">
        <v>30</v>
      </c>
      <c r="H218" s="10" t="s">
        <v>474</v>
      </c>
      <c r="I218" s="10" t="s">
        <v>14</v>
      </c>
    </row>
    <row r="219" spans="1:9" hidden="1">
      <c r="A219" t="s">
        <v>475</v>
      </c>
      <c r="B219" t="s">
        <v>3266</v>
      </c>
      <c r="C219" t="s">
        <v>11</v>
      </c>
      <c r="D219" s="2">
        <v>138000</v>
      </c>
      <c r="E219">
        <f>VLOOKUP(I219,Calc!$I$35:$J$39,2,FALSE)</f>
        <v>5</v>
      </c>
      <c r="G219" s="10" t="s">
        <v>476</v>
      </c>
      <c r="H219" s="10" t="s">
        <v>477</v>
      </c>
      <c r="I219" s="10" t="s">
        <v>14</v>
      </c>
    </row>
    <row r="220" spans="1:9" hidden="1">
      <c r="A220" t="s">
        <v>478</v>
      </c>
      <c r="B220" t="s">
        <v>3267</v>
      </c>
      <c r="C220" t="s">
        <v>11</v>
      </c>
      <c r="D220" s="2">
        <v>8547.8000099724322</v>
      </c>
      <c r="E220">
        <f>VLOOKUP(I220,Calc!$I$35:$J$39,2,FALSE)</f>
        <v>5</v>
      </c>
      <c r="G220" s="10" t="s">
        <v>12</v>
      </c>
      <c r="H220" s="10" t="s">
        <v>479</v>
      </c>
      <c r="I220" s="10" t="s">
        <v>14</v>
      </c>
    </row>
    <row r="221" spans="1:9">
      <c r="A221" t="s">
        <v>480</v>
      </c>
      <c r="B221" t="s">
        <v>3268</v>
      </c>
      <c r="C221" t="s">
        <v>29</v>
      </c>
      <c r="D221" s="2">
        <v>80000</v>
      </c>
      <c r="E221">
        <f>VLOOKUP(I221,Calc!$I$35:$J$39,2,FALSE)</f>
        <v>5</v>
      </c>
      <c r="G221" s="10" t="s">
        <v>30</v>
      </c>
      <c r="H221" s="10" t="s">
        <v>162</v>
      </c>
      <c r="I221" s="10" t="s">
        <v>14</v>
      </c>
    </row>
    <row r="222" spans="1:9" hidden="1">
      <c r="A222" t="s">
        <v>481</v>
      </c>
      <c r="B222" t="s">
        <v>3267</v>
      </c>
      <c r="C222" t="s">
        <v>29</v>
      </c>
      <c r="D222" s="2">
        <v>50000</v>
      </c>
      <c r="E222">
        <f>VLOOKUP(I222,Calc!$I$35:$J$39,2,FALSE)</f>
        <v>5</v>
      </c>
      <c r="G222" s="10" t="s">
        <v>30</v>
      </c>
      <c r="H222" s="10" t="s">
        <v>310</v>
      </c>
      <c r="I222" s="10" t="s">
        <v>14</v>
      </c>
    </row>
    <row r="223" spans="1:9" hidden="1">
      <c r="A223" t="s">
        <v>482</v>
      </c>
      <c r="B223" t="s">
        <v>3265</v>
      </c>
      <c r="C223" t="s">
        <v>29</v>
      </c>
      <c r="D223" s="2">
        <v>44251.268536364711</v>
      </c>
      <c r="E223">
        <f>VLOOKUP(I223,Calc!$I$35:$J$39,2,FALSE)</f>
        <v>1.5</v>
      </c>
      <c r="G223" s="10" t="s">
        <v>128</v>
      </c>
      <c r="H223" s="10" t="s">
        <v>483</v>
      </c>
      <c r="I223" s="10" t="s">
        <v>47</v>
      </c>
    </row>
    <row r="224" spans="1:9" hidden="1">
      <c r="A224" t="s">
        <v>484</v>
      </c>
      <c r="B224" t="s">
        <v>3267</v>
      </c>
      <c r="C224" t="s">
        <v>19</v>
      </c>
      <c r="D224" s="2">
        <v>67775.665698893223</v>
      </c>
      <c r="E224">
        <f>VLOOKUP(I224,Calc!$I$35:$J$39,2,FALSE)</f>
        <v>2.5</v>
      </c>
      <c r="G224" s="10" t="s">
        <v>107</v>
      </c>
      <c r="H224" s="10" t="s">
        <v>485</v>
      </c>
      <c r="I224" s="10" t="s">
        <v>36</v>
      </c>
    </row>
    <row r="225" spans="1:9" hidden="1">
      <c r="A225" t="s">
        <v>486</v>
      </c>
      <c r="B225" t="s">
        <v>3268</v>
      </c>
      <c r="C225" t="s">
        <v>11</v>
      </c>
      <c r="D225" s="2">
        <v>3561.5833374885137</v>
      </c>
      <c r="E225">
        <f>VLOOKUP(I225,Calc!$I$35:$J$39,2,FALSE)</f>
        <v>1.5</v>
      </c>
      <c r="G225" s="10" t="s">
        <v>12</v>
      </c>
      <c r="H225" s="10" t="s">
        <v>487</v>
      </c>
      <c r="I225" s="10" t="s">
        <v>47</v>
      </c>
    </row>
    <row r="226" spans="1:9" hidden="1">
      <c r="A226" t="s">
        <v>488</v>
      </c>
      <c r="B226" t="s">
        <v>3265</v>
      </c>
      <c r="C226" t="s">
        <v>29</v>
      </c>
      <c r="D226" s="2">
        <v>65000</v>
      </c>
      <c r="E226">
        <f>VLOOKUP(I226,Calc!$I$35:$J$39,2,FALSE)</f>
        <v>2.5</v>
      </c>
      <c r="G226" s="10" t="s">
        <v>30</v>
      </c>
      <c r="H226" s="10" t="s">
        <v>489</v>
      </c>
      <c r="I226" s="10" t="s">
        <v>36</v>
      </c>
    </row>
    <row r="227" spans="1:9" hidden="1">
      <c r="A227" t="s">
        <v>490</v>
      </c>
      <c r="B227" t="s">
        <v>3249</v>
      </c>
      <c r="C227" t="s">
        <v>29</v>
      </c>
      <c r="D227" s="2">
        <v>114000</v>
      </c>
      <c r="E227">
        <f>VLOOKUP(I227,Calc!$I$35:$J$39,2,FALSE)</f>
        <v>2.5</v>
      </c>
      <c r="G227" s="10" t="s">
        <v>30</v>
      </c>
      <c r="H227" s="10" t="s">
        <v>211</v>
      </c>
      <c r="I227" s="10" t="s">
        <v>36</v>
      </c>
    </row>
    <row r="228" spans="1:9" hidden="1">
      <c r="A228" t="s">
        <v>491</v>
      </c>
      <c r="B228" t="s">
        <v>3249</v>
      </c>
      <c r="C228" t="s">
        <v>29</v>
      </c>
      <c r="D228" s="2">
        <v>95000</v>
      </c>
      <c r="E228">
        <f>VLOOKUP(I228,Calc!$I$35:$J$39,2,FALSE)</f>
        <v>5</v>
      </c>
      <c r="G228" s="10" t="s">
        <v>30</v>
      </c>
      <c r="H228" s="10" t="s">
        <v>492</v>
      </c>
      <c r="I228" s="10" t="s">
        <v>14</v>
      </c>
    </row>
    <row r="229" spans="1:9">
      <c r="A229" t="s">
        <v>493</v>
      </c>
      <c r="B229" t="s">
        <v>3268</v>
      </c>
      <c r="C229" t="s">
        <v>29</v>
      </c>
      <c r="D229" s="2">
        <v>52500</v>
      </c>
      <c r="E229">
        <f>VLOOKUP(I229,Calc!$I$35:$J$39,2,FALSE)</f>
        <v>5</v>
      </c>
      <c r="G229" s="10" t="s">
        <v>30</v>
      </c>
      <c r="H229" s="10" t="s">
        <v>494</v>
      </c>
      <c r="I229" s="10" t="s">
        <v>14</v>
      </c>
    </row>
    <row r="230" spans="1:9" hidden="1">
      <c r="A230" t="s">
        <v>495</v>
      </c>
      <c r="B230" t="s">
        <v>3267</v>
      </c>
      <c r="C230" t="s">
        <v>19</v>
      </c>
      <c r="D230" s="2">
        <v>70928.022243027779</v>
      </c>
      <c r="E230">
        <f>VLOOKUP(I230,Calc!$I$35:$J$39,2,FALSE)</f>
        <v>2.5</v>
      </c>
      <c r="G230" s="10" t="s">
        <v>107</v>
      </c>
      <c r="H230" s="10" t="s">
        <v>496</v>
      </c>
      <c r="I230" s="10" t="s">
        <v>36</v>
      </c>
    </row>
    <row r="231" spans="1:9">
      <c r="A231" t="s">
        <v>497</v>
      </c>
      <c r="B231" t="s">
        <v>3268</v>
      </c>
      <c r="C231" t="s">
        <v>29</v>
      </c>
      <c r="D231" s="2">
        <v>60000</v>
      </c>
      <c r="E231">
        <f>VLOOKUP(I231,Calc!$I$35:$J$39,2,FALSE)</f>
        <v>5</v>
      </c>
      <c r="G231" s="10" t="s">
        <v>30</v>
      </c>
      <c r="H231" s="10" t="s">
        <v>498</v>
      </c>
      <c r="I231" s="10" t="s">
        <v>14</v>
      </c>
    </row>
    <row r="232" spans="1:9" hidden="1">
      <c r="A232" t="s">
        <v>499</v>
      </c>
      <c r="B232" t="s">
        <v>3269</v>
      </c>
      <c r="C232" t="s">
        <v>29</v>
      </c>
      <c r="D232" s="2">
        <v>65250</v>
      </c>
      <c r="E232">
        <f>VLOOKUP(I232,Calc!$I$35:$J$39,2,FALSE)</f>
        <v>5</v>
      </c>
      <c r="G232" s="10" t="s">
        <v>30</v>
      </c>
      <c r="H232" s="10" t="s">
        <v>56</v>
      </c>
      <c r="I232" s="10" t="s">
        <v>14</v>
      </c>
    </row>
    <row r="233" spans="1:9" hidden="1">
      <c r="A233" t="s">
        <v>500</v>
      </c>
      <c r="B233" t="s">
        <v>3267</v>
      </c>
      <c r="C233" t="s">
        <v>11</v>
      </c>
      <c r="D233" s="2">
        <v>21369.500024931083</v>
      </c>
      <c r="E233">
        <f>VLOOKUP(I233,Calc!$I$35:$J$39,2,FALSE)</f>
        <v>2.5</v>
      </c>
      <c r="G233" s="10" t="s">
        <v>12</v>
      </c>
      <c r="H233" s="10" t="s">
        <v>501</v>
      </c>
      <c r="I233" s="10" t="s">
        <v>36</v>
      </c>
    </row>
    <row r="234" spans="1:9" hidden="1">
      <c r="A234" t="s">
        <v>502</v>
      </c>
      <c r="B234" t="s">
        <v>3267</v>
      </c>
      <c r="C234" t="s">
        <v>29</v>
      </c>
      <c r="D234" s="2">
        <v>98336.152303032693</v>
      </c>
      <c r="E234">
        <f>VLOOKUP(I234,Calc!$I$35:$J$39,2,FALSE)</f>
        <v>2.5</v>
      </c>
      <c r="G234" s="10" t="s">
        <v>128</v>
      </c>
      <c r="H234" s="10" t="s">
        <v>503</v>
      </c>
      <c r="I234" s="10" t="s">
        <v>36</v>
      </c>
    </row>
    <row r="235" spans="1:9" hidden="1">
      <c r="A235" t="s">
        <v>504</v>
      </c>
      <c r="B235" t="s">
        <v>3265</v>
      </c>
      <c r="C235" t="s">
        <v>19</v>
      </c>
      <c r="D235" s="2">
        <v>15244.793267899293</v>
      </c>
      <c r="E235">
        <f>VLOOKUP(I235,Calc!$I$35:$J$39,2,FALSE)</f>
        <v>8</v>
      </c>
      <c r="G235" s="10" t="s">
        <v>53</v>
      </c>
      <c r="H235" s="10" t="s">
        <v>505</v>
      </c>
      <c r="I235" s="10" t="s">
        <v>22</v>
      </c>
    </row>
    <row r="236" spans="1:9">
      <c r="A236" t="s">
        <v>506</v>
      </c>
      <c r="B236" t="s">
        <v>3268</v>
      </c>
      <c r="C236" t="s">
        <v>29</v>
      </c>
      <c r="D236" s="2">
        <v>73000</v>
      </c>
      <c r="E236">
        <f>VLOOKUP(I236,Calc!$I$35:$J$39,2,FALSE)</f>
        <v>5</v>
      </c>
      <c r="G236" s="10" t="s">
        <v>30</v>
      </c>
      <c r="H236" s="10" t="s">
        <v>31</v>
      </c>
      <c r="I236" s="10" t="s">
        <v>14</v>
      </c>
    </row>
    <row r="237" spans="1:9">
      <c r="A237" t="s">
        <v>507</v>
      </c>
      <c r="B237" t="s">
        <v>3268</v>
      </c>
      <c r="C237" t="s">
        <v>29</v>
      </c>
      <c r="D237" s="2">
        <v>50000</v>
      </c>
      <c r="E237">
        <f>VLOOKUP(I237,Calc!$I$35:$J$39,2,FALSE)</f>
        <v>8</v>
      </c>
      <c r="G237" s="10" t="s">
        <v>30</v>
      </c>
      <c r="H237" s="10" t="s">
        <v>331</v>
      </c>
      <c r="I237" s="10" t="s">
        <v>22</v>
      </c>
    </row>
    <row r="238" spans="1:9" hidden="1">
      <c r="A238" t="s">
        <v>508</v>
      </c>
      <c r="B238" t="s">
        <v>3269</v>
      </c>
      <c r="C238" t="s">
        <v>29</v>
      </c>
      <c r="D238" s="2">
        <v>79000</v>
      </c>
      <c r="E238">
        <f>VLOOKUP(I238,Calc!$I$35:$J$39,2,FALSE)</f>
        <v>2.5</v>
      </c>
      <c r="G238" s="10" t="s">
        <v>30</v>
      </c>
      <c r="H238" s="10" t="s">
        <v>509</v>
      </c>
      <c r="I238" s="10" t="s">
        <v>36</v>
      </c>
    </row>
    <row r="239" spans="1:9" hidden="1">
      <c r="A239" t="s">
        <v>510</v>
      </c>
      <c r="B239" t="s">
        <v>3267</v>
      </c>
      <c r="C239" t="s">
        <v>29</v>
      </c>
      <c r="D239" s="2">
        <v>90000</v>
      </c>
      <c r="E239">
        <f>VLOOKUP(I239,Calc!$I$35:$J$39,2,FALSE)</f>
        <v>5</v>
      </c>
      <c r="G239" s="10" t="s">
        <v>30</v>
      </c>
      <c r="H239" s="10" t="s">
        <v>511</v>
      </c>
      <c r="I239" s="10" t="s">
        <v>14</v>
      </c>
    </row>
    <row r="240" spans="1:9" hidden="1">
      <c r="A240" t="s">
        <v>512</v>
      </c>
      <c r="B240" t="s">
        <v>3267</v>
      </c>
      <c r="C240" t="s">
        <v>29</v>
      </c>
      <c r="D240" s="2">
        <v>70000</v>
      </c>
      <c r="E240">
        <f>VLOOKUP(I240,Calc!$I$35:$J$39,2,FALSE)</f>
        <v>2.5</v>
      </c>
      <c r="G240" s="10" t="s">
        <v>30</v>
      </c>
      <c r="H240" s="10" t="s">
        <v>513</v>
      </c>
      <c r="I240" s="10" t="s">
        <v>36</v>
      </c>
    </row>
    <row r="241" spans="1:9" hidden="1">
      <c r="A241" t="s">
        <v>514</v>
      </c>
      <c r="B241" t="s">
        <v>3267</v>
      </c>
      <c r="C241" t="s">
        <v>29</v>
      </c>
      <c r="D241" s="2">
        <v>63918.498996971248</v>
      </c>
      <c r="E241">
        <f>VLOOKUP(I241,Calc!$I$35:$J$39,2,FALSE)</f>
        <v>5</v>
      </c>
      <c r="G241" s="10" t="s">
        <v>128</v>
      </c>
      <c r="H241" s="10" t="s">
        <v>515</v>
      </c>
      <c r="I241" s="10" t="s">
        <v>14</v>
      </c>
    </row>
    <row r="242" spans="1:9">
      <c r="A242" t="s">
        <v>516</v>
      </c>
      <c r="B242" t="s">
        <v>3268</v>
      </c>
      <c r="C242" t="s">
        <v>29</v>
      </c>
      <c r="D242" s="2">
        <v>80000</v>
      </c>
      <c r="E242">
        <f>VLOOKUP(I242,Calc!$I$35:$J$39,2,FALSE)</f>
        <v>5</v>
      </c>
      <c r="G242" s="10" t="s">
        <v>30</v>
      </c>
      <c r="H242" s="10" t="s">
        <v>10</v>
      </c>
      <c r="I242" s="10" t="s">
        <v>14</v>
      </c>
    </row>
    <row r="243" spans="1:9" hidden="1">
      <c r="A243" t="s">
        <v>517</v>
      </c>
      <c r="B243" t="s">
        <v>3267</v>
      </c>
      <c r="C243" t="s">
        <v>29</v>
      </c>
      <c r="D243" s="2">
        <v>140000</v>
      </c>
      <c r="E243">
        <f>VLOOKUP(I243,Calc!$I$35:$J$39,2,FALSE)</f>
        <v>5</v>
      </c>
      <c r="G243" s="10" t="s">
        <v>30</v>
      </c>
      <c r="H243" s="10" t="s">
        <v>44</v>
      </c>
      <c r="I243" s="10" t="s">
        <v>14</v>
      </c>
    </row>
    <row r="244" spans="1:9" hidden="1">
      <c r="A244" t="s">
        <v>518</v>
      </c>
      <c r="B244" t="s">
        <v>3264</v>
      </c>
      <c r="C244" t="s">
        <v>19</v>
      </c>
      <c r="D244" s="2">
        <v>96000</v>
      </c>
      <c r="E244">
        <f>VLOOKUP(I244,Calc!$I$35:$J$39,2,FALSE)</f>
        <v>2.5</v>
      </c>
      <c r="G244" s="10" t="s">
        <v>110</v>
      </c>
      <c r="H244" s="10" t="s">
        <v>519</v>
      </c>
      <c r="I244" s="10" t="s">
        <v>36</v>
      </c>
    </row>
    <row r="245" spans="1:9" hidden="1">
      <c r="A245" t="s">
        <v>520</v>
      </c>
      <c r="B245" t="s">
        <v>3267</v>
      </c>
      <c r="C245" t="s">
        <v>11</v>
      </c>
      <c r="D245" s="2">
        <v>20000</v>
      </c>
      <c r="E245">
        <f>VLOOKUP(I245,Calc!$I$35:$J$39,2,FALSE)</f>
        <v>5</v>
      </c>
      <c r="G245" s="10" t="s">
        <v>12</v>
      </c>
      <c r="H245" s="10" t="s">
        <v>521</v>
      </c>
      <c r="I245" s="10" t="s">
        <v>14</v>
      </c>
    </row>
    <row r="246" spans="1:9">
      <c r="A246" t="s">
        <v>522</v>
      </c>
      <c r="B246" t="s">
        <v>3268</v>
      </c>
      <c r="C246" t="s">
        <v>29</v>
      </c>
      <c r="D246" s="2">
        <v>47700</v>
      </c>
      <c r="E246">
        <f>VLOOKUP(I246,Calc!$I$35:$J$39,2,FALSE)</f>
        <v>5</v>
      </c>
      <c r="G246" s="10" t="s">
        <v>30</v>
      </c>
      <c r="H246" s="10" t="s">
        <v>523</v>
      </c>
      <c r="I246" s="10" t="s">
        <v>14</v>
      </c>
    </row>
    <row r="247" spans="1:9" hidden="1">
      <c r="A247" t="s">
        <v>524</v>
      </c>
      <c r="B247" t="s">
        <v>3267</v>
      </c>
      <c r="C247" t="s">
        <v>11</v>
      </c>
      <c r="D247" s="2">
        <v>25000</v>
      </c>
      <c r="E247">
        <f>VLOOKUP(I247,Calc!$I$35:$J$39,2,FALSE)</f>
        <v>1.5</v>
      </c>
      <c r="G247" s="10" t="s">
        <v>12</v>
      </c>
      <c r="H247" s="10" t="s">
        <v>137</v>
      </c>
      <c r="I247" s="10" t="s">
        <v>47</v>
      </c>
    </row>
    <row r="248" spans="1:9">
      <c r="A248" t="s">
        <v>525</v>
      </c>
      <c r="B248" t="s">
        <v>3268</v>
      </c>
      <c r="C248" t="s">
        <v>29</v>
      </c>
      <c r="D248" s="2">
        <v>52500</v>
      </c>
      <c r="E248">
        <f>VLOOKUP(I248,Calc!$I$35:$J$39,2,FALSE)</f>
        <v>5</v>
      </c>
      <c r="G248" s="10" t="s">
        <v>30</v>
      </c>
      <c r="H248" s="10" t="s">
        <v>10</v>
      </c>
      <c r="I248" s="10" t="s">
        <v>14</v>
      </c>
    </row>
    <row r="249" spans="1:9">
      <c r="A249" t="s">
        <v>526</v>
      </c>
      <c r="B249" t="s">
        <v>3268</v>
      </c>
      <c r="C249" t="s">
        <v>29</v>
      </c>
      <c r="D249" s="2">
        <v>40000</v>
      </c>
      <c r="E249">
        <f>VLOOKUP(I249,Calc!$I$35:$J$39,2,FALSE)</f>
        <v>8</v>
      </c>
      <c r="G249" s="10" t="s">
        <v>30</v>
      </c>
      <c r="H249" s="10" t="s">
        <v>320</v>
      </c>
      <c r="I249" s="10" t="s">
        <v>22</v>
      </c>
    </row>
    <row r="250" spans="1:9">
      <c r="A250" t="s">
        <v>527</v>
      </c>
      <c r="B250" t="s">
        <v>3268</v>
      </c>
      <c r="C250" t="s">
        <v>29</v>
      </c>
      <c r="D250" s="2">
        <v>31000</v>
      </c>
      <c r="E250">
        <f>VLOOKUP(I250,Calc!$I$35:$J$39,2,FALSE)</f>
        <v>5</v>
      </c>
      <c r="G250" s="10" t="s">
        <v>30</v>
      </c>
      <c r="H250" s="10" t="s">
        <v>528</v>
      </c>
      <c r="I250" s="10" t="s">
        <v>14</v>
      </c>
    </row>
    <row r="251" spans="1:9" hidden="1">
      <c r="A251" t="s">
        <v>529</v>
      </c>
      <c r="B251" t="s">
        <v>3264</v>
      </c>
      <c r="C251" t="s">
        <v>19</v>
      </c>
      <c r="D251" s="2">
        <v>83033.071372504521</v>
      </c>
      <c r="E251">
        <f>VLOOKUP(I251,Calc!$I$35:$J$39,2,FALSE)</f>
        <v>8</v>
      </c>
      <c r="G251" s="10" t="s">
        <v>107</v>
      </c>
      <c r="H251" s="10" t="s">
        <v>530</v>
      </c>
      <c r="I251" s="10" t="s">
        <v>22</v>
      </c>
    </row>
    <row r="252" spans="1:9" hidden="1">
      <c r="A252" t="s">
        <v>531</v>
      </c>
      <c r="B252" t="s">
        <v>3267</v>
      </c>
      <c r="C252" t="s">
        <v>29</v>
      </c>
      <c r="D252" s="2">
        <v>130000</v>
      </c>
      <c r="E252">
        <f>VLOOKUP(I252,Calc!$I$35:$J$39,2,FALSE)</f>
        <v>5</v>
      </c>
      <c r="G252" s="10" t="s">
        <v>30</v>
      </c>
      <c r="H252" s="10" t="s">
        <v>532</v>
      </c>
      <c r="I252" s="10" t="s">
        <v>14</v>
      </c>
    </row>
    <row r="253" spans="1:9" hidden="1">
      <c r="A253" t="s">
        <v>533</v>
      </c>
      <c r="B253" t="s">
        <v>3268</v>
      </c>
      <c r="C253" t="s">
        <v>11</v>
      </c>
      <c r="D253" s="2">
        <v>8369.7208430980063</v>
      </c>
      <c r="E253">
        <f>VLOOKUP(I253,Calc!$I$35:$J$39,2,FALSE)</f>
        <v>8</v>
      </c>
      <c r="G253" s="10" t="s">
        <v>12</v>
      </c>
      <c r="H253" s="10" t="s">
        <v>534</v>
      </c>
      <c r="I253" s="10" t="s">
        <v>22</v>
      </c>
    </row>
    <row r="254" spans="1:9">
      <c r="A254" t="s">
        <v>535</v>
      </c>
      <c r="B254" t="s">
        <v>3268</v>
      </c>
      <c r="C254" t="s">
        <v>29</v>
      </c>
      <c r="D254" s="2">
        <v>51000</v>
      </c>
      <c r="E254">
        <f>VLOOKUP(I254,Calc!$I$35:$J$39,2,FALSE)</f>
        <v>2.5</v>
      </c>
      <c r="G254" s="10" t="s">
        <v>30</v>
      </c>
      <c r="H254" s="10" t="s">
        <v>536</v>
      </c>
      <c r="I254" s="10" t="s">
        <v>36</v>
      </c>
    </row>
    <row r="255" spans="1:9" hidden="1">
      <c r="A255" t="s">
        <v>537</v>
      </c>
      <c r="B255" t="s">
        <v>3268</v>
      </c>
      <c r="C255" t="s">
        <v>19</v>
      </c>
      <c r="D255" s="2">
        <v>94570.696324037053</v>
      </c>
      <c r="E255">
        <f>VLOOKUP(I255,Calc!$I$35:$J$39,2,FALSE)</f>
        <v>8</v>
      </c>
      <c r="G255" s="10" t="s">
        <v>107</v>
      </c>
      <c r="H255" s="10" t="s">
        <v>538</v>
      </c>
      <c r="I255" s="10" t="s">
        <v>22</v>
      </c>
    </row>
    <row r="256" spans="1:9" hidden="1">
      <c r="A256" t="s">
        <v>539</v>
      </c>
      <c r="B256" t="s">
        <v>3267</v>
      </c>
      <c r="C256" t="s">
        <v>11</v>
      </c>
      <c r="D256" s="2">
        <v>34191.200039889729</v>
      </c>
      <c r="E256">
        <f>VLOOKUP(I256,Calc!$I$35:$J$39,2,FALSE)</f>
        <v>2.5</v>
      </c>
      <c r="G256" s="10" t="s">
        <v>12</v>
      </c>
      <c r="H256" s="10" t="s">
        <v>310</v>
      </c>
      <c r="I256" s="10" t="s">
        <v>36</v>
      </c>
    </row>
    <row r="257" spans="1:9" hidden="1">
      <c r="A257" t="s">
        <v>540</v>
      </c>
      <c r="B257" t="s">
        <v>3268</v>
      </c>
      <c r="C257" t="s">
        <v>19</v>
      </c>
      <c r="D257" s="2">
        <v>44132.991617883956</v>
      </c>
      <c r="E257">
        <f>VLOOKUP(I257,Calc!$I$35:$J$39,2,FALSE)</f>
        <v>8</v>
      </c>
      <c r="G257" s="10" t="s">
        <v>107</v>
      </c>
      <c r="H257" s="10" t="s">
        <v>541</v>
      </c>
      <c r="I257" s="10" t="s">
        <v>22</v>
      </c>
    </row>
    <row r="258" spans="1:9" hidden="1">
      <c r="A258" t="s">
        <v>542</v>
      </c>
      <c r="B258" t="s">
        <v>3265</v>
      </c>
      <c r="C258" t="s">
        <v>29</v>
      </c>
      <c r="D258" s="2">
        <v>73000</v>
      </c>
      <c r="E258">
        <f>VLOOKUP(I258,Calc!$I$35:$J$39,2,FALSE)</f>
        <v>5</v>
      </c>
      <c r="G258" s="10" t="s">
        <v>30</v>
      </c>
      <c r="H258" s="10" t="s">
        <v>543</v>
      </c>
      <c r="I258" s="10" t="s">
        <v>14</v>
      </c>
    </row>
    <row r="259" spans="1:9" hidden="1">
      <c r="A259" t="s">
        <v>544</v>
      </c>
      <c r="B259" t="s">
        <v>3269</v>
      </c>
      <c r="C259" t="s">
        <v>29</v>
      </c>
      <c r="D259" s="2">
        <v>62400</v>
      </c>
      <c r="E259">
        <f>VLOOKUP(I259,Calc!$I$35:$J$39,2,FALSE)</f>
        <v>8</v>
      </c>
      <c r="G259" s="10" t="s">
        <v>30</v>
      </c>
      <c r="H259" s="10" t="s">
        <v>545</v>
      </c>
      <c r="I259" s="10" t="s">
        <v>22</v>
      </c>
    </row>
    <row r="260" spans="1:9" hidden="1">
      <c r="A260" t="s">
        <v>546</v>
      </c>
      <c r="B260" t="s">
        <v>3264</v>
      </c>
      <c r="C260" t="s">
        <v>11</v>
      </c>
      <c r="D260" s="2">
        <v>27600</v>
      </c>
      <c r="E260">
        <f>VLOOKUP(I260,Calc!$I$35:$J$39,2,FALSE)</f>
        <v>8</v>
      </c>
      <c r="G260" s="10" t="s">
        <v>455</v>
      </c>
      <c r="H260" s="10" t="s">
        <v>547</v>
      </c>
      <c r="I260" s="10" t="s">
        <v>22</v>
      </c>
    </row>
    <row r="261" spans="1:9" hidden="1">
      <c r="A261" t="s">
        <v>548</v>
      </c>
      <c r="B261" t="s">
        <v>3267</v>
      </c>
      <c r="C261" t="s">
        <v>29</v>
      </c>
      <c r="D261" s="2">
        <v>54000</v>
      </c>
      <c r="E261">
        <f>VLOOKUP(I261,Calc!$I$35:$J$39,2,FALSE)</f>
        <v>8</v>
      </c>
      <c r="G261" s="10" t="s">
        <v>30</v>
      </c>
      <c r="H261" s="10" t="s">
        <v>549</v>
      </c>
      <c r="I261" s="10" t="s">
        <v>22</v>
      </c>
    </row>
    <row r="262" spans="1:9" hidden="1">
      <c r="A262" t="s">
        <v>550</v>
      </c>
      <c r="B262" t="s">
        <v>3268</v>
      </c>
      <c r="C262" t="s">
        <v>11</v>
      </c>
      <c r="D262" s="2">
        <v>4914.9850057341491</v>
      </c>
      <c r="E262">
        <f>VLOOKUP(I262,Calc!$I$35:$J$39,2,FALSE)</f>
        <v>8</v>
      </c>
      <c r="G262" s="10" t="s">
        <v>12</v>
      </c>
      <c r="H262" s="10" t="s">
        <v>408</v>
      </c>
      <c r="I262" s="10" t="s">
        <v>22</v>
      </c>
    </row>
    <row r="263" spans="1:9" hidden="1">
      <c r="A263" t="s">
        <v>551</v>
      </c>
      <c r="B263" t="s">
        <v>3269</v>
      </c>
      <c r="C263" t="s">
        <v>29</v>
      </c>
      <c r="D263" s="2">
        <v>77000</v>
      </c>
      <c r="E263">
        <f>VLOOKUP(I263,Calc!$I$35:$J$39,2,FALSE)</f>
        <v>5</v>
      </c>
      <c r="G263" s="10" t="s">
        <v>30</v>
      </c>
      <c r="H263" s="10" t="s">
        <v>552</v>
      </c>
      <c r="I263" s="10" t="s">
        <v>14</v>
      </c>
    </row>
    <row r="264" spans="1:9" hidden="1">
      <c r="A264" t="s">
        <v>553</v>
      </c>
      <c r="B264" t="s">
        <v>3267</v>
      </c>
      <c r="C264" t="s">
        <v>29</v>
      </c>
      <c r="D264" s="2">
        <v>76000</v>
      </c>
      <c r="E264">
        <f>VLOOKUP(I264,Calc!$I$35:$J$39,2,FALSE)</f>
        <v>8</v>
      </c>
      <c r="G264" s="10" t="s">
        <v>30</v>
      </c>
      <c r="H264" s="10" t="s">
        <v>554</v>
      </c>
      <c r="I264" s="10" t="s">
        <v>22</v>
      </c>
    </row>
    <row r="265" spans="1:9" hidden="1">
      <c r="A265" t="s">
        <v>555</v>
      </c>
      <c r="B265" t="s">
        <v>3249</v>
      </c>
      <c r="C265" t="s">
        <v>29</v>
      </c>
      <c r="D265" s="2">
        <v>103000</v>
      </c>
      <c r="E265">
        <f>VLOOKUP(I265,Calc!$I$35:$J$39,2,FALSE)</f>
        <v>2.5</v>
      </c>
      <c r="G265" s="10" t="s">
        <v>30</v>
      </c>
      <c r="H265" s="10" t="s">
        <v>556</v>
      </c>
      <c r="I265" s="10" t="s">
        <v>36</v>
      </c>
    </row>
    <row r="266" spans="1:9" hidden="1">
      <c r="A266" t="s">
        <v>557</v>
      </c>
      <c r="B266" t="s">
        <v>3265</v>
      </c>
      <c r="C266" t="s">
        <v>19</v>
      </c>
      <c r="D266" s="2">
        <v>7600</v>
      </c>
      <c r="E266">
        <f>VLOOKUP(I266,Calc!$I$35:$J$39,2,FALSE)</f>
        <v>1.5</v>
      </c>
      <c r="G266" s="10" t="s">
        <v>50</v>
      </c>
      <c r="H266" s="10" t="s">
        <v>558</v>
      </c>
      <c r="I266" s="10" t="s">
        <v>47</v>
      </c>
    </row>
    <row r="267" spans="1:9">
      <c r="A267" t="s">
        <v>559</v>
      </c>
      <c r="B267" t="s">
        <v>3268</v>
      </c>
      <c r="C267" t="s">
        <v>29</v>
      </c>
      <c r="D267" s="2">
        <v>40000</v>
      </c>
      <c r="E267">
        <f>VLOOKUP(I267,Calc!$I$35:$J$39,2,FALSE)</f>
        <v>5</v>
      </c>
      <c r="G267" s="10" t="s">
        <v>30</v>
      </c>
      <c r="H267" s="10" t="s">
        <v>560</v>
      </c>
      <c r="I267" s="10" t="s">
        <v>14</v>
      </c>
    </row>
    <row r="268" spans="1:9" hidden="1">
      <c r="A268" t="s">
        <v>561</v>
      </c>
      <c r="B268" t="s">
        <v>3249</v>
      </c>
      <c r="C268" t="s">
        <v>29</v>
      </c>
      <c r="D268" s="2">
        <v>80000</v>
      </c>
      <c r="E268">
        <f>VLOOKUP(I268,Calc!$I$35:$J$39,2,FALSE)</f>
        <v>2.5</v>
      </c>
      <c r="G268" s="10" t="s">
        <v>30</v>
      </c>
      <c r="H268" s="10" t="s">
        <v>562</v>
      </c>
      <c r="I268" s="10" t="s">
        <v>36</v>
      </c>
    </row>
    <row r="269" spans="1:9">
      <c r="A269" t="s">
        <v>563</v>
      </c>
      <c r="B269" t="s">
        <v>3268</v>
      </c>
      <c r="C269" t="s">
        <v>29</v>
      </c>
      <c r="D269" s="2">
        <v>55000</v>
      </c>
      <c r="E269">
        <f>VLOOKUP(I269,Calc!$I$35:$J$39,2,FALSE)</f>
        <v>8</v>
      </c>
      <c r="G269" s="10" t="s">
        <v>30</v>
      </c>
      <c r="H269" s="10" t="s">
        <v>331</v>
      </c>
      <c r="I269" s="10" t="s">
        <v>22</v>
      </c>
    </row>
    <row r="270" spans="1:9">
      <c r="A270" t="s">
        <v>564</v>
      </c>
      <c r="B270" t="s">
        <v>3268</v>
      </c>
      <c r="C270" t="s">
        <v>29</v>
      </c>
      <c r="D270" s="2">
        <v>99000</v>
      </c>
      <c r="E270">
        <f>VLOOKUP(I270,Calc!$I$35:$J$39,2,FALSE)</f>
        <v>2.5</v>
      </c>
      <c r="G270" s="10" t="s">
        <v>30</v>
      </c>
      <c r="H270" s="10" t="s">
        <v>320</v>
      </c>
      <c r="I270" s="10" t="s">
        <v>36</v>
      </c>
    </row>
    <row r="271" spans="1:9" hidden="1">
      <c r="A271" t="s">
        <v>565</v>
      </c>
      <c r="B271" t="s">
        <v>3267</v>
      </c>
      <c r="C271" t="s">
        <v>11</v>
      </c>
      <c r="D271" s="2">
        <v>9956.1219482708348</v>
      </c>
      <c r="E271">
        <f>VLOOKUP(I271,Calc!$I$35:$J$39,2,FALSE)</f>
        <v>5</v>
      </c>
      <c r="G271" s="10" t="s">
        <v>566</v>
      </c>
      <c r="H271" s="10" t="s">
        <v>567</v>
      </c>
      <c r="I271" s="10" t="s">
        <v>14</v>
      </c>
    </row>
    <row r="272" spans="1:9">
      <c r="A272" t="s">
        <v>568</v>
      </c>
      <c r="B272" t="s">
        <v>3268</v>
      </c>
      <c r="C272" t="s">
        <v>29</v>
      </c>
      <c r="D272" s="2">
        <v>75000</v>
      </c>
      <c r="E272">
        <f>VLOOKUP(I272,Calc!$I$35:$J$39,2,FALSE)</f>
        <v>5</v>
      </c>
      <c r="G272" s="10" t="s">
        <v>30</v>
      </c>
      <c r="H272" s="10" t="s">
        <v>245</v>
      </c>
      <c r="I272" s="10" t="s">
        <v>14</v>
      </c>
    </row>
    <row r="273" spans="1:9" hidden="1">
      <c r="A273" t="s">
        <v>569</v>
      </c>
      <c r="B273" t="s">
        <v>3267</v>
      </c>
      <c r="C273" t="s">
        <v>29</v>
      </c>
      <c r="D273" s="2">
        <v>80000</v>
      </c>
      <c r="E273">
        <f>VLOOKUP(I273,Calc!$I$35:$J$39,2,FALSE)</f>
        <v>2.5</v>
      </c>
      <c r="G273" s="10" t="s">
        <v>30</v>
      </c>
      <c r="H273" s="10" t="s">
        <v>570</v>
      </c>
      <c r="I273" s="10" t="s">
        <v>36</v>
      </c>
    </row>
    <row r="274" spans="1:9" hidden="1">
      <c r="A274" t="s">
        <v>571</v>
      </c>
      <c r="B274" t="s">
        <v>3268</v>
      </c>
      <c r="C274" t="s">
        <v>11</v>
      </c>
      <c r="D274" s="2">
        <v>20000</v>
      </c>
      <c r="E274">
        <f>VLOOKUP(I274,Calc!$I$35:$J$39,2,FALSE)</f>
        <v>8</v>
      </c>
      <c r="G274" s="10" t="s">
        <v>12</v>
      </c>
      <c r="H274" s="10" t="s">
        <v>10</v>
      </c>
      <c r="I274" s="10" t="s">
        <v>22</v>
      </c>
    </row>
    <row r="275" spans="1:9">
      <c r="A275" t="s">
        <v>572</v>
      </c>
      <c r="B275" t="s">
        <v>3268</v>
      </c>
      <c r="C275" t="s">
        <v>29</v>
      </c>
      <c r="D275" s="2">
        <v>40000</v>
      </c>
      <c r="E275">
        <f>VLOOKUP(I275,Calc!$I$35:$J$39,2,FALSE)</f>
        <v>8</v>
      </c>
      <c r="G275" s="10" t="s">
        <v>30</v>
      </c>
      <c r="H275" s="10" t="s">
        <v>320</v>
      </c>
      <c r="I275" s="10" t="s">
        <v>22</v>
      </c>
    </row>
    <row r="276" spans="1:9">
      <c r="A276" t="s">
        <v>573</v>
      </c>
      <c r="B276" t="s">
        <v>3268</v>
      </c>
      <c r="C276" t="s">
        <v>29</v>
      </c>
      <c r="D276" s="2">
        <v>46000</v>
      </c>
      <c r="E276">
        <f>VLOOKUP(I276,Calc!$I$35:$J$39,2,FALSE)</f>
        <v>8</v>
      </c>
      <c r="G276" s="10" t="s">
        <v>30</v>
      </c>
      <c r="H276" s="10" t="s">
        <v>574</v>
      </c>
      <c r="I276" s="10" t="s">
        <v>22</v>
      </c>
    </row>
    <row r="277" spans="1:9" hidden="1">
      <c r="A277" t="s">
        <v>575</v>
      </c>
      <c r="B277" t="s">
        <v>3268</v>
      </c>
      <c r="C277" t="s">
        <v>3248</v>
      </c>
      <c r="D277" s="2">
        <v>14000</v>
      </c>
      <c r="E277">
        <f>VLOOKUP(I277,Calc!$I$35:$J$39,2,FALSE)</f>
        <v>1.5</v>
      </c>
      <c r="G277" s="10" t="s">
        <v>216</v>
      </c>
      <c r="H277" s="10" t="s">
        <v>576</v>
      </c>
      <c r="I277" s="10" t="s">
        <v>47</v>
      </c>
    </row>
    <row r="278" spans="1:9" hidden="1">
      <c r="A278" t="s">
        <v>577</v>
      </c>
      <c r="B278" t="s">
        <v>3266</v>
      </c>
      <c r="C278" t="s">
        <v>29</v>
      </c>
      <c r="D278" s="2">
        <v>70000</v>
      </c>
      <c r="E278">
        <f>VLOOKUP(I278,Calc!$I$35:$J$39,2,FALSE)</f>
        <v>8</v>
      </c>
      <c r="G278" s="10" t="s">
        <v>30</v>
      </c>
      <c r="H278" s="10" t="s">
        <v>578</v>
      </c>
      <c r="I278" s="10" t="s">
        <v>22</v>
      </c>
    </row>
    <row r="279" spans="1:9" hidden="1">
      <c r="A279" t="s">
        <v>579</v>
      </c>
      <c r="B279" t="s">
        <v>3265</v>
      </c>
      <c r="C279" t="s">
        <v>19</v>
      </c>
      <c r="D279" s="2">
        <v>36000</v>
      </c>
      <c r="E279">
        <f>VLOOKUP(I279,Calc!$I$35:$J$39,2,FALSE)</f>
        <v>5</v>
      </c>
      <c r="G279" s="10" t="s">
        <v>103</v>
      </c>
      <c r="H279" s="10" t="s">
        <v>580</v>
      </c>
      <c r="I279" s="10" t="s">
        <v>14</v>
      </c>
    </row>
    <row r="280" spans="1:9" hidden="1">
      <c r="A280" t="s">
        <v>581</v>
      </c>
      <c r="B280" t="s">
        <v>3267</v>
      </c>
      <c r="C280" t="s">
        <v>29</v>
      </c>
      <c r="D280" s="2">
        <v>15000</v>
      </c>
      <c r="E280">
        <f>VLOOKUP(I280,Calc!$I$35:$J$39,2,FALSE)</f>
        <v>2.5</v>
      </c>
      <c r="G280" s="10" t="s">
        <v>30</v>
      </c>
      <c r="H280" s="10" t="s">
        <v>582</v>
      </c>
      <c r="I280" s="10" t="s">
        <v>36</v>
      </c>
    </row>
    <row r="281" spans="1:9" hidden="1">
      <c r="A281" t="s">
        <v>583</v>
      </c>
      <c r="B281" t="s">
        <v>3264</v>
      </c>
      <c r="C281" t="s">
        <v>11</v>
      </c>
      <c r="D281" s="2">
        <v>26711.875031163851</v>
      </c>
      <c r="E281">
        <f>VLOOKUP(I281,Calc!$I$35:$J$39,2,FALSE)</f>
        <v>8</v>
      </c>
      <c r="G281" s="10" t="s">
        <v>12</v>
      </c>
      <c r="H281" s="10" t="s">
        <v>90</v>
      </c>
      <c r="I281" s="10" t="s">
        <v>22</v>
      </c>
    </row>
    <row r="282" spans="1:9" hidden="1">
      <c r="A282" t="s">
        <v>584</v>
      </c>
      <c r="B282" t="s">
        <v>3269</v>
      </c>
      <c r="C282" t="s">
        <v>48</v>
      </c>
      <c r="D282" s="2">
        <v>27221.92126875931</v>
      </c>
      <c r="E282">
        <f>VLOOKUP(I282,Calc!$I$35:$J$39,2,FALSE)</f>
        <v>5</v>
      </c>
      <c r="G282" s="10" t="s">
        <v>585</v>
      </c>
      <c r="H282" s="10" t="s">
        <v>56</v>
      </c>
      <c r="I282" s="10" t="s">
        <v>14</v>
      </c>
    </row>
    <row r="283" spans="1:9" hidden="1">
      <c r="A283" t="s">
        <v>586</v>
      </c>
      <c r="B283" t="s">
        <v>77</v>
      </c>
      <c r="C283" t="s">
        <v>11</v>
      </c>
      <c r="D283" s="2">
        <v>22000</v>
      </c>
      <c r="E283">
        <f>VLOOKUP(I283,Calc!$I$35:$J$39,2,FALSE)</f>
        <v>8</v>
      </c>
      <c r="G283" s="10" t="s">
        <v>12</v>
      </c>
      <c r="H283" s="10" t="s">
        <v>587</v>
      </c>
      <c r="I283" s="10" t="s">
        <v>22</v>
      </c>
    </row>
    <row r="284" spans="1:9" hidden="1">
      <c r="A284" t="s">
        <v>588</v>
      </c>
      <c r="B284" t="s">
        <v>3267</v>
      </c>
      <c r="C284" t="s">
        <v>29</v>
      </c>
      <c r="D284" s="2">
        <v>68000</v>
      </c>
      <c r="E284">
        <f>VLOOKUP(I284,Calc!$I$35:$J$39,2,FALSE)</f>
        <v>8</v>
      </c>
      <c r="G284" s="10" t="s">
        <v>30</v>
      </c>
      <c r="H284" s="10" t="s">
        <v>589</v>
      </c>
      <c r="I284" s="10" t="s">
        <v>22</v>
      </c>
    </row>
    <row r="285" spans="1:9">
      <c r="A285" t="s">
        <v>590</v>
      </c>
      <c r="B285" t="s">
        <v>3268</v>
      </c>
      <c r="C285" t="s">
        <v>29</v>
      </c>
      <c r="D285" s="2">
        <v>97000</v>
      </c>
      <c r="E285">
        <f>VLOOKUP(I285,Calc!$I$35:$J$39,2,FALSE)</f>
        <v>8</v>
      </c>
      <c r="G285" s="10" t="s">
        <v>30</v>
      </c>
      <c r="H285" s="10" t="s">
        <v>68</v>
      </c>
      <c r="I285" s="10" t="s">
        <v>22</v>
      </c>
    </row>
    <row r="286" spans="1:9" hidden="1">
      <c r="A286" t="s">
        <v>591</v>
      </c>
      <c r="B286" t="s">
        <v>3266</v>
      </c>
      <c r="C286" t="s">
        <v>19</v>
      </c>
      <c r="D286" s="2">
        <v>48861.526434085805</v>
      </c>
      <c r="E286">
        <f>VLOOKUP(I286,Calc!$I$35:$J$39,2,FALSE)</f>
        <v>2.5</v>
      </c>
      <c r="G286" s="10" t="s">
        <v>107</v>
      </c>
      <c r="H286" s="10" t="s">
        <v>592</v>
      </c>
      <c r="I286" s="10" t="s">
        <v>36</v>
      </c>
    </row>
    <row r="287" spans="1:9">
      <c r="A287" t="s">
        <v>593</v>
      </c>
      <c r="B287" t="s">
        <v>3268</v>
      </c>
      <c r="C287" t="s">
        <v>29</v>
      </c>
      <c r="D287" s="2">
        <v>65000</v>
      </c>
      <c r="E287">
        <f>VLOOKUP(I287,Calc!$I$35:$J$39,2,FALSE)</f>
        <v>5</v>
      </c>
      <c r="G287" s="10" t="s">
        <v>30</v>
      </c>
      <c r="H287" s="10" t="s">
        <v>594</v>
      </c>
      <c r="I287" s="10" t="s">
        <v>14</v>
      </c>
    </row>
    <row r="288" spans="1:9" hidden="1">
      <c r="A288" t="s">
        <v>595</v>
      </c>
      <c r="B288" t="s">
        <v>3267</v>
      </c>
      <c r="C288" t="s">
        <v>48</v>
      </c>
      <c r="D288" s="2">
        <v>43200</v>
      </c>
      <c r="E288">
        <f>VLOOKUP(I288,Calc!$I$35:$J$39,2,FALSE)</f>
        <v>5</v>
      </c>
      <c r="G288" s="10" t="s">
        <v>201</v>
      </c>
      <c r="H288" s="10" t="s">
        <v>596</v>
      </c>
      <c r="I288" s="10" t="s">
        <v>14</v>
      </c>
    </row>
    <row r="289" spans="1:9" hidden="1">
      <c r="A289" t="s">
        <v>597</v>
      </c>
      <c r="B289" t="s">
        <v>3268</v>
      </c>
      <c r="C289" t="s">
        <v>11</v>
      </c>
      <c r="D289" s="2">
        <v>8013.5625093491553</v>
      </c>
      <c r="E289">
        <f>VLOOKUP(I289,Calc!$I$35:$J$39,2,FALSE)</f>
        <v>5</v>
      </c>
      <c r="G289" s="10" t="s">
        <v>12</v>
      </c>
      <c r="H289" s="10" t="s">
        <v>320</v>
      </c>
      <c r="I289" s="10" t="s">
        <v>14</v>
      </c>
    </row>
    <row r="290" spans="1:9">
      <c r="A290" t="s">
        <v>598</v>
      </c>
      <c r="B290" t="s">
        <v>3268</v>
      </c>
      <c r="C290" t="s">
        <v>29</v>
      </c>
      <c r="D290" s="2">
        <v>50000</v>
      </c>
      <c r="E290">
        <f>VLOOKUP(I290,Calc!$I$35:$J$39,2,FALSE)</f>
        <v>8</v>
      </c>
      <c r="G290" s="10" t="s">
        <v>30</v>
      </c>
      <c r="H290" s="10" t="s">
        <v>599</v>
      </c>
      <c r="I290" s="10" t="s">
        <v>22</v>
      </c>
    </row>
    <row r="291" spans="1:9">
      <c r="A291" t="s">
        <v>600</v>
      </c>
      <c r="B291" t="s">
        <v>3268</v>
      </c>
      <c r="C291" t="s">
        <v>29</v>
      </c>
      <c r="D291" s="2">
        <v>45000</v>
      </c>
      <c r="E291">
        <f>VLOOKUP(I291,Calc!$I$35:$J$39,2,FALSE)</f>
        <v>5</v>
      </c>
      <c r="G291" s="10" t="s">
        <v>30</v>
      </c>
      <c r="H291" s="10" t="s">
        <v>601</v>
      </c>
      <c r="I291" s="10" t="s">
        <v>14</v>
      </c>
    </row>
    <row r="292" spans="1:9" hidden="1">
      <c r="A292" t="s">
        <v>602</v>
      </c>
      <c r="B292" t="s">
        <v>3267</v>
      </c>
      <c r="C292" t="s">
        <v>11</v>
      </c>
      <c r="D292" s="2">
        <v>3205.4250037396623</v>
      </c>
      <c r="E292">
        <f>VLOOKUP(I292,Calc!$I$35:$J$39,2,FALSE)</f>
        <v>5</v>
      </c>
      <c r="G292" s="10" t="s">
        <v>12</v>
      </c>
      <c r="H292" s="10" t="s">
        <v>603</v>
      </c>
      <c r="I292" s="10" t="s">
        <v>14</v>
      </c>
    </row>
    <row r="293" spans="1:9" hidden="1">
      <c r="A293" t="s">
        <v>604</v>
      </c>
      <c r="B293" t="s">
        <v>3267</v>
      </c>
      <c r="C293" t="s">
        <v>29</v>
      </c>
      <c r="D293" s="2">
        <v>60000</v>
      </c>
      <c r="E293">
        <f>VLOOKUP(I293,Calc!$I$35:$J$39,2,FALSE)</f>
        <v>8</v>
      </c>
      <c r="G293" s="10" t="s">
        <v>30</v>
      </c>
      <c r="H293" s="10" t="s">
        <v>605</v>
      </c>
      <c r="I293" s="10" t="s">
        <v>22</v>
      </c>
    </row>
    <row r="294" spans="1:9" hidden="1">
      <c r="A294" t="s">
        <v>606</v>
      </c>
      <c r="B294" t="s">
        <v>3265</v>
      </c>
      <c r="C294" t="s">
        <v>29</v>
      </c>
      <c r="D294" s="2">
        <v>31000</v>
      </c>
      <c r="E294">
        <f>VLOOKUP(I294,Calc!$I$35:$J$39,2,FALSE)</f>
        <v>2.5</v>
      </c>
      <c r="G294" s="10" t="s">
        <v>30</v>
      </c>
      <c r="H294" s="10" t="s">
        <v>607</v>
      </c>
      <c r="I294" s="10" t="s">
        <v>36</v>
      </c>
    </row>
    <row r="295" spans="1:9">
      <c r="A295" t="s">
        <v>608</v>
      </c>
      <c r="B295" t="s">
        <v>3268</v>
      </c>
      <c r="C295" t="s">
        <v>29</v>
      </c>
      <c r="D295" s="2">
        <v>75000</v>
      </c>
      <c r="E295">
        <f>VLOOKUP(I295,Calc!$I$35:$J$39,2,FALSE)</f>
        <v>5</v>
      </c>
      <c r="G295" s="10" t="s">
        <v>30</v>
      </c>
      <c r="H295" s="10" t="s">
        <v>609</v>
      </c>
      <c r="I295" s="10" t="s">
        <v>14</v>
      </c>
    </row>
    <row r="296" spans="1:9" hidden="1">
      <c r="A296" t="s">
        <v>610</v>
      </c>
      <c r="B296" t="s">
        <v>3249</v>
      </c>
      <c r="C296" t="s">
        <v>29</v>
      </c>
      <c r="D296" s="2">
        <v>16000</v>
      </c>
      <c r="E296">
        <f>VLOOKUP(I296,Calc!$I$35:$J$39,2,FALSE)</f>
        <v>1.5</v>
      </c>
      <c r="G296" s="10" t="s">
        <v>30</v>
      </c>
      <c r="H296" s="10" t="s">
        <v>611</v>
      </c>
      <c r="I296" s="10" t="s">
        <v>47</v>
      </c>
    </row>
    <row r="297" spans="1:9">
      <c r="A297" t="s">
        <v>612</v>
      </c>
      <c r="B297" t="s">
        <v>3268</v>
      </c>
      <c r="C297" t="s">
        <v>29</v>
      </c>
      <c r="D297" s="2">
        <v>36000</v>
      </c>
      <c r="E297">
        <f>VLOOKUP(I297,Calc!$I$35:$J$39,2,FALSE)</f>
        <v>8</v>
      </c>
      <c r="G297" s="10" t="s">
        <v>30</v>
      </c>
      <c r="H297" s="10" t="s">
        <v>613</v>
      </c>
      <c r="I297" s="10" t="s">
        <v>22</v>
      </c>
    </row>
    <row r="298" spans="1:9">
      <c r="A298" t="s">
        <v>614</v>
      </c>
      <c r="B298" t="s">
        <v>3268</v>
      </c>
      <c r="C298" t="s">
        <v>29</v>
      </c>
      <c r="D298" s="2">
        <v>41301.183967273726</v>
      </c>
      <c r="E298">
        <f>VLOOKUP(I298,Calc!$I$35:$J$39,2,FALSE)</f>
        <v>8</v>
      </c>
      <c r="G298" s="10" t="s">
        <v>128</v>
      </c>
      <c r="H298" s="10" t="s">
        <v>31</v>
      </c>
      <c r="I298" s="10" t="s">
        <v>22</v>
      </c>
    </row>
    <row r="299" spans="1:9">
      <c r="A299" t="s">
        <v>615</v>
      </c>
      <c r="B299" t="s">
        <v>3268</v>
      </c>
      <c r="C299" t="s">
        <v>29</v>
      </c>
      <c r="D299" s="2">
        <v>53000</v>
      </c>
      <c r="E299">
        <f>VLOOKUP(I299,Calc!$I$35:$J$39,2,FALSE)</f>
        <v>5</v>
      </c>
      <c r="G299" s="10" t="s">
        <v>30</v>
      </c>
      <c r="H299" s="10" t="s">
        <v>233</v>
      </c>
      <c r="I299" s="10" t="s">
        <v>14</v>
      </c>
    </row>
    <row r="300" spans="1:9" hidden="1">
      <c r="A300" t="s">
        <v>616</v>
      </c>
      <c r="B300" t="s">
        <v>3263</v>
      </c>
      <c r="C300" t="s">
        <v>19</v>
      </c>
      <c r="D300" s="2">
        <v>82575.963534454509</v>
      </c>
      <c r="E300">
        <f>VLOOKUP(I300,Calc!$I$35:$J$39,2,FALSE)</f>
        <v>8</v>
      </c>
      <c r="G300" s="10" t="s">
        <v>45</v>
      </c>
      <c r="H300" s="10" t="s">
        <v>617</v>
      </c>
      <c r="I300" s="10" t="s">
        <v>22</v>
      </c>
    </row>
    <row r="301" spans="1:9">
      <c r="A301" t="s">
        <v>618</v>
      </c>
      <c r="B301" t="s">
        <v>3268</v>
      </c>
      <c r="C301" t="s">
        <v>29</v>
      </c>
      <c r="D301" s="2">
        <v>67000</v>
      </c>
      <c r="E301">
        <f>VLOOKUP(I301,Calc!$I$35:$J$39,2,FALSE)</f>
        <v>5</v>
      </c>
      <c r="G301" s="10" t="s">
        <v>30</v>
      </c>
      <c r="H301" s="10" t="s">
        <v>619</v>
      </c>
      <c r="I301" s="10" t="s">
        <v>14</v>
      </c>
    </row>
    <row r="302" spans="1:9" hidden="1">
      <c r="A302" t="s">
        <v>620</v>
      </c>
      <c r="B302" t="s">
        <v>3268</v>
      </c>
      <c r="C302" t="s">
        <v>11</v>
      </c>
      <c r="D302" s="2">
        <v>12000</v>
      </c>
      <c r="E302">
        <f>VLOOKUP(I302,Calc!$I$35:$J$39,2,FALSE)</f>
        <v>8</v>
      </c>
      <c r="G302" s="10" t="s">
        <v>12</v>
      </c>
      <c r="H302" s="10" t="s">
        <v>10</v>
      </c>
      <c r="I302" s="10" t="s">
        <v>22</v>
      </c>
    </row>
    <row r="303" spans="1:9" hidden="1">
      <c r="A303" t="s">
        <v>621</v>
      </c>
      <c r="B303" t="s">
        <v>3263</v>
      </c>
      <c r="C303" t="s">
        <v>29</v>
      </c>
      <c r="D303" s="2">
        <v>85000</v>
      </c>
      <c r="E303">
        <f>VLOOKUP(I303,Calc!$I$35:$J$39,2,FALSE)</f>
        <v>8</v>
      </c>
      <c r="G303" s="10" t="s">
        <v>30</v>
      </c>
      <c r="H303" s="10" t="s">
        <v>622</v>
      </c>
      <c r="I303" s="10" t="s">
        <v>22</v>
      </c>
    </row>
    <row r="304" spans="1:9" hidden="1">
      <c r="A304" t="s">
        <v>623</v>
      </c>
      <c r="B304" t="s">
        <v>77</v>
      </c>
      <c r="C304" t="s">
        <v>19</v>
      </c>
      <c r="D304" s="2">
        <v>254079.88779832155</v>
      </c>
      <c r="E304">
        <f>VLOOKUP(I304,Calc!$I$35:$J$39,2,FALSE)</f>
        <v>8</v>
      </c>
      <c r="G304" s="10" t="s">
        <v>143</v>
      </c>
      <c r="H304" s="10" t="s">
        <v>624</v>
      </c>
      <c r="I304" s="10" t="s">
        <v>22</v>
      </c>
    </row>
    <row r="305" spans="1:9" hidden="1">
      <c r="A305" t="s">
        <v>625</v>
      </c>
      <c r="B305" t="s">
        <v>3267</v>
      </c>
      <c r="C305" t="s">
        <v>29</v>
      </c>
      <c r="D305" s="2">
        <v>40000</v>
      </c>
      <c r="E305">
        <f>VLOOKUP(I305,Calc!$I$35:$J$39,2,FALSE)</f>
        <v>5</v>
      </c>
      <c r="G305" s="10" t="s">
        <v>30</v>
      </c>
      <c r="H305" s="10" t="s">
        <v>626</v>
      </c>
      <c r="I305" s="10" t="s">
        <v>14</v>
      </c>
    </row>
    <row r="306" spans="1:9" hidden="1">
      <c r="A306" t="s">
        <v>627</v>
      </c>
      <c r="B306" t="s">
        <v>3266</v>
      </c>
      <c r="C306" t="s">
        <v>19</v>
      </c>
      <c r="D306" s="2">
        <v>31523.565441345683</v>
      </c>
      <c r="E306">
        <f>VLOOKUP(I306,Calc!$I$35:$J$39,2,FALSE)</f>
        <v>1.5</v>
      </c>
      <c r="G306" s="10" t="s">
        <v>107</v>
      </c>
      <c r="H306" s="10" t="s">
        <v>628</v>
      </c>
      <c r="I306" s="10" t="s">
        <v>47</v>
      </c>
    </row>
    <row r="307" spans="1:9">
      <c r="A307" t="s">
        <v>629</v>
      </c>
      <c r="B307" t="s">
        <v>3268</v>
      </c>
      <c r="C307" t="s">
        <v>29</v>
      </c>
      <c r="D307" s="2">
        <v>41000</v>
      </c>
      <c r="E307">
        <f>VLOOKUP(I307,Calc!$I$35:$J$39,2,FALSE)</f>
        <v>5</v>
      </c>
      <c r="G307" s="10" t="s">
        <v>30</v>
      </c>
      <c r="H307" s="10" t="s">
        <v>630</v>
      </c>
      <c r="I307" s="10" t="s">
        <v>14</v>
      </c>
    </row>
    <row r="308" spans="1:9" hidden="1">
      <c r="A308" t="s">
        <v>631</v>
      </c>
      <c r="B308" t="s">
        <v>3267</v>
      </c>
      <c r="C308" t="s">
        <v>11</v>
      </c>
      <c r="D308" s="2">
        <v>24931.083362419595</v>
      </c>
      <c r="E308">
        <f>VLOOKUP(I308,Calc!$I$35:$J$39,2,FALSE)</f>
        <v>1.5</v>
      </c>
      <c r="G308" s="10" t="s">
        <v>12</v>
      </c>
      <c r="H308" s="10" t="s">
        <v>632</v>
      </c>
      <c r="I308" s="10" t="s">
        <v>47</v>
      </c>
    </row>
    <row r="309" spans="1:9" hidden="1">
      <c r="A309" t="s">
        <v>633</v>
      </c>
      <c r="B309" t="s">
        <v>3267</v>
      </c>
      <c r="C309" t="s">
        <v>29</v>
      </c>
      <c r="D309" s="2">
        <v>125000</v>
      </c>
      <c r="E309">
        <f>VLOOKUP(I309,Calc!$I$35:$J$39,2,FALSE)</f>
        <v>5</v>
      </c>
      <c r="G309" s="10" t="s">
        <v>30</v>
      </c>
      <c r="H309" s="10" t="s">
        <v>634</v>
      </c>
      <c r="I309" s="10" t="s">
        <v>14</v>
      </c>
    </row>
    <row r="310" spans="1:9">
      <c r="A310" t="s">
        <v>635</v>
      </c>
      <c r="B310" t="s">
        <v>3268</v>
      </c>
      <c r="C310" t="s">
        <v>29</v>
      </c>
      <c r="D310" s="2">
        <v>59001.691381819612</v>
      </c>
      <c r="E310">
        <f>VLOOKUP(I310,Calc!$I$35:$J$39,2,FALSE)</f>
        <v>8</v>
      </c>
      <c r="G310" s="10" t="s">
        <v>128</v>
      </c>
      <c r="H310" s="10" t="s">
        <v>636</v>
      </c>
      <c r="I310" s="10" t="s">
        <v>22</v>
      </c>
    </row>
    <row r="311" spans="1:9" hidden="1">
      <c r="A311" t="s">
        <v>637</v>
      </c>
      <c r="B311" t="s">
        <v>3268</v>
      </c>
      <c r="C311" t="s">
        <v>3248</v>
      </c>
      <c r="D311" s="2">
        <v>10956.982885192734</v>
      </c>
      <c r="E311">
        <f>VLOOKUP(I311,Calc!$I$35:$J$39,2,FALSE)</f>
        <v>8</v>
      </c>
      <c r="G311" s="10" t="s">
        <v>254</v>
      </c>
      <c r="H311" s="10" t="s">
        <v>638</v>
      </c>
      <c r="I311" s="10" t="s">
        <v>22</v>
      </c>
    </row>
    <row r="312" spans="1:9">
      <c r="A312" t="s">
        <v>639</v>
      </c>
      <c r="B312" t="s">
        <v>3268</v>
      </c>
      <c r="C312" t="s">
        <v>29</v>
      </c>
      <c r="D312" s="2">
        <v>70000</v>
      </c>
      <c r="E312">
        <f>VLOOKUP(I312,Calc!$I$35:$J$39,2,FALSE)</f>
        <v>2.5</v>
      </c>
      <c r="G312" s="10" t="s">
        <v>30</v>
      </c>
      <c r="H312" s="10" t="s">
        <v>10</v>
      </c>
      <c r="I312" s="10" t="s">
        <v>36</v>
      </c>
    </row>
    <row r="313" spans="1:9" hidden="1">
      <c r="A313" t="s">
        <v>640</v>
      </c>
      <c r="B313" t="s">
        <v>3265</v>
      </c>
      <c r="C313" t="s">
        <v>29</v>
      </c>
      <c r="D313" s="2">
        <v>400000</v>
      </c>
      <c r="E313">
        <f>VLOOKUP(I313,Calc!$I$35:$J$39,2,FALSE)</f>
        <v>8</v>
      </c>
      <c r="G313" s="10" t="s">
        <v>30</v>
      </c>
      <c r="H313" s="10" t="s">
        <v>641</v>
      </c>
      <c r="I313" s="10" t="s">
        <v>22</v>
      </c>
    </row>
    <row r="314" spans="1:9">
      <c r="A314" t="s">
        <v>642</v>
      </c>
      <c r="B314" t="s">
        <v>3268</v>
      </c>
      <c r="C314" t="s">
        <v>29</v>
      </c>
      <c r="D314" s="2">
        <v>55000</v>
      </c>
      <c r="E314">
        <f>VLOOKUP(I314,Calc!$I$35:$J$39,2,FALSE)</f>
        <v>5</v>
      </c>
      <c r="G314" s="10" t="s">
        <v>30</v>
      </c>
      <c r="H314" s="10" t="s">
        <v>320</v>
      </c>
      <c r="I314" s="10" t="s">
        <v>14</v>
      </c>
    </row>
    <row r="315" spans="1:9">
      <c r="A315" t="s">
        <v>643</v>
      </c>
      <c r="B315" t="s">
        <v>3268</v>
      </c>
      <c r="C315" t="s">
        <v>29</v>
      </c>
      <c r="D315" s="2">
        <v>60000</v>
      </c>
      <c r="E315">
        <f>VLOOKUP(I315,Calc!$I$35:$J$39,2,FALSE)</f>
        <v>5</v>
      </c>
      <c r="G315" s="10" t="s">
        <v>30</v>
      </c>
      <c r="H315" s="10" t="s">
        <v>644</v>
      </c>
      <c r="I315" s="10" t="s">
        <v>14</v>
      </c>
    </row>
    <row r="316" spans="1:9" hidden="1">
      <c r="A316" t="s">
        <v>645</v>
      </c>
      <c r="B316" t="s">
        <v>3267</v>
      </c>
      <c r="C316" t="s">
        <v>11</v>
      </c>
      <c r="D316" s="2">
        <v>17807.916687442568</v>
      </c>
      <c r="E316">
        <f>VLOOKUP(I316,Calc!$I$35:$J$39,2,FALSE)</f>
        <v>5</v>
      </c>
      <c r="G316" s="10" t="s">
        <v>12</v>
      </c>
      <c r="H316" s="10" t="s">
        <v>44</v>
      </c>
      <c r="I316" s="10" t="s">
        <v>14</v>
      </c>
    </row>
    <row r="317" spans="1:9" hidden="1">
      <c r="A317" t="s">
        <v>646</v>
      </c>
      <c r="B317" t="s">
        <v>3267</v>
      </c>
      <c r="C317" t="s">
        <v>19</v>
      </c>
      <c r="D317" s="2">
        <v>40000</v>
      </c>
      <c r="E317">
        <f>VLOOKUP(I317,Calc!$I$35:$J$39,2,FALSE)</f>
        <v>5</v>
      </c>
      <c r="G317" s="10" t="s">
        <v>63</v>
      </c>
      <c r="H317" s="10" t="s">
        <v>647</v>
      </c>
      <c r="I317" s="10" t="s">
        <v>14</v>
      </c>
    </row>
    <row r="318" spans="1:9">
      <c r="A318" t="s">
        <v>648</v>
      </c>
      <c r="B318" t="s">
        <v>3268</v>
      </c>
      <c r="C318" t="s">
        <v>29</v>
      </c>
      <c r="D318" s="2">
        <v>137500</v>
      </c>
      <c r="E318">
        <f>VLOOKUP(I318,Calc!$I$35:$J$39,2,FALSE)</f>
        <v>5</v>
      </c>
      <c r="G318" s="10" t="s">
        <v>30</v>
      </c>
      <c r="H318" s="10" t="s">
        <v>649</v>
      </c>
      <c r="I318" s="10" t="s">
        <v>14</v>
      </c>
    </row>
    <row r="319" spans="1:9" hidden="1">
      <c r="A319" t="s">
        <v>650</v>
      </c>
      <c r="B319" t="s">
        <v>3268</v>
      </c>
      <c r="C319" t="s">
        <v>3248</v>
      </c>
      <c r="D319" s="2">
        <v>4545</v>
      </c>
      <c r="E319">
        <f>VLOOKUP(I319,Calc!$I$35:$J$39,2,FALSE)</f>
        <v>8</v>
      </c>
      <c r="G319" s="10" t="s">
        <v>169</v>
      </c>
      <c r="H319" s="10" t="s">
        <v>651</v>
      </c>
      <c r="I319" s="10" t="s">
        <v>22</v>
      </c>
    </row>
    <row r="320" spans="1:9" hidden="1">
      <c r="A320" t="s">
        <v>652</v>
      </c>
      <c r="B320" t="s">
        <v>3268</v>
      </c>
      <c r="C320" t="s">
        <v>19</v>
      </c>
      <c r="D320" s="2">
        <v>45709.169889951241</v>
      </c>
      <c r="E320">
        <f>VLOOKUP(I320,Calc!$I$35:$J$39,2,FALSE)</f>
        <v>5</v>
      </c>
      <c r="G320" s="10" t="s">
        <v>107</v>
      </c>
      <c r="H320" s="10" t="s">
        <v>653</v>
      </c>
      <c r="I320" s="10" t="s">
        <v>14</v>
      </c>
    </row>
    <row r="321" spans="1:9" hidden="1">
      <c r="A321" t="s">
        <v>654</v>
      </c>
      <c r="B321" t="s">
        <v>3265</v>
      </c>
      <c r="C321" t="s">
        <v>29</v>
      </c>
      <c r="D321" s="2">
        <v>47000</v>
      </c>
      <c r="E321">
        <f>VLOOKUP(I321,Calc!$I$35:$J$39,2,FALSE)</f>
        <v>5</v>
      </c>
      <c r="G321" s="10" t="s">
        <v>30</v>
      </c>
      <c r="H321" s="10" t="s">
        <v>655</v>
      </c>
      <c r="I321" s="10" t="s">
        <v>14</v>
      </c>
    </row>
    <row r="322" spans="1:9">
      <c r="A322" t="s">
        <v>656</v>
      </c>
      <c r="B322" t="s">
        <v>3268</v>
      </c>
      <c r="C322" t="s">
        <v>29</v>
      </c>
      <c r="D322" s="2">
        <v>65000</v>
      </c>
      <c r="E322">
        <f>VLOOKUP(I322,Calc!$I$35:$J$39,2,FALSE)</f>
        <v>8</v>
      </c>
      <c r="G322" s="10" t="s">
        <v>30</v>
      </c>
      <c r="H322" s="10" t="s">
        <v>68</v>
      </c>
      <c r="I322" s="10" t="s">
        <v>22</v>
      </c>
    </row>
    <row r="323" spans="1:9" hidden="1">
      <c r="A323" t="s">
        <v>657</v>
      </c>
      <c r="B323" t="s">
        <v>77</v>
      </c>
      <c r="C323" t="s">
        <v>11</v>
      </c>
      <c r="D323" s="2">
        <v>10809.503829551191</v>
      </c>
      <c r="E323">
        <f>VLOOKUP(I323,Calc!$I$35:$J$39,2,FALSE)</f>
        <v>5</v>
      </c>
      <c r="G323" s="10" t="s">
        <v>566</v>
      </c>
      <c r="H323" s="10" t="s">
        <v>658</v>
      </c>
      <c r="I323" s="10" t="s">
        <v>14</v>
      </c>
    </row>
    <row r="324" spans="1:9" hidden="1">
      <c r="A324" t="s">
        <v>659</v>
      </c>
      <c r="B324" t="s">
        <v>3267</v>
      </c>
      <c r="C324" t="s">
        <v>29</v>
      </c>
      <c r="D324" s="2">
        <v>92000</v>
      </c>
      <c r="E324">
        <f>VLOOKUP(I324,Calc!$I$35:$J$39,2,FALSE)</f>
        <v>5</v>
      </c>
      <c r="G324" s="10" t="s">
        <v>30</v>
      </c>
      <c r="H324" s="10" t="s">
        <v>660</v>
      </c>
      <c r="I324" s="10" t="s">
        <v>14</v>
      </c>
    </row>
    <row r="325" spans="1:9" hidden="1">
      <c r="A325" t="s">
        <v>661</v>
      </c>
      <c r="B325" t="s">
        <v>3267</v>
      </c>
      <c r="C325" t="s">
        <v>3248</v>
      </c>
      <c r="D325" s="2">
        <v>22000</v>
      </c>
      <c r="E325">
        <f>VLOOKUP(I325,Calc!$I$35:$J$39,2,FALSE)</f>
        <v>5</v>
      </c>
      <c r="G325" s="10" t="s">
        <v>254</v>
      </c>
      <c r="H325" s="10" t="s">
        <v>662</v>
      </c>
      <c r="I325" s="10" t="s">
        <v>14</v>
      </c>
    </row>
    <row r="326" spans="1:9" hidden="1">
      <c r="A326" t="s">
        <v>663</v>
      </c>
      <c r="B326" t="s">
        <v>3267</v>
      </c>
      <c r="C326" t="s">
        <v>29</v>
      </c>
      <c r="D326" s="2">
        <v>108000</v>
      </c>
      <c r="E326">
        <f>VLOOKUP(I326,Calc!$I$35:$J$39,2,FALSE)</f>
        <v>2.5</v>
      </c>
      <c r="G326" s="10" t="s">
        <v>30</v>
      </c>
      <c r="H326" s="10" t="s">
        <v>664</v>
      </c>
      <c r="I326" s="10" t="s">
        <v>36</v>
      </c>
    </row>
    <row r="327" spans="1:9">
      <c r="A327" t="s">
        <v>665</v>
      </c>
      <c r="B327" t="s">
        <v>3268</v>
      </c>
      <c r="C327" t="s">
        <v>29</v>
      </c>
      <c r="D327" s="2">
        <v>61000</v>
      </c>
      <c r="E327">
        <f>VLOOKUP(I327,Calc!$I$35:$J$39,2,FALSE)</f>
        <v>1.5</v>
      </c>
      <c r="G327" s="10" t="s">
        <v>30</v>
      </c>
      <c r="H327" s="10" t="s">
        <v>233</v>
      </c>
      <c r="I327" s="10" t="s">
        <v>47</v>
      </c>
    </row>
    <row r="328" spans="1:9" hidden="1">
      <c r="A328" t="s">
        <v>666</v>
      </c>
      <c r="B328" t="s">
        <v>3267</v>
      </c>
      <c r="C328" t="s">
        <v>29</v>
      </c>
      <c r="D328" s="2">
        <v>63918.498996971248</v>
      </c>
      <c r="E328">
        <f>VLOOKUP(I328,Calc!$I$35:$J$39,2,FALSE)</f>
        <v>2.5</v>
      </c>
      <c r="G328" s="10" t="s">
        <v>128</v>
      </c>
      <c r="H328" s="10" t="s">
        <v>667</v>
      </c>
      <c r="I328" s="10" t="s">
        <v>36</v>
      </c>
    </row>
    <row r="329" spans="1:9">
      <c r="A329" t="s">
        <v>668</v>
      </c>
      <c r="B329" t="s">
        <v>3268</v>
      </c>
      <c r="C329" t="s">
        <v>29</v>
      </c>
      <c r="D329" s="2">
        <v>50000</v>
      </c>
      <c r="E329">
        <f>VLOOKUP(I329,Calc!$I$35:$J$39,2,FALSE)</f>
        <v>8</v>
      </c>
      <c r="G329" s="10" t="s">
        <v>30</v>
      </c>
      <c r="H329" s="10" t="s">
        <v>669</v>
      </c>
      <c r="I329" s="10" t="s">
        <v>22</v>
      </c>
    </row>
    <row r="330" spans="1:9" hidden="1">
      <c r="A330" t="s">
        <v>670</v>
      </c>
      <c r="B330" t="s">
        <v>3269</v>
      </c>
      <c r="C330" t="s">
        <v>29</v>
      </c>
      <c r="D330" s="2">
        <v>150000</v>
      </c>
      <c r="E330">
        <f>VLOOKUP(I330,Calc!$I$35:$J$39,2,FALSE)</f>
        <v>8</v>
      </c>
      <c r="G330" s="10" t="s">
        <v>30</v>
      </c>
      <c r="H330" s="10" t="s">
        <v>671</v>
      </c>
      <c r="I330" s="10" t="s">
        <v>22</v>
      </c>
    </row>
    <row r="331" spans="1:9" hidden="1">
      <c r="A331" t="s">
        <v>672</v>
      </c>
      <c r="B331" t="s">
        <v>3268</v>
      </c>
      <c r="C331" t="s">
        <v>11</v>
      </c>
      <c r="D331" s="2">
        <v>7123.1666749770275</v>
      </c>
      <c r="E331">
        <f>VLOOKUP(I331,Calc!$I$35:$J$39,2,FALSE)</f>
        <v>5</v>
      </c>
      <c r="G331" s="10" t="s">
        <v>12</v>
      </c>
      <c r="H331" s="10" t="s">
        <v>673</v>
      </c>
      <c r="I331" s="10" t="s">
        <v>14</v>
      </c>
    </row>
    <row r="332" spans="1:9" hidden="1">
      <c r="A332" t="s">
        <v>674</v>
      </c>
      <c r="B332" t="s">
        <v>3267</v>
      </c>
      <c r="C332" t="s">
        <v>48</v>
      </c>
      <c r="D332" s="2">
        <v>150000</v>
      </c>
      <c r="E332">
        <f>VLOOKUP(I332,Calc!$I$35:$J$39,2,FALSE)</f>
        <v>5</v>
      </c>
      <c r="G332" s="10" t="s">
        <v>675</v>
      </c>
      <c r="H332" s="10" t="s">
        <v>676</v>
      </c>
      <c r="I332" s="10" t="s">
        <v>14</v>
      </c>
    </row>
    <row r="333" spans="1:9" hidden="1">
      <c r="A333" t="s">
        <v>677</v>
      </c>
      <c r="B333" t="s">
        <v>3265</v>
      </c>
      <c r="C333" t="s">
        <v>29</v>
      </c>
      <c r="D333" s="2">
        <v>45000</v>
      </c>
      <c r="E333">
        <f>VLOOKUP(I333,Calc!$I$35:$J$39,2,FALSE)</f>
        <v>5</v>
      </c>
      <c r="G333" s="10" t="s">
        <v>30</v>
      </c>
      <c r="H333" s="10" t="s">
        <v>678</v>
      </c>
      <c r="I333" s="10" t="s">
        <v>14</v>
      </c>
    </row>
    <row r="334" spans="1:9" hidden="1">
      <c r="A334" t="s">
        <v>679</v>
      </c>
      <c r="B334" t="s">
        <v>3267</v>
      </c>
      <c r="C334" t="s">
        <v>29</v>
      </c>
      <c r="D334" s="2">
        <v>135000</v>
      </c>
      <c r="E334">
        <f>VLOOKUP(I334,Calc!$I$35:$J$39,2,FALSE)</f>
        <v>8</v>
      </c>
      <c r="G334" s="10" t="s">
        <v>30</v>
      </c>
      <c r="H334" s="10" t="s">
        <v>680</v>
      </c>
      <c r="I334" s="10" t="s">
        <v>22</v>
      </c>
    </row>
    <row r="335" spans="1:9" hidden="1">
      <c r="A335" t="s">
        <v>681</v>
      </c>
      <c r="B335" t="s">
        <v>3268</v>
      </c>
      <c r="C335" t="s">
        <v>11</v>
      </c>
      <c r="D335" s="2">
        <v>6410.8500074793246</v>
      </c>
      <c r="E335">
        <f>VLOOKUP(I335,Calc!$I$35:$J$39,2,FALSE)</f>
        <v>2.5</v>
      </c>
      <c r="G335" s="10" t="s">
        <v>12</v>
      </c>
      <c r="H335" s="10" t="s">
        <v>682</v>
      </c>
      <c r="I335" s="10" t="s">
        <v>36</v>
      </c>
    </row>
    <row r="336" spans="1:9" hidden="1">
      <c r="A336" t="s">
        <v>683</v>
      </c>
      <c r="B336" t="s">
        <v>3267</v>
      </c>
      <c r="C336" t="s">
        <v>29</v>
      </c>
      <c r="D336" s="2">
        <v>29000</v>
      </c>
      <c r="E336">
        <f>VLOOKUP(I336,Calc!$I$35:$J$39,2,FALSE)</f>
        <v>5</v>
      </c>
      <c r="G336" s="10" t="s">
        <v>30</v>
      </c>
      <c r="H336" s="10" t="s">
        <v>684</v>
      </c>
      <c r="I336" s="10" t="s">
        <v>14</v>
      </c>
    </row>
    <row r="337" spans="1:9" hidden="1">
      <c r="A337" t="s">
        <v>685</v>
      </c>
      <c r="B337" t="s">
        <v>3267</v>
      </c>
      <c r="C337" t="s">
        <v>11</v>
      </c>
      <c r="D337" s="2">
        <v>13000</v>
      </c>
      <c r="E337">
        <f>VLOOKUP(I337,Calc!$I$35:$J$39,2,FALSE)</f>
        <v>8</v>
      </c>
      <c r="G337" s="10" t="s">
        <v>12</v>
      </c>
      <c r="H337" s="10" t="s">
        <v>686</v>
      </c>
      <c r="I337" s="10" t="s">
        <v>22</v>
      </c>
    </row>
    <row r="338" spans="1:9">
      <c r="A338" t="s">
        <v>687</v>
      </c>
      <c r="B338" t="s">
        <v>3268</v>
      </c>
      <c r="C338" t="s">
        <v>29</v>
      </c>
      <c r="D338" s="2">
        <v>63000</v>
      </c>
      <c r="E338">
        <f>VLOOKUP(I338,Calc!$I$35:$J$39,2,FALSE)</f>
        <v>8</v>
      </c>
      <c r="G338" s="10" t="s">
        <v>30</v>
      </c>
      <c r="H338" s="10" t="s">
        <v>167</v>
      </c>
      <c r="I338" s="10" t="s">
        <v>22</v>
      </c>
    </row>
    <row r="339" spans="1:9">
      <c r="A339" t="s">
        <v>688</v>
      </c>
      <c r="B339" t="s">
        <v>3268</v>
      </c>
      <c r="C339" t="s">
        <v>29</v>
      </c>
      <c r="D339" s="2">
        <v>95000</v>
      </c>
      <c r="E339">
        <f>VLOOKUP(I339,Calc!$I$35:$J$39,2,FALSE)</f>
        <v>5</v>
      </c>
      <c r="G339" s="10" t="s">
        <v>30</v>
      </c>
      <c r="H339" s="10" t="s">
        <v>689</v>
      </c>
      <c r="I339" s="10" t="s">
        <v>14</v>
      </c>
    </row>
    <row r="340" spans="1:9" hidden="1">
      <c r="A340" t="s">
        <v>690</v>
      </c>
      <c r="B340" t="s">
        <v>3268</v>
      </c>
      <c r="C340" t="s">
        <v>19</v>
      </c>
      <c r="D340" s="2">
        <v>100000</v>
      </c>
      <c r="E340">
        <f>VLOOKUP(I340,Calc!$I$35:$J$39,2,FALSE)</f>
        <v>5</v>
      </c>
      <c r="G340" s="10" t="s">
        <v>107</v>
      </c>
      <c r="H340" s="10" t="s">
        <v>691</v>
      </c>
      <c r="I340" s="10" t="s">
        <v>14</v>
      </c>
    </row>
    <row r="341" spans="1:9" hidden="1">
      <c r="A341" t="s">
        <v>692</v>
      </c>
      <c r="B341" t="s">
        <v>77</v>
      </c>
      <c r="C341" t="s">
        <v>11</v>
      </c>
      <c r="D341" s="2">
        <v>3800</v>
      </c>
      <c r="E341">
        <f>VLOOKUP(I341,Calc!$I$35:$J$39,2,FALSE)</f>
        <v>5</v>
      </c>
      <c r="G341" s="10" t="s">
        <v>12</v>
      </c>
      <c r="H341" s="10" t="s">
        <v>693</v>
      </c>
      <c r="I341" s="10" t="s">
        <v>14</v>
      </c>
    </row>
    <row r="342" spans="1:9" hidden="1">
      <c r="A342" t="s">
        <v>694</v>
      </c>
      <c r="B342" t="s">
        <v>3264</v>
      </c>
      <c r="C342" t="s">
        <v>3248</v>
      </c>
      <c r="D342" s="2">
        <v>11400</v>
      </c>
      <c r="E342">
        <f>VLOOKUP(I342,Calc!$I$35:$J$39,2,FALSE)</f>
        <v>5</v>
      </c>
      <c r="G342" s="10" t="s">
        <v>216</v>
      </c>
      <c r="H342" s="10" t="s">
        <v>695</v>
      </c>
      <c r="I342" s="10" t="s">
        <v>14</v>
      </c>
    </row>
    <row r="343" spans="1:9">
      <c r="A343" t="s">
        <v>696</v>
      </c>
      <c r="B343" t="s">
        <v>3268</v>
      </c>
      <c r="C343" t="s">
        <v>29</v>
      </c>
      <c r="D343" s="2">
        <v>55068.245289698301</v>
      </c>
      <c r="E343">
        <f>VLOOKUP(I343,Calc!$I$35:$J$39,2,FALSE)</f>
        <v>5</v>
      </c>
      <c r="G343" s="10" t="s">
        <v>128</v>
      </c>
      <c r="H343" s="10" t="s">
        <v>697</v>
      </c>
      <c r="I343" s="10" t="s">
        <v>14</v>
      </c>
    </row>
    <row r="344" spans="1:9" hidden="1">
      <c r="A344" t="s">
        <v>698</v>
      </c>
      <c r="B344" t="s">
        <v>3267</v>
      </c>
      <c r="C344" t="s">
        <v>29</v>
      </c>
      <c r="D344" s="2">
        <v>53000</v>
      </c>
      <c r="E344">
        <f>VLOOKUP(I344,Calc!$I$35:$J$39,2,FALSE)</f>
        <v>2.5</v>
      </c>
      <c r="G344" s="10" t="s">
        <v>30</v>
      </c>
      <c r="H344" s="10" t="s">
        <v>699</v>
      </c>
      <c r="I344" s="10" t="s">
        <v>36</v>
      </c>
    </row>
    <row r="345" spans="1:9" hidden="1">
      <c r="A345" t="s">
        <v>700</v>
      </c>
      <c r="B345" t="s">
        <v>3266</v>
      </c>
      <c r="C345" t="s">
        <v>29</v>
      </c>
      <c r="D345" s="2">
        <v>130000</v>
      </c>
      <c r="E345">
        <f>VLOOKUP(I345,Calc!$I$35:$J$39,2,FALSE)</f>
        <v>5</v>
      </c>
      <c r="G345" s="10" t="s">
        <v>30</v>
      </c>
      <c r="H345" s="10" t="s">
        <v>701</v>
      </c>
      <c r="I345" s="10" t="s">
        <v>14</v>
      </c>
    </row>
    <row r="346" spans="1:9" hidden="1">
      <c r="A346" t="s">
        <v>702</v>
      </c>
      <c r="B346" t="s">
        <v>3268</v>
      </c>
      <c r="C346" t="s">
        <v>11</v>
      </c>
      <c r="D346" s="2">
        <v>6588.9291743537506</v>
      </c>
      <c r="E346">
        <f>VLOOKUP(I346,Calc!$I$35:$J$39,2,FALSE)</f>
        <v>8</v>
      </c>
      <c r="G346" s="10" t="s">
        <v>12</v>
      </c>
      <c r="H346" s="10" t="s">
        <v>703</v>
      </c>
      <c r="I346" s="10" t="s">
        <v>22</v>
      </c>
    </row>
    <row r="347" spans="1:9" hidden="1">
      <c r="A347" t="s">
        <v>704</v>
      </c>
      <c r="B347" t="s">
        <v>3264</v>
      </c>
      <c r="C347" t="s">
        <v>29</v>
      </c>
      <c r="D347" s="2">
        <v>157337.8436848523</v>
      </c>
      <c r="E347">
        <f>VLOOKUP(I347,Calc!$I$35:$J$39,2,FALSE)</f>
        <v>2.5</v>
      </c>
      <c r="G347" s="10" t="s">
        <v>128</v>
      </c>
      <c r="H347" s="10" t="s">
        <v>90</v>
      </c>
      <c r="I347" s="10" t="s">
        <v>36</v>
      </c>
    </row>
    <row r="348" spans="1:9">
      <c r="A348" t="s">
        <v>705</v>
      </c>
      <c r="B348" t="s">
        <v>3268</v>
      </c>
      <c r="C348" t="s">
        <v>29</v>
      </c>
      <c r="D348" s="2">
        <v>44200</v>
      </c>
      <c r="E348">
        <f>VLOOKUP(I348,Calc!$I$35:$J$39,2,FALSE)</f>
        <v>8</v>
      </c>
      <c r="G348" s="10" t="s">
        <v>30</v>
      </c>
      <c r="H348" s="10" t="s">
        <v>706</v>
      </c>
      <c r="I348" s="10" t="s">
        <v>22</v>
      </c>
    </row>
    <row r="349" spans="1:9" hidden="1">
      <c r="A349" t="s">
        <v>707</v>
      </c>
      <c r="B349" t="s">
        <v>3267</v>
      </c>
      <c r="C349" t="s">
        <v>29</v>
      </c>
      <c r="D349" s="2">
        <v>56000</v>
      </c>
      <c r="E349">
        <f>VLOOKUP(I349,Calc!$I$35:$J$39,2,FALSE)</f>
        <v>2.5</v>
      </c>
      <c r="G349" s="10" t="s">
        <v>30</v>
      </c>
      <c r="H349" s="10" t="s">
        <v>708</v>
      </c>
      <c r="I349" s="10" t="s">
        <v>36</v>
      </c>
    </row>
    <row r="350" spans="1:9" hidden="1">
      <c r="A350" t="s">
        <v>709</v>
      </c>
      <c r="B350" t="s">
        <v>3266</v>
      </c>
      <c r="C350" t="s">
        <v>29</v>
      </c>
      <c r="D350" s="2">
        <v>72500</v>
      </c>
      <c r="E350">
        <f>VLOOKUP(I350,Calc!$I$35:$J$39,2,FALSE)</f>
        <v>2.5</v>
      </c>
      <c r="G350" s="10" t="s">
        <v>30</v>
      </c>
      <c r="H350" s="10" t="s">
        <v>710</v>
      </c>
      <c r="I350" s="10" t="s">
        <v>36</v>
      </c>
    </row>
    <row r="351" spans="1:9">
      <c r="A351" t="s">
        <v>711</v>
      </c>
      <c r="B351" t="s">
        <v>3268</v>
      </c>
      <c r="C351" t="s">
        <v>29</v>
      </c>
      <c r="D351" s="2">
        <v>73752.11422727452</v>
      </c>
      <c r="E351">
        <f>VLOOKUP(I351,Calc!$I$35:$J$39,2,FALSE)</f>
        <v>5</v>
      </c>
      <c r="G351" s="10" t="s">
        <v>128</v>
      </c>
      <c r="H351" s="10" t="s">
        <v>712</v>
      </c>
      <c r="I351" s="10" t="s">
        <v>14</v>
      </c>
    </row>
    <row r="352" spans="1:9" hidden="1">
      <c r="A352" t="s">
        <v>713</v>
      </c>
      <c r="B352" t="s">
        <v>3268</v>
      </c>
      <c r="C352" t="s">
        <v>19</v>
      </c>
      <c r="D352" s="2">
        <v>170000</v>
      </c>
      <c r="E352">
        <f>VLOOKUP(I352,Calc!$I$35:$J$39,2,FALSE)</f>
        <v>0</v>
      </c>
      <c r="G352" s="10" t="s">
        <v>107</v>
      </c>
      <c r="H352" s="10" t="s">
        <v>714</v>
      </c>
      <c r="I352" s="10" t="s">
        <v>119</v>
      </c>
    </row>
    <row r="353" spans="1:9" hidden="1">
      <c r="A353" t="s">
        <v>715</v>
      </c>
      <c r="B353" t="s">
        <v>3267</v>
      </c>
      <c r="C353" t="s">
        <v>29</v>
      </c>
      <c r="D353" s="2">
        <v>68000</v>
      </c>
      <c r="E353">
        <f>VLOOKUP(I353,Calc!$I$35:$J$39,2,FALSE)</f>
        <v>2.5</v>
      </c>
      <c r="G353" s="10" t="s">
        <v>30</v>
      </c>
      <c r="H353" s="10" t="s">
        <v>310</v>
      </c>
      <c r="I353" s="10" t="s">
        <v>36</v>
      </c>
    </row>
    <row r="354" spans="1:9">
      <c r="A354" t="s">
        <v>716</v>
      </c>
      <c r="B354" t="s">
        <v>3268</v>
      </c>
      <c r="C354" t="s">
        <v>29</v>
      </c>
      <c r="D354" s="2">
        <v>75000</v>
      </c>
      <c r="E354">
        <f>VLOOKUP(I354,Calc!$I$35:$J$39,2,FALSE)</f>
        <v>8</v>
      </c>
      <c r="G354" s="10" t="s">
        <v>30</v>
      </c>
      <c r="H354" s="10" t="s">
        <v>447</v>
      </c>
      <c r="I354" s="10" t="s">
        <v>22</v>
      </c>
    </row>
    <row r="355" spans="1:9" hidden="1">
      <c r="A355" t="s">
        <v>717</v>
      </c>
      <c r="B355" t="s">
        <v>3249</v>
      </c>
      <c r="C355" t="s">
        <v>29</v>
      </c>
      <c r="D355" s="2">
        <v>62500</v>
      </c>
      <c r="E355">
        <f>VLOOKUP(I355,Calc!$I$35:$J$39,2,FALSE)</f>
        <v>8</v>
      </c>
      <c r="G355" s="10" t="s">
        <v>30</v>
      </c>
      <c r="H355" s="10" t="s">
        <v>718</v>
      </c>
      <c r="I355" s="10" t="s">
        <v>22</v>
      </c>
    </row>
    <row r="356" spans="1:9" hidden="1">
      <c r="A356" t="s">
        <v>719</v>
      </c>
      <c r="B356" t="s">
        <v>3267</v>
      </c>
      <c r="C356" t="s">
        <v>11</v>
      </c>
      <c r="D356" s="2">
        <v>25000</v>
      </c>
      <c r="E356">
        <f>VLOOKUP(I356,Calc!$I$35:$J$39,2,FALSE)</f>
        <v>5</v>
      </c>
      <c r="G356" s="10" t="s">
        <v>12</v>
      </c>
      <c r="H356" s="10" t="s">
        <v>44</v>
      </c>
      <c r="I356" s="10" t="s">
        <v>14</v>
      </c>
    </row>
    <row r="357" spans="1:9" hidden="1">
      <c r="A357" t="s">
        <v>720</v>
      </c>
      <c r="B357" t="s">
        <v>3264</v>
      </c>
      <c r="C357" t="s">
        <v>19</v>
      </c>
      <c r="D357" s="2">
        <v>68954.520184280962</v>
      </c>
      <c r="E357">
        <f>VLOOKUP(I357,Calc!$I$35:$J$39,2,FALSE)</f>
        <v>1.5</v>
      </c>
      <c r="G357" s="10" t="s">
        <v>721</v>
      </c>
      <c r="H357" s="10" t="s">
        <v>722</v>
      </c>
      <c r="I357" s="10" t="s">
        <v>47</v>
      </c>
    </row>
    <row r="358" spans="1:9">
      <c r="A358" t="s">
        <v>723</v>
      </c>
      <c r="B358" t="s">
        <v>3268</v>
      </c>
      <c r="C358" t="s">
        <v>29</v>
      </c>
      <c r="D358" s="2">
        <v>85000</v>
      </c>
      <c r="E358">
        <f>VLOOKUP(I358,Calc!$I$35:$J$39,2,FALSE)</f>
        <v>5</v>
      </c>
      <c r="G358" s="10" t="s">
        <v>30</v>
      </c>
      <c r="H358" s="10" t="s">
        <v>447</v>
      </c>
      <c r="I358" s="10" t="s">
        <v>14</v>
      </c>
    </row>
    <row r="359" spans="1:9" hidden="1">
      <c r="A359" t="s">
        <v>724</v>
      </c>
      <c r="B359" t="s">
        <v>3267</v>
      </c>
      <c r="C359" t="s">
        <v>19</v>
      </c>
      <c r="D359" s="2">
        <v>67775.665698893223</v>
      </c>
      <c r="E359">
        <f>VLOOKUP(I359,Calc!$I$35:$J$39,2,FALSE)</f>
        <v>5</v>
      </c>
      <c r="G359" s="10" t="s">
        <v>107</v>
      </c>
      <c r="H359" s="10" t="s">
        <v>725</v>
      </c>
      <c r="I359" s="10" t="s">
        <v>14</v>
      </c>
    </row>
    <row r="360" spans="1:9" hidden="1">
      <c r="A360" t="s">
        <v>726</v>
      </c>
      <c r="B360" t="s">
        <v>3267</v>
      </c>
      <c r="C360" t="s">
        <v>29</v>
      </c>
      <c r="D360" s="2">
        <v>89000</v>
      </c>
      <c r="E360">
        <f>VLOOKUP(I360,Calc!$I$35:$J$39,2,FALSE)</f>
        <v>5</v>
      </c>
      <c r="G360" s="10" t="s">
        <v>30</v>
      </c>
      <c r="H360" s="10" t="s">
        <v>727</v>
      </c>
      <c r="I360" s="10" t="s">
        <v>14</v>
      </c>
    </row>
    <row r="361" spans="1:9" hidden="1">
      <c r="A361" t="s">
        <v>728</v>
      </c>
      <c r="B361" t="s">
        <v>3268</v>
      </c>
      <c r="C361" t="s">
        <v>3248</v>
      </c>
      <c r="D361" s="2">
        <v>35000</v>
      </c>
      <c r="E361">
        <f>VLOOKUP(I361,Calc!$I$35:$J$39,2,FALSE)</f>
        <v>8</v>
      </c>
      <c r="G361" s="10" t="s">
        <v>169</v>
      </c>
      <c r="H361" s="10" t="s">
        <v>729</v>
      </c>
      <c r="I361" s="10" t="s">
        <v>22</v>
      </c>
    </row>
    <row r="362" spans="1:9" hidden="1">
      <c r="A362" t="s">
        <v>730</v>
      </c>
      <c r="B362" t="s">
        <v>3267</v>
      </c>
      <c r="C362" t="s">
        <v>29</v>
      </c>
      <c r="D362" s="2">
        <v>47500</v>
      </c>
      <c r="E362">
        <f>VLOOKUP(I362,Calc!$I$35:$J$39,2,FALSE)</f>
        <v>8</v>
      </c>
      <c r="G362" s="10" t="s">
        <v>30</v>
      </c>
      <c r="H362" s="10" t="s">
        <v>731</v>
      </c>
      <c r="I362" s="10" t="s">
        <v>22</v>
      </c>
    </row>
    <row r="363" spans="1:9" hidden="1">
      <c r="A363" t="s">
        <v>732</v>
      </c>
      <c r="B363" t="s">
        <v>3267</v>
      </c>
      <c r="C363" t="s">
        <v>29</v>
      </c>
      <c r="D363" s="2">
        <v>130000</v>
      </c>
      <c r="E363">
        <f>VLOOKUP(I363,Calc!$I$35:$J$39,2,FALSE)</f>
        <v>2.5</v>
      </c>
      <c r="G363" s="10" t="s">
        <v>30</v>
      </c>
      <c r="H363" s="10" t="s">
        <v>310</v>
      </c>
      <c r="I363" s="10" t="s">
        <v>36</v>
      </c>
    </row>
    <row r="364" spans="1:9" hidden="1">
      <c r="A364" t="s">
        <v>733</v>
      </c>
      <c r="B364" t="s">
        <v>3249</v>
      </c>
      <c r="C364" t="s">
        <v>11</v>
      </c>
      <c r="D364" s="2">
        <v>18000</v>
      </c>
      <c r="E364">
        <f>VLOOKUP(I364,Calc!$I$35:$J$39,2,FALSE)</f>
        <v>2.5</v>
      </c>
      <c r="G364" s="10" t="s">
        <v>12</v>
      </c>
      <c r="H364" s="10" t="s">
        <v>734</v>
      </c>
      <c r="I364" s="10" t="s">
        <v>36</v>
      </c>
    </row>
    <row r="365" spans="1:9" hidden="1">
      <c r="A365" t="s">
        <v>735</v>
      </c>
      <c r="B365" t="s">
        <v>3267</v>
      </c>
      <c r="C365" t="s">
        <v>11</v>
      </c>
      <c r="D365" s="2">
        <v>8547.8000099724322</v>
      </c>
      <c r="E365">
        <f>VLOOKUP(I365,Calc!$I$35:$J$39,2,FALSE)</f>
        <v>1.5</v>
      </c>
      <c r="G365" s="10" t="s">
        <v>12</v>
      </c>
      <c r="H365" s="10" t="s">
        <v>736</v>
      </c>
      <c r="I365" s="10" t="s">
        <v>47</v>
      </c>
    </row>
    <row r="366" spans="1:9" hidden="1">
      <c r="A366" t="s">
        <v>737</v>
      </c>
      <c r="B366" t="s">
        <v>3267</v>
      </c>
      <c r="C366" t="s">
        <v>29</v>
      </c>
      <c r="D366" s="2">
        <v>41932</v>
      </c>
      <c r="E366">
        <f>VLOOKUP(I366,Calc!$I$35:$J$39,2,FALSE)</f>
        <v>2.5</v>
      </c>
      <c r="G366" s="10" t="s">
        <v>30</v>
      </c>
      <c r="H366" s="10" t="s">
        <v>449</v>
      </c>
      <c r="I366" s="10" t="s">
        <v>36</v>
      </c>
    </row>
    <row r="367" spans="1:9" hidden="1">
      <c r="A367" t="s">
        <v>738</v>
      </c>
      <c r="B367" t="s">
        <v>3264</v>
      </c>
      <c r="C367" t="s">
        <v>3248</v>
      </c>
      <c r="D367" s="2">
        <v>220700</v>
      </c>
      <c r="E367">
        <f>VLOOKUP(I367,Calc!$I$35:$J$39,2,FALSE)</f>
        <v>8</v>
      </c>
      <c r="G367" s="10" t="s">
        <v>216</v>
      </c>
      <c r="H367" s="10" t="s">
        <v>90</v>
      </c>
      <c r="I367" s="10" t="s">
        <v>22</v>
      </c>
    </row>
    <row r="368" spans="1:9" hidden="1">
      <c r="A368" t="s">
        <v>739</v>
      </c>
      <c r="B368" t="s">
        <v>3249</v>
      </c>
      <c r="C368" t="s">
        <v>29</v>
      </c>
      <c r="D368" s="2">
        <v>194000</v>
      </c>
      <c r="E368">
        <f>VLOOKUP(I368,Calc!$I$35:$J$39,2,FALSE)</f>
        <v>2.5</v>
      </c>
      <c r="G368" s="10" t="s">
        <v>30</v>
      </c>
      <c r="H368" s="10" t="s">
        <v>740</v>
      </c>
      <c r="I368" s="10" t="s">
        <v>36</v>
      </c>
    </row>
    <row r="369" spans="1:9" hidden="1">
      <c r="A369" t="s">
        <v>741</v>
      </c>
      <c r="B369" t="s">
        <v>3268</v>
      </c>
      <c r="C369" t="s">
        <v>11</v>
      </c>
      <c r="D369" s="2">
        <v>160271.25018698312</v>
      </c>
      <c r="E369">
        <f>VLOOKUP(I369,Calc!$I$35:$J$39,2,FALSE)</f>
        <v>5</v>
      </c>
      <c r="G369" s="10" t="s">
        <v>12</v>
      </c>
      <c r="H369" s="10" t="s">
        <v>31</v>
      </c>
      <c r="I369" s="10" t="s">
        <v>14</v>
      </c>
    </row>
    <row r="370" spans="1:9" hidden="1">
      <c r="A370" t="s">
        <v>742</v>
      </c>
      <c r="B370" t="s">
        <v>3267</v>
      </c>
      <c r="C370" t="s">
        <v>11</v>
      </c>
      <c r="D370" s="2">
        <v>8903.9583437212841</v>
      </c>
      <c r="E370">
        <f>VLOOKUP(I370,Calc!$I$35:$J$39,2,FALSE)</f>
        <v>2.5</v>
      </c>
      <c r="G370" s="10" t="s">
        <v>12</v>
      </c>
      <c r="H370" s="10" t="s">
        <v>743</v>
      </c>
      <c r="I370" s="10" t="s">
        <v>36</v>
      </c>
    </row>
    <row r="371" spans="1:9">
      <c r="A371" t="s">
        <v>744</v>
      </c>
      <c r="B371" t="s">
        <v>3268</v>
      </c>
      <c r="C371" t="s">
        <v>29</v>
      </c>
      <c r="D371" s="2">
        <v>78668.921842426149</v>
      </c>
      <c r="E371">
        <f>VLOOKUP(I371,Calc!$I$35:$J$39,2,FALSE)</f>
        <v>5</v>
      </c>
      <c r="G371" s="10" t="s">
        <v>128</v>
      </c>
      <c r="H371" s="10" t="s">
        <v>745</v>
      </c>
      <c r="I371" s="10" t="s">
        <v>14</v>
      </c>
    </row>
    <row r="372" spans="1:9" hidden="1">
      <c r="A372" t="s">
        <v>746</v>
      </c>
      <c r="B372" t="s">
        <v>3267</v>
      </c>
      <c r="C372" t="s">
        <v>19</v>
      </c>
      <c r="D372" s="2">
        <v>22867.189901848938</v>
      </c>
      <c r="E372">
        <f>VLOOKUP(I372,Calc!$I$35:$J$39,2,FALSE)</f>
        <v>2.5</v>
      </c>
      <c r="G372" s="10" t="s">
        <v>53</v>
      </c>
      <c r="H372" s="10" t="s">
        <v>747</v>
      </c>
      <c r="I372" s="10" t="s">
        <v>36</v>
      </c>
    </row>
    <row r="373" spans="1:9" hidden="1">
      <c r="A373" t="s">
        <v>748</v>
      </c>
      <c r="B373" t="s">
        <v>3249</v>
      </c>
      <c r="C373" t="s">
        <v>19</v>
      </c>
      <c r="D373" s="2">
        <v>94570.696324037053</v>
      </c>
      <c r="E373">
        <f>VLOOKUP(I373,Calc!$I$35:$J$39,2,FALSE)</f>
        <v>2.5</v>
      </c>
      <c r="G373" s="10" t="s">
        <v>107</v>
      </c>
      <c r="H373" s="10" t="s">
        <v>749</v>
      </c>
      <c r="I373" s="10" t="s">
        <v>36</v>
      </c>
    </row>
    <row r="374" spans="1:9">
      <c r="A374" t="s">
        <v>750</v>
      </c>
      <c r="B374" t="s">
        <v>3268</v>
      </c>
      <c r="C374" t="s">
        <v>29</v>
      </c>
      <c r="D374" s="2">
        <v>95000</v>
      </c>
      <c r="E374">
        <f>VLOOKUP(I374,Calc!$I$35:$J$39,2,FALSE)</f>
        <v>8</v>
      </c>
      <c r="G374" s="10" t="s">
        <v>30</v>
      </c>
      <c r="H374" s="10" t="s">
        <v>689</v>
      </c>
      <c r="I374" s="10" t="s">
        <v>22</v>
      </c>
    </row>
    <row r="375" spans="1:9" hidden="1">
      <c r="A375" t="s">
        <v>751</v>
      </c>
      <c r="B375" t="s">
        <v>3266</v>
      </c>
      <c r="C375" t="s">
        <v>11</v>
      </c>
      <c r="D375" s="2">
        <v>9616.275011218986</v>
      </c>
      <c r="E375">
        <f>VLOOKUP(I375,Calc!$I$35:$J$39,2,FALSE)</f>
        <v>5</v>
      </c>
      <c r="G375" s="10" t="s">
        <v>12</v>
      </c>
      <c r="H375" s="10" t="s">
        <v>752</v>
      </c>
      <c r="I375" s="10" t="s">
        <v>14</v>
      </c>
    </row>
    <row r="376" spans="1:9">
      <c r="A376" t="s">
        <v>753</v>
      </c>
      <c r="B376" t="s">
        <v>3268</v>
      </c>
      <c r="C376" t="s">
        <v>29</v>
      </c>
      <c r="D376" s="2">
        <v>48000</v>
      </c>
      <c r="E376">
        <f>VLOOKUP(I376,Calc!$I$35:$J$39,2,FALSE)</f>
        <v>1.5</v>
      </c>
      <c r="G376" s="10" t="s">
        <v>30</v>
      </c>
      <c r="H376" s="10" t="s">
        <v>754</v>
      </c>
      <c r="I376" s="10" t="s">
        <v>47</v>
      </c>
    </row>
    <row r="377" spans="1:9">
      <c r="A377" t="s">
        <v>755</v>
      </c>
      <c r="B377" t="s">
        <v>3268</v>
      </c>
      <c r="C377" t="s">
        <v>29</v>
      </c>
      <c r="D377" s="2">
        <v>46000</v>
      </c>
      <c r="E377">
        <f>VLOOKUP(I377,Calc!$I$35:$J$39,2,FALSE)</f>
        <v>5</v>
      </c>
      <c r="G377" s="10" t="s">
        <v>30</v>
      </c>
      <c r="H377" s="10" t="s">
        <v>756</v>
      </c>
      <c r="I377" s="10" t="s">
        <v>14</v>
      </c>
    </row>
    <row r="378" spans="1:9" hidden="1">
      <c r="A378" t="s">
        <v>757</v>
      </c>
      <c r="B378" t="s">
        <v>77</v>
      </c>
      <c r="C378" t="s">
        <v>19</v>
      </c>
      <c r="D378" s="2">
        <v>15000</v>
      </c>
      <c r="E378">
        <f>VLOOKUP(I378,Calc!$I$35:$J$39,2,FALSE)</f>
        <v>2.5</v>
      </c>
      <c r="G378" s="10" t="s">
        <v>50</v>
      </c>
      <c r="H378" s="10" t="s">
        <v>758</v>
      </c>
      <c r="I378" s="10" t="s">
        <v>36</v>
      </c>
    </row>
    <row r="379" spans="1:9" hidden="1">
      <c r="A379" t="s">
        <v>759</v>
      </c>
      <c r="B379" t="s">
        <v>3267</v>
      </c>
      <c r="C379" t="s">
        <v>11</v>
      </c>
      <c r="D379" s="2">
        <v>11040.908346214392</v>
      </c>
      <c r="E379">
        <f>VLOOKUP(I379,Calc!$I$35:$J$39,2,FALSE)</f>
        <v>1.5</v>
      </c>
      <c r="G379" s="10" t="s">
        <v>12</v>
      </c>
      <c r="H379" s="10" t="s">
        <v>760</v>
      </c>
      <c r="I379" s="10" t="s">
        <v>47</v>
      </c>
    </row>
    <row r="380" spans="1:9" hidden="1">
      <c r="A380" t="s">
        <v>761</v>
      </c>
      <c r="B380" t="s">
        <v>3267</v>
      </c>
      <c r="C380" t="s">
        <v>19</v>
      </c>
      <c r="D380" s="2">
        <v>44132.991617883956</v>
      </c>
      <c r="E380">
        <f>VLOOKUP(I380,Calc!$I$35:$J$39,2,FALSE)</f>
        <v>2.5</v>
      </c>
      <c r="G380" s="10" t="s">
        <v>107</v>
      </c>
      <c r="H380" s="10" t="s">
        <v>762</v>
      </c>
      <c r="I380" s="10" t="s">
        <v>36</v>
      </c>
    </row>
    <row r="381" spans="1:9" hidden="1">
      <c r="A381" t="s">
        <v>763</v>
      </c>
      <c r="B381" t="s">
        <v>3267</v>
      </c>
      <c r="C381" t="s">
        <v>29</v>
      </c>
      <c r="D381" s="2">
        <v>47000</v>
      </c>
      <c r="E381">
        <f>VLOOKUP(I381,Calc!$I$35:$J$39,2,FALSE)</f>
        <v>2.5</v>
      </c>
      <c r="G381" s="10" t="s">
        <v>30</v>
      </c>
      <c r="H381" s="10" t="s">
        <v>764</v>
      </c>
      <c r="I381" s="10" t="s">
        <v>36</v>
      </c>
    </row>
    <row r="382" spans="1:9">
      <c r="A382" t="s">
        <v>765</v>
      </c>
      <c r="B382" t="s">
        <v>3268</v>
      </c>
      <c r="C382" t="s">
        <v>29</v>
      </c>
      <c r="D382" s="2">
        <v>44000</v>
      </c>
      <c r="E382">
        <f>VLOOKUP(I382,Calc!$I$35:$J$39,2,FALSE)</f>
        <v>2.5</v>
      </c>
      <c r="G382" s="10" t="s">
        <v>30</v>
      </c>
      <c r="H382" s="10" t="s">
        <v>766</v>
      </c>
      <c r="I382" s="10" t="s">
        <v>36</v>
      </c>
    </row>
    <row r="383" spans="1:9" hidden="1">
      <c r="A383" t="s">
        <v>767</v>
      </c>
      <c r="B383" t="s">
        <v>3269</v>
      </c>
      <c r="C383" t="s">
        <v>29</v>
      </c>
      <c r="D383" s="2">
        <v>55000</v>
      </c>
      <c r="E383">
        <f>VLOOKUP(I383,Calc!$I$35:$J$39,2,FALSE)</f>
        <v>5</v>
      </c>
      <c r="G383" s="10" t="s">
        <v>30</v>
      </c>
      <c r="H383" s="10" t="s">
        <v>56</v>
      </c>
      <c r="I383" s="10" t="s">
        <v>14</v>
      </c>
    </row>
    <row r="384" spans="1:9" hidden="1">
      <c r="A384" t="s">
        <v>768</v>
      </c>
      <c r="B384" t="s">
        <v>77</v>
      </c>
      <c r="C384" t="s">
        <v>42</v>
      </c>
      <c r="D384" s="2">
        <v>12000</v>
      </c>
      <c r="E384">
        <f>VLOOKUP(I384,Calc!$I$35:$J$39,2,FALSE)</f>
        <v>5</v>
      </c>
      <c r="G384" s="10" t="s">
        <v>78</v>
      </c>
      <c r="H384" s="10" t="s">
        <v>769</v>
      </c>
      <c r="I384" s="10" t="s">
        <v>14</v>
      </c>
    </row>
    <row r="385" spans="1:9" hidden="1">
      <c r="A385" t="s">
        <v>770</v>
      </c>
      <c r="B385" t="s">
        <v>3267</v>
      </c>
      <c r="C385" t="s">
        <v>29</v>
      </c>
      <c r="D385" s="2">
        <v>50000</v>
      </c>
      <c r="E385">
        <f>VLOOKUP(I385,Calc!$I$35:$J$39,2,FALSE)</f>
        <v>2.5</v>
      </c>
      <c r="G385" s="10" t="s">
        <v>30</v>
      </c>
      <c r="H385" s="10" t="s">
        <v>771</v>
      </c>
      <c r="I385" s="10" t="s">
        <v>36</v>
      </c>
    </row>
    <row r="386" spans="1:9" hidden="1">
      <c r="A386" t="s">
        <v>772</v>
      </c>
      <c r="B386" t="s">
        <v>3268</v>
      </c>
      <c r="C386" t="s">
        <v>11</v>
      </c>
      <c r="D386" s="2">
        <v>13355.937515581925</v>
      </c>
      <c r="E386">
        <f>VLOOKUP(I386,Calc!$I$35:$J$39,2,FALSE)</f>
        <v>1.5</v>
      </c>
      <c r="G386" s="10" t="s">
        <v>12</v>
      </c>
      <c r="H386" s="10" t="s">
        <v>320</v>
      </c>
      <c r="I386" s="10" t="s">
        <v>47</v>
      </c>
    </row>
    <row r="387" spans="1:9" hidden="1">
      <c r="A387" t="s">
        <v>773</v>
      </c>
      <c r="B387" t="s">
        <v>3265</v>
      </c>
      <c r="C387" t="s">
        <v>19</v>
      </c>
      <c r="D387" s="2">
        <v>99147</v>
      </c>
      <c r="E387">
        <f>VLOOKUP(I387,Calc!$I$35:$J$39,2,FALSE)</f>
        <v>5</v>
      </c>
      <c r="G387" s="10" t="s">
        <v>103</v>
      </c>
      <c r="H387" s="10" t="s">
        <v>774</v>
      </c>
      <c r="I387" s="10" t="s">
        <v>14</v>
      </c>
    </row>
    <row r="388" spans="1:9" hidden="1">
      <c r="A388" t="s">
        <v>775</v>
      </c>
      <c r="B388" t="s">
        <v>3267</v>
      </c>
      <c r="C388" t="s">
        <v>29</v>
      </c>
      <c r="D388" s="2">
        <v>45880</v>
      </c>
      <c r="E388">
        <f>VLOOKUP(I388,Calc!$I$35:$J$39,2,FALSE)</f>
        <v>8</v>
      </c>
      <c r="G388" s="10" t="s">
        <v>30</v>
      </c>
      <c r="H388" s="10" t="s">
        <v>776</v>
      </c>
      <c r="I388" s="10" t="s">
        <v>22</v>
      </c>
    </row>
    <row r="389" spans="1:9" hidden="1">
      <c r="A389" t="s">
        <v>777</v>
      </c>
      <c r="B389" t="s">
        <v>3267</v>
      </c>
      <c r="C389" t="s">
        <v>29</v>
      </c>
      <c r="D389" s="2">
        <v>70000</v>
      </c>
      <c r="E389">
        <f>VLOOKUP(I389,Calc!$I$35:$J$39,2,FALSE)</f>
        <v>5</v>
      </c>
      <c r="G389" s="10" t="s">
        <v>30</v>
      </c>
      <c r="H389" s="10" t="s">
        <v>778</v>
      </c>
      <c r="I389" s="10" t="s">
        <v>14</v>
      </c>
    </row>
    <row r="390" spans="1:9">
      <c r="A390" t="s">
        <v>779</v>
      </c>
      <c r="B390" t="s">
        <v>3268</v>
      </c>
      <c r="C390" t="s">
        <v>29</v>
      </c>
      <c r="D390" s="2">
        <v>100000</v>
      </c>
      <c r="E390">
        <f>VLOOKUP(I390,Calc!$I$35:$J$39,2,FALSE)</f>
        <v>8</v>
      </c>
      <c r="G390" s="10" t="s">
        <v>30</v>
      </c>
      <c r="H390" s="10" t="s">
        <v>780</v>
      </c>
      <c r="I390" s="10" t="s">
        <v>22</v>
      </c>
    </row>
    <row r="391" spans="1:9" hidden="1">
      <c r="A391" t="s">
        <v>781</v>
      </c>
      <c r="B391" t="s">
        <v>3268</v>
      </c>
      <c r="C391" t="s">
        <v>11</v>
      </c>
      <c r="D391" s="2">
        <v>17598.017290051986</v>
      </c>
      <c r="E391">
        <f>VLOOKUP(I391,Calc!$I$35:$J$39,2,FALSE)</f>
        <v>2.5</v>
      </c>
      <c r="G391" s="10" t="s">
        <v>782</v>
      </c>
      <c r="H391" s="10" t="s">
        <v>783</v>
      </c>
      <c r="I391" s="10" t="s">
        <v>36</v>
      </c>
    </row>
    <row r="392" spans="1:9" hidden="1">
      <c r="A392" t="s">
        <v>784</v>
      </c>
      <c r="B392" t="s">
        <v>3266</v>
      </c>
      <c r="C392" t="s">
        <v>29</v>
      </c>
      <c r="D392" s="2">
        <v>85000</v>
      </c>
      <c r="E392">
        <f>VLOOKUP(I392,Calc!$I$35:$J$39,2,FALSE)</f>
        <v>2.5</v>
      </c>
      <c r="G392" s="10" t="s">
        <v>30</v>
      </c>
      <c r="H392" s="10" t="s">
        <v>785</v>
      </c>
      <c r="I392" s="10" t="s">
        <v>36</v>
      </c>
    </row>
    <row r="393" spans="1:9" hidden="1">
      <c r="A393" t="s">
        <v>786</v>
      </c>
      <c r="B393" t="s">
        <v>3267</v>
      </c>
      <c r="C393" t="s">
        <v>29</v>
      </c>
      <c r="D393" s="2">
        <v>47000</v>
      </c>
      <c r="E393">
        <f>VLOOKUP(I393,Calc!$I$35:$J$39,2,FALSE)</f>
        <v>5</v>
      </c>
      <c r="G393" s="10" t="s">
        <v>30</v>
      </c>
      <c r="H393" s="10" t="s">
        <v>787</v>
      </c>
      <c r="I393" s="10" t="s">
        <v>14</v>
      </c>
    </row>
    <row r="394" spans="1:9" hidden="1">
      <c r="A394" t="s">
        <v>788</v>
      </c>
      <c r="B394" t="s">
        <v>3267</v>
      </c>
      <c r="C394" t="s">
        <v>29</v>
      </c>
      <c r="D394" s="2">
        <v>40000</v>
      </c>
      <c r="E394">
        <f>VLOOKUP(I394,Calc!$I$35:$J$39,2,FALSE)</f>
        <v>2.5</v>
      </c>
      <c r="G394" s="10" t="s">
        <v>30</v>
      </c>
      <c r="H394" s="10" t="s">
        <v>789</v>
      </c>
      <c r="I394" s="10" t="s">
        <v>36</v>
      </c>
    </row>
    <row r="395" spans="1:9" hidden="1">
      <c r="A395" t="s">
        <v>790</v>
      </c>
      <c r="B395" t="s">
        <v>3249</v>
      </c>
      <c r="C395" t="s">
        <v>11</v>
      </c>
      <c r="D395" s="2">
        <v>30000</v>
      </c>
      <c r="E395">
        <f>VLOOKUP(I395,Calc!$I$35:$J$39,2,FALSE)</f>
        <v>2.5</v>
      </c>
      <c r="G395" s="10" t="s">
        <v>12</v>
      </c>
      <c r="H395" s="10" t="s">
        <v>734</v>
      </c>
      <c r="I395" s="10" t="s">
        <v>36</v>
      </c>
    </row>
    <row r="396" spans="1:9" hidden="1">
      <c r="A396" t="s">
        <v>791</v>
      </c>
      <c r="B396" t="s">
        <v>3263</v>
      </c>
      <c r="C396" t="s">
        <v>29</v>
      </c>
      <c r="D396" s="2">
        <v>70802.029658183528</v>
      </c>
      <c r="E396">
        <f>VLOOKUP(I396,Calc!$I$35:$J$39,2,FALSE)</f>
        <v>5</v>
      </c>
      <c r="G396" s="10" t="s">
        <v>128</v>
      </c>
      <c r="H396" s="10" t="s">
        <v>18</v>
      </c>
      <c r="I396" s="10" t="s">
        <v>14</v>
      </c>
    </row>
    <row r="397" spans="1:9">
      <c r="A397" t="s">
        <v>792</v>
      </c>
      <c r="B397" t="s">
        <v>3268</v>
      </c>
      <c r="C397" t="s">
        <v>29</v>
      </c>
      <c r="D397" s="2">
        <v>34000</v>
      </c>
      <c r="E397">
        <f>VLOOKUP(I397,Calc!$I$35:$J$39,2,FALSE)</f>
        <v>5</v>
      </c>
      <c r="G397" s="10" t="s">
        <v>30</v>
      </c>
      <c r="H397" s="10" t="s">
        <v>793</v>
      </c>
      <c r="I397" s="10" t="s">
        <v>14</v>
      </c>
    </row>
    <row r="398" spans="1:9">
      <c r="A398" t="s">
        <v>794</v>
      </c>
      <c r="B398" t="s">
        <v>3268</v>
      </c>
      <c r="C398" t="s">
        <v>29</v>
      </c>
      <c r="D398" s="2">
        <v>52000</v>
      </c>
      <c r="E398">
        <f>VLOOKUP(I398,Calc!$I$35:$J$39,2,FALSE)</f>
        <v>5</v>
      </c>
      <c r="G398" s="10" t="s">
        <v>30</v>
      </c>
      <c r="H398" s="10" t="s">
        <v>233</v>
      </c>
      <c r="I398" s="10" t="s">
        <v>14</v>
      </c>
    </row>
    <row r="399" spans="1:9" hidden="1">
      <c r="A399" t="s">
        <v>795</v>
      </c>
      <c r="B399" t="s">
        <v>3266</v>
      </c>
      <c r="C399" t="s">
        <v>11</v>
      </c>
      <c r="D399" s="2">
        <v>5342.3750062327708</v>
      </c>
      <c r="E399">
        <f>VLOOKUP(I399,Calc!$I$35:$J$39,2,FALSE)</f>
        <v>1.5</v>
      </c>
      <c r="G399" s="10" t="s">
        <v>12</v>
      </c>
      <c r="H399" s="10" t="s">
        <v>796</v>
      </c>
      <c r="I399" s="10" t="s">
        <v>47</v>
      </c>
    </row>
    <row r="400" spans="1:9" hidden="1">
      <c r="A400" t="s">
        <v>797</v>
      </c>
      <c r="B400" t="s">
        <v>3268</v>
      </c>
      <c r="C400" t="s">
        <v>11</v>
      </c>
      <c r="D400" s="2">
        <v>7123.1666749770275</v>
      </c>
      <c r="E400">
        <f>VLOOKUP(I400,Calc!$I$35:$J$39,2,FALSE)</f>
        <v>5</v>
      </c>
      <c r="G400" s="10" t="s">
        <v>12</v>
      </c>
      <c r="H400" s="10" t="s">
        <v>10</v>
      </c>
      <c r="I400" s="10" t="s">
        <v>14</v>
      </c>
    </row>
    <row r="401" spans="1:9" hidden="1">
      <c r="A401" t="s">
        <v>798</v>
      </c>
      <c r="B401" t="s">
        <v>3267</v>
      </c>
      <c r="C401" t="s">
        <v>48</v>
      </c>
      <c r="D401" s="2">
        <v>63586</v>
      </c>
      <c r="E401">
        <f>VLOOKUP(I401,Calc!$I$35:$J$39,2,FALSE)</f>
        <v>2.5</v>
      </c>
      <c r="G401" s="10" t="s">
        <v>191</v>
      </c>
      <c r="H401" s="10" t="s">
        <v>799</v>
      </c>
      <c r="I401" s="10" t="s">
        <v>36</v>
      </c>
    </row>
    <row r="402" spans="1:9" hidden="1">
      <c r="A402" t="s">
        <v>800</v>
      </c>
      <c r="B402" t="s">
        <v>3269</v>
      </c>
      <c r="C402" t="s">
        <v>19</v>
      </c>
      <c r="D402" s="2">
        <v>55166.239522354947</v>
      </c>
      <c r="E402">
        <f>VLOOKUP(I402,Calc!$I$35:$J$39,2,FALSE)</f>
        <v>5</v>
      </c>
      <c r="G402" s="10" t="s">
        <v>107</v>
      </c>
      <c r="H402" s="10" t="s">
        <v>801</v>
      </c>
      <c r="I402" s="10" t="s">
        <v>14</v>
      </c>
    </row>
    <row r="403" spans="1:9">
      <c r="A403" t="s">
        <v>802</v>
      </c>
      <c r="B403" t="s">
        <v>3268</v>
      </c>
      <c r="C403" t="s">
        <v>29</v>
      </c>
      <c r="D403" s="2">
        <v>60000</v>
      </c>
      <c r="E403">
        <f>VLOOKUP(I403,Calc!$I$35:$J$39,2,FALSE)</f>
        <v>5</v>
      </c>
      <c r="G403" s="10" t="s">
        <v>30</v>
      </c>
      <c r="H403" s="10" t="s">
        <v>803</v>
      </c>
      <c r="I403" s="10" t="s">
        <v>14</v>
      </c>
    </row>
    <row r="404" spans="1:9" hidden="1">
      <c r="A404" t="s">
        <v>804</v>
      </c>
      <c r="B404" t="s">
        <v>3267</v>
      </c>
      <c r="C404" t="s">
        <v>19</v>
      </c>
      <c r="D404" s="2">
        <v>19200</v>
      </c>
      <c r="E404">
        <f>VLOOKUP(I404,Calc!$I$35:$J$39,2,FALSE)</f>
        <v>8</v>
      </c>
      <c r="G404" s="10" t="s">
        <v>805</v>
      </c>
      <c r="H404" s="10" t="s">
        <v>806</v>
      </c>
      <c r="I404" s="10" t="s">
        <v>22</v>
      </c>
    </row>
    <row r="405" spans="1:9" hidden="1">
      <c r="A405" t="s">
        <v>807</v>
      </c>
      <c r="B405" t="s">
        <v>3268</v>
      </c>
      <c r="C405" t="s">
        <v>3248</v>
      </c>
      <c r="D405" s="2">
        <v>28109.627547434993</v>
      </c>
      <c r="E405">
        <f>VLOOKUP(I405,Calc!$I$35:$J$39,2,FALSE)</f>
        <v>8</v>
      </c>
      <c r="G405" s="10" t="s">
        <v>808</v>
      </c>
      <c r="H405" s="10" t="s">
        <v>809</v>
      </c>
      <c r="I405" s="10" t="s">
        <v>22</v>
      </c>
    </row>
    <row r="406" spans="1:9">
      <c r="A406" t="s">
        <v>810</v>
      </c>
      <c r="B406" t="s">
        <v>3268</v>
      </c>
      <c r="C406" t="s">
        <v>29</v>
      </c>
      <c r="D406" s="2">
        <v>56000</v>
      </c>
      <c r="E406">
        <f>VLOOKUP(I406,Calc!$I$35:$J$39,2,FALSE)</f>
        <v>5</v>
      </c>
      <c r="G406" s="10" t="s">
        <v>30</v>
      </c>
      <c r="H406" s="10" t="s">
        <v>811</v>
      </c>
      <c r="I406" s="10" t="s">
        <v>14</v>
      </c>
    </row>
    <row r="407" spans="1:9" hidden="1">
      <c r="A407" t="s">
        <v>812</v>
      </c>
      <c r="B407" t="s">
        <v>3269</v>
      </c>
      <c r="C407" t="s">
        <v>29</v>
      </c>
      <c r="D407" s="2">
        <v>52000</v>
      </c>
      <c r="E407">
        <f>VLOOKUP(I407,Calc!$I$35:$J$39,2,FALSE)</f>
        <v>5</v>
      </c>
      <c r="G407" s="10" t="s">
        <v>30</v>
      </c>
      <c r="H407" s="10" t="s">
        <v>813</v>
      </c>
      <c r="I407" s="10" t="s">
        <v>14</v>
      </c>
    </row>
    <row r="408" spans="1:9">
      <c r="A408" t="s">
        <v>814</v>
      </c>
      <c r="B408" t="s">
        <v>3268</v>
      </c>
      <c r="C408" t="s">
        <v>29</v>
      </c>
      <c r="D408" s="2">
        <v>51613</v>
      </c>
      <c r="E408">
        <f>VLOOKUP(I408,Calc!$I$35:$J$39,2,FALSE)</f>
        <v>8</v>
      </c>
      <c r="G408" s="10" t="s">
        <v>30</v>
      </c>
      <c r="H408" s="10" t="s">
        <v>815</v>
      </c>
      <c r="I408" s="10" t="s">
        <v>22</v>
      </c>
    </row>
    <row r="409" spans="1:9" hidden="1">
      <c r="A409" t="s">
        <v>816</v>
      </c>
      <c r="B409" t="s">
        <v>3268</v>
      </c>
      <c r="C409" t="s">
        <v>19</v>
      </c>
      <c r="D409" s="2">
        <v>35000</v>
      </c>
      <c r="E409">
        <f>VLOOKUP(I409,Calc!$I$35:$J$39,2,FALSE)</f>
        <v>5</v>
      </c>
      <c r="G409" s="10" t="s">
        <v>103</v>
      </c>
      <c r="H409" s="10" t="s">
        <v>817</v>
      </c>
      <c r="I409" s="10" t="s">
        <v>14</v>
      </c>
    </row>
    <row r="410" spans="1:9" hidden="1">
      <c r="A410" t="s">
        <v>818</v>
      </c>
      <c r="B410" t="s">
        <v>3267</v>
      </c>
      <c r="C410" t="s">
        <v>29</v>
      </c>
      <c r="D410" s="2">
        <v>56000</v>
      </c>
      <c r="E410">
        <f>VLOOKUP(I410,Calc!$I$35:$J$39,2,FALSE)</f>
        <v>8</v>
      </c>
      <c r="G410" s="10" t="s">
        <v>30</v>
      </c>
      <c r="H410" s="10" t="s">
        <v>819</v>
      </c>
      <c r="I410" s="10" t="s">
        <v>22</v>
      </c>
    </row>
    <row r="411" spans="1:9" hidden="1">
      <c r="A411" t="s">
        <v>820</v>
      </c>
      <c r="B411" t="s">
        <v>3264</v>
      </c>
      <c r="C411" t="s">
        <v>29</v>
      </c>
      <c r="D411" s="2">
        <v>115000</v>
      </c>
      <c r="E411">
        <f>VLOOKUP(I411,Calc!$I$35:$J$39,2,FALSE)</f>
        <v>2.5</v>
      </c>
      <c r="G411" s="10" t="s">
        <v>30</v>
      </c>
      <c r="H411" s="10" t="s">
        <v>90</v>
      </c>
      <c r="I411" s="10" t="s">
        <v>36</v>
      </c>
    </row>
    <row r="412" spans="1:9" hidden="1">
      <c r="A412" t="s">
        <v>821</v>
      </c>
      <c r="B412" t="s">
        <v>3267</v>
      </c>
      <c r="C412" t="s">
        <v>19</v>
      </c>
      <c r="D412" s="2">
        <v>104027.76595644075</v>
      </c>
      <c r="E412">
        <f>VLOOKUP(I412,Calc!$I$35:$J$39,2,FALSE)</f>
        <v>1.5</v>
      </c>
      <c r="G412" s="10" t="s">
        <v>107</v>
      </c>
      <c r="H412" s="10" t="s">
        <v>822</v>
      </c>
      <c r="I412" s="10" t="s">
        <v>47</v>
      </c>
    </row>
    <row r="413" spans="1:9" hidden="1">
      <c r="A413" t="s">
        <v>823</v>
      </c>
      <c r="B413" t="s">
        <v>3264</v>
      </c>
      <c r="C413" t="s">
        <v>11</v>
      </c>
      <c r="D413" s="2">
        <v>3561.5833374885137</v>
      </c>
      <c r="E413">
        <f>VLOOKUP(I413,Calc!$I$35:$J$39,2,FALSE)</f>
        <v>1.5</v>
      </c>
      <c r="G413" s="10" t="s">
        <v>12</v>
      </c>
      <c r="H413" s="10" t="s">
        <v>90</v>
      </c>
      <c r="I413" s="10" t="s">
        <v>47</v>
      </c>
    </row>
    <row r="414" spans="1:9" hidden="1">
      <c r="A414" t="s">
        <v>824</v>
      </c>
      <c r="B414" t="s">
        <v>3249</v>
      </c>
      <c r="C414" t="s">
        <v>29</v>
      </c>
      <c r="D414" s="2">
        <v>72000</v>
      </c>
      <c r="E414">
        <f>VLOOKUP(I414,Calc!$I$35:$J$39,2,FALSE)</f>
        <v>5</v>
      </c>
      <c r="G414" s="10" t="s">
        <v>30</v>
      </c>
      <c r="H414" s="10" t="s">
        <v>825</v>
      </c>
      <c r="I414" s="10" t="s">
        <v>14</v>
      </c>
    </row>
    <row r="415" spans="1:9">
      <c r="A415" t="s">
        <v>826</v>
      </c>
      <c r="B415" t="s">
        <v>3268</v>
      </c>
      <c r="C415" t="s">
        <v>29</v>
      </c>
      <c r="D415" s="2">
        <v>90000</v>
      </c>
      <c r="E415">
        <f>VLOOKUP(I415,Calc!$I$35:$J$39,2,FALSE)</f>
        <v>8</v>
      </c>
      <c r="G415" s="10" t="s">
        <v>30</v>
      </c>
      <c r="H415" s="10" t="s">
        <v>31</v>
      </c>
      <c r="I415" s="10" t="s">
        <v>22</v>
      </c>
    </row>
    <row r="416" spans="1:9" hidden="1">
      <c r="A416" t="s">
        <v>827</v>
      </c>
      <c r="B416" t="s">
        <v>3269</v>
      </c>
      <c r="C416" t="s">
        <v>19</v>
      </c>
      <c r="D416" s="2">
        <v>8500</v>
      </c>
      <c r="E416">
        <f>VLOOKUP(I416,Calc!$I$35:$J$39,2,FALSE)</f>
        <v>2.5</v>
      </c>
      <c r="G416" s="10" t="s">
        <v>805</v>
      </c>
      <c r="H416" s="10" t="s">
        <v>270</v>
      </c>
      <c r="I416" s="10" t="s">
        <v>36</v>
      </c>
    </row>
    <row r="417" spans="1:9" hidden="1">
      <c r="A417" t="s">
        <v>828</v>
      </c>
      <c r="B417" t="s">
        <v>3268</v>
      </c>
      <c r="C417" t="s">
        <v>48</v>
      </c>
      <c r="D417" s="2">
        <v>12000</v>
      </c>
      <c r="E417">
        <f>VLOOKUP(I417,Calc!$I$35:$J$39,2,FALSE)</f>
        <v>2.5</v>
      </c>
      <c r="G417" s="10" t="s">
        <v>829</v>
      </c>
      <c r="H417" s="10" t="s">
        <v>830</v>
      </c>
      <c r="I417" s="10" t="s">
        <v>36</v>
      </c>
    </row>
    <row r="418" spans="1:9" hidden="1">
      <c r="A418" t="s">
        <v>831</v>
      </c>
      <c r="B418" t="s">
        <v>3264</v>
      </c>
      <c r="C418" t="s">
        <v>29</v>
      </c>
      <c r="D418" s="2">
        <v>250000</v>
      </c>
      <c r="E418">
        <f>VLOOKUP(I418,Calc!$I$35:$J$39,2,FALSE)</f>
        <v>8</v>
      </c>
      <c r="G418" s="10" t="s">
        <v>30</v>
      </c>
      <c r="H418" s="10" t="s">
        <v>124</v>
      </c>
      <c r="I418" s="10" t="s">
        <v>22</v>
      </c>
    </row>
    <row r="419" spans="1:9" hidden="1">
      <c r="A419" t="s">
        <v>832</v>
      </c>
      <c r="B419" t="s">
        <v>3268</v>
      </c>
      <c r="C419" t="s">
        <v>19</v>
      </c>
      <c r="D419" s="2">
        <v>89944.280280605832</v>
      </c>
      <c r="E419">
        <f>VLOOKUP(I419,Calc!$I$35:$J$39,2,FALSE)</f>
        <v>8</v>
      </c>
      <c r="G419" s="10" t="s">
        <v>833</v>
      </c>
      <c r="H419" s="10" t="s">
        <v>834</v>
      </c>
      <c r="I419" s="10" t="s">
        <v>22</v>
      </c>
    </row>
    <row r="420" spans="1:9" hidden="1">
      <c r="A420" t="s">
        <v>835</v>
      </c>
      <c r="B420" t="s">
        <v>3267</v>
      </c>
      <c r="C420" t="s">
        <v>11</v>
      </c>
      <c r="D420" s="2">
        <v>4273.9000049862161</v>
      </c>
      <c r="E420">
        <f>VLOOKUP(I420,Calc!$I$35:$J$39,2,FALSE)</f>
        <v>8</v>
      </c>
      <c r="G420" s="10" t="s">
        <v>12</v>
      </c>
      <c r="H420" s="10" t="s">
        <v>836</v>
      </c>
      <c r="I420" s="10" t="s">
        <v>22</v>
      </c>
    </row>
    <row r="421" spans="1:9" hidden="1">
      <c r="A421" t="s">
        <v>837</v>
      </c>
      <c r="B421" t="s">
        <v>3267</v>
      </c>
      <c r="C421" t="s">
        <v>29</v>
      </c>
      <c r="D421" s="2">
        <v>30000</v>
      </c>
      <c r="E421">
        <f>VLOOKUP(I421,Calc!$I$35:$J$39,2,FALSE)</f>
        <v>2.5</v>
      </c>
      <c r="G421" s="10" t="s">
        <v>30</v>
      </c>
      <c r="H421" s="10" t="s">
        <v>838</v>
      </c>
      <c r="I421" s="10" t="s">
        <v>36</v>
      </c>
    </row>
    <row r="422" spans="1:9" hidden="1">
      <c r="A422" t="s">
        <v>839</v>
      </c>
      <c r="B422" t="s">
        <v>77</v>
      </c>
      <c r="C422" t="s">
        <v>19</v>
      </c>
      <c r="D422" s="2">
        <v>30000</v>
      </c>
      <c r="E422">
        <f>VLOOKUP(I422,Calc!$I$35:$J$39,2,FALSE)</f>
        <v>1.5</v>
      </c>
      <c r="G422" s="10" t="s">
        <v>805</v>
      </c>
      <c r="H422" s="10" t="s">
        <v>840</v>
      </c>
      <c r="I422" s="10" t="s">
        <v>47</v>
      </c>
    </row>
    <row r="423" spans="1:9" hidden="1">
      <c r="A423" t="s">
        <v>841</v>
      </c>
      <c r="B423" t="s">
        <v>3266</v>
      </c>
      <c r="C423" t="s">
        <v>29</v>
      </c>
      <c r="D423" s="2">
        <v>24000</v>
      </c>
      <c r="E423">
        <f>VLOOKUP(I423,Calc!$I$35:$J$39,2,FALSE)</f>
        <v>1.5</v>
      </c>
      <c r="G423" s="10" t="s">
        <v>30</v>
      </c>
      <c r="H423" s="10" t="s">
        <v>842</v>
      </c>
      <c r="I423" s="10" t="s">
        <v>47</v>
      </c>
    </row>
    <row r="424" spans="1:9" hidden="1">
      <c r="A424" t="s">
        <v>843</v>
      </c>
      <c r="B424" t="s">
        <v>3267</v>
      </c>
      <c r="C424" t="s">
        <v>29</v>
      </c>
      <c r="D424" s="2">
        <v>60000</v>
      </c>
      <c r="E424">
        <f>VLOOKUP(I424,Calc!$I$35:$J$39,2,FALSE)</f>
        <v>5</v>
      </c>
      <c r="G424" s="10" t="s">
        <v>30</v>
      </c>
      <c r="H424" s="10" t="s">
        <v>844</v>
      </c>
      <c r="I424" s="10" t="s">
        <v>14</v>
      </c>
    </row>
    <row r="425" spans="1:9">
      <c r="A425" t="s">
        <v>845</v>
      </c>
      <c r="B425" t="s">
        <v>3268</v>
      </c>
      <c r="C425" t="s">
        <v>29</v>
      </c>
      <c r="D425" s="2">
        <v>76600</v>
      </c>
      <c r="E425">
        <f>VLOOKUP(I425,Calc!$I$35:$J$39,2,FALSE)</f>
        <v>2.5</v>
      </c>
      <c r="G425" s="10" t="s">
        <v>30</v>
      </c>
      <c r="H425" s="10" t="s">
        <v>10</v>
      </c>
      <c r="I425" s="10" t="s">
        <v>36</v>
      </c>
    </row>
    <row r="426" spans="1:9" hidden="1">
      <c r="A426" t="s">
        <v>846</v>
      </c>
      <c r="B426" t="s">
        <v>3263</v>
      </c>
      <c r="C426" t="s">
        <v>19</v>
      </c>
      <c r="D426" s="2">
        <v>102451.58768437347</v>
      </c>
      <c r="E426">
        <f>VLOOKUP(I426,Calc!$I$35:$J$39,2,FALSE)</f>
        <v>2.5</v>
      </c>
      <c r="G426" s="10" t="s">
        <v>107</v>
      </c>
      <c r="H426" s="10" t="s">
        <v>276</v>
      </c>
      <c r="I426" s="10" t="s">
        <v>36</v>
      </c>
    </row>
    <row r="427" spans="1:9" hidden="1">
      <c r="A427" t="s">
        <v>847</v>
      </c>
      <c r="B427" t="s">
        <v>3266</v>
      </c>
      <c r="C427" t="s">
        <v>3248</v>
      </c>
      <c r="D427" s="2">
        <v>6629</v>
      </c>
      <c r="E427">
        <f>VLOOKUP(I427,Calc!$I$35:$J$39,2,FALSE)</f>
        <v>8</v>
      </c>
      <c r="G427" s="10" t="s">
        <v>848</v>
      </c>
      <c r="H427" s="10" t="s">
        <v>38</v>
      </c>
      <c r="I427" s="10" t="s">
        <v>22</v>
      </c>
    </row>
    <row r="428" spans="1:9">
      <c r="A428" t="s">
        <v>849</v>
      </c>
      <c r="B428" t="s">
        <v>3268</v>
      </c>
      <c r="C428" t="s">
        <v>29</v>
      </c>
      <c r="D428" s="2">
        <v>90000</v>
      </c>
      <c r="E428">
        <f>VLOOKUP(I428,Calc!$I$35:$J$39,2,FALSE)</f>
        <v>1.5</v>
      </c>
      <c r="G428" s="10" t="s">
        <v>30</v>
      </c>
      <c r="H428" s="10" t="s">
        <v>850</v>
      </c>
      <c r="I428" s="10" t="s">
        <v>47</v>
      </c>
    </row>
    <row r="429" spans="1:9" hidden="1">
      <c r="A429" t="s">
        <v>851</v>
      </c>
      <c r="B429" t="s">
        <v>3268</v>
      </c>
      <c r="C429" t="s">
        <v>3248</v>
      </c>
      <c r="D429" s="2">
        <v>8500</v>
      </c>
      <c r="E429">
        <f>VLOOKUP(I429,Calc!$I$35:$J$39,2,FALSE)</f>
        <v>1.5</v>
      </c>
      <c r="G429" s="10" t="s">
        <v>280</v>
      </c>
      <c r="H429" s="10" t="s">
        <v>852</v>
      </c>
      <c r="I429" s="10" t="s">
        <v>47</v>
      </c>
    </row>
    <row r="430" spans="1:9">
      <c r="A430" t="s">
        <v>853</v>
      </c>
      <c r="B430" t="s">
        <v>3268</v>
      </c>
      <c r="C430" t="s">
        <v>29</v>
      </c>
      <c r="D430" s="2">
        <v>75000</v>
      </c>
      <c r="E430">
        <f>VLOOKUP(I430,Calc!$I$35:$J$39,2,FALSE)</f>
        <v>5</v>
      </c>
      <c r="G430" s="10" t="s">
        <v>30</v>
      </c>
      <c r="H430" s="10" t="s">
        <v>854</v>
      </c>
      <c r="I430" s="10" t="s">
        <v>14</v>
      </c>
    </row>
    <row r="431" spans="1:9">
      <c r="A431" t="s">
        <v>855</v>
      </c>
      <c r="B431" t="s">
        <v>3268</v>
      </c>
      <c r="C431" t="s">
        <v>29</v>
      </c>
      <c r="D431" s="2">
        <v>72000</v>
      </c>
      <c r="E431">
        <f>VLOOKUP(I431,Calc!$I$35:$J$39,2,FALSE)</f>
        <v>2.5</v>
      </c>
      <c r="G431" s="10" t="s">
        <v>30</v>
      </c>
      <c r="H431" s="10" t="s">
        <v>856</v>
      </c>
      <c r="I431" s="10" t="s">
        <v>36</v>
      </c>
    </row>
    <row r="432" spans="1:9">
      <c r="A432" t="s">
        <v>857</v>
      </c>
      <c r="B432" t="s">
        <v>3268</v>
      </c>
      <c r="C432" t="s">
        <v>29</v>
      </c>
      <c r="D432" s="2">
        <v>65000</v>
      </c>
      <c r="E432">
        <f>VLOOKUP(I432,Calc!$I$35:$J$39,2,FALSE)</f>
        <v>5</v>
      </c>
      <c r="G432" s="10" t="s">
        <v>30</v>
      </c>
      <c r="H432" s="10" t="s">
        <v>858</v>
      </c>
      <c r="I432" s="10" t="s">
        <v>14</v>
      </c>
    </row>
    <row r="433" spans="1:9" hidden="1">
      <c r="A433" t="s">
        <v>859</v>
      </c>
      <c r="B433" t="s">
        <v>3249</v>
      </c>
      <c r="C433" t="s">
        <v>29</v>
      </c>
      <c r="D433" s="2">
        <v>120000</v>
      </c>
      <c r="E433">
        <f>VLOOKUP(I433,Calc!$I$35:$J$39,2,FALSE)</f>
        <v>1.5</v>
      </c>
      <c r="G433" s="10" t="s">
        <v>30</v>
      </c>
      <c r="H433" s="10" t="s">
        <v>211</v>
      </c>
      <c r="I433" s="10" t="s">
        <v>47</v>
      </c>
    </row>
    <row r="434" spans="1:9" hidden="1">
      <c r="A434" t="s">
        <v>860</v>
      </c>
      <c r="B434" t="s">
        <v>3269</v>
      </c>
      <c r="C434" t="s">
        <v>11</v>
      </c>
      <c r="D434" s="2">
        <v>71231.666749770273</v>
      </c>
      <c r="E434">
        <f>VLOOKUP(I434,Calc!$I$35:$J$39,2,FALSE)</f>
        <v>8</v>
      </c>
      <c r="G434" s="10" t="s">
        <v>12</v>
      </c>
      <c r="H434" s="10" t="s">
        <v>861</v>
      </c>
      <c r="I434" s="10" t="s">
        <v>22</v>
      </c>
    </row>
    <row r="435" spans="1:9" hidden="1">
      <c r="A435" t="s">
        <v>862</v>
      </c>
      <c r="B435" t="s">
        <v>3267</v>
      </c>
      <c r="C435" t="s">
        <v>11</v>
      </c>
      <c r="D435" s="2">
        <v>5342.3750062327708</v>
      </c>
      <c r="E435">
        <f>VLOOKUP(I435,Calc!$I$35:$J$39,2,FALSE)</f>
        <v>5</v>
      </c>
      <c r="G435" s="10" t="s">
        <v>12</v>
      </c>
      <c r="H435" s="10" t="s">
        <v>863</v>
      </c>
      <c r="I435" s="10" t="s">
        <v>14</v>
      </c>
    </row>
    <row r="436" spans="1:9" hidden="1">
      <c r="A436" t="s">
        <v>864</v>
      </c>
      <c r="B436" t="s">
        <v>3267</v>
      </c>
      <c r="C436" t="s">
        <v>11</v>
      </c>
      <c r="D436" s="2">
        <v>19588.708356186824</v>
      </c>
      <c r="E436">
        <f>VLOOKUP(I436,Calc!$I$35:$J$39,2,FALSE)</f>
        <v>5</v>
      </c>
      <c r="G436" s="10" t="s">
        <v>12</v>
      </c>
      <c r="H436" s="10" t="s">
        <v>865</v>
      </c>
      <c r="I436" s="10" t="s">
        <v>14</v>
      </c>
    </row>
    <row r="437" spans="1:9">
      <c r="A437" t="s">
        <v>866</v>
      </c>
      <c r="B437" t="s">
        <v>3268</v>
      </c>
      <c r="C437" t="s">
        <v>29</v>
      </c>
      <c r="D437" s="2">
        <v>80000</v>
      </c>
      <c r="E437">
        <f>VLOOKUP(I437,Calc!$I$35:$J$39,2,FALSE)</f>
        <v>5</v>
      </c>
      <c r="G437" s="10" t="s">
        <v>30</v>
      </c>
      <c r="H437" s="10" t="s">
        <v>867</v>
      </c>
      <c r="I437" s="10" t="s">
        <v>14</v>
      </c>
    </row>
    <row r="438" spans="1:9" hidden="1">
      <c r="A438" t="s">
        <v>868</v>
      </c>
      <c r="B438" t="s">
        <v>3267</v>
      </c>
      <c r="C438" t="s">
        <v>11</v>
      </c>
      <c r="D438" s="2">
        <v>53423.750062327701</v>
      </c>
      <c r="E438">
        <f>VLOOKUP(I438,Calc!$I$35:$J$39,2,FALSE)</f>
        <v>5</v>
      </c>
      <c r="G438" s="10" t="s">
        <v>12</v>
      </c>
      <c r="H438" s="10" t="s">
        <v>869</v>
      </c>
      <c r="I438" s="10" t="s">
        <v>14</v>
      </c>
    </row>
    <row r="439" spans="1:9" hidden="1">
      <c r="A439" t="s">
        <v>870</v>
      </c>
      <c r="B439" t="s">
        <v>3263</v>
      </c>
      <c r="C439" t="s">
        <v>29</v>
      </c>
      <c r="D439" s="2">
        <v>108169.76753333595</v>
      </c>
      <c r="E439">
        <f>VLOOKUP(I439,Calc!$I$35:$J$39,2,FALSE)</f>
        <v>2.5</v>
      </c>
      <c r="G439" s="10" t="s">
        <v>128</v>
      </c>
      <c r="H439" s="10" t="s">
        <v>871</v>
      </c>
      <c r="I439" s="10" t="s">
        <v>36</v>
      </c>
    </row>
    <row r="440" spans="1:9" hidden="1">
      <c r="A440" t="s">
        <v>872</v>
      </c>
      <c r="B440" t="s">
        <v>3267</v>
      </c>
      <c r="C440" t="s">
        <v>29</v>
      </c>
      <c r="D440" s="2">
        <v>51000</v>
      </c>
      <c r="E440">
        <f>VLOOKUP(I440,Calc!$I$35:$J$39,2,FALSE)</f>
        <v>2.5</v>
      </c>
      <c r="G440" s="10" t="s">
        <v>30</v>
      </c>
      <c r="H440" s="10" t="s">
        <v>873</v>
      </c>
      <c r="I440" s="10" t="s">
        <v>36</v>
      </c>
    </row>
    <row r="441" spans="1:9" hidden="1">
      <c r="A441" t="s">
        <v>874</v>
      </c>
      <c r="B441" t="s">
        <v>77</v>
      </c>
      <c r="C441" t="s">
        <v>11</v>
      </c>
      <c r="D441" s="2">
        <v>5000</v>
      </c>
      <c r="E441">
        <f>VLOOKUP(I441,Calc!$I$35:$J$39,2,FALSE)</f>
        <v>5</v>
      </c>
      <c r="G441" s="10" t="s">
        <v>12</v>
      </c>
      <c r="H441" s="10" t="s">
        <v>875</v>
      </c>
      <c r="I441" s="10" t="s">
        <v>14</v>
      </c>
    </row>
    <row r="442" spans="1:9" hidden="1">
      <c r="A442" t="s">
        <v>876</v>
      </c>
      <c r="B442" t="s">
        <v>3266</v>
      </c>
      <c r="C442" t="s">
        <v>29</v>
      </c>
      <c r="D442" s="2">
        <v>74000</v>
      </c>
      <c r="E442">
        <f>VLOOKUP(I442,Calc!$I$35:$J$39,2,FALSE)</f>
        <v>5</v>
      </c>
      <c r="G442" s="10" t="s">
        <v>30</v>
      </c>
      <c r="H442" s="10" t="s">
        <v>38</v>
      </c>
      <c r="I442" s="10" t="s">
        <v>14</v>
      </c>
    </row>
    <row r="443" spans="1:9" hidden="1">
      <c r="A443" t="s">
        <v>877</v>
      </c>
      <c r="B443" t="s">
        <v>3264</v>
      </c>
      <c r="C443" t="s">
        <v>19</v>
      </c>
      <c r="D443" s="2">
        <v>94570.696324037053</v>
      </c>
      <c r="E443">
        <f>VLOOKUP(I443,Calc!$I$35:$J$39,2,FALSE)</f>
        <v>5</v>
      </c>
      <c r="G443" s="10" t="s">
        <v>107</v>
      </c>
      <c r="H443" s="10" t="s">
        <v>530</v>
      </c>
      <c r="I443" s="10" t="s">
        <v>14</v>
      </c>
    </row>
    <row r="444" spans="1:9">
      <c r="A444" t="s">
        <v>878</v>
      </c>
      <c r="B444" t="s">
        <v>3268</v>
      </c>
      <c r="C444" t="s">
        <v>29</v>
      </c>
      <c r="D444" s="2">
        <v>50000</v>
      </c>
      <c r="E444">
        <f>VLOOKUP(I444,Calc!$I$35:$J$39,2,FALSE)</f>
        <v>5</v>
      </c>
      <c r="G444" s="10" t="s">
        <v>30</v>
      </c>
      <c r="H444" s="10" t="s">
        <v>879</v>
      </c>
      <c r="I444" s="10" t="s">
        <v>14</v>
      </c>
    </row>
    <row r="445" spans="1:9" hidden="1">
      <c r="A445" t="s">
        <v>880</v>
      </c>
      <c r="B445" t="s">
        <v>3268</v>
      </c>
      <c r="C445" t="s">
        <v>11</v>
      </c>
      <c r="D445" s="2">
        <v>8903.9583437212841</v>
      </c>
      <c r="E445">
        <f>VLOOKUP(I445,Calc!$I$35:$J$39,2,FALSE)</f>
        <v>5</v>
      </c>
      <c r="G445" s="10" t="s">
        <v>12</v>
      </c>
      <c r="H445" s="10" t="s">
        <v>320</v>
      </c>
      <c r="I445" s="10" t="s">
        <v>14</v>
      </c>
    </row>
    <row r="446" spans="1:9" hidden="1">
      <c r="A446" t="s">
        <v>881</v>
      </c>
      <c r="B446" t="s">
        <v>3267</v>
      </c>
      <c r="C446" t="s">
        <v>42</v>
      </c>
      <c r="D446" s="2">
        <v>78000</v>
      </c>
      <c r="E446">
        <f>VLOOKUP(I446,Calc!$I$35:$J$39,2,FALSE)</f>
        <v>5</v>
      </c>
      <c r="G446" s="10" t="s">
        <v>882</v>
      </c>
      <c r="H446" s="10" t="s">
        <v>883</v>
      </c>
      <c r="I446" s="10" t="s">
        <v>14</v>
      </c>
    </row>
    <row r="447" spans="1:9" hidden="1">
      <c r="A447" t="s">
        <v>884</v>
      </c>
      <c r="B447" t="s">
        <v>3267</v>
      </c>
      <c r="C447" t="s">
        <v>11</v>
      </c>
      <c r="D447" s="2">
        <v>16027.125018698311</v>
      </c>
      <c r="E447">
        <f>VLOOKUP(I447,Calc!$I$35:$J$39,2,FALSE)</f>
        <v>1.5</v>
      </c>
      <c r="G447" s="10" t="s">
        <v>12</v>
      </c>
      <c r="H447" s="10" t="s">
        <v>885</v>
      </c>
      <c r="I447" s="10" t="s">
        <v>47</v>
      </c>
    </row>
    <row r="448" spans="1:9" hidden="1">
      <c r="A448" t="s">
        <v>886</v>
      </c>
      <c r="B448" t="s">
        <v>3268</v>
      </c>
      <c r="C448" t="s">
        <v>19</v>
      </c>
      <c r="D448" s="2">
        <v>7500</v>
      </c>
      <c r="E448">
        <f>VLOOKUP(I448,Calc!$I$35:$J$39,2,FALSE)</f>
        <v>8</v>
      </c>
      <c r="G448" s="10" t="s">
        <v>805</v>
      </c>
      <c r="H448" s="10" t="s">
        <v>887</v>
      </c>
      <c r="I448" s="10" t="s">
        <v>22</v>
      </c>
    </row>
    <row r="449" spans="1:9">
      <c r="A449" t="s">
        <v>888</v>
      </c>
      <c r="B449" t="s">
        <v>3268</v>
      </c>
      <c r="C449" t="s">
        <v>29</v>
      </c>
      <c r="D449" s="2">
        <v>60000</v>
      </c>
      <c r="E449">
        <f>VLOOKUP(I449,Calc!$I$35:$J$39,2,FALSE)</f>
        <v>8</v>
      </c>
      <c r="G449" s="10" t="s">
        <v>30</v>
      </c>
      <c r="H449" s="10" t="s">
        <v>889</v>
      </c>
      <c r="I449" s="10" t="s">
        <v>22</v>
      </c>
    </row>
    <row r="450" spans="1:9" hidden="1">
      <c r="A450" t="s">
        <v>890</v>
      </c>
      <c r="B450" t="s">
        <v>3249</v>
      </c>
      <c r="C450" t="s">
        <v>11</v>
      </c>
      <c r="D450" s="2">
        <v>14246.333349954055</v>
      </c>
      <c r="E450">
        <f>VLOOKUP(I450,Calc!$I$35:$J$39,2,FALSE)</f>
        <v>8</v>
      </c>
      <c r="G450" s="10" t="s">
        <v>12</v>
      </c>
      <c r="H450" s="10" t="s">
        <v>891</v>
      </c>
      <c r="I450" s="10" t="s">
        <v>22</v>
      </c>
    </row>
    <row r="451" spans="1:9" hidden="1">
      <c r="A451" t="s">
        <v>892</v>
      </c>
      <c r="B451" t="s">
        <v>3267</v>
      </c>
      <c r="C451" t="s">
        <v>29</v>
      </c>
      <c r="D451" s="2">
        <v>80000</v>
      </c>
      <c r="E451">
        <f>VLOOKUP(I451,Calc!$I$35:$J$39,2,FALSE)</f>
        <v>1.5</v>
      </c>
      <c r="G451" s="10" t="s">
        <v>30</v>
      </c>
      <c r="H451" s="10" t="s">
        <v>893</v>
      </c>
      <c r="I451" s="10" t="s">
        <v>47</v>
      </c>
    </row>
    <row r="452" spans="1:9" hidden="1">
      <c r="A452" t="s">
        <v>894</v>
      </c>
      <c r="B452" t="s">
        <v>3269</v>
      </c>
      <c r="C452" t="s">
        <v>19</v>
      </c>
      <c r="D452" s="2">
        <v>59894.774338556796</v>
      </c>
      <c r="E452">
        <f>VLOOKUP(I452,Calc!$I$35:$J$39,2,FALSE)</f>
        <v>5</v>
      </c>
      <c r="G452" s="10" t="s">
        <v>107</v>
      </c>
      <c r="H452" s="10" t="s">
        <v>895</v>
      </c>
      <c r="I452" s="10" t="s">
        <v>14</v>
      </c>
    </row>
    <row r="453" spans="1:9" hidden="1">
      <c r="A453" t="s">
        <v>896</v>
      </c>
      <c r="B453" t="s">
        <v>3267</v>
      </c>
      <c r="C453" t="s">
        <v>29</v>
      </c>
      <c r="D453" s="2">
        <v>51134.799197576998</v>
      </c>
      <c r="E453">
        <f>VLOOKUP(I453,Calc!$I$35:$J$39,2,FALSE)</f>
        <v>5</v>
      </c>
      <c r="G453" s="10" t="s">
        <v>128</v>
      </c>
      <c r="H453" s="10" t="s">
        <v>897</v>
      </c>
      <c r="I453" s="10" t="s">
        <v>14</v>
      </c>
    </row>
    <row r="454" spans="1:9" hidden="1">
      <c r="A454" t="s">
        <v>898</v>
      </c>
      <c r="B454" t="s">
        <v>3267</v>
      </c>
      <c r="C454" t="s">
        <v>29</v>
      </c>
      <c r="D454" s="2">
        <v>125000</v>
      </c>
      <c r="E454">
        <f>VLOOKUP(I454,Calc!$I$35:$J$39,2,FALSE)</f>
        <v>2.5</v>
      </c>
      <c r="G454" s="10" t="s">
        <v>30</v>
      </c>
      <c r="H454" s="10" t="s">
        <v>899</v>
      </c>
      <c r="I454" s="10" t="s">
        <v>36</v>
      </c>
    </row>
    <row r="455" spans="1:9">
      <c r="A455" t="s">
        <v>900</v>
      </c>
      <c r="B455" t="s">
        <v>3268</v>
      </c>
      <c r="C455" t="s">
        <v>29</v>
      </c>
      <c r="D455" s="2">
        <v>52000</v>
      </c>
      <c r="E455">
        <f>VLOOKUP(I455,Calc!$I$35:$J$39,2,FALSE)</f>
        <v>2.5</v>
      </c>
      <c r="G455" s="10" t="s">
        <v>30</v>
      </c>
      <c r="H455" s="10" t="s">
        <v>901</v>
      </c>
      <c r="I455" s="10" t="s">
        <v>36</v>
      </c>
    </row>
    <row r="456" spans="1:9">
      <c r="A456" t="s">
        <v>902</v>
      </c>
      <c r="B456" t="s">
        <v>3268</v>
      </c>
      <c r="C456" t="s">
        <v>29</v>
      </c>
      <c r="D456" s="2">
        <v>45000</v>
      </c>
      <c r="E456">
        <f>VLOOKUP(I456,Calc!$I$35:$J$39,2,FALSE)</f>
        <v>5</v>
      </c>
      <c r="G456" s="10" t="s">
        <v>30</v>
      </c>
      <c r="H456" s="10" t="s">
        <v>10</v>
      </c>
      <c r="I456" s="10" t="s">
        <v>14</v>
      </c>
    </row>
    <row r="457" spans="1:9" hidden="1">
      <c r="A457" t="s">
        <v>903</v>
      </c>
      <c r="B457" t="s">
        <v>3268</v>
      </c>
      <c r="C457" t="s">
        <v>19</v>
      </c>
      <c r="D457" s="2">
        <v>39404.456801682099</v>
      </c>
      <c r="E457">
        <f>VLOOKUP(I457,Calc!$I$35:$J$39,2,FALSE)</f>
        <v>5</v>
      </c>
      <c r="G457" s="10" t="s">
        <v>107</v>
      </c>
      <c r="H457" s="10" t="s">
        <v>10</v>
      </c>
      <c r="I457" s="10" t="s">
        <v>14</v>
      </c>
    </row>
    <row r="458" spans="1:9" hidden="1">
      <c r="A458" t="s">
        <v>904</v>
      </c>
      <c r="B458" t="s">
        <v>3267</v>
      </c>
      <c r="C458" t="s">
        <v>29</v>
      </c>
      <c r="D458" s="2">
        <v>60000</v>
      </c>
      <c r="E458">
        <f>VLOOKUP(I458,Calc!$I$35:$J$39,2,FALSE)</f>
        <v>8</v>
      </c>
      <c r="G458" s="10" t="s">
        <v>30</v>
      </c>
      <c r="H458" s="10" t="s">
        <v>905</v>
      </c>
      <c r="I458" s="10" t="s">
        <v>22</v>
      </c>
    </row>
    <row r="459" spans="1:9" hidden="1">
      <c r="A459" t="s">
        <v>906</v>
      </c>
      <c r="B459" t="s">
        <v>3267</v>
      </c>
      <c r="C459" t="s">
        <v>29</v>
      </c>
      <c r="D459" s="2">
        <v>68835.306612122877</v>
      </c>
      <c r="E459">
        <f>VLOOKUP(I459,Calc!$I$35:$J$39,2,FALSE)</f>
        <v>1.5</v>
      </c>
      <c r="G459" s="10" t="s">
        <v>128</v>
      </c>
      <c r="H459" s="10" t="s">
        <v>907</v>
      </c>
      <c r="I459" s="10" t="s">
        <v>47</v>
      </c>
    </row>
    <row r="460" spans="1:9" hidden="1">
      <c r="A460" t="s">
        <v>908</v>
      </c>
      <c r="B460" t="s">
        <v>3265</v>
      </c>
      <c r="C460" t="s">
        <v>11</v>
      </c>
      <c r="D460" s="2">
        <v>5250</v>
      </c>
      <c r="E460">
        <f>VLOOKUP(I460,Calc!$I$35:$J$39,2,FALSE)</f>
        <v>5</v>
      </c>
      <c r="G460" s="10" t="s">
        <v>909</v>
      </c>
      <c r="H460" s="10" t="s">
        <v>910</v>
      </c>
      <c r="I460" s="10" t="s">
        <v>14</v>
      </c>
    </row>
    <row r="461" spans="1:9" hidden="1">
      <c r="A461" t="s">
        <v>911</v>
      </c>
      <c r="B461" t="s">
        <v>3267</v>
      </c>
      <c r="C461" t="s">
        <v>29</v>
      </c>
      <c r="D461" s="2">
        <v>85552.452503638444</v>
      </c>
      <c r="E461">
        <f>VLOOKUP(I461,Calc!$I$35:$J$39,2,FALSE)</f>
        <v>5</v>
      </c>
      <c r="G461" s="10" t="s">
        <v>128</v>
      </c>
      <c r="H461" s="10" t="s">
        <v>912</v>
      </c>
      <c r="I461" s="10" t="s">
        <v>14</v>
      </c>
    </row>
    <row r="462" spans="1:9" hidden="1">
      <c r="A462" t="s">
        <v>913</v>
      </c>
      <c r="B462" t="s">
        <v>3268</v>
      </c>
      <c r="C462" t="s">
        <v>11</v>
      </c>
      <c r="D462" s="2">
        <v>2225.989585930321</v>
      </c>
      <c r="E462">
        <f>VLOOKUP(I462,Calc!$I$35:$J$39,2,FALSE)</f>
        <v>5</v>
      </c>
      <c r="G462" s="10" t="s">
        <v>12</v>
      </c>
      <c r="H462" s="10" t="s">
        <v>914</v>
      </c>
      <c r="I462" s="10" t="s">
        <v>14</v>
      </c>
    </row>
    <row r="463" spans="1:9" hidden="1">
      <c r="A463" t="s">
        <v>915</v>
      </c>
      <c r="B463" t="s">
        <v>3249</v>
      </c>
      <c r="C463" t="s">
        <v>29</v>
      </c>
      <c r="D463" s="2">
        <v>150000</v>
      </c>
      <c r="E463">
        <f>VLOOKUP(I463,Calc!$I$35:$J$39,2,FALSE)</f>
        <v>2.5</v>
      </c>
      <c r="G463" s="10" t="s">
        <v>30</v>
      </c>
      <c r="H463" s="10" t="s">
        <v>54</v>
      </c>
      <c r="I463" s="10" t="s">
        <v>36</v>
      </c>
    </row>
    <row r="464" spans="1:9">
      <c r="A464" t="s">
        <v>916</v>
      </c>
      <c r="B464" t="s">
        <v>3268</v>
      </c>
      <c r="C464" t="s">
        <v>29</v>
      </c>
      <c r="D464" s="2">
        <v>50000</v>
      </c>
      <c r="E464">
        <f>VLOOKUP(I464,Calc!$I$35:$J$39,2,FALSE)</f>
        <v>5</v>
      </c>
      <c r="G464" s="10" t="s">
        <v>30</v>
      </c>
      <c r="H464" s="10" t="s">
        <v>917</v>
      </c>
      <c r="I464" s="10" t="s">
        <v>14</v>
      </c>
    </row>
    <row r="465" spans="1:9">
      <c r="A465" t="s">
        <v>918</v>
      </c>
      <c r="B465" t="s">
        <v>3268</v>
      </c>
      <c r="C465" t="s">
        <v>29</v>
      </c>
      <c r="D465" s="2">
        <v>70000</v>
      </c>
      <c r="E465">
        <f>VLOOKUP(I465,Calc!$I$35:$J$39,2,FALSE)</f>
        <v>5</v>
      </c>
      <c r="G465" s="10" t="s">
        <v>30</v>
      </c>
      <c r="H465" s="10" t="s">
        <v>10</v>
      </c>
      <c r="I465" s="10" t="s">
        <v>14</v>
      </c>
    </row>
    <row r="466" spans="1:9" hidden="1">
      <c r="A466" t="s">
        <v>919</v>
      </c>
      <c r="B466" t="s">
        <v>3267</v>
      </c>
      <c r="C466" t="s">
        <v>19</v>
      </c>
      <c r="D466" s="2">
        <v>44921.080753917595</v>
      </c>
      <c r="E466">
        <f>VLOOKUP(I466,Calc!$I$35:$J$39,2,FALSE)</f>
        <v>2.5</v>
      </c>
      <c r="G466" s="10" t="s">
        <v>107</v>
      </c>
      <c r="H466" s="10" t="s">
        <v>920</v>
      </c>
      <c r="I466" s="10" t="s">
        <v>36</v>
      </c>
    </row>
    <row r="467" spans="1:9" hidden="1">
      <c r="A467" t="s">
        <v>921</v>
      </c>
      <c r="B467" t="s">
        <v>3265</v>
      </c>
      <c r="C467" t="s">
        <v>11</v>
      </c>
      <c r="D467" s="2">
        <v>20000</v>
      </c>
      <c r="E467">
        <f>VLOOKUP(I467,Calc!$I$35:$J$39,2,FALSE)</f>
        <v>5</v>
      </c>
      <c r="G467" s="10" t="s">
        <v>12</v>
      </c>
      <c r="H467" s="10" t="s">
        <v>59</v>
      </c>
      <c r="I467" s="10" t="s">
        <v>14</v>
      </c>
    </row>
    <row r="468" spans="1:9" hidden="1">
      <c r="A468" t="s">
        <v>922</v>
      </c>
      <c r="B468" t="s">
        <v>3268</v>
      </c>
      <c r="C468" t="s">
        <v>19</v>
      </c>
      <c r="D468" s="2">
        <v>12000</v>
      </c>
      <c r="E468">
        <f>VLOOKUP(I468,Calc!$I$35:$J$39,2,FALSE)</f>
        <v>8</v>
      </c>
      <c r="G468" s="10" t="s">
        <v>923</v>
      </c>
      <c r="H468" s="10" t="s">
        <v>924</v>
      </c>
      <c r="I468" s="10" t="s">
        <v>22</v>
      </c>
    </row>
    <row r="469" spans="1:9" hidden="1">
      <c r="A469" t="s">
        <v>925</v>
      </c>
      <c r="B469" t="s">
        <v>3269</v>
      </c>
      <c r="C469" t="s">
        <v>29</v>
      </c>
      <c r="D469" s="2">
        <v>122920</v>
      </c>
      <c r="E469">
        <f>VLOOKUP(I469,Calc!$I$35:$J$39,2,FALSE)</f>
        <v>5</v>
      </c>
      <c r="G469" s="10" t="s">
        <v>128</v>
      </c>
      <c r="H469" s="10" t="s">
        <v>926</v>
      </c>
      <c r="I469" s="10" t="s">
        <v>14</v>
      </c>
    </row>
    <row r="470" spans="1:9">
      <c r="A470" t="s">
        <v>927</v>
      </c>
      <c r="B470" t="s">
        <v>3268</v>
      </c>
      <c r="C470" t="s">
        <v>29</v>
      </c>
      <c r="D470" s="2">
        <v>30000</v>
      </c>
      <c r="E470">
        <f>VLOOKUP(I470,Calc!$I$35:$J$39,2,FALSE)</f>
        <v>0</v>
      </c>
      <c r="G470" s="10" t="s">
        <v>30</v>
      </c>
      <c r="H470" s="10" t="s">
        <v>928</v>
      </c>
      <c r="I470" s="10" t="s">
        <v>119</v>
      </c>
    </row>
    <row r="471" spans="1:9" hidden="1">
      <c r="A471" t="s">
        <v>929</v>
      </c>
      <c r="B471" t="s">
        <v>3266</v>
      </c>
      <c r="C471" t="s">
        <v>42</v>
      </c>
      <c r="D471" s="2">
        <v>24000</v>
      </c>
      <c r="E471">
        <f>VLOOKUP(I471,Calc!$I$35:$J$39,2,FALSE)</f>
        <v>2.5</v>
      </c>
      <c r="G471" s="10" t="s">
        <v>930</v>
      </c>
      <c r="H471" s="10" t="s">
        <v>842</v>
      </c>
      <c r="I471" s="10" t="s">
        <v>36</v>
      </c>
    </row>
    <row r="472" spans="1:9" hidden="1">
      <c r="A472" t="s">
        <v>931</v>
      </c>
      <c r="B472" t="s">
        <v>3266</v>
      </c>
      <c r="C472" t="s">
        <v>29</v>
      </c>
      <c r="D472" s="2">
        <v>92000</v>
      </c>
      <c r="E472">
        <f>VLOOKUP(I472,Calc!$I$35:$J$39,2,FALSE)</f>
        <v>1.5</v>
      </c>
      <c r="G472" s="10" t="s">
        <v>30</v>
      </c>
      <c r="H472" s="10" t="s">
        <v>932</v>
      </c>
      <c r="I472" s="10" t="s">
        <v>47</v>
      </c>
    </row>
    <row r="473" spans="1:9">
      <c r="A473" t="s">
        <v>933</v>
      </c>
      <c r="B473" t="s">
        <v>3268</v>
      </c>
      <c r="C473" t="s">
        <v>29</v>
      </c>
      <c r="D473" s="2">
        <v>52000</v>
      </c>
      <c r="E473">
        <f>VLOOKUP(I473,Calc!$I$35:$J$39,2,FALSE)</f>
        <v>5</v>
      </c>
      <c r="G473" s="10" t="s">
        <v>30</v>
      </c>
      <c r="H473" s="10" t="s">
        <v>934</v>
      </c>
      <c r="I473" s="10" t="s">
        <v>14</v>
      </c>
    </row>
    <row r="474" spans="1:9" hidden="1">
      <c r="A474" t="s">
        <v>935</v>
      </c>
      <c r="B474" t="s">
        <v>3249</v>
      </c>
      <c r="C474" t="s">
        <v>29</v>
      </c>
      <c r="D474" s="2">
        <v>169000</v>
      </c>
      <c r="E474">
        <f>VLOOKUP(I474,Calc!$I$35:$J$39,2,FALSE)</f>
        <v>2.5</v>
      </c>
      <c r="G474" s="10" t="s">
        <v>30</v>
      </c>
      <c r="H474" s="10" t="s">
        <v>936</v>
      </c>
      <c r="I474" s="10" t="s">
        <v>36</v>
      </c>
    </row>
    <row r="475" spans="1:9" hidden="1">
      <c r="A475" t="s">
        <v>937</v>
      </c>
      <c r="B475" t="s">
        <v>3269</v>
      </c>
      <c r="C475" t="s">
        <v>19</v>
      </c>
      <c r="D475" s="2">
        <v>110000</v>
      </c>
      <c r="E475">
        <f>VLOOKUP(I475,Calc!$I$35:$J$39,2,FALSE)</f>
        <v>2.5</v>
      </c>
      <c r="G475" s="10" t="s">
        <v>938</v>
      </c>
      <c r="H475" s="10" t="s">
        <v>939</v>
      </c>
      <c r="I475" s="10" t="s">
        <v>36</v>
      </c>
    </row>
    <row r="476" spans="1:9" hidden="1">
      <c r="A476" t="s">
        <v>940</v>
      </c>
      <c r="B476" t="s">
        <v>3267</v>
      </c>
      <c r="C476" t="s">
        <v>42</v>
      </c>
      <c r="D476" s="2">
        <v>131675.52225194403</v>
      </c>
      <c r="E476">
        <f>VLOOKUP(I476,Calc!$I$35:$J$39,2,FALSE)</f>
        <v>2.5</v>
      </c>
      <c r="G476" s="10" t="s">
        <v>78</v>
      </c>
      <c r="H476" s="10" t="s">
        <v>941</v>
      </c>
      <c r="I476" s="10" t="s">
        <v>36</v>
      </c>
    </row>
    <row r="477" spans="1:9" hidden="1">
      <c r="A477" t="s">
        <v>942</v>
      </c>
      <c r="B477" t="s">
        <v>3264</v>
      </c>
      <c r="C477" t="s">
        <v>19</v>
      </c>
      <c r="D477" s="2">
        <v>92994.518051969761</v>
      </c>
      <c r="E477">
        <f>VLOOKUP(I477,Calc!$I$35:$J$39,2,FALSE)</f>
        <v>2.5</v>
      </c>
      <c r="G477" s="10" t="s">
        <v>107</v>
      </c>
      <c r="H477" s="10" t="s">
        <v>943</v>
      </c>
      <c r="I477" s="10" t="s">
        <v>36</v>
      </c>
    </row>
    <row r="478" spans="1:9">
      <c r="A478" t="s">
        <v>944</v>
      </c>
      <c r="B478" t="s">
        <v>3268</v>
      </c>
      <c r="C478" t="s">
        <v>29</v>
      </c>
      <c r="D478" s="2">
        <v>50000</v>
      </c>
      <c r="E478">
        <f>VLOOKUP(I478,Calc!$I$35:$J$39,2,FALSE)</f>
        <v>5</v>
      </c>
      <c r="G478" s="10" t="s">
        <v>30</v>
      </c>
      <c r="H478" s="10" t="s">
        <v>945</v>
      </c>
      <c r="I478" s="10" t="s">
        <v>14</v>
      </c>
    </row>
    <row r="479" spans="1:9">
      <c r="A479" t="s">
        <v>946</v>
      </c>
      <c r="B479" t="s">
        <v>3268</v>
      </c>
      <c r="C479" t="s">
        <v>29</v>
      </c>
      <c r="D479" s="2">
        <v>65000</v>
      </c>
      <c r="E479">
        <f>VLOOKUP(I479,Calc!$I$35:$J$39,2,FALSE)</f>
        <v>2.5</v>
      </c>
      <c r="G479" s="10" t="s">
        <v>30</v>
      </c>
      <c r="H479" s="10" t="s">
        <v>179</v>
      </c>
      <c r="I479" s="10" t="s">
        <v>36</v>
      </c>
    </row>
    <row r="480" spans="1:9">
      <c r="A480" t="s">
        <v>947</v>
      </c>
      <c r="B480" t="s">
        <v>3268</v>
      </c>
      <c r="C480" t="s">
        <v>29</v>
      </c>
      <c r="D480" s="2">
        <v>45234.630059395036</v>
      </c>
      <c r="E480">
        <f>VLOOKUP(I480,Calc!$I$35:$J$39,2,FALSE)</f>
        <v>8</v>
      </c>
      <c r="G480" s="10" t="s">
        <v>128</v>
      </c>
      <c r="H480" s="10" t="s">
        <v>948</v>
      </c>
      <c r="I480" s="10" t="s">
        <v>22</v>
      </c>
    </row>
    <row r="481" spans="1:9">
      <c r="A481" t="s">
        <v>949</v>
      </c>
      <c r="B481" t="s">
        <v>3268</v>
      </c>
      <c r="C481" t="s">
        <v>29</v>
      </c>
      <c r="D481" s="2">
        <v>55000</v>
      </c>
      <c r="E481">
        <f>VLOOKUP(I481,Calc!$I$35:$J$39,2,FALSE)</f>
        <v>2.5</v>
      </c>
      <c r="G481" s="10" t="s">
        <v>30</v>
      </c>
      <c r="H481" s="10" t="s">
        <v>10</v>
      </c>
      <c r="I481" s="10" t="s">
        <v>36</v>
      </c>
    </row>
    <row r="482" spans="1:9" hidden="1">
      <c r="A482" t="s">
        <v>950</v>
      </c>
      <c r="B482" t="s">
        <v>3264</v>
      </c>
      <c r="C482" t="s">
        <v>11</v>
      </c>
      <c r="D482" s="2">
        <v>20000</v>
      </c>
      <c r="E482">
        <f>VLOOKUP(I482,Calc!$I$35:$J$39,2,FALSE)</f>
        <v>2.5</v>
      </c>
      <c r="G482" s="10" t="s">
        <v>12</v>
      </c>
      <c r="H482" s="10" t="s">
        <v>90</v>
      </c>
      <c r="I482" s="10" t="s">
        <v>36</v>
      </c>
    </row>
    <row r="483" spans="1:9" hidden="1">
      <c r="A483" t="s">
        <v>951</v>
      </c>
      <c r="B483" t="s">
        <v>77</v>
      </c>
      <c r="C483" t="s">
        <v>11</v>
      </c>
      <c r="D483" s="2">
        <v>6000</v>
      </c>
      <c r="E483">
        <f>VLOOKUP(I483,Calc!$I$35:$J$39,2,FALSE)</f>
        <v>8</v>
      </c>
      <c r="G483" s="10" t="s">
        <v>12</v>
      </c>
      <c r="H483" s="10" t="s">
        <v>587</v>
      </c>
      <c r="I483" s="10" t="s">
        <v>22</v>
      </c>
    </row>
    <row r="484" spans="1:9" hidden="1">
      <c r="A484" t="s">
        <v>952</v>
      </c>
      <c r="B484" t="s">
        <v>3249</v>
      </c>
      <c r="C484" t="s">
        <v>19</v>
      </c>
      <c r="D484" s="2">
        <v>299473.87169278396</v>
      </c>
      <c r="E484">
        <f>VLOOKUP(I484,Calc!$I$35:$J$39,2,FALSE)</f>
        <v>5</v>
      </c>
      <c r="G484" s="10" t="s">
        <v>107</v>
      </c>
      <c r="H484" s="10" t="s">
        <v>953</v>
      </c>
      <c r="I484" s="10" t="s">
        <v>14</v>
      </c>
    </row>
    <row r="485" spans="1:9" hidden="1">
      <c r="A485" t="s">
        <v>954</v>
      </c>
      <c r="B485" t="s">
        <v>3267</v>
      </c>
      <c r="C485" t="s">
        <v>19</v>
      </c>
      <c r="D485" s="2">
        <v>44391.484854502989</v>
      </c>
      <c r="E485">
        <f>VLOOKUP(I485,Calc!$I$35:$J$39,2,FALSE)</f>
        <v>5</v>
      </c>
      <c r="G485" s="10" t="s">
        <v>107</v>
      </c>
      <c r="H485" s="10" t="s">
        <v>955</v>
      </c>
      <c r="I485" s="10" t="s">
        <v>14</v>
      </c>
    </row>
    <row r="486" spans="1:9">
      <c r="A486" t="s">
        <v>956</v>
      </c>
      <c r="B486" t="s">
        <v>3268</v>
      </c>
      <c r="C486" t="s">
        <v>29</v>
      </c>
      <c r="D486" s="2">
        <v>40000</v>
      </c>
      <c r="E486">
        <f>VLOOKUP(I486,Calc!$I$35:$J$39,2,FALSE)</f>
        <v>2.5</v>
      </c>
      <c r="G486" s="10" t="s">
        <v>30</v>
      </c>
      <c r="H486" s="10" t="s">
        <v>957</v>
      </c>
      <c r="I486" s="10" t="s">
        <v>36</v>
      </c>
    </row>
    <row r="487" spans="1:9" hidden="1">
      <c r="A487" t="s">
        <v>958</v>
      </c>
      <c r="B487" t="s">
        <v>3267</v>
      </c>
      <c r="C487" t="s">
        <v>19</v>
      </c>
      <c r="D487" s="2">
        <v>108000</v>
      </c>
      <c r="E487">
        <f>VLOOKUP(I487,Calc!$I$35:$J$39,2,FALSE)</f>
        <v>5</v>
      </c>
      <c r="G487" s="10" t="s">
        <v>938</v>
      </c>
      <c r="H487" s="10" t="s">
        <v>44</v>
      </c>
      <c r="I487" s="10" t="s">
        <v>14</v>
      </c>
    </row>
    <row r="488" spans="1:9" hidden="1">
      <c r="A488" t="s">
        <v>959</v>
      </c>
      <c r="B488" t="s">
        <v>3268</v>
      </c>
      <c r="C488" t="s">
        <v>11</v>
      </c>
      <c r="D488" s="2">
        <v>3561.5833374885137</v>
      </c>
      <c r="E488">
        <f>VLOOKUP(I488,Calc!$I$35:$J$39,2,FALSE)</f>
        <v>2.5</v>
      </c>
      <c r="G488" s="10" t="s">
        <v>12</v>
      </c>
      <c r="H488" s="10" t="s">
        <v>960</v>
      </c>
      <c r="I488" s="10" t="s">
        <v>36</v>
      </c>
    </row>
    <row r="489" spans="1:9">
      <c r="A489" t="s">
        <v>961</v>
      </c>
      <c r="B489" t="s">
        <v>3268</v>
      </c>
      <c r="C489" t="s">
        <v>29</v>
      </c>
      <c r="D489" s="2">
        <v>84000</v>
      </c>
      <c r="E489">
        <f>VLOOKUP(I489,Calc!$I$35:$J$39,2,FALSE)</f>
        <v>8</v>
      </c>
      <c r="G489" s="10" t="s">
        <v>30</v>
      </c>
      <c r="H489" s="10" t="s">
        <v>162</v>
      </c>
      <c r="I489" s="10" t="s">
        <v>22</v>
      </c>
    </row>
    <row r="490" spans="1:9" hidden="1">
      <c r="A490" t="s">
        <v>962</v>
      </c>
      <c r="B490" t="s">
        <v>3267</v>
      </c>
      <c r="C490" t="s">
        <v>19</v>
      </c>
      <c r="D490" s="2">
        <v>52013.882978220376</v>
      </c>
      <c r="E490">
        <f>VLOOKUP(I490,Calc!$I$35:$J$39,2,FALSE)</f>
        <v>5</v>
      </c>
      <c r="G490" s="10" t="s">
        <v>107</v>
      </c>
      <c r="H490" s="10" t="s">
        <v>963</v>
      </c>
      <c r="I490" s="10" t="s">
        <v>14</v>
      </c>
    </row>
    <row r="491" spans="1:9" hidden="1">
      <c r="A491" t="s">
        <v>964</v>
      </c>
      <c r="B491" t="s">
        <v>3267</v>
      </c>
      <c r="C491" t="s">
        <v>11</v>
      </c>
      <c r="D491" s="2">
        <v>12821.700014958649</v>
      </c>
      <c r="E491">
        <f>VLOOKUP(I491,Calc!$I$35:$J$39,2,FALSE)</f>
        <v>2.5</v>
      </c>
      <c r="G491" s="10" t="s">
        <v>12</v>
      </c>
      <c r="H491" s="10" t="s">
        <v>965</v>
      </c>
      <c r="I491" s="10" t="s">
        <v>36</v>
      </c>
    </row>
    <row r="492" spans="1:9">
      <c r="A492" t="s">
        <v>966</v>
      </c>
      <c r="B492" t="s">
        <v>3268</v>
      </c>
      <c r="C492" t="s">
        <v>29</v>
      </c>
      <c r="D492" s="2">
        <v>67360.264327577388</v>
      </c>
      <c r="E492">
        <f>VLOOKUP(I492,Calc!$I$35:$J$39,2,FALSE)</f>
        <v>5</v>
      </c>
      <c r="G492" s="10" t="s">
        <v>128</v>
      </c>
      <c r="H492" s="10" t="s">
        <v>31</v>
      </c>
      <c r="I492" s="10" t="s">
        <v>14</v>
      </c>
    </row>
    <row r="493" spans="1:9" hidden="1">
      <c r="A493" t="s">
        <v>967</v>
      </c>
      <c r="B493" t="s">
        <v>3267</v>
      </c>
      <c r="C493" t="s">
        <v>19</v>
      </c>
      <c r="D493" s="2">
        <v>23000</v>
      </c>
      <c r="E493">
        <f>VLOOKUP(I493,Calc!$I$35:$J$39,2,FALSE)</f>
        <v>5</v>
      </c>
      <c r="G493" s="10" t="s">
        <v>63</v>
      </c>
      <c r="H493" s="10" t="s">
        <v>968</v>
      </c>
      <c r="I493" s="10" t="s">
        <v>14</v>
      </c>
    </row>
    <row r="494" spans="1:9" hidden="1">
      <c r="A494" t="s">
        <v>969</v>
      </c>
      <c r="B494" t="s">
        <v>3267</v>
      </c>
      <c r="C494" t="s">
        <v>19</v>
      </c>
      <c r="D494" s="2">
        <v>91418.339779902482</v>
      </c>
      <c r="E494">
        <f>VLOOKUP(I494,Calc!$I$35:$J$39,2,FALSE)</f>
        <v>8</v>
      </c>
      <c r="G494" s="10" t="s">
        <v>107</v>
      </c>
      <c r="H494" s="10" t="s">
        <v>970</v>
      </c>
      <c r="I494" s="10" t="s">
        <v>22</v>
      </c>
    </row>
    <row r="495" spans="1:9">
      <c r="A495" t="s">
        <v>971</v>
      </c>
      <c r="B495" t="s">
        <v>3268</v>
      </c>
      <c r="C495" t="s">
        <v>29</v>
      </c>
      <c r="D495" s="2">
        <v>77000</v>
      </c>
      <c r="E495">
        <f>VLOOKUP(I495,Calc!$I$35:$J$39,2,FALSE)</f>
        <v>8</v>
      </c>
      <c r="G495" s="10" t="s">
        <v>30</v>
      </c>
      <c r="H495" s="10" t="s">
        <v>689</v>
      </c>
      <c r="I495" s="10" t="s">
        <v>22</v>
      </c>
    </row>
    <row r="496" spans="1:9">
      <c r="A496" t="s">
        <v>972</v>
      </c>
      <c r="B496" t="s">
        <v>3268</v>
      </c>
      <c r="C496" t="s">
        <v>29</v>
      </c>
      <c r="D496" s="2">
        <v>100000</v>
      </c>
      <c r="E496">
        <f>VLOOKUP(I496,Calc!$I$35:$J$39,2,FALSE)</f>
        <v>5</v>
      </c>
      <c r="G496" s="10" t="s">
        <v>30</v>
      </c>
      <c r="H496" s="10" t="s">
        <v>10</v>
      </c>
      <c r="I496" s="10" t="s">
        <v>14</v>
      </c>
    </row>
    <row r="497" spans="1:9" hidden="1">
      <c r="A497" t="s">
        <v>973</v>
      </c>
      <c r="B497" t="s">
        <v>3263</v>
      </c>
      <c r="C497" t="s">
        <v>48</v>
      </c>
      <c r="D497" s="2">
        <v>55500</v>
      </c>
      <c r="E497">
        <f>VLOOKUP(I497,Calc!$I$35:$J$39,2,FALSE)</f>
        <v>5</v>
      </c>
      <c r="G497" s="10" t="s">
        <v>191</v>
      </c>
      <c r="H497" s="10" t="s">
        <v>974</v>
      </c>
      <c r="I497" s="10" t="s">
        <v>14</v>
      </c>
    </row>
    <row r="498" spans="1:9" hidden="1">
      <c r="A498" t="s">
        <v>975</v>
      </c>
      <c r="B498" t="s">
        <v>3268</v>
      </c>
      <c r="C498" t="s">
        <v>19</v>
      </c>
      <c r="D498" s="2">
        <v>19055.991584874118</v>
      </c>
      <c r="E498">
        <f>VLOOKUP(I498,Calc!$I$35:$J$39,2,FALSE)</f>
        <v>8</v>
      </c>
      <c r="G498" s="10" t="s">
        <v>976</v>
      </c>
      <c r="H498" s="10" t="s">
        <v>977</v>
      </c>
      <c r="I498" s="10" t="s">
        <v>22</v>
      </c>
    </row>
    <row r="499" spans="1:9" hidden="1">
      <c r="A499" t="s">
        <v>978</v>
      </c>
      <c r="B499" t="s">
        <v>3267</v>
      </c>
      <c r="C499" t="s">
        <v>11</v>
      </c>
      <c r="D499" s="2">
        <v>10684.750012465542</v>
      </c>
      <c r="E499">
        <f>VLOOKUP(I499,Calc!$I$35:$J$39,2,FALSE)</f>
        <v>5</v>
      </c>
      <c r="G499" s="10" t="s">
        <v>12</v>
      </c>
      <c r="H499" s="10" t="s">
        <v>979</v>
      </c>
      <c r="I499" s="10" t="s">
        <v>14</v>
      </c>
    </row>
    <row r="500" spans="1:9" hidden="1">
      <c r="A500" t="s">
        <v>980</v>
      </c>
      <c r="B500" t="s">
        <v>3267</v>
      </c>
      <c r="C500" t="s">
        <v>11</v>
      </c>
      <c r="D500" s="2">
        <v>8400</v>
      </c>
      <c r="E500">
        <f>VLOOKUP(I500,Calc!$I$35:$J$39,2,FALSE)</f>
        <v>5</v>
      </c>
      <c r="G500" s="10" t="s">
        <v>12</v>
      </c>
      <c r="H500" s="10" t="s">
        <v>44</v>
      </c>
      <c r="I500" s="10" t="s">
        <v>14</v>
      </c>
    </row>
    <row r="501" spans="1:9" hidden="1">
      <c r="A501" t="s">
        <v>981</v>
      </c>
      <c r="B501" t="s">
        <v>3267</v>
      </c>
      <c r="C501" t="s">
        <v>11</v>
      </c>
      <c r="D501" s="2">
        <v>8903.9583437212841</v>
      </c>
      <c r="E501">
        <f>VLOOKUP(I501,Calc!$I$35:$J$39,2,FALSE)</f>
        <v>2.5</v>
      </c>
      <c r="G501" s="10" t="s">
        <v>12</v>
      </c>
      <c r="H501" s="10" t="s">
        <v>982</v>
      </c>
      <c r="I501" s="10" t="s">
        <v>36</v>
      </c>
    </row>
    <row r="502" spans="1:9" hidden="1">
      <c r="A502" t="s">
        <v>983</v>
      </c>
      <c r="B502" t="s">
        <v>3268</v>
      </c>
      <c r="C502" t="s">
        <v>3248</v>
      </c>
      <c r="D502" s="2">
        <v>12000</v>
      </c>
      <c r="E502">
        <f>VLOOKUP(I502,Calc!$I$35:$J$39,2,FALSE)</f>
        <v>8</v>
      </c>
      <c r="G502" s="10" t="s">
        <v>216</v>
      </c>
      <c r="H502" s="10" t="s">
        <v>977</v>
      </c>
      <c r="I502" s="10" t="s">
        <v>22</v>
      </c>
    </row>
    <row r="503" spans="1:9" hidden="1">
      <c r="A503" t="s">
        <v>984</v>
      </c>
      <c r="B503" t="s">
        <v>3267</v>
      </c>
      <c r="C503" t="s">
        <v>29</v>
      </c>
      <c r="D503" s="2">
        <v>65000</v>
      </c>
      <c r="E503">
        <f>VLOOKUP(I503,Calc!$I$35:$J$39,2,FALSE)</f>
        <v>8</v>
      </c>
      <c r="G503" s="10" t="s">
        <v>30</v>
      </c>
      <c r="H503" s="10" t="s">
        <v>985</v>
      </c>
      <c r="I503" s="10" t="s">
        <v>22</v>
      </c>
    </row>
    <row r="504" spans="1:9" hidden="1">
      <c r="A504" t="s">
        <v>986</v>
      </c>
      <c r="B504" t="s">
        <v>3268</v>
      </c>
      <c r="C504" t="s">
        <v>19</v>
      </c>
      <c r="D504" s="2">
        <v>25849.323661903458</v>
      </c>
      <c r="E504">
        <f>VLOOKUP(I504,Calc!$I$35:$J$39,2,FALSE)</f>
        <v>5</v>
      </c>
      <c r="G504" s="10" t="s">
        <v>107</v>
      </c>
      <c r="H504" s="10" t="s">
        <v>987</v>
      </c>
      <c r="I504" s="10" t="s">
        <v>14</v>
      </c>
    </row>
    <row r="505" spans="1:9" hidden="1">
      <c r="A505" t="s">
        <v>988</v>
      </c>
      <c r="B505" t="s">
        <v>3268</v>
      </c>
      <c r="C505" t="s">
        <v>19</v>
      </c>
      <c r="D505" s="2">
        <v>122941.90522124816</v>
      </c>
      <c r="E505">
        <f>VLOOKUP(I505,Calc!$I$35:$J$39,2,FALSE)</f>
        <v>1.5</v>
      </c>
      <c r="G505" s="10" t="s">
        <v>107</v>
      </c>
      <c r="H505" s="10" t="s">
        <v>989</v>
      </c>
      <c r="I505" s="10" t="s">
        <v>47</v>
      </c>
    </row>
    <row r="506" spans="1:9" hidden="1">
      <c r="A506" t="s">
        <v>990</v>
      </c>
      <c r="B506" t="s">
        <v>3267</v>
      </c>
      <c r="C506" t="s">
        <v>29</v>
      </c>
      <c r="D506" s="2">
        <v>76000</v>
      </c>
      <c r="E506">
        <f>VLOOKUP(I506,Calc!$I$35:$J$39,2,FALSE)</f>
        <v>2.5</v>
      </c>
      <c r="G506" s="10" t="s">
        <v>30</v>
      </c>
      <c r="H506" s="10" t="s">
        <v>789</v>
      </c>
      <c r="I506" s="10" t="s">
        <v>36</v>
      </c>
    </row>
    <row r="507" spans="1:9" hidden="1">
      <c r="A507" t="s">
        <v>991</v>
      </c>
      <c r="B507" t="s">
        <v>3264</v>
      </c>
      <c r="C507" t="s">
        <v>29</v>
      </c>
      <c r="D507" s="2">
        <v>150000</v>
      </c>
      <c r="E507">
        <f>VLOOKUP(I507,Calc!$I$35:$J$39,2,FALSE)</f>
        <v>8</v>
      </c>
      <c r="G507" s="10" t="s">
        <v>30</v>
      </c>
      <c r="H507" s="10" t="s">
        <v>90</v>
      </c>
      <c r="I507" s="10" t="s">
        <v>22</v>
      </c>
    </row>
    <row r="508" spans="1:9">
      <c r="A508" t="s">
        <v>992</v>
      </c>
      <c r="B508" t="s">
        <v>3268</v>
      </c>
      <c r="C508" t="s">
        <v>29</v>
      </c>
      <c r="D508" s="2">
        <v>54000</v>
      </c>
      <c r="E508">
        <f>VLOOKUP(I508,Calc!$I$35:$J$39,2,FALSE)</f>
        <v>5</v>
      </c>
      <c r="G508" s="10" t="s">
        <v>30</v>
      </c>
      <c r="H508" s="10" t="s">
        <v>320</v>
      </c>
      <c r="I508" s="10" t="s">
        <v>14</v>
      </c>
    </row>
    <row r="509" spans="1:9" hidden="1">
      <c r="A509" t="s">
        <v>993</v>
      </c>
      <c r="B509" t="s">
        <v>3267</v>
      </c>
      <c r="C509" t="s">
        <v>48</v>
      </c>
      <c r="D509" s="2">
        <v>57000</v>
      </c>
      <c r="E509">
        <f>VLOOKUP(I509,Calc!$I$35:$J$39,2,FALSE)</f>
        <v>5</v>
      </c>
      <c r="G509" s="10" t="s">
        <v>675</v>
      </c>
      <c r="H509" s="10" t="s">
        <v>994</v>
      </c>
      <c r="I509" s="10" t="s">
        <v>14</v>
      </c>
    </row>
    <row r="510" spans="1:9" hidden="1">
      <c r="A510" t="s">
        <v>995</v>
      </c>
      <c r="B510" t="s">
        <v>3269</v>
      </c>
      <c r="C510" t="s">
        <v>29</v>
      </c>
      <c r="D510" s="2">
        <v>61000</v>
      </c>
      <c r="E510">
        <f>VLOOKUP(I510,Calc!$I$35:$J$39,2,FALSE)</f>
        <v>5</v>
      </c>
      <c r="G510" s="10" t="s">
        <v>30</v>
      </c>
      <c r="H510" s="10" t="s">
        <v>132</v>
      </c>
      <c r="I510" s="10" t="s">
        <v>14</v>
      </c>
    </row>
    <row r="511" spans="1:9">
      <c r="A511" t="s">
        <v>996</v>
      </c>
      <c r="B511" t="s">
        <v>3268</v>
      </c>
      <c r="C511" t="s">
        <v>29</v>
      </c>
      <c r="D511" s="2">
        <v>70000</v>
      </c>
      <c r="E511">
        <f>VLOOKUP(I511,Calc!$I$35:$J$39,2,FALSE)</f>
        <v>8</v>
      </c>
      <c r="G511" s="10" t="s">
        <v>30</v>
      </c>
      <c r="H511" s="10" t="s">
        <v>997</v>
      </c>
      <c r="I511" s="10" t="s">
        <v>22</v>
      </c>
    </row>
    <row r="512" spans="1:9" hidden="1">
      <c r="A512" t="s">
        <v>998</v>
      </c>
      <c r="B512" t="s">
        <v>3267</v>
      </c>
      <c r="C512" t="s">
        <v>11</v>
      </c>
      <c r="D512" s="2">
        <v>15000</v>
      </c>
      <c r="E512">
        <f>VLOOKUP(I512,Calc!$I$35:$J$39,2,FALSE)</f>
        <v>5</v>
      </c>
      <c r="G512" s="10" t="s">
        <v>12</v>
      </c>
      <c r="H512" s="10" t="s">
        <v>999</v>
      </c>
      <c r="I512" s="10" t="s">
        <v>14</v>
      </c>
    </row>
    <row r="513" spans="1:9" hidden="1">
      <c r="A513" t="s">
        <v>1000</v>
      </c>
      <c r="B513" t="s">
        <v>3267</v>
      </c>
      <c r="C513" t="s">
        <v>29</v>
      </c>
      <c r="D513" s="2">
        <v>86093.301341305123</v>
      </c>
      <c r="E513">
        <f>VLOOKUP(I513,Calc!$I$35:$J$39,2,FALSE)</f>
        <v>5</v>
      </c>
      <c r="G513" s="10" t="s">
        <v>128</v>
      </c>
      <c r="H513" s="10" t="s">
        <v>44</v>
      </c>
      <c r="I513" s="10" t="s">
        <v>14</v>
      </c>
    </row>
    <row r="514" spans="1:9" hidden="1">
      <c r="A514" t="s">
        <v>1001</v>
      </c>
      <c r="B514" t="s">
        <v>3267</v>
      </c>
      <c r="C514" t="s">
        <v>29</v>
      </c>
      <c r="D514" s="2">
        <v>72600</v>
      </c>
      <c r="E514">
        <f>VLOOKUP(I514,Calc!$I$35:$J$39,2,FALSE)</f>
        <v>2.5</v>
      </c>
      <c r="G514" s="10" t="s">
        <v>30</v>
      </c>
      <c r="H514" s="10" t="s">
        <v>1002</v>
      </c>
      <c r="I514" s="10" t="s">
        <v>36</v>
      </c>
    </row>
    <row r="515" spans="1:9" hidden="1">
      <c r="A515" t="s">
        <v>1003</v>
      </c>
      <c r="B515" t="s">
        <v>3249</v>
      </c>
      <c r="C515" t="s">
        <v>29</v>
      </c>
      <c r="D515" s="2">
        <v>100000</v>
      </c>
      <c r="E515">
        <f>VLOOKUP(I515,Calc!$I$35:$J$39,2,FALSE)</f>
        <v>2.5</v>
      </c>
      <c r="G515" s="10" t="s">
        <v>30</v>
      </c>
      <c r="H515" s="10" t="s">
        <v>211</v>
      </c>
      <c r="I515" s="10" t="s">
        <v>36</v>
      </c>
    </row>
    <row r="516" spans="1:9">
      <c r="A516" t="s">
        <v>1004</v>
      </c>
      <c r="B516" t="s">
        <v>3268</v>
      </c>
      <c r="C516" t="s">
        <v>29</v>
      </c>
      <c r="D516" s="2">
        <v>104000</v>
      </c>
      <c r="E516">
        <f>VLOOKUP(I516,Calc!$I$35:$J$39,2,FALSE)</f>
        <v>5</v>
      </c>
      <c r="G516" s="10" t="s">
        <v>30</v>
      </c>
      <c r="H516" s="10" t="s">
        <v>1005</v>
      </c>
      <c r="I516" s="10" t="s">
        <v>14</v>
      </c>
    </row>
    <row r="517" spans="1:9" hidden="1">
      <c r="A517" t="s">
        <v>1006</v>
      </c>
      <c r="B517" t="s">
        <v>3267</v>
      </c>
      <c r="C517" t="s">
        <v>11</v>
      </c>
      <c r="D517" s="2">
        <v>10684.750012465542</v>
      </c>
      <c r="E517">
        <f>VLOOKUP(I517,Calc!$I$35:$J$39,2,FALSE)</f>
        <v>5</v>
      </c>
      <c r="G517" s="10" t="s">
        <v>12</v>
      </c>
      <c r="H517" s="10" t="s">
        <v>310</v>
      </c>
      <c r="I517" s="10" t="s">
        <v>14</v>
      </c>
    </row>
    <row r="518" spans="1:9" hidden="1">
      <c r="A518" t="s">
        <v>1007</v>
      </c>
      <c r="B518" t="s">
        <v>3249</v>
      </c>
      <c r="C518" t="s">
        <v>29</v>
      </c>
      <c r="D518" s="2">
        <v>200000</v>
      </c>
      <c r="E518">
        <f>VLOOKUP(I518,Calc!$I$35:$J$39,2,FALSE)</f>
        <v>2.5</v>
      </c>
      <c r="G518" s="10" t="s">
        <v>30</v>
      </c>
      <c r="H518" s="10" t="s">
        <v>1008</v>
      </c>
      <c r="I518" s="10" t="s">
        <v>36</v>
      </c>
    </row>
    <row r="519" spans="1:9" hidden="1">
      <c r="A519" t="s">
        <v>1009</v>
      </c>
      <c r="B519" t="s">
        <v>3269</v>
      </c>
      <c r="C519" t="s">
        <v>19</v>
      </c>
      <c r="D519" s="2">
        <v>62564.631571458704</v>
      </c>
      <c r="E519">
        <f>VLOOKUP(I519,Calc!$I$35:$J$39,2,FALSE)</f>
        <v>8</v>
      </c>
      <c r="G519" s="10" t="s">
        <v>143</v>
      </c>
      <c r="H519" s="10" t="s">
        <v>1010</v>
      </c>
      <c r="I519" s="10" t="s">
        <v>22</v>
      </c>
    </row>
    <row r="520" spans="1:9" hidden="1">
      <c r="A520" t="s">
        <v>1011</v>
      </c>
      <c r="B520" t="s">
        <v>3267</v>
      </c>
      <c r="C520" t="s">
        <v>19</v>
      </c>
      <c r="D520" s="2">
        <v>57530.506930455871</v>
      </c>
      <c r="E520">
        <f>VLOOKUP(I520,Calc!$I$35:$J$39,2,FALSE)</f>
        <v>2.5</v>
      </c>
      <c r="G520" s="10" t="s">
        <v>107</v>
      </c>
      <c r="H520" s="10" t="s">
        <v>1012</v>
      </c>
      <c r="I520" s="10" t="s">
        <v>36</v>
      </c>
    </row>
    <row r="521" spans="1:9" hidden="1">
      <c r="A521" t="s">
        <v>1013</v>
      </c>
      <c r="B521" t="s">
        <v>3267</v>
      </c>
      <c r="C521" t="s">
        <v>29</v>
      </c>
      <c r="D521" s="2">
        <v>82300</v>
      </c>
      <c r="E521">
        <f>VLOOKUP(I521,Calc!$I$35:$J$39,2,FALSE)</f>
        <v>2.5</v>
      </c>
      <c r="G521" s="10" t="s">
        <v>30</v>
      </c>
      <c r="H521" s="10" t="s">
        <v>1014</v>
      </c>
      <c r="I521" s="10" t="s">
        <v>36</v>
      </c>
    </row>
    <row r="522" spans="1:9" hidden="1">
      <c r="A522" t="s">
        <v>1015</v>
      </c>
      <c r="B522" t="s">
        <v>3264</v>
      </c>
      <c r="C522" t="s">
        <v>29</v>
      </c>
      <c r="D522" s="2">
        <v>95000</v>
      </c>
      <c r="E522">
        <f>VLOOKUP(I522,Calc!$I$35:$J$39,2,FALSE)</f>
        <v>5</v>
      </c>
      <c r="G522" s="10" t="s">
        <v>30</v>
      </c>
      <c r="H522" s="10" t="s">
        <v>1016</v>
      </c>
      <c r="I522" s="10" t="s">
        <v>14</v>
      </c>
    </row>
    <row r="523" spans="1:9" hidden="1">
      <c r="A523" t="s">
        <v>1017</v>
      </c>
      <c r="B523" t="s">
        <v>3265</v>
      </c>
      <c r="C523" t="s">
        <v>19</v>
      </c>
      <c r="D523" s="2">
        <v>220664.95808941979</v>
      </c>
      <c r="E523">
        <f>VLOOKUP(I523,Calc!$I$35:$J$39,2,FALSE)</f>
        <v>8</v>
      </c>
      <c r="G523" s="10" t="s">
        <v>107</v>
      </c>
      <c r="H523" s="10" t="s">
        <v>1018</v>
      </c>
      <c r="I523" s="10" t="s">
        <v>22</v>
      </c>
    </row>
    <row r="524" spans="1:9" hidden="1">
      <c r="A524" t="s">
        <v>1019</v>
      </c>
      <c r="B524" t="s">
        <v>3268</v>
      </c>
      <c r="C524" t="s">
        <v>19</v>
      </c>
      <c r="D524" s="2">
        <v>72000</v>
      </c>
      <c r="E524">
        <f>VLOOKUP(I524,Calc!$I$35:$J$39,2,FALSE)</f>
        <v>2.5</v>
      </c>
      <c r="G524" s="10" t="s">
        <v>103</v>
      </c>
      <c r="H524" s="10" t="s">
        <v>1020</v>
      </c>
      <c r="I524" s="10" t="s">
        <v>36</v>
      </c>
    </row>
    <row r="525" spans="1:9" hidden="1">
      <c r="A525" t="s">
        <v>1021</v>
      </c>
      <c r="B525" t="s">
        <v>3268</v>
      </c>
      <c r="C525" t="s">
        <v>32</v>
      </c>
      <c r="D525" s="2">
        <v>61194.579384158147</v>
      </c>
      <c r="E525">
        <f>VLOOKUP(I525,Calc!$I$35:$J$39,2,FALSE)</f>
        <v>2.5</v>
      </c>
      <c r="G525" s="10" t="s">
        <v>123</v>
      </c>
      <c r="H525" s="10" t="s">
        <v>10</v>
      </c>
      <c r="I525" s="10" t="s">
        <v>36</v>
      </c>
    </row>
    <row r="526" spans="1:9" hidden="1">
      <c r="A526" t="s">
        <v>1022</v>
      </c>
      <c r="B526" t="s">
        <v>3267</v>
      </c>
      <c r="C526" t="s">
        <v>32</v>
      </c>
      <c r="D526" s="2">
        <v>120000</v>
      </c>
      <c r="E526">
        <f>VLOOKUP(I526,Calc!$I$35:$J$39,2,FALSE)</f>
        <v>2.5</v>
      </c>
      <c r="G526" s="10" t="s">
        <v>1023</v>
      </c>
      <c r="H526" s="10" t="s">
        <v>1024</v>
      </c>
      <c r="I526" s="10" t="s">
        <v>36</v>
      </c>
    </row>
    <row r="527" spans="1:9" hidden="1">
      <c r="A527" t="s">
        <v>1025</v>
      </c>
      <c r="B527" t="s">
        <v>3249</v>
      </c>
      <c r="C527" t="s">
        <v>3248</v>
      </c>
      <c r="D527" s="2">
        <v>95000</v>
      </c>
      <c r="E527">
        <f>VLOOKUP(I527,Calc!$I$35:$J$39,2,FALSE)</f>
        <v>2.5</v>
      </c>
      <c r="G527" s="10" t="s">
        <v>1026</v>
      </c>
      <c r="H527" s="10" t="s">
        <v>1027</v>
      </c>
      <c r="I527" s="10" t="s">
        <v>36</v>
      </c>
    </row>
    <row r="528" spans="1:9">
      <c r="A528" t="s">
        <v>1028</v>
      </c>
      <c r="B528" t="s">
        <v>3268</v>
      </c>
      <c r="C528" t="s">
        <v>29</v>
      </c>
      <c r="D528" s="2">
        <v>50000</v>
      </c>
      <c r="E528">
        <f>VLOOKUP(I528,Calc!$I$35:$J$39,2,FALSE)</f>
        <v>2.5</v>
      </c>
      <c r="G528" s="10" t="s">
        <v>30</v>
      </c>
      <c r="H528" s="10" t="s">
        <v>1029</v>
      </c>
      <c r="I528" s="10" t="s">
        <v>36</v>
      </c>
    </row>
    <row r="529" spans="1:9" hidden="1">
      <c r="A529" t="s">
        <v>1030</v>
      </c>
      <c r="B529" t="s">
        <v>3267</v>
      </c>
      <c r="C529" t="s">
        <v>19</v>
      </c>
      <c r="D529" s="2">
        <v>115061.01386091174</v>
      </c>
      <c r="E529">
        <f>VLOOKUP(I529,Calc!$I$35:$J$39,2,FALSE)</f>
        <v>5</v>
      </c>
      <c r="G529" s="10" t="s">
        <v>107</v>
      </c>
      <c r="H529" s="10" t="s">
        <v>1031</v>
      </c>
      <c r="I529" s="10" t="s">
        <v>14</v>
      </c>
    </row>
    <row r="530" spans="1:9">
      <c r="A530" t="s">
        <v>1032</v>
      </c>
      <c r="B530" t="s">
        <v>3268</v>
      </c>
      <c r="C530" t="s">
        <v>29</v>
      </c>
      <c r="D530" s="2">
        <v>50000</v>
      </c>
      <c r="E530">
        <f>VLOOKUP(I530,Calc!$I$35:$J$39,2,FALSE)</f>
        <v>5</v>
      </c>
      <c r="G530" s="10" t="s">
        <v>1033</v>
      </c>
      <c r="H530" s="10" t="s">
        <v>1034</v>
      </c>
      <c r="I530" s="10" t="s">
        <v>14</v>
      </c>
    </row>
    <row r="531" spans="1:9">
      <c r="A531" t="s">
        <v>1035</v>
      </c>
      <c r="B531" t="s">
        <v>3268</v>
      </c>
      <c r="C531" t="s">
        <v>29</v>
      </c>
      <c r="D531" s="2">
        <v>46000</v>
      </c>
      <c r="E531">
        <f>VLOOKUP(I531,Calc!$I$35:$J$39,2,FALSE)</f>
        <v>2.5</v>
      </c>
      <c r="G531" s="10" t="s">
        <v>30</v>
      </c>
      <c r="H531" s="10" t="s">
        <v>308</v>
      </c>
      <c r="I531" s="10" t="s">
        <v>36</v>
      </c>
    </row>
    <row r="532" spans="1:9" hidden="1">
      <c r="A532" t="s">
        <v>1036</v>
      </c>
      <c r="B532" t="s">
        <v>3264</v>
      </c>
      <c r="C532" t="s">
        <v>11</v>
      </c>
      <c r="D532" s="2">
        <v>6368.453230079479</v>
      </c>
      <c r="E532">
        <f>VLOOKUP(I532,Calc!$I$35:$J$39,2,FALSE)</f>
        <v>5</v>
      </c>
      <c r="G532" s="10" t="s">
        <v>34</v>
      </c>
      <c r="H532" s="10" t="s">
        <v>1037</v>
      </c>
      <c r="I532" s="10" t="s">
        <v>14</v>
      </c>
    </row>
    <row r="533" spans="1:9" hidden="1">
      <c r="A533" t="s">
        <v>1038</v>
      </c>
      <c r="B533" t="s">
        <v>3268</v>
      </c>
      <c r="C533" t="s">
        <v>32</v>
      </c>
      <c r="D533" s="2">
        <v>86692.320794224041</v>
      </c>
      <c r="E533">
        <f>VLOOKUP(I533,Calc!$I$35:$J$39,2,FALSE)</f>
        <v>5</v>
      </c>
      <c r="G533" s="10" t="s">
        <v>123</v>
      </c>
      <c r="H533" s="10" t="s">
        <v>1039</v>
      </c>
      <c r="I533" s="10" t="s">
        <v>14</v>
      </c>
    </row>
    <row r="534" spans="1:9" hidden="1">
      <c r="A534" t="s">
        <v>1040</v>
      </c>
      <c r="B534" t="s">
        <v>3267</v>
      </c>
      <c r="C534" t="s">
        <v>11</v>
      </c>
      <c r="D534" s="2">
        <v>8013.5625093491553</v>
      </c>
      <c r="E534">
        <f>VLOOKUP(I534,Calc!$I$35:$J$39,2,FALSE)</f>
        <v>8</v>
      </c>
      <c r="G534" s="10" t="s">
        <v>12</v>
      </c>
      <c r="H534" s="10" t="s">
        <v>1041</v>
      </c>
      <c r="I534" s="10" t="s">
        <v>22</v>
      </c>
    </row>
    <row r="535" spans="1:9" hidden="1">
      <c r="A535" t="s">
        <v>1042</v>
      </c>
      <c r="B535" t="s">
        <v>3269</v>
      </c>
      <c r="C535" t="s">
        <v>29</v>
      </c>
      <c r="D535" s="2">
        <v>43000</v>
      </c>
      <c r="E535">
        <f>VLOOKUP(I535,Calc!$I$35:$J$39,2,FALSE)</f>
        <v>8</v>
      </c>
      <c r="G535" s="10" t="s">
        <v>30</v>
      </c>
      <c r="H535" s="10" t="s">
        <v>56</v>
      </c>
      <c r="I535" s="10" t="s">
        <v>22</v>
      </c>
    </row>
    <row r="536" spans="1:9" hidden="1">
      <c r="A536" t="s">
        <v>1043</v>
      </c>
      <c r="B536" t="s">
        <v>3266</v>
      </c>
      <c r="C536" t="s">
        <v>3248</v>
      </c>
      <c r="D536" s="2">
        <v>18000</v>
      </c>
      <c r="E536">
        <f>VLOOKUP(I536,Calc!$I$35:$J$39,2,FALSE)</f>
        <v>5</v>
      </c>
      <c r="G536" s="10" t="s">
        <v>216</v>
      </c>
      <c r="H536" s="10" t="s">
        <v>38</v>
      </c>
      <c r="I536" s="10" t="s">
        <v>14</v>
      </c>
    </row>
    <row r="537" spans="1:9">
      <c r="A537" t="s">
        <v>1044</v>
      </c>
      <c r="B537" t="s">
        <v>3268</v>
      </c>
      <c r="C537" t="s">
        <v>29</v>
      </c>
      <c r="D537" s="2">
        <v>55000</v>
      </c>
      <c r="E537">
        <f>VLOOKUP(I537,Calc!$I$35:$J$39,2,FALSE)</f>
        <v>2.5</v>
      </c>
      <c r="G537" s="10" t="s">
        <v>30</v>
      </c>
      <c r="H537" s="10" t="s">
        <v>632</v>
      </c>
      <c r="I537" s="10" t="s">
        <v>36</v>
      </c>
    </row>
    <row r="538" spans="1:9" hidden="1">
      <c r="A538" t="s">
        <v>1045</v>
      </c>
      <c r="B538" t="s">
        <v>3268</v>
      </c>
      <c r="C538" t="s">
        <v>11</v>
      </c>
      <c r="D538" s="2">
        <v>8903.9583437212841</v>
      </c>
      <c r="E538">
        <f>VLOOKUP(I538,Calc!$I$35:$J$39,2,FALSE)</f>
        <v>8</v>
      </c>
      <c r="G538" s="10" t="s">
        <v>12</v>
      </c>
      <c r="H538" s="10" t="s">
        <v>1046</v>
      </c>
      <c r="I538" s="10" t="s">
        <v>22</v>
      </c>
    </row>
    <row r="539" spans="1:9" hidden="1">
      <c r="A539" t="s">
        <v>1047</v>
      </c>
      <c r="B539" t="s">
        <v>77</v>
      </c>
      <c r="C539" t="s">
        <v>29</v>
      </c>
      <c r="D539" s="2">
        <v>45000</v>
      </c>
      <c r="E539">
        <f>VLOOKUP(I539,Calc!$I$35:$J$39,2,FALSE)</f>
        <v>8</v>
      </c>
      <c r="G539" s="10" t="s">
        <v>30</v>
      </c>
      <c r="H539" s="10" t="s">
        <v>1048</v>
      </c>
      <c r="I539" s="10" t="s">
        <v>22</v>
      </c>
    </row>
    <row r="540" spans="1:9" hidden="1">
      <c r="A540" t="s">
        <v>1049</v>
      </c>
      <c r="B540" t="s">
        <v>3267</v>
      </c>
      <c r="C540" t="s">
        <v>29</v>
      </c>
      <c r="D540" s="2">
        <v>50000</v>
      </c>
      <c r="E540">
        <f>VLOOKUP(I540,Calc!$I$35:$J$39,2,FALSE)</f>
        <v>5</v>
      </c>
      <c r="G540" s="10" t="s">
        <v>30</v>
      </c>
      <c r="H540" s="10" t="s">
        <v>1050</v>
      </c>
      <c r="I540" s="10" t="s">
        <v>14</v>
      </c>
    </row>
    <row r="541" spans="1:9">
      <c r="A541" t="s">
        <v>1051</v>
      </c>
      <c r="B541" t="s">
        <v>3268</v>
      </c>
      <c r="C541" t="s">
        <v>29</v>
      </c>
      <c r="D541" s="2">
        <v>80000</v>
      </c>
      <c r="E541">
        <f>VLOOKUP(I541,Calc!$I$35:$J$39,2,FALSE)</f>
        <v>8</v>
      </c>
      <c r="G541" s="10" t="s">
        <v>30</v>
      </c>
      <c r="H541" s="10" t="s">
        <v>1052</v>
      </c>
      <c r="I541" s="10" t="s">
        <v>22</v>
      </c>
    </row>
    <row r="542" spans="1:9">
      <c r="A542" t="s">
        <v>1053</v>
      </c>
      <c r="B542" t="s">
        <v>3268</v>
      </c>
      <c r="C542" t="s">
        <v>29</v>
      </c>
      <c r="D542" s="2">
        <v>67000</v>
      </c>
      <c r="E542">
        <f>VLOOKUP(I542,Calc!$I$35:$J$39,2,FALSE)</f>
        <v>5</v>
      </c>
      <c r="G542" s="10" t="s">
        <v>30</v>
      </c>
      <c r="H542" s="10" t="s">
        <v>644</v>
      </c>
      <c r="I542" s="10" t="s">
        <v>14</v>
      </c>
    </row>
    <row r="543" spans="1:9" hidden="1">
      <c r="A543" t="s">
        <v>1054</v>
      </c>
      <c r="B543" t="s">
        <v>3268</v>
      </c>
      <c r="C543" t="s">
        <v>11</v>
      </c>
      <c r="D543" s="2">
        <v>111000</v>
      </c>
      <c r="E543">
        <f>VLOOKUP(I543,Calc!$I$35:$J$39,2,FALSE)</f>
        <v>8</v>
      </c>
      <c r="G543" s="10" t="s">
        <v>1055</v>
      </c>
      <c r="H543" s="10" t="s">
        <v>689</v>
      </c>
      <c r="I543" s="10" t="s">
        <v>22</v>
      </c>
    </row>
    <row r="544" spans="1:9" hidden="1">
      <c r="A544" t="s">
        <v>1056</v>
      </c>
      <c r="B544" t="s">
        <v>3249</v>
      </c>
      <c r="C544" t="s">
        <v>29</v>
      </c>
      <c r="D544" s="2">
        <v>120000</v>
      </c>
      <c r="E544">
        <f>VLOOKUP(I544,Calc!$I$35:$J$39,2,FALSE)</f>
        <v>5</v>
      </c>
      <c r="G544" s="10" t="s">
        <v>30</v>
      </c>
      <c r="H544" s="10" t="s">
        <v>211</v>
      </c>
      <c r="I544" s="10" t="s">
        <v>14</v>
      </c>
    </row>
    <row r="545" spans="1:9" hidden="1">
      <c r="A545" t="s">
        <v>1057</v>
      </c>
      <c r="B545" t="s">
        <v>3264</v>
      </c>
      <c r="C545" t="s">
        <v>19</v>
      </c>
      <c r="D545" s="2">
        <v>31523.565441345683</v>
      </c>
      <c r="E545">
        <f>VLOOKUP(I545,Calc!$I$35:$J$39,2,FALSE)</f>
        <v>5</v>
      </c>
      <c r="G545" s="10" t="s">
        <v>107</v>
      </c>
      <c r="H545" s="10" t="s">
        <v>1058</v>
      </c>
      <c r="I545" s="10" t="s">
        <v>14</v>
      </c>
    </row>
    <row r="546" spans="1:9" hidden="1">
      <c r="A546" t="s">
        <v>1059</v>
      </c>
      <c r="B546" t="s">
        <v>3268</v>
      </c>
      <c r="C546" t="s">
        <v>32</v>
      </c>
      <c r="D546" s="2">
        <v>78533.043543002947</v>
      </c>
      <c r="E546">
        <f>VLOOKUP(I546,Calc!$I$35:$J$39,2,FALSE)</f>
        <v>2.5</v>
      </c>
      <c r="G546" s="10" t="s">
        <v>123</v>
      </c>
      <c r="H546" s="10" t="s">
        <v>1060</v>
      </c>
      <c r="I546" s="10" t="s">
        <v>36</v>
      </c>
    </row>
    <row r="547" spans="1:9" hidden="1">
      <c r="A547" t="s">
        <v>1061</v>
      </c>
      <c r="B547" t="s">
        <v>3265</v>
      </c>
      <c r="C547" t="s">
        <v>29</v>
      </c>
      <c r="D547" s="2">
        <v>60000</v>
      </c>
      <c r="E547">
        <f>VLOOKUP(I547,Calc!$I$35:$J$39,2,FALSE)</f>
        <v>1.5</v>
      </c>
      <c r="G547" s="10" t="s">
        <v>30</v>
      </c>
      <c r="H547" s="10" t="s">
        <v>1062</v>
      </c>
      <c r="I547" s="10" t="s">
        <v>47</v>
      </c>
    </row>
    <row r="548" spans="1:9">
      <c r="A548" t="s">
        <v>1063</v>
      </c>
      <c r="B548" t="s">
        <v>3268</v>
      </c>
      <c r="C548" t="s">
        <v>29</v>
      </c>
      <c r="D548" s="2">
        <v>35000</v>
      </c>
      <c r="E548">
        <f>VLOOKUP(I548,Calc!$I$35:$J$39,2,FALSE)</f>
        <v>2.5</v>
      </c>
      <c r="G548" s="10" t="s">
        <v>30</v>
      </c>
      <c r="H548" s="10" t="s">
        <v>10</v>
      </c>
      <c r="I548" s="10" t="s">
        <v>36</v>
      </c>
    </row>
    <row r="549" spans="1:9" hidden="1">
      <c r="A549" t="s">
        <v>1064</v>
      </c>
      <c r="B549" t="s">
        <v>3267</v>
      </c>
      <c r="C549" t="s">
        <v>3248</v>
      </c>
      <c r="D549" s="2">
        <v>63519.971949580387</v>
      </c>
      <c r="E549">
        <f>VLOOKUP(I549,Calc!$I$35:$J$39,2,FALSE)</f>
        <v>2.5</v>
      </c>
      <c r="G549" s="10" t="s">
        <v>206</v>
      </c>
      <c r="H549" s="10" t="s">
        <v>1065</v>
      </c>
      <c r="I549" s="10" t="s">
        <v>36</v>
      </c>
    </row>
    <row r="550" spans="1:9" hidden="1">
      <c r="A550" t="s">
        <v>1066</v>
      </c>
      <c r="B550" t="s">
        <v>3265</v>
      </c>
      <c r="C550" t="s">
        <v>29</v>
      </c>
      <c r="D550" s="2">
        <v>54000</v>
      </c>
      <c r="E550">
        <f>VLOOKUP(I550,Calc!$I$35:$J$39,2,FALSE)</f>
        <v>8</v>
      </c>
      <c r="F550">
        <v>5</v>
      </c>
      <c r="G550" s="10" t="s">
        <v>30</v>
      </c>
      <c r="H550" s="10" t="s">
        <v>1067</v>
      </c>
      <c r="I550" s="10" t="s">
        <v>22</v>
      </c>
    </row>
    <row r="551" spans="1:9" hidden="1">
      <c r="A551" t="s">
        <v>1068</v>
      </c>
      <c r="B551" t="s">
        <v>3263</v>
      </c>
      <c r="C551" t="s">
        <v>3248</v>
      </c>
      <c r="D551" s="2">
        <v>15600</v>
      </c>
      <c r="E551">
        <f>VLOOKUP(I551,Calc!$I$35:$J$39,2,FALSE)</f>
        <v>5</v>
      </c>
      <c r="F551">
        <v>20</v>
      </c>
      <c r="G551" s="10" t="s">
        <v>216</v>
      </c>
      <c r="H551" s="10" t="s">
        <v>1069</v>
      </c>
      <c r="I551" s="10" t="s">
        <v>14</v>
      </c>
    </row>
    <row r="552" spans="1:9">
      <c r="A552" t="s">
        <v>1070</v>
      </c>
      <c r="B552" t="s">
        <v>3268</v>
      </c>
      <c r="C552" t="s">
        <v>29</v>
      </c>
      <c r="D552" s="2">
        <v>35000</v>
      </c>
      <c r="E552">
        <f>VLOOKUP(I552,Calc!$I$35:$J$39,2,FALSE)</f>
        <v>1.5</v>
      </c>
      <c r="F552">
        <v>7</v>
      </c>
      <c r="G552" s="10" t="s">
        <v>30</v>
      </c>
      <c r="H552" s="10" t="s">
        <v>1071</v>
      </c>
      <c r="I552" s="10" t="s">
        <v>47</v>
      </c>
    </row>
    <row r="553" spans="1:9" hidden="1">
      <c r="A553" t="s">
        <v>1072</v>
      </c>
      <c r="B553" t="s">
        <v>3249</v>
      </c>
      <c r="C553" t="s">
        <v>29</v>
      </c>
      <c r="D553" s="2">
        <v>188000</v>
      </c>
      <c r="E553">
        <f>VLOOKUP(I553,Calc!$I$35:$J$39,2,FALSE)</f>
        <v>1.5</v>
      </c>
      <c r="F553">
        <v>20</v>
      </c>
      <c r="G553" s="10" t="s">
        <v>30</v>
      </c>
      <c r="H553" s="10" t="s">
        <v>1073</v>
      </c>
      <c r="I553" s="10" t="s">
        <v>47</v>
      </c>
    </row>
    <row r="554" spans="1:9">
      <c r="A554" t="s">
        <v>1074</v>
      </c>
      <c r="B554" t="s">
        <v>3268</v>
      </c>
      <c r="C554" t="s">
        <v>29</v>
      </c>
      <c r="D554" s="2">
        <v>27500</v>
      </c>
      <c r="E554">
        <f>VLOOKUP(I554,Calc!$I$35:$J$39,2,FALSE)</f>
        <v>8</v>
      </c>
      <c r="F554">
        <v>1</v>
      </c>
      <c r="G554" s="10" t="s">
        <v>30</v>
      </c>
      <c r="H554" s="10" t="s">
        <v>989</v>
      </c>
      <c r="I554" s="10" t="s">
        <v>22</v>
      </c>
    </row>
    <row r="555" spans="1:9" hidden="1">
      <c r="A555" t="s">
        <v>1075</v>
      </c>
      <c r="B555" t="s">
        <v>3263</v>
      </c>
      <c r="C555" t="s">
        <v>29</v>
      </c>
      <c r="D555" s="2">
        <v>140000</v>
      </c>
      <c r="E555">
        <f>VLOOKUP(I555,Calc!$I$35:$J$39,2,FALSE)</f>
        <v>2.5</v>
      </c>
      <c r="F555">
        <v>10</v>
      </c>
      <c r="G555" s="10" t="s">
        <v>30</v>
      </c>
      <c r="H555" s="10" t="s">
        <v>617</v>
      </c>
      <c r="I555" s="10" t="s">
        <v>36</v>
      </c>
    </row>
    <row r="556" spans="1:9" hidden="1">
      <c r="A556" t="s">
        <v>1076</v>
      </c>
      <c r="B556" t="s">
        <v>3268</v>
      </c>
      <c r="C556" t="s">
        <v>19</v>
      </c>
      <c r="D556" s="2">
        <v>69871.969144538423</v>
      </c>
      <c r="E556">
        <f>VLOOKUP(I556,Calc!$I$35:$J$39,2,FALSE)</f>
        <v>8</v>
      </c>
      <c r="F556">
        <v>6</v>
      </c>
      <c r="G556" s="10" t="s">
        <v>143</v>
      </c>
      <c r="H556" s="10" t="s">
        <v>1039</v>
      </c>
      <c r="I556" s="10" t="s">
        <v>22</v>
      </c>
    </row>
    <row r="557" spans="1:9">
      <c r="A557" t="s">
        <v>1077</v>
      </c>
      <c r="B557" t="s">
        <v>3268</v>
      </c>
      <c r="C557" t="s">
        <v>29</v>
      </c>
      <c r="D557" s="2">
        <v>45000</v>
      </c>
      <c r="E557">
        <f>VLOOKUP(I557,Calc!$I$35:$J$39,2,FALSE)</f>
        <v>5</v>
      </c>
      <c r="F557">
        <v>2</v>
      </c>
      <c r="G557" s="10" t="s">
        <v>30</v>
      </c>
      <c r="H557" s="10" t="s">
        <v>1078</v>
      </c>
      <c r="I557" s="10" t="s">
        <v>14</v>
      </c>
    </row>
    <row r="558" spans="1:9" hidden="1">
      <c r="A558" t="s">
        <v>1079</v>
      </c>
      <c r="B558" t="s">
        <v>3268</v>
      </c>
      <c r="C558" t="s">
        <v>32</v>
      </c>
      <c r="D558" s="2">
        <v>95000</v>
      </c>
      <c r="E558">
        <f>VLOOKUP(I558,Calc!$I$35:$J$39,2,FALSE)</f>
        <v>2.5</v>
      </c>
      <c r="F558">
        <v>11</v>
      </c>
      <c r="G558" s="10" t="s">
        <v>123</v>
      </c>
      <c r="H558" s="10" t="s">
        <v>320</v>
      </c>
      <c r="I558" s="10" t="s">
        <v>36</v>
      </c>
    </row>
    <row r="559" spans="1:9" hidden="1">
      <c r="A559" t="s">
        <v>1080</v>
      </c>
      <c r="B559" t="s">
        <v>3267</v>
      </c>
      <c r="C559" t="s">
        <v>32</v>
      </c>
      <c r="D559" s="2">
        <v>158085.99674240855</v>
      </c>
      <c r="E559">
        <f>VLOOKUP(I559,Calc!$I$35:$J$39,2,FALSE)</f>
        <v>5</v>
      </c>
      <c r="F559">
        <v>20</v>
      </c>
      <c r="G559" s="10" t="s">
        <v>123</v>
      </c>
      <c r="H559" s="10" t="s">
        <v>1081</v>
      </c>
      <c r="I559" s="10" t="s">
        <v>14</v>
      </c>
    </row>
    <row r="560" spans="1:9" hidden="1">
      <c r="A560" t="s">
        <v>1082</v>
      </c>
      <c r="B560" t="s">
        <v>3268</v>
      </c>
      <c r="C560" t="s">
        <v>32</v>
      </c>
      <c r="D560" s="2">
        <v>63807.047488395103</v>
      </c>
      <c r="E560">
        <f>VLOOKUP(I560,Calc!$I$35:$J$39,2,FALSE)</f>
        <v>5</v>
      </c>
      <c r="F560">
        <v>23</v>
      </c>
      <c r="G560" s="10" t="s">
        <v>1023</v>
      </c>
      <c r="H560" s="10" t="s">
        <v>1083</v>
      </c>
      <c r="I560" s="10" t="s">
        <v>14</v>
      </c>
    </row>
    <row r="561" spans="1:9">
      <c r="A561" t="s">
        <v>1084</v>
      </c>
      <c r="B561" t="s">
        <v>3268</v>
      </c>
      <c r="C561" t="s">
        <v>29</v>
      </c>
      <c r="D561" s="2">
        <v>38000</v>
      </c>
      <c r="E561">
        <f>VLOOKUP(I561,Calc!$I$35:$J$39,2,FALSE)</f>
        <v>8</v>
      </c>
      <c r="F561">
        <v>11</v>
      </c>
      <c r="G561" s="10" t="s">
        <v>30</v>
      </c>
      <c r="H561" s="10" t="s">
        <v>1085</v>
      </c>
      <c r="I561" s="10" t="s">
        <v>22</v>
      </c>
    </row>
    <row r="562" spans="1:9" hidden="1">
      <c r="A562" t="s">
        <v>1086</v>
      </c>
      <c r="B562" t="s">
        <v>3267</v>
      </c>
      <c r="C562" t="s">
        <v>29</v>
      </c>
      <c r="D562" s="2">
        <v>90000</v>
      </c>
      <c r="E562">
        <f>VLOOKUP(I562,Calc!$I$35:$J$39,2,FALSE)</f>
        <v>5</v>
      </c>
      <c r="F562">
        <v>6</v>
      </c>
      <c r="G562" s="10" t="s">
        <v>30</v>
      </c>
      <c r="H562" s="10" t="s">
        <v>1087</v>
      </c>
      <c r="I562" s="10" t="s">
        <v>14</v>
      </c>
    </row>
    <row r="563" spans="1:9" hidden="1">
      <c r="A563" t="s">
        <v>1088</v>
      </c>
      <c r="B563" t="s">
        <v>3267</v>
      </c>
      <c r="C563" t="s">
        <v>19</v>
      </c>
      <c r="D563" s="2">
        <v>45393.934235537781</v>
      </c>
      <c r="E563">
        <f>VLOOKUP(I563,Calc!$I$35:$J$39,2,FALSE)</f>
        <v>5</v>
      </c>
      <c r="F563">
        <v>27</v>
      </c>
      <c r="G563" s="10" t="s">
        <v>107</v>
      </c>
      <c r="H563" s="10" t="s">
        <v>1031</v>
      </c>
      <c r="I563" s="10" t="s">
        <v>14</v>
      </c>
    </row>
    <row r="564" spans="1:9" hidden="1">
      <c r="A564" t="s">
        <v>1089</v>
      </c>
      <c r="B564" t="s">
        <v>3268</v>
      </c>
      <c r="C564" t="s">
        <v>19</v>
      </c>
      <c r="D564" s="2">
        <v>33099.743713412965</v>
      </c>
      <c r="E564">
        <f>VLOOKUP(I564,Calc!$I$35:$J$39,2,FALSE)</f>
        <v>8</v>
      </c>
      <c r="F564">
        <v>10</v>
      </c>
      <c r="G564" s="10" t="s">
        <v>107</v>
      </c>
      <c r="H564" s="10" t="s">
        <v>167</v>
      </c>
      <c r="I564" s="10" t="s">
        <v>22</v>
      </c>
    </row>
    <row r="565" spans="1:9" hidden="1">
      <c r="A565" t="s">
        <v>1090</v>
      </c>
      <c r="B565" t="s">
        <v>3268</v>
      </c>
      <c r="C565" t="s">
        <v>11</v>
      </c>
      <c r="D565" s="2">
        <v>4285</v>
      </c>
      <c r="E565">
        <f>VLOOKUP(I565,Calc!$I$35:$J$39,2,FALSE)</f>
        <v>8</v>
      </c>
      <c r="F565">
        <v>6</v>
      </c>
      <c r="G565" s="10" t="s">
        <v>12</v>
      </c>
      <c r="H565" s="10" t="s">
        <v>1091</v>
      </c>
      <c r="I565" s="10" t="s">
        <v>22</v>
      </c>
    </row>
    <row r="566" spans="1:9" hidden="1">
      <c r="A566" t="s">
        <v>1092</v>
      </c>
      <c r="B566" t="s">
        <v>3267</v>
      </c>
      <c r="C566" t="s">
        <v>3248</v>
      </c>
      <c r="D566" s="2">
        <v>6000</v>
      </c>
      <c r="E566">
        <f>VLOOKUP(I566,Calc!$I$35:$J$39,2,FALSE)</f>
        <v>1.5</v>
      </c>
      <c r="F566">
        <v>20</v>
      </c>
      <c r="G566" s="10" t="s">
        <v>1093</v>
      </c>
      <c r="H566" s="10" t="s">
        <v>1094</v>
      </c>
      <c r="I566" s="10" t="s">
        <v>47</v>
      </c>
    </row>
    <row r="567" spans="1:9" hidden="1">
      <c r="A567" t="s">
        <v>1095</v>
      </c>
      <c r="B567" t="s">
        <v>3268</v>
      </c>
      <c r="C567" t="s">
        <v>32</v>
      </c>
      <c r="D567" s="2">
        <v>22438.012440857987</v>
      </c>
      <c r="E567">
        <f>VLOOKUP(I567,Calc!$I$35:$J$39,2,FALSE)</f>
        <v>5</v>
      </c>
      <c r="F567">
        <v>8</v>
      </c>
      <c r="G567" s="10" t="s">
        <v>123</v>
      </c>
      <c r="H567" s="10" t="s">
        <v>167</v>
      </c>
      <c r="I567" s="10" t="s">
        <v>14</v>
      </c>
    </row>
    <row r="568" spans="1:9" hidden="1">
      <c r="A568" t="s">
        <v>1096</v>
      </c>
      <c r="B568" t="s">
        <v>3267</v>
      </c>
      <c r="C568" t="s">
        <v>29</v>
      </c>
      <c r="D568" s="2">
        <v>90000</v>
      </c>
      <c r="E568">
        <f>VLOOKUP(I568,Calc!$I$35:$J$39,2,FALSE)</f>
        <v>2.5</v>
      </c>
      <c r="F568">
        <v>15</v>
      </c>
      <c r="G568" s="10" t="s">
        <v>30</v>
      </c>
      <c r="H568" s="10" t="s">
        <v>44</v>
      </c>
      <c r="I568" s="10" t="s">
        <v>36</v>
      </c>
    </row>
    <row r="569" spans="1:9" hidden="1">
      <c r="A569" t="s">
        <v>1097</v>
      </c>
      <c r="B569" t="s">
        <v>3249</v>
      </c>
      <c r="C569" t="s">
        <v>29</v>
      </c>
      <c r="D569" s="2">
        <v>150000</v>
      </c>
      <c r="E569">
        <f>VLOOKUP(I569,Calc!$I$35:$J$39,2,FALSE)</f>
        <v>5</v>
      </c>
      <c r="F569">
        <v>22</v>
      </c>
      <c r="G569" s="10" t="s">
        <v>30</v>
      </c>
      <c r="H569" s="10" t="s">
        <v>54</v>
      </c>
      <c r="I569" s="10" t="s">
        <v>14</v>
      </c>
    </row>
    <row r="570" spans="1:9" hidden="1">
      <c r="A570" t="s">
        <v>1098</v>
      </c>
      <c r="B570" t="s">
        <v>3269</v>
      </c>
      <c r="C570" t="s">
        <v>32</v>
      </c>
      <c r="D570" s="2">
        <v>132588.25533234264</v>
      </c>
      <c r="E570">
        <f>VLOOKUP(I570,Calc!$I$35:$J$39,2,FALSE)</f>
        <v>2.5</v>
      </c>
      <c r="F570">
        <v>27</v>
      </c>
      <c r="G570" s="10" t="s">
        <v>123</v>
      </c>
      <c r="H570" s="10" t="s">
        <v>56</v>
      </c>
      <c r="I570" s="10" t="s">
        <v>36</v>
      </c>
    </row>
    <row r="571" spans="1:9">
      <c r="A571" t="s">
        <v>1099</v>
      </c>
      <c r="B571" t="s">
        <v>3268</v>
      </c>
      <c r="C571" t="s">
        <v>29</v>
      </c>
      <c r="D571" s="2">
        <v>45000</v>
      </c>
      <c r="E571">
        <f>VLOOKUP(I571,Calc!$I$35:$J$39,2,FALSE)</f>
        <v>5</v>
      </c>
      <c r="F571">
        <v>3</v>
      </c>
      <c r="G571" s="10" t="s">
        <v>30</v>
      </c>
      <c r="H571" s="10" t="s">
        <v>68</v>
      </c>
      <c r="I571" s="10" t="s">
        <v>14</v>
      </c>
    </row>
    <row r="572" spans="1:9" hidden="1">
      <c r="A572" t="s">
        <v>1100</v>
      </c>
      <c r="B572" t="s">
        <v>3265</v>
      </c>
      <c r="C572" t="s">
        <v>29</v>
      </c>
      <c r="D572" s="2">
        <v>50000</v>
      </c>
      <c r="E572">
        <f>VLOOKUP(I572,Calc!$I$35:$J$39,2,FALSE)</f>
        <v>2.5</v>
      </c>
      <c r="F572">
        <v>10</v>
      </c>
      <c r="G572" s="10" t="s">
        <v>30</v>
      </c>
      <c r="H572" s="10" t="s">
        <v>1067</v>
      </c>
      <c r="I572" s="10" t="s">
        <v>36</v>
      </c>
    </row>
    <row r="573" spans="1:9" hidden="1">
      <c r="A573" t="s">
        <v>1101</v>
      </c>
      <c r="B573" t="s">
        <v>3249</v>
      </c>
      <c r="C573" t="s">
        <v>29</v>
      </c>
      <c r="D573" s="2">
        <v>300000</v>
      </c>
      <c r="E573">
        <f>VLOOKUP(I573,Calc!$I$35:$J$39,2,FALSE)</f>
        <v>2.5</v>
      </c>
      <c r="F573">
        <v>30</v>
      </c>
      <c r="G573" s="10" t="s">
        <v>30</v>
      </c>
      <c r="H573" s="10" t="s">
        <v>1102</v>
      </c>
      <c r="I573" s="10" t="s">
        <v>36</v>
      </c>
    </row>
    <row r="574" spans="1:9" hidden="1">
      <c r="A574" t="s">
        <v>1103</v>
      </c>
      <c r="B574" t="s">
        <v>3267</v>
      </c>
      <c r="C574" t="s">
        <v>32</v>
      </c>
      <c r="D574" s="2">
        <v>104030.78495306884</v>
      </c>
      <c r="E574">
        <f>VLOOKUP(I574,Calc!$I$35:$J$39,2,FALSE)</f>
        <v>1.5</v>
      </c>
      <c r="F574">
        <v>10</v>
      </c>
      <c r="G574" s="10" t="s">
        <v>123</v>
      </c>
      <c r="H574" s="10" t="s">
        <v>1104</v>
      </c>
      <c r="I574" s="10" t="s">
        <v>47</v>
      </c>
    </row>
    <row r="575" spans="1:9" hidden="1">
      <c r="A575" t="s">
        <v>1105</v>
      </c>
      <c r="B575" t="s">
        <v>3267</v>
      </c>
      <c r="C575" t="s">
        <v>29</v>
      </c>
      <c r="D575" s="2">
        <v>115000</v>
      </c>
      <c r="E575">
        <f>VLOOKUP(I575,Calc!$I$35:$J$39,2,FALSE)</f>
        <v>5</v>
      </c>
      <c r="F575">
        <v>15</v>
      </c>
      <c r="G575" s="10" t="s">
        <v>30</v>
      </c>
      <c r="H575" s="10" t="s">
        <v>1106</v>
      </c>
      <c r="I575" s="10" t="s">
        <v>14</v>
      </c>
    </row>
    <row r="576" spans="1:9">
      <c r="A576" t="s">
        <v>1107</v>
      </c>
      <c r="B576" t="s">
        <v>3268</v>
      </c>
      <c r="C576" t="s">
        <v>29</v>
      </c>
      <c r="D576" s="2">
        <v>70000</v>
      </c>
      <c r="E576">
        <f>VLOOKUP(I576,Calc!$I$35:$J$39,2,FALSE)</f>
        <v>5</v>
      </c>
      <c r="F576">
        <v>3</v>
      </c>
      <c r="G576" s="10" t="s">
        <v>30</v>
      </c>
      <c r="H576" s="10" t="s">
        <v>31</v>
      </c>
      <c r="I576" s="10" t="s">
        <v>14</v>
      </c>
    </row>
    <row r="577" spans="1:9" hidden="1">
      <c r="A577" t="s">
        <v>1108</v>
      </c>
      <c r="B577" t="s">
        <v>3265</v>
      </c>
      <c r="C577" t="s">
        <v>32</v>
      </c>
      <c r="D577" s="2">
        <v>108110.42357867939</v>
      </c>
      <c r="E577">
        <f>VLOOKUP(I577,Calc!$I$35:$J$39,2,FALSE)</f>
        <v>5</v>
      </c>
      <c r="F577">
        <v>16</v>
      </c>
      <c r="G577" s="10" t="s">
        <v>123</v>
      </c>
      <c r="H577" s="10" t="s">
        <v>1109</v>
      </c>
      <c r="I577" s="10" t="s">
        <v>14</v>
      </c>
    </row>
    <row r="578" spans="1:9">
      <c r="A578" t="s">
        <v>1110</v>
      </c>
      <c r="B578" t="s">
        <v>3268</v>
      </c>
      <c r="C578" t="s">
        <v>29</v>
      </c>
      <c r="D578" s="2">
        <v>75000</v>
      </c>
      <c r="E578">
        <f>VLOOKUP(I578,Calc!$I$35:$J$39,2,FALSE)</f>
        <v>2.5</v>
      </c>
      <c r="F578">
        <v>25</v>
      </c>
      <c r="G578" s="10" t="s">
        <v>30</v>
      </c>
      <c r="H578" s="10" t="s">
        <v>1111</v>
      </c>
      <c r="I578" s="10" t="s">
        <v>36</v>
      </c>
    </row>
    <row r="579" spans="1:9">
      <c r="A579" t="s">
        <v>1112</v>
      </c>
      <c r="B579" t="s">
        <v>3268</v>
      </c>
      <c r="C579" t="s">
        <v>29</v>
      </c>
      <c r="D579" s="2">
        <v>40414</v>
      </c>
      <c r="E579">
        <f>VLOOKUP(I579,Calc!$I$35:$J$39,2,FALSE)</f>
        <v>5</v>
      </c>
      <c r="F579">
        <v>8</v>
      </c>
      <c r="G579" s="10" t="s">
        <v>30</v>
      </c>
      <c r="H579" s="10" t="s">
        <v>1113</v>
      </c>
      <c r="I579" s="10" t="s">
        <v>14</v>
      </c>
    </row>
    <row r="580" spans="1:9">
      <c r="A580" t="s">
        <v>1114</v>
      </c>
      <c r="B580" t="s">
        <v>3268</v>
      </c>
      <c r="C580" t="s">
        <v>29</v>
      </c>
      <c r="D580" s="2">
        <v>65000</v>
      </c>
      <c r="E580">
        <f>VLOOKUP(I580,Calc!$I$35:$J$39,2,FALSE)</f>
        <v>5</v>
      </c>
      <c r="F580">
        <v>3</v>
      </c>
      <c r="G580" s="10" t="s">
        <v>30</v>
      </c>
      <c r="H580" s="10" t="s">
        <v>233</v>
      </c>
      <c r="I580" s="10" t="s">
        <v>14</v>
      </c>
    </row>
    <row r="581" spans="1:9">
      <c r="A581" t="s">
        <v>1115</v>
      </c>
      <c r="B581" t="s">
        <v>3268</v>
      </c>
      <c r="C581" t="s">
        <v>29</v>
      </c>
      <c r="D581" s="2">
        <v>120000</v>
      </c>
      <c r="E581">
        <f>VLOOKUP(I581,Calc!$I$35:$J$39,2,FALSE)</f>
        <v>8</v>
      </c>
      <c r="F581">
        <v>7</v>
      </c>
      <c r="G581" s="10" t="s">
        <v>30</v>
      </c>
      <c r="H581" s="10" t="s">
        <v>1116</v>
      </c>
      <c r="I581" s="10" t="s">
        <v>22</v>
      </c>
    </row>
    <row r="582" spans="1:9" hidden="1">
      <c r="A582" t="s">
        <v>1117</v>
      </c>
      <c r="B582" t="s">
        <v>3269</v>
      </c>
      <c r="C582" t="s">
        <v>11</v>
      </c>
      <c r="D582" s="2">
        <v>15092.18020692008</v>
      </c>
      <c r="E582">
        <f>VLOOKUP(I582,Calc!$I$35:$J$39,2,FALSE)</f>
        <v>5</v>
      </c>
      <c r="F582">
        <v>10</v>
      </c>
      <c r="G582" s="10" t="s">
        <v>1118</v>
      </c>
      <c r="H582" s="10" t="s">
        <v>1119</v>
      </c>
      <c r="I582" s="10" t="s">
        <v>14</v>
      </c>
    </row>
    <row r="583" spans="1:9" hidden="1">
      <c r="A583" t="s">
        <v>1120</v>
      </c>
      <c r="B583" t="s">
        <v>3264</v>
      </c>
      <c r="C583" t="s">
        <v>19</v>
      </c>
      <c r="D583" s="2">
        <v>36000</v>
      </c>
      <c r="E583">
        <f>VLOOKUP(I583,Calc!$I$35:$J$39,2,FALSE)</f>
        <v>8</v>
      </c>
      <c r="F583">
        <v>10</v>
      </c>
      <c r="G583" s="10" t="s">
        <v>103</v>
      </c>
      <c r="H583" s="10" t="s">
        <v>1121</v>
      </c>
      <c r="I583" s="10" t="s">
        <v>22</v>
      </c>
    </row>
    <row r="584" spans="1:9" hidden="1">
      <c r="A584" t="s">
        <v>1122</v>
      </c>
      <c r="B584" t="s">
        <v>3268</v>
      </c>
      <c r="C584" t="s">
        <v>19</v>
      </c>
      <c r="D584" s="2">
        <v>63519.971949580387</v>
      </c>
      <c r="E584">
        <f>VLOOKUP(I584,Calc!$I$35:$J$39,2,FALSE)</f>
        <v>2.5</v>
      </c>
      <c r="F584">
        <v>4</v>
      </c>
      <c r="G584" s="10" t="s">
        <v>45</v>
      </c>
      <c r="H584" s="10" t="s">
        <v>10</v>
      </c>
      <c r="I584" s="10" t="s">
        <v>36</v>
      </c>
    </row>
    <row r="585" spans="1:9" hidden="1">
      <c r="A585" t="s">
        <v>1123</v>
      </c>
      <c r="B585" t="s">
        <v>3264</v>
      </c>
      <c r="C585" t="s">
        <v>29</v>
      </c>
      <c r="D585" s="2">
        <v>108000</v>
      </c>
      <c r="E585">
        <f>VLOOKUP(I585,Calc!$I$35:$J$39,2,FALSE)</f>
        <v>2.5</v>
      </c>
      <c r="F585">
        <v>7</v>
      </c>
      <c r="G585" s="10" t="s">
        <v>30</v>
      </c>
      <c r="H585" s="10" t="s">
        <v>1124</v>
      </c>
      <c r="I585" s="10" t="s">
        <v>36</v>
      </c>
    </row>
    <row r="586" spans="1:9">
      <c r="A586" t="s">
        <v>1125</v>
      </c>
      <c r="B586" t="s">
        <v>3268</v>
      </c>
      <c r="C586" t="s">
        <v>29</v>
      </c>
      <c r="D586" s="2">
        <v>75000</v>
      </c>
      <c r="E586">
        <f>VLOOKUP(I586,Calc!$I$35:$J$39,2,FALSE)</f>
        <v>5</v>
      </c>
      <c r="F586">
        <v>5</v>
      </c>
      <c r="G586" s="10" t="s">
        <v>30</v>
      </c>
      <c r="H586" s="10" t="s">
        <v>31</v>
      </c>
      <c r="I586" s="10" t="s">
        <v>14</v>
      </c>
    </row>
    <row r="587" spans="1:9" hidden="1">
      <c r="A587" t="s">
        <v>1126</v>
      </c>
      <c r="B587" t="s">
        <v>3267</v>
      </c>
      <c r="C587" t="s">
        <v>11</v>
      </c>
      <c r="D587" s="2">
        <v>7123.1666749770275</v>
      </c>
      <c r="E587">
        <f>VLOOKUP(I587,Calc!$I$35:$J$39,2,FALSE)</f>
        <v>1.5</v>
      </c>
      <c r="F587">
        <v>3</v>
      </c>
      <c r="G587" s="10" t="s">
        <v>12</v>
      </c>
      <c r="H587" s="10" t="s">
        <v>1127</v>
      </c>
      <c r="I587" s="10" t="s">
        <v>47</v>
      </c>
    </row>
    <row r="588" spans="1:9" hidden="1">
      <c r="A588" t="s">
        <v>1128</v>
      </c>
      <c r="B588" t="s">
        <v>3267</v>
      </c>
      <c r="C588" t="s">
        <v>11</v>
      </c>
      <c r="D588" s="2">
        <v>50000</v>
      </c>
      <c r="E588">
        <f>VLOOKUP(I588,Calc!$I$35:$J$39,2,FALSE)</f>
        <v>1.5</v>
      </c>
      <c r="F588">
        <v>25</v>
      </c>
      <c r="G588" s="10" t="s">
        <v>12</v>
      </c>
      <c r="H588" s="10" t="s">
        <v>1129</v>
      </c>
      <c r="I588" s="10" t="s">
        <v>47</v>
      </c>
    </row>
    <row r="589" spans="1:9">
      <c r="A589" t="s">
        <v>1130</v>
      </c>
      <c r="B589" t="s">
        <v>3268</v>
      </c>
      <c r="C589" t="s">
        <v>29</v>
      </c>
      <c r="D589" s="2">
        <v>45000</v>
      </c>
      <c r="E589">
        <f>VLOOKUP(I589,Calc!$I$35:$J$39,2,FALSE)</f>
        <v>5</v>
      </c>
      <c r="F589">
        <v>15</v>
      </c>
      <c r="G589" s="10" t="s">
        <v>30</v>
      </c>
      <c r="H589" s="10" t="s">
        <v>1131</v>
      </c>
      <c r="I589" s="10" t="s">
        <v>14</v>
      </c>
    </row>
    <row r="590" spans="1:9" hidden="1">
      <c r="A590" t="s">
        <v>1132</v>
      </c>
      <c r="B590" t="s">
        <v>3269</v>
      </c>
      <c r="C590" t="s">
        <v>29</v>
      </c>
      <c r="D590" s="2">
        <v>45000</v>
      </c>
      <c r="E590">
        <f>VLOOKUP(I590,Calc!$I$35:$J$39,2,FALSE)</f>
        <v>5</v>
      </c>
      <c r="F590">
        <v>7</v>
      </c>
      <c r="G590" s="10" t="s">
        <v>30</v>
      </c>
      <c r="H590" s="10" t="s">
        <v>1133</v>
      </c>
      <c r="I590" s="10" t="s">
        <v>14</v>
      </c>
    </row>
    <row r="591" spans="1:9" hidden="1">
      <c r="A591" t="s">
        <v>1134</v>
      </c>
      <c r="B591" t="s">
        <v>3267</v>
      </c>
      <c r="C591" t="s">
        <v>29</v>
      </c>
      <c r="D591" s="2">
        <v>90000</v>
      </c>
      <c r="E591">
        <f>VLOOKUP(I591,Calc!$I$35:$J$39,2,FALSE)</f>
        <v>2.5</v>
      </c>
      <c r="F591">
        <v>20</v>
      </c>
      <c r="G591" s="10" t="s">
        <v>30</v>
      </c>
      <c r="H591" s="10" t="s">
        <v>1135</v>
      </c>
      <c r="I591" s="10" t="s">
        <v>36</v>
      </c>
    </row>
    <row r="592" spans="1:9" hidden="1">
      <c r="A592" t="s">
        <v>1136</v>
      </c>
      <c r="B592" t="s">
        <v>3268</v>
      </c>
      <c r="C592" t="s">
        <v>11</v>
      </c>
      <c r="D592" s="2">
        <v>4273.9000049862161</v>
      </c>
      <c r="E592">
        <f>VLOOKUP(I592,Calc!$I$35:$J$39,2,FALSE)</f>
        <v>2.5</v>
      </c>
      <c r="F592">
        <v>5</v>
      </c>
      <c r="G592" s="10" t="s">
        <v>12</v>
      </c>
      <c r="H592" s="10" t="s">
        <v>1137</v>
      </c>
      <c r="I592" s="10" t="s">
        <v>36</v>
      </c>
    </row>
    <row r="593" spans="1:9" hidden="1">
      <c r="A593" t="s">
        <v>1138</v>
      </c>
      <c r="B593" t="s">
        <v>3267</v>
      </c>
      <c r="C593" t="s">
        <v>11</v>
      </c>
      <c r="D593" s="2">
        <v>50000</v>
      </c>
      <c r="E593">
        <f>VLOOKUP(I593,Calc!$I$35:$J$39,2,FALSE)</f>
        <v>1.5</v>
      </c>
      <c r="F593">
        <v>10</v>
      </c>
      <c r="G593" s="10" t="s">
        <v>12</v>
      </c>
      <c r="H593" s="10" t="s">
        <v>1139</v>
      </c>
      <c r="I593" s="10" t="s">
        <v>47</v>
      </c>
    </row>
    <row r="594" spans="1:9">
      <c r="A594" t="s">
        <v>1140</v>
      </c>
      <c r="B594" t="s">
        <v>3268</v>
      </c>
      <c r="C594" t="s">
        <v>29</v>
      </c>
      <c r="D594" s="2">
        <v>65000</v>
      </c>
      <c r="E594">
        <f>VLOOKUP(I594,Calc!$I$35:$J$39,2,FALSE)</f>
        <v>2.5</v>
      </c>
      <c r="F594">
        <v>17</v>
      </c>
      <c r="G594" s="10" t="s">
        <v>30</v>
      </c>
      <c r="H594" s="10" t="s">
        <v>1141</v>
      </c>
      <c r="I594" s="10" t="s">
        <v>36</v>
      </c>
    </row>
    <row r="595" spans="1:9">
      <c r="A595" t="s">
        <v>1142</v>
      </c>
      <c r="B595" t="s">
        <v>3268</v>
      </c>
      <c r="C595" t="s">
        <v>29</v>
      </c>
      <c r="D595" s="2">
        <v>70000</v>
      </c>
      <c r="E595">
        <f>VLOOKUP(I595,Calc!$I$35:$J$39,2,FALSE)</f>
        <v>2.5</v>
      </c>
      <c r="F595">
        <v>18</v>
      </c>
      <c r="G595" s="10" t="s">
        <v>30</v>
      </c>
      <c r="H595" s="10" t="s">
        <v>1143</v>
      </c>
      <c r="I595" s="10" t="s">
        <v>36</v>
      </c>
    </row>
    <row r="596" spans="1:9">
      <c r="A596" t="s">
        <v>1144</v>
      </c>
      <c r="B596" t="s">
        <v>3268</v>
      </c>
      <c r="C596" t="s">
        <v>29</v>
      </c>
      <c r="D596" s="2">
        <v>160000</v>
      </c>
      <c r="E596">
        <f>VLOOKUP(I596,Calc!$I$35:$J$39,2,FALSE)</f>
        <v>5</v>
      </c>
      <c r="F596">
        <v>5</v>
      </c>
      <c r="G596" s="10" t="s">
        <v>30</v>
      </c>
      <c r="H596" s="10" t="s">
        <v>1145</v>
      </c>
      <c r="I596" s="10" t="s">
        <v>14</v>
      </c>
    </row>
    <row r="597" spans="1:9" hidden="1">
      <c r="A597" t="s">
        <v>1146</v>
      </c>
      <c r="B597" t="s">
        <v>3267</v>
      </c>
      <c r="C597" t="s">
        <v>32</v>
      </c>
      <c r="D597" s="2">
        <v>101990.96564026357</v>
      </c>
      <c r="E597">
        <f>VLOOKUP(I597,Calc!$I$35:$J$39,2,FALSE)</f>
        <v>2.5</v>
      </c>
      <c r="F597">
        <v>20</v>
      </c>
      <c r="G597" s="10" t="s">
        <v>123</v>
      </c>
      <c r="H597" s="10" t="s">
        <v>1147</v>
      </c>
      <c r="I597" s="10" t="s">
        <v>36</v>
      </c>
    </row>
    <row r="598" spans="1:9" hidden="1">
      <c r="A598" t="s">
        <v>1148</v>
      </c>
      <c r="B598" t="s">
        <v>3267</v>
      </c>
      <c r="C598" t="s">
        <v>11</v>
      </c>
      <c r="D598" s="2">
        <v>6767.0083412281756</v>
      </c>
      <c r="E598">
        <f>VLOOKUP(I598,Calc!$I$35:$J$39,2,FALSE)</f>
        <v>5</v>
      </c>
      <c r="F598">
        <v>10</v>
      </c>
      <c r="G598" s="10" t="s">
        <v>12</v>
      </c>
      <c r="H598" s="10" t="s">
        <v>1149</v>
      </c>
      <c r="I598" s="10" t="s">
        <v>14</v>
      </c>
    </row>
    <row r="599" spans="1:9">
      <c r="A599" t="s">
        <v>1150</v>
      </c>
      <c r="B599" t="s">
        <v>3268</v>
      </c>
      <c r="C599" t="s">
        <v>29</v>
      </c>
      <c r="D599" s="2">
        <v>30000</v>
      </c>
      <c r="E599">
        <f>VLOOKUP(I599,Calc!$I$35:$J$39,2,FALSE)</f>
        <v>2.5</v>
      </c>
      <c r="F599">
        <v>8</v>
      </c>
      <c r="G599" s="10" t="s">
        <v>30</v>
      </c>
      <c r="H599" s="10" t="s">
        <v>1151</v>
      </c>
      <c r="I599" s="10" t="s">
        <v>36</v>
      </c>
    </row>
    <row r="600" spans="1:9" hidden="1">
      <c r="A600" t="s">
        <v>1152</v>
      </c>
      <c r="B600" t="s">
        <v>3268</v>
      </c>
      <c r="C600" t="s">
        <v>11</v>
      </c>
      <c r="D600" s="2">
        <v>7479.3250087258784</v>
      </c>
      <c r="E600">
        <f>VLOOKUP(I600,Calc!$I$35:$J$39,2,FALSE)</f>
        <v>5</v>
      </c>
      <c r="F600">
        <v>3</v>
      </c>
      <c r="G600" s="10" t="s">
        <v>12</v>
      </c>
      <c r="H600" s="10" t="s">
        <v>1153</v>
      </c>
      <c r="I600" s="10" t="s">
        <v>14</v>
      </c>
    </row>
    <row r="601" spans="1:9" hidden="1">
      <c r="A601" t="s">
        <v>1154</v>
      </c>
      <c r="B601" t="s">
        <v>3267</v>
      </c>
      <c r="C601" t="s">
        <v>29</v>
      </c>
      <c r="D601" s="2">
        <v>61000</v>
      </c>
      <c r="E601">
        <f>VLOOKUP(I601,Calc!$I$35:$J$39,2,FALSE)</f>
        <v>5</v>
      </c>
      <c r="F601">
        <v>5</v>
      </c>
      <c r="G601" s="10" t="s">
        <v>30</v>
      </c>
      <c r="H601" s="10" t="s">
        <v>1155</v>
      </c>
      <c r="I601" s="10" t="s">
        <v>14</v>
      </c>
    </row>
    <row r="602" spans="1:9" hidden="1">
      <c r="A602" t="s">
        <v>1156</v>
      </c>
      <c r="B602" t="s">
        <v>3263</v>
      </c>
      <c r="C602" t="s">
        <v>11</v>
      </c>
      <c r="D602" s="2">
        <v>13800</v>
      </c>
      <c r="E602">
        <f>VLOOKUP(I602,Calc!$I$35:$J$39,2,FALSE)</f>
        <v>5</v>
      </c>
      <c r="F602">
        <v>20</v>
      </c>
      <c r="G602" s="10" t="s">
        <v>1157</v>
      </c>
      <c r="H602" s="10" t="s">
        <v>1158</v>
      </c>
      <c r="I602" s="10" t="s">
        <v>14</v>
      </c>
    </row>
    <row r="603" spans="1:9" hidden="1">
      <c r="A603" t="s">
        <v>1159</v>
      </c>
      <c r="B603" t="s">
        <v>3268</v>
      </c>
      <c r="C603" t="s">
        <v>11</v>
      </c>
      <c r="D603" s="2">
        <v>15136.729184326183</v>
      </c>
      <c r="E603">
        <f>VLOOKUP(I603,Calc!$I$35:$J$39,2,FALSE)</f>
        <v>5</v>
      </c>
      <c r="F603">
        <v>6</v>
      </c>
      <c r="G603" s="10" t="s">
        <v>12</v>
      </c>
      <c r="H603" s="10" t="s">
        <v>167</v>
      </c>
      <c r="I603" s="10" t="s">
        <v>14</v>
      </c>
    </row>
    <row r="604" spans="1:9" hidden="1">
      <c r="A604" t="s">
        <v>1160</v>
      </c>
      <c r="B604" t="s">
        <v>3267</v>
      </c>
      <c r="C604" t="s">
        <v>11</v>
      </c>
      <c r="D604" s="2">
        <v>32054.250037396621</v>
      </c>
      <c r="E604">
        <f>VLOOKUP(I604,Calc!$I$35:$J$39,2,FALSE)</f>
        <v>2.5</v>
      </c>
      <c r="F604">
        <v>10</v>
      </c>
      <c r="G604" s="10" t="s">
        <v>12</v>
      </c>
      <c r="H604" s="10" t="s">
        <v>1161</v>
      </c>
      <c r="I604" s="10" t="s">
        <v>36</v>
      </c>
    </row>
    <row r="605" spans="1:9" hidden="1">
      <c r="A605" t="s">
        <v>1162</v>
      </c>
      <c r="B605" t="s">
        <v>3263</v>
      </c>
      <c r="C605" t="s">
        <v>29</v>
      </c>
      <c r="D605" s="2">
        <v>80000</v>
      </c>
      <c r="E605">
        <f>VLOOKUP(I605,Calc!$I$35:$J$39,2,FALSE)</f>
        <v>5</v>
      </c>
      <c r="F605">
        <v>15</v>
      </c>
      <c r="G605" s="10" t="s">
        <v>30</v>
      </c>
      <c r="H605" s="10" t="s">
        <v>1163</v>
      </c>
      <c r="I605" s="10" t="s">
        <v>14</v>
      </c>
    </row>
    <row r="606" spans="1:9" hidden="1">
      <c r="A606" t="s">
        <v>1164</v>
      </c>
      <c r="B606" t="s">
        <v>3267</v>
      </c>
      <c r="C606" t="s">
        <v>11</v>
      </c>
      <c r="D606" s="2">
        <v>21000</v>
      </c>
      <c r="E606">
        <f>VLOOKUP(I606,Calc!$I$35:$J$39,2,FALSE)</f>
        <v>8</v>
      </c>
      <c r="F606">
        <v>23</v>
      </c>
      <c r="G606" s="10" t="s">
        <v>12</v>
      </c>
      <c r="H606" s="10" t="s">
        <v>44</v>
      </c>
      <c r="I606" s="10" t="s">
        <v>22</v>
      </c>
    </row>
    <row r="607" spans="1:9">
      <c r="A607" t="s">
        <v>1165</v>
      </c>
      <c r="B607" t="s">
        <v>3268</v>
      </c>
      <c r="C607" t="s">
        <v>29</v>
      </c>
      <c r="D607" s="2">
        <v>245840.3807575817</v>
      </c>
      <c r="E607">
        <f>VLOOKUP(I607,Calc!$I$35:$J$39,2,FALSE)</f>
        <v>5</v>
      </c>
      <c r="F607">
        <v>32</v>
      </c>
      <c r="G607" s="10" t="s">
        <v>128</v>
      </c>
      <c r="H607" s="10" t="s">
        <v>320</v>
      </c>
      <c r="I607" s="10" t="s">
        <v>14</v>
      </c>
    </row>
    <row r="608" spans="1:9" hidden="1">
      <c r="A608" t="s">
        <v>1166</v>
      </c>
      <c r="B608" t="s">
        <v>77</v>
      </c>
      <c r="C608" t="s">
        <v>11</v>
      </c>
      <c r="D608" s="2">
        <v>2849.2666699908109</v>
      </c>
      <c r="E608">
        <f>VLOOKUP(I608,Calc!$I$35:$J$39,2,FALSE)</f>
        <v>8</v>
      </c>
      <c r="F608">
        <v>3</v>
      </c>
      <c r="G608" s="10" t="s">
        <v>12</v>
      </c>
      <c r="H608" s="10" t="s">
        <v>1167</v>
      </c>
      <c r="I608" s="10" t="s">
        <v>22</v>
      </c>
    </row>
    <row r="609" spans="1:9" hidden="1">
      <c r="A609" t="s">
        <v>1168</v>
      </c>
      <c r="B609" t="s">
        <v>3267</v>
      </c>
      <c r="C609" t="s">
        <v>11</v>
      </c>
      <c r="D609" s="2">
        <v>8400</v>
      </c>
      <c r="E609">
        <f>VLOOKUP(I609,Calc!$I$35:$J$39,2,FALSE)</f>
        <v>8</v>
      </c>
      <c r="F609">
        <v>26</v>
      </c>
      <c r="G609" s="10" t="s">
        <v>12</v>
      </c>
      <c r="H609" s="10" t="s">
        <v>1169</v>
      </c>
      <c r="I609" s="10" t="s">
        <v>22</v>
      </c>
    </row>
    <row r="610" spans="1:9" hidden="1">
      <c r="A610" t="s">
        <v>1170</v>
      </c>
      <c r="B610" t="s">
        <v>3264</v>
      </c>
      <c r="C610" t="s">
        <v>32</v>
      </c>
      <c r="D610" s="2">
        <v>86692.320794224041</v>
      </c>
      <c r="E610">
        <f>VLOOKUP(I610,Calc!$I$35:$J$39,2,FALSE)</f>
        <v>1.5</v>
      </c>
      <c r="F610">
        <v>20</v>
      </c>
      <c r="G610" s="10" t="s">
        <v>123</v>
      </c>
      <c r="H610" s="10" t="s">
        <v>1037</v>
      </c>
      <c r="I610" s="10" t="s">
        <v>47</v>
      </c>
    </row>
    <row r="611" spans="1:9" hidden="1">
      <c r="A611" t="s">
        <v>1171</v>
      </c>
      <c r="B611" t="s">
        <v>3267</v>
      </c>
      <c r="C611" t="s">
        <v>29</v>
      </c>
      <c r="D611" s="2">
        <v>50000</v>
      </c>
      <c r="E611">
        <f>VLOOKUP(I611,Calc!$I$35:$J$39,2,FALSE)</f>
        <v>5</v>
      </c>
      <c r="F611">
        <v>20</v>
      </c>
      <c r="G611" s="10" t="s">
        <v>30</v>
      </c>
      <c r="H611" s="10" t="s">
        <v>1172</v>
      </c>
      <c r="I611" s="10" t="s">
        <v>14</v>
      </c>
    </row>
    <row r="612" spans="1:9" hidden="1">
      <c r="A612" t="s">
        <v>1173</v>
      </c>
      <c r="B612" t="s">
        <v>77</v>
      </c>
      <c r="C612" t="s">
        <v>11</v>
      </c>
      <c r="D612" s="2">
        <v>4000</v>
      </c>
      <c r="E612">
        <f>VLOOKUP(I612,Calc!$I$35:$J$39,2,FALSE)</f>
        <v>8</v>
      </c>
      <c r="F612">
        <v>6</v>
      </c>
      <c r="G612" s="10" t="s">
        <v>12</v>
      </c>
      <c r="H612" s="10" t="s">
        <v>1167</v>
      </c>
      <c r="I612" s="10" t="s">
        <v>22</v>
      </c>
    </row>
    <row r="613" spans="1:9" hidden="1">
      <c r="A613" t="s">
        <v>1174</v>
      </c>
      <c r="B613" t="s">
        <v>3268</v>
      </c>
      <c r="C613" t="s">
        <v>32</v>
      </c>
      <c r="D613" s="2">
        <v>101990.96564026357</v>
      </c>
      <c r="E613">
        <f>VLOOKUP(I613,Calc!$I$35:$J$39,2,FALSE)</f>
        <v>8</v>
      </c>
      <c r="F613">
        <v>1</v>
      </c>
      <c r="G613" s="10" t="s">
        <v>123</v>
      </c>
      <c r="H613" s="10" t="s">
        <v>320</v>
      </c>
      <c r="I613" s="10" t="s">
        <v>22</v>
      </c>
    </row>
    <row r="614" spans="1:9" hidden="1">
      <c r="A614" t="s">
        <v>1175</v>
      </c>
      <c r="B614" t="s">
        <v>3267</v>
      </c>
      <c r="C614" t="s">
        <v>29</v>
      </c>
      <c r="D614" s="2">
        <v>95000</v>
      </c>
      <c r="E614">
        <f>VLOOKUP(I614,Calc!$I$35:$J$39,2,FALSE)</f>
        <v>1.5</v>
      </c>
      <c r="F614">
        <v>10</v>
      </c>
      <c r="G614" s="10" t="s">
        <v>30</v>
      </c>
      <c r="H614" s="10" t="s">
        <v>907</v>
      </c>
      <c r="I614" s="10" t="s">
        <v>47</v>
      </c>
    </row>
    <row r="615" spans="1:9" hidden="1">
      <c r="A615" t="s">
        <v>1176</v>
      </c>
      <c r="B615" t="s">
        <v>3267</v>
      </c>
      <c r="C615" t="s">
        <v>11</v>
      </c>
      <c r="D615" s="2">
        <v>10000</v>
      </c>
      <c r="E615">
        <f>VLOOKUP(I615,Calc!$I$35:$J$39,2,FALSE)</f>
        <v>2.5</v>
      </c>
      <c r="F615">
        <v>5</v>
      </c>
      <c r="G615" s="10" t="s">
        <v>1177</v>
      </c>
      <c r="H615" s="10" t="s">
        <v>1178</v>
      </c>
      <c r="I615" s="10" t="s">
        <v>36</v>
      </c>
    </row>
    <row r="616" spans="1:9" hidden="1">
      <c r="A616" t="s">
        <v>1179</v>
      </c>
      <c r="B616" t="s">
        <v>77</v>
      </c>
      <c r="C616" t="s">
        <v>11</v>
      </c>
      <c r="D616" s="2">
        <v>4200</v>
      </c>
      <c r="E616">
        <f>VLOOKUP(I616,Calc!$I$35:$J$39,2,FALSE)</f>
        <v>8</v>
      </c>
      <c r="F616">
        <v>4</v>
      </c>
      <c r="G616" s="10" t="s">
        <v>12</v>
      </c>
      <c r="H616" s="10" t="s">
        <v>1167</v>
      </c>
      <c r="I616" s="10" t="s">
        <v>22</v>
      </c>
    </row>
    <row r="617" spans="1:9" hidden="1">
      <c r="A617" t="s">
        <v>1180</v>
      </c>
      <c r="B617" t="s">
        <v>3267</v>
      </c>
      <c r="C617" t="s">
        <v>11</v>
      </c>
      <c r="D617" s="2">
        <v>12821.700014958649</v>
      </c>
      <c r="E617">
        <f>VLOOKUP(I617,Calc!$I$35:$J$39,2,FALSE)</f>
        <v>5</v>
      </c>
      <c r="F617">
        <v>12</v>
      </c>
      <c r="G617" s="10" t="s">
        <v>12</v>
      </c>
      <c r="H617" s="10" t="s">
        <v>1181</v>
      </c>
      <c r="I617" s="10" t="s">
        <v>14</v>
      </c>
    </row>
    <row r="618" spans="1:9">
      <c r="A618" t="s">
        <v>1182</v>
      </c>
      <c r="B618" t="s">
        <v>3268</v>
      </c>
      <c r="C618" t="s">
        <v>29</v>
      </c>
      <c r="D618" s="2">
        <v>39000</v>
      </c>
      <c r="E618">
        <f>VLOOKUP(I618,Calc!$I$35:$J$39,2,FALSE)</f>
        <v>8</v>
      </c>
      <c r="F618">
        <v>3</v>
      </c>
      <c r="G618" s="10" t="s">
        <v>30</v>
      </c>
      <c r="H618" s="10" t="s">
        <v>1183</v>
      </c>
      <c r="I618" s="10" t="s">
        <v>22</v>
      </c>
    </row>
    <row r="619" spans="1:9">
      <c r="A619" t="s">
        <v>1184</v>
      </c>
      <c r="B619" t="s">
        <v>3268</v>
      </c>
      <c r="C619" t="s">
        <v>29</v>
      </c>
      <c r="D619" s="2">
        <v>60000</v>
      </c>
      <c r="E619">
        <f>VLOOKUP(I619,Calc!$I$35:$J$39,2,FALSE)</f>
        <v>5</v>
      </c>
      <c r="F619">
        <v>12</v>
      </c>
      <c r="G619" s="10" t="s">
        <v>30</v>
      </c>
      <c r="H619" s="10" t="s">
        <v>68</v>
      </c>
      <c r="I619" s="10" t="s">
        <v>14</v>
      </c>
    </row>
    <row r="620" spans="1:9" hidden="1">
      <c r="A620" t="s">
        <v>1185</v>
      </c>
      <c r="B620" t="s">
        <v>3268</v>
      </c>
      <c r="C620" t="s">
        <v>32</v>
      </c>
      <c r="D620" s="2">
        <v>173384.64158844808</v>
      </c>
      <c r="E620">
        <f>VLOOKUP(I620,Calc!$I$35:$J$39,2,FALSE)</f>
        <v>8</v>
      </c>
      <c r="F620">
        <v>10</v>
      </c>
      <c r="G620" s="10" t="s">
        <v>123</v>
      </c>
      <c r="H620" s="10" t="s">
        <v>1186</v>
      </c>
      <c r="I620" s="10" t="s">
        <v>22</v>
      </c>
    </row>
    <row r="621" spans="1:9">
      <c r="A621" t="s">
        <v>1187</v>
      </c>
      <c r="B621" t="s">
        <v>3268</v>
      </c>
      <c r="C621" t="s">
        <v>29</v>
      </c>
      <c r="D621" s="2">
        <v>125000</v>
      </c>
      <c r="E621">
        <f>VLOOKUP(I621,Calc!$I$35:$J$39,2,FALSE)</f>
        <v>2.5</v>
      </c>
      <c r="F621">
        <v>20</v>
      </c>
      <c r="G621" s="10" t="s">
        <v>30</v>
      </c>
      <c r="H621" s="10" t="s">
        <v>10</v>
      </c>
      <c r="I621" s="10" t="s">
        <v>36</v>
      </c>
    </row>
    <row r="622" spans="1:9" hidden="1">
      <c r="A622" t="s">
        <v>1188</v>
      </c>
      <c r="B622" t="s">
        <v>3269</v>
      </c>
      <c r="C622" t="s">
        <v>32</v>
      </c>
      <c r="D622" s="2">
        <v>79552.953199405587</v>
      </c>
      <c r="E622">
        <f>VLOOKUP(I622,Calc!$I$35:$J$39,2,FALSE)</f>
        <v>8</v>
      </c>
      <c r="F622">
        <v>4</v>
      </c>
      <c r="G622" s="10" t="s">
        <v>123</v>
      </c>
      <c r="H622" s="10" t="s">
        <v>1189</v>
      </c>
      <c r="I622" s="10" t="s">
        <v>22</v>
      </c>
    </row>
    <row r="623" spans="1:9" hidden="1">
      <c r="A623" t="s">
        <v>1190</v>
      </c>
      <c r="B623" t="s">
        <v>3269</v>
      </c>
      <c r="C623" t="s">
        <v>11</v>
      </c>
      <c r="D623" s="2">
        <v>3561.5833374885137</v>
      </c>
      <c r="E623">
        <f>VLOOKUP(I623,Calc!$I$35:$J$39,2,FALSE)</f>
        <v>5</v>
      </c>
      <c r="F623">
        <v>3</v>
      </c>
      <c r="G623" s="10" t="s">
        <v>12</v>
      </c>
      <c r="H623" s="10" t="s">
        <v>1191</v>
      </c>
      <c r="I623" s="10" t="s">
        <v>14</v>
      </c>
    </row>
    <row r="624" spans="1:9" hidden="1">
      <c r="A624" t="s">
        <v>1192</v>
      </c>
      <c r="B624" t="s">
        <v>3267</v>
      </c>
      <c r="C624" t="s">
        <v>29</v>
      </c>
      <c r="D624" s="2">
        <v>80000</v>
      </c>
      <c r="E624">
        <f>VLOOKUP(I624,Calc!$I$35:$J$39,2,FALSE)</f>
        <v>5</v>
      </c>
      <c r="F624">
        <v>8</v>
      </c>
      <c r="G624" s="10" t="s">
        <v>30</v>
      </c>
      <c r="H624" s="10" t="s">
        <v>1193</v>
      </c>
      <c r="I624" s="10" t="s">
        <v>14</v>
      </c>
    </row>
    <row r="625" spans="1:9" hidden="1">
      <c r="A625" t="s">
        <v>1194</v>
      </c>
      <c r="B625" t="s">
        <v>3268</v>
      </c>
      <c r="C625" t="s">
        <v>11</v>
      </c>
      <c r="D625" s="2">
        <v>10684.750012465542</v>
      </c>
      <c r="E625">
        <f>VLOOKUP(I625,Calc!$I$35:$J$39,2,FALSE)</f>
        <v>2.5</v>
      </c>
      <c r="F625">
        <v>3</v>
      </c>
      <c r="G625" s="10" t="s">
        <v>12</v>
      </c>
      <c r="H625" s="10" t="s">
        <v>31</v>
      </c>
      <c r="I625" s="10" t="s">
        <v>36</v>
      </c>
    </row>
    <row r="626" spans="1:9" hidden="1">
      <c r="A626" t="s">
        <v>1195</v>
      </c>
      <c r="B626" t="s">
        <v>3266</v>
      </c>
      <c r="C626" t="s">
        <v>11</v>
      </c>
      <c r="D626" s="2">
        <v>5342.3750062327708</v>
      </c>
      <c r="E626">
        <f>VLOOKUP(I626,Calc!$I$35:$J$39,2,FALSE)</f>
        <v>8</v>
      </c>
      <c r="F626">
        <v>2</v>
      </c>
      <c r="G626" s="10" t="s">
        <v>12</v>
      </c>
      <c r="H626" s="10" t="s">
        <v>1196</v>
      </c>
      <c r="I626" s="10" t="s">
        <v>22</v>
      </c>
    </row>
    <row r="627" spans="1:9" hidden="1">
      <c r="A627" t="s">
        <v>1197</v>
      </c>
      <c r="B627" t="s">
        <v>3267</v>
      </c>
      <c r="C627" t="s">
        <v>11</v>
      </c>
      <c r="D627" s="2">
        <v>71231.666749770273</v>
      </c>
      <c r="E627">
        <f>VLOOKUP(I627,Calc!$I$35:$J$39,2,FALSE)</f>
        <v>5</v>
      </c>
      <c r="F627">
        <v>1.5</v>
      </c>
      <c r="G627" s="10" t="s">
        <v>12</v>
      </c>
      <c r="H627" s="10" t="s">
        <v>1198</v>
      </c>
      <c r="I627" s="10" t="s">
        <v>14</v>
      </c>
    </row>
    <row r="628" spans="1:9" hidden="1">
      <c r="A628" t="s">
        <v>1199</v>
      </c>
      <c r="B628" t="s">
        <v>3249</v>
      </c>
      <c r="C628" t="s">
        <v>11</v>
      </c>
      <c r="D628" s="2">
        <v>80135.625093491559</v>
      </c>
      <c r="E628">
        <f>VLOOKUP(I628,Calc!$I$35:$J$39,2,FALSE)</f>
        <v>1.5</v>
      </c>
      <c r="F628">
        <v>6</v>
      </c>
      <c r="G628" s="10" t="s">
        <v>12</v>
      </c>
      <c r="H628" s="10" t="s">
        <v>1200</v>
      </c>
      <c r="I628" s="10" t="s">
        <v>47</v>
      </c>
    </row>
    <row r="629" spans="1:9" hidden="1">
      <c r="A629" t="s">
        <v>1201</v>
      </c>
      <c r="B629" t="s">
        <v>3267</v>
      </c>
      <c r="C629" t="s">
        <v>29</v>
      </c>
      <c r="D629" s="2">
        <v>54084.883766667976</v>
      </c>
      <c r="E629">
        <f>VLOOKUP(I629,Calc!$I$35:$J$39,2,FALSE)</f>
        <v>5</v>
      </c>
      <c r="F629">
        <v>5</v>
      </c>
      <c r="G629" s="10" t="s">
        <v>128</v>
      </c>
      <c r="H629" s="10" t="s">
        <v>1172</v>
      </c>
      <c r="I629" s="10" t="s">
        <v>14</v>
      </c>
    </row>
    <row r="630" spans="1:9">
      <c r="A630" t="s">
        <v>1202</v>
      </c>
      <c r="B630" t="s">
        <v>3268</v>
      </c>
      <c r="C630" t="s">
        <v>29</v>
      </c>
      <c r="D630" s="2">
        <v>53000</v>
      </c>
      <c r="E630">
        <f>VLOOKUP(I630,Calc!$I$35:$J$39,2,FALSE)</f>
        <v>5</v>
      </c>
      <c r="F630">
        <v>30</v>
      </c>
      <c r="G630" s="10" t="s">
        <v>30</v>
      </c>
      <c r="H630" s="10" t="s">
        <v>31</v>
      </c>
      <c r="I630" s="10" t="s">
        <v>14</v>
      </c>
    </row>
    <row r="631" spans="1:9" hidden="1">
      <c r="A631" t="s">
        <v>1203</v>
      </c>
      <c r="B631" t="s">
        <v>77</v>
      </c>
      <c r="C631" t="s">
        <v>11</v>
      </c>
      <c r="D631" s="2">
        <v>5342.3750062327708</v>
      </c>
      <c r="E631">
        <f>VLOOKUP(I631,Calc!$I$35:$J$39,2,FALSE)</f>
        <v>5</v>
      </c>
      <c r="F631">
        <v>1</v>
      </c>
      <c r="G631" s="10" t="s">
        <v>12</v>
      </c>
      <c r="H631" s="10" t="s">
        <v>587</v>
      </c>
      <c r="I631" s="10" t="s">
        <v>14</v>
      </c>
    </row>
    <row r="632" spans="1:9" hidden="1">
      <c r="A632" t="s">
        <v>1204</v>
      </c>
      <c r="B632" t="s">
        <v>3267</v>
      </c>
      <c r="C632" t="s">
        <v>11</v>
      </c>
      <c r="D632" s="2">
        <v>7123.1666749770275</v>
      </c>
      <c r="E632">
        <f>VLOOKUP(I632,Calc!$I$35:$J$39,2,FALSE)</f>
        <v>1.5</v>
      </c>
      <c r="F632">
        <v>5</v>
      </c>
      <c r="G632" s="10" t="s">
        <v>12</v>
      </c>
      <c r="H632" s="10" t="s">
        <v>1205</v>
      </c>
      <c r="I632" s="10" t="s">
        <v>47</v>
      </c>
    </row>
    <row r="633" spans="1:9" hidden="1">
      <c r="A633" t="s">
        <v>1206</v>
      </c>
      <c r="B633" t="s">
        <v>3267</v>
      </c>
      <c r="C633" t="s">
        <v>11</v>
      </c>
      <c r="D633" s="2">
        <v>10684.750012465542</v>
      </c>
      <c r="E633">
        <f>VLOOKUP(I633,Calc!$I$35:$J$39,2,FALSE)</f>
        <v>5</v>
      </c>
      <c r="F633">
        <v>11</v>
      </c>
      <c r="G633" s="10" t="s">
        <v>12</v>
      </c>
      <c r="H633" s="10" t="s">
        <v>1207</v>
      </c>
      <c r="I633" s="10" t="s">
        <v>14</v>
      </c>
    </row>
    <row r="634" spans="1:9" hidden="1">
      <c r="A634" t="s">
        <v>1208</v>
      </c>
      <c r="B634" t="s">
        <v>77</v>
      </c>
      <c r="C634" t="s">
        <v>11</v>
      </c>
      <c r="D634" s="2">
        <v>4000</v>
      </c>
      <c r="E634">
        <f>VLOOKUP(I634,Calc!$I$35:$J$39,2,FALSE)</f>
        <v>8</v>
      </c>
      <c r="F634">
        <v>4</v>
      </c>
      <c r="G634" s="10" t="s">
        <v>12</v>
      </c>
      <c r="H634" s="10" t="s">
        <v>1167</v>
      </c>
      <c r="I634" s="10" t="s">
        <v>22</v>
      </c>
    </row>
    <row r="635" spans="1:9" hidden="1">
      <c r="A635" t="s">
        <v>1209</v>
      </c>
      <c r="B635" t="s">
        <v>3267</v>
      </c>
      <c r="C635" t="s">
        <v>11</v>
      </c>
      <c r="D635" s="2">
        <v>8000</v>
      </c>
      <c r="E635">
        <f>VLOOKUP(I635,Calc!$I$35:$J$39,2,FALSE)</f>
        <v>8</v>
      </c>
      <c r="F635">
        <v>1</v>
      </c>
      <c r="G635" s="10" t="s">
        <v>476</v>
      </c>
      <c r="H635" s="10" t="s">
        <v>1210</v>
      </c>
      <c r="I635" s="10" t="s">
        <v>22</v>
      </c>
    </row>
    <row r="636" spans="1:9" hidden="1">
      <c r="A636" t="s">
        <v>1211</v>
      </c>
      <c r="B636" t="s">
        <v>3267</v>
      </c>
      <c r="C636" t="s">
        <v>11</v>
      </c>
      <c r="D636" s="2">
        <v>2671.1875031163854</v>
      </c>
      <c r="E636">
        <f>VLOOKUP(I636,Calc!$I$35:$J$39,2,FALSE)</f>
        <v>2.5</v>
      </c>
      <c r="F636">
        <v>5</v>
      </c>
      <c r="G636" s="10" t="s">
        <v>12</v>
      </c>
      <c r="H636" s="10" t="s">
        <v>1212</v>
      </c>
      <c r="I636" s="10" t="s">
        <v>36</v>
      </c>
    </row>
    <row r="637" spans="1:9" hidden="1">
      <c r="A637" t="s">
        <v>1213</v>
      </c>
      <c r="B637" t="s">
        <v>3266</v>
      </c>
      <c r="C637" t="s">
        <v>11</v>
      </c>
      <c r="D637" s="2">
        <v>14246.333349954055</v>
      </c>
      <c r="E637">
        <f>VLOOKUP(I637,Calc!$I$35:$J$39,2,FALSE)</f>
        <v>2.5</v>
      </c>
      <c r="F637">
        <v>3</v>
      </c>
      <c r="G637" s="10" t="s">
        <v>12</v>
      </c>
      <c r="H637" s="10" t="s">
        <v>38</v>
      </c>
      <c r="I637" s="10" t="s">
        <v>36</v>
      </c>
    </row>
    <row r="638" spans="1:9" hidden="1">
      <c r="A638" t="s">
        <v>1214</v>
      </c>
      <c r="B638" t="s">
        <v>77</v>
      </c>
      <c r="C638" t="s">
        <v>11</v>
      </c>
      <c r="D638" s="2">
        <v>8547.8000099724322</v>
      </c>
      <c r="E638">
        <f>VLOOKUP(I638,Calc!$I$35:$J$39,2,FALSE)</f>
        <v>1.5</v>
      </c>
      <c r="F638">
        <v>3</v>
      </c>
      <c r="G638" s="10" t="s">
        <v>12</v>
      </c>
      <c r="H638" s="10" t="s">
        <v>1215</v>
      </c>
      <c r="I638" s="10" t="s">
        <v>47</v>
      </c>
    </row>
    <row r="639" spans="1:9" hidden="1">
      <c r="A639" t="s">
        <v>1216</v>
      </c>
      <c r="B639" t="s">
        <v>3267</v>
      </c>
      <c r="C639" t="s">
        <v>11</v>
      </c>
      <c r="D639" s="2">
        <v>7693.0200089751897</v>
      </c>
      <c r="E639">
        <f>VLOOKUP(I639,Calc!$I$35:$J$39,2,FALSE)</f>
        <v>2.5</v>
      </c>
      <c r="F639">
        <v>5</v>
      </c>
      <c r="G639" s="10" t="s">
        <v>12</v>
      </c>
      <c r="H639" s="10" t="s">
        <v>1217</v>
      </c>
      <c r="I639" s="10" t="s">
        <v>36</v>
      </c>
    </row>
    <row r="640" spans="1:9" hidden="1">
      <c r="A640" t="s">
        <v>1218</v>
      </c>
      <c r="B640" t="s">
        <v>3267</v>
      </c>
      <c r="C640" t="s">
        <v>11</v>
      </c>
      <c r="D640" s="2">
        <v>4000</v>
      </c>
      <c r="E640">
        <f>VLOOKUP(I640,Calc!$I$35:$J$39,2,FALSE)</f>
        <v>8</v>
      </c>
      <c r="F640">
        <v>8</v>
      </c>
      <c r="G640" s="10" t="s">
        <v>12</v>
      </c>
      <c r="H640" s="10" t="s">
        <v>1219</v>
      </c>
      <c r="I640" s="10" t="s">
        <v>22</v>
      </c>
    </row>
    <row r="641" spans="1:9" hidden="1">
      <c r="A641" t="s">
        <v>1220</v>
      </c>
      <c r="B641" t="s">
        <v>3267</v>
      </c>
      <c r="C641" t="s">
        <v>11</v>
      </c>
      <c r="D641" s="2">
        <v>5400</v>
      </c>
      <c r="E641">
        <f>VLOOKUP(I641,Calc!$I$35:$J$39,2,FALSE)</f>
        <v>8</v>
      </c>
      <c r="F641">
        <v>3</v>
      </c>
      <c r="G641" s="10" t="s">
        <v>12</v>
      </c>
      <c r="H641" s="10" t="s">
        <v>1024</v>
      </c>
      <c r="I641" s="10" t="s">
        <v>22</v>
      </c>
    </row>
    <row r="642" spans="1:9" hidden="1">
      <c r="A642" t="s">
        <v>1221</v>
      </c>
      <c r="B642" t="s">
        <v>3267</v>
      </c>
      <c r="C642" t="s">
        <v>11</v>
      </c>
      <c r="D642" s="2">
        <v>186983.12521814698</v>
      </c>
      <c r="E642">
        <f>VLOOKUP(I642,Calc!$I$35:$J$39,2,FALSE)</f>
        <v>2.5</v>
      </c>
      <c r="F642">
        <v>10</v>
      </c>
      <c r="G642" s="10" t="s">
        <v>12</v>
      </c>
      <c r="H642" s="10" t="s">
        <v>1222</v>
      </c>
      <c r="I642" s="10" t="s">
        <v>36</v>
      </c>
    </row>
    <row r="643" spans="1:9" hidden="1">
      <c r="A643" t="s">
        <v>1223</v>
      </c>
      <c r="B643" t="s">
        <v>3268</v>
      </c>
      <c r="C643" t="s">
        <v>11</v>
      </c>
      <c r="D643" s="2">
        <v>21500</v>
      </c>
      <c r="E643">
        <f>VLOOKUP(I643,Calc!$I$35:$J$39,2,FALSE)</f>
        <v>5</v>
      </c>
      <c r="F643">
        <v>9</v>
      </c>
      <c r="G643" s="10" t="s">
        <v>12</v>
      </c>
      <c r="H643" s="10" t="s">
        <v>1224</v>
      </c>
      <c r="I643" s="10" t="s">
        <v>14</v>
      </c>
    </row>
    <row r="644" spans="1:9" hidden="1">
      <c r="A644" t="s">
        <v>1225</v>
      </c>
      <c r="B644" t="s">
        <v>77</v>
      </c>
      <c r="C644" t="s">
        <v>11</v>
      </c>
      <c r="D644" s="2">
        <v>15000</v>
      </c>
      <c r="E644">
        <f>VLOOKUP(I644,Calc!$I$35:$J$39,2,FALSE)</f>
        <v>8</v>
      </c>
      <c r="F644">
        <v>2</v>
      </c>
      <c r="G644" s="10" t="s">
        <v>12</v>
      </c>
      <c r="H644" s="10" t="s">
        <v>1167</v>
      </c>
      <c r="I644" s="10" t="s">
        <v>22</v>
      </c>
    </row>
    <row r="645" spans="1:9" hidden="1">
      <c r="A645" t="s">
        <v>1226</v>
      </c>
      <c r="B645" t="s">
        <v>3269</v>
      </c>
      <c r="C645" t="s">
        <v>11</v>
      </c>
      <c r="D645" s="2">
        <v>2122.8177433598262</v>
      </c>
      <c r="E645">
        <f>VLOOKUP(I645,Calc!$I$35:$J$39,2,FALSE)</f>
        <v>2.5</v>
      </c>
      <c r="F645">
        <v>2</v>
      </c>
      <c r="G645" s="10" t="s">
        <v>34</v>
      </c>
      <c r="H645" s="10" t="s">
        <v>1227</v>
      </c>
      <c r="I645" s="10" t="s">
        <v>36</v>
      </c>
    </row>
    <row r="646" spans="1:9" hidden="1">
      <c r="A646" t="s">
        <v>1228</v>
      </c>
      <c r="B646" t="s">
        <v>3267</v>
      </c>
      <c r="C646" t="s">
        <v>11</v>
      </c>
      <c r="D646" s="2">
        <v>16917.52085307044</v>
      </c>
      <c r="E646">
        <f>VLOOKUP(I646,Calc!$I$35:$J$39,2,FALSE)</f>
        <v>5</v>
      </c>
      <c r="F646">
        <v>3</v>
      </c>
      <c r="G646" s="10" t="s">
        <v>12</v>
      </c>
      <c r="H646" s="10" t="s">
        <v>1229</v>
      </c>
      <c r="I646" s="10" t="s">
        <v>14</v>
      </c>
    </row>
    <row r="647" spans="1:9" hidden="1">
      <c r="A647" t="s">
        <v>1230</v>
      </c>
      <c r="B647" t="s">
        <v>3267</v>
      </c>
      <c r="C647" t="s">
        <v>11</v>
      </c>
      <c r="D647" s="2">
        <v>2938.3062534280239</v>
      </c>
      <c r="E647">
        <f>VLOOKUP(I647,Calc!$I$35:$J$39,2,FALSE)</f>
        <v>8</v>
      </c>
      <c r="F647">
        <v>11</v>
      </c>
      <c r="G647" s="10" t="s">
        <v>12</v>
      </c>
      <c r="H647" s="10" t="s">
        <v>1231</v>
      </c>
      <c r="I647" s="10" t="s">
        <v>22</v>
      </c>
    </row>
    <row r="648" spans="1:9" hidden="1">
      <c r="A648" t="s">
        <v>1232</v>
      </c>
      <c r="B648" t="s">
        <v>3268</v>
      </c>
      <c r="C648" t="s">
        <v>11</v>
      </c>
      <c r="D648" s="2">
        <v>16800</v>
      </c>
      <c r="E648">
        <f>VLOOKUP(I648,Calc!$I$35:$J$39,2,FALSE)</f>
        <v>5</v>
      </c>
      <c r="F648">
        <v>12</v>
      </c>
      <c r="G648" s="10" t="s">
        <v>34</v>
      </c>
      <c r="H648" s="10" t="s">
        <v>1091</v>
      </c>
      <c r="I648" s="10" t="s">
        <v>14</v>
      </c>
    </row>
    <row r="649" spans="1:9" hidden="1">
      <c r="A649" t="s">
        <v>1233</v>
      </c>
      <c r="B649" t="s">
        <v>3266</v>
      </c>
      <c r="C649" t="s">
        <v>11</v>
      </c>
      <c r="D649" s="2">
        <v>37000</v>
      </c>
      <c r="E649">
        <f>VLOOKUP(I649,Calc!$I$35:$J$39,2,FALSE)</f>
        <v>5</v>
      </c>
      <c r="F649">
        <v>10</v>
      </c>
      <c r="G649" s="10" t="s">
        <v>12</v>
      </c>
      <c r="H649" s="10" t="s">
        <v>1234</v>
      </c>
      <c r="I649" s="10" t="s">
        <v>14</v>
      </c>
    </row>
    <row r="650" spans="1:9" hidden="1">
      <c r="A650" t="s">
        <v>1235</v>
      </c>
      <c r="B650" t="s">
        <v>3268</v>
      </c>
      <c r="C650" t="s">
        <v>11</v>
      </c>
      <c r="D650" s="2">
        <v>5342.3750062327708</v>
      </c>
      <c r="E650">
        <f>VLOOKUP(I650,Calc!$I$35:$J$39,2,FALSE)</f>
        <v>5</v>
      </c>
      <c r="F650">
        <v>4.5</v>
      </c>
      <c r="G650" s="10" t="s">
        <v>12</v>
      </c>
      <c r="H650" s="10" t="s">
        <v>1236</v>
      </c>
      <c r="I650" s="10" t="s">
        <v>14</v>
      </c>
    </row>
    <row r="651" spans="1:9" hidden="1">
      <c r="A651" t="s">
        <v>1237</v>
      </c>
      <c r="B651" t="s">
        <v>77</v>
      </c>
      <c r="C651" t="s">
        <v>11</v>
      </c>
      <c r="D651" s="2">
        <v>3561.5833374885137</v>
      </c>
      <c r="E651">
        <f>VLOOKUP(I651,Calc!$I$35:$J$39,2,FALSE)</f>
        <v>8</v>
      </c>
      <c r="F651">
        <v>3</v>
      </c>
      <c r="G651" s="10" t="s">
        <v>12</v>
      </c>
      <c r="H651" s="10" t="s">
        <v>1238</v>
      </c>
      <c r="I651" s="10" t="s">
        <v>22</v>
      </c>
    </row>
    <row r="652" spans="1:9" hidden="1">
      <c r="A652" t="s">
        <v>1239</v>
      </c>
      <c r="B652" t="s">
        <v>3267</v>
      </c>
      <c r="C652" t="s">
        <v>11</v>
      </c>
      <c r="D652" s="2">
        <v>8547.8000099724322</v>
      </c>
      <c r="E652">
        <f>VLOOKUP(I652,Calc!$I$35:$J$39,2,FALSE)</f>
        <v>2.5</v>
      </c>
      <c r="F652">
        <v>8</v>
      </c>
      <c r="G652" s="10" t="s">
        <v>12</v>
      </c>
      <c r="H652" s="10" t="s">
        <v>1240</v>
      </c>
      <c r="I652" s="10" t="s">
        <v>36</v>
      </c>
    </row>
    <row r="653" spans="1:9" hidden="1">
      <c r="A653" t="s">
        <v>1241</v>
      </c>
      <c r="B653" t="s">
        <v>3267</v>
      </c>
      <c r="C653" t="s">
        <v>11</v>
      </c>
      <c r="D653" s="2">
        <v>5800</v>
      </c>
      <c r="E653">
        <f>VLOOKUP(I653,Calc!$I$35:$J$39,2,FALSE)</f>
        <v>8</v>
      </c>
      <c r="F653">
        <v>8</v>
      </c>
      <c r="G653" s="10" t="s">
        <v>12</v>
      </c>
      <c r="H653" s="10" t="s">
        <v>1242</v>
      </c>
      <c r="I653" s="10" t="s">
        <v>22</v>
      </c>
    </row>
    <row r="654" spans="1:9" hidden="1">
      <c r="A654" t="s">
        <v>1243</v>
      </c>
      <c r="B654" t="s">
        <v>77</v>
      </c>
      <c r="C654" t="s">
        <v>11</v>
      </c>
      <c r="D654" s="2">
        <v>4095.8208381117906</v>
      </c>
      <c r="E654">
        <f>VLOOKUP(I654,Calc!$I$35:$J$39,2,FALSE)</f>
        <v>8</v>
      </c>
      <c r="F654">
        <v>3</v>
      </c>
      <c r="G654" s="10" t="s">
        <v>12</v>
      </c>
      <c r="H654" s="10" t="s">
        <v>1167</v>
      </c>
      <c r="I654" s="10" t="s">
        <v>22</v>
      </c>
    </row>
    <row r="655" spans="1:9" hidden="1">
      <c r="A655" t="s">
        <v>1244</v>
      </c>
      <c r="B655" t="s">
        <v>3267</v>
      </c>
      <c r="C655" t="s">
        <v>11</v>
      </c>
      <c r="D655" s="2">
        <v>4914.9850057341491</v>
      </c>
      <c r="E655">
        <f>VLOOKUP(I655,Calc!$I$35:$J$39,2,FALSE)</f>
        <v>1.5</v>
      </c>
      <c r="F655">
        <v>3</v>
      </c>
      <c r="G655" s="10" t="s">
        <v>34</v>
      </c>
      <c r="H655" s="10" t="s">
        <v>1245</v>
      </c>
      <c r="I655" s="10" t="s">
        <v>47</v>
      </c>
    </row>
    <row r="656" spans="1:9" hidden="1">
      <c r="A656" t="s">
        <v>1246</v>
      </c>
      <c r="B656" t="s">
        <v>3267</v>
      </c>
      <c r="C656" t="s">
        <v>48</v>
      </c>
      <c r="D656" s="2">
        <v>24000</v>
      </c>
      <c r="E656">
        <f>VLOOKUP(I656,Calc!$I$35:$J$39,2,FALSE)</f>
        <v>5</v>
      </c>
      <c r="F656">
        <v>12</v>
      </c>
      <c r="G656" s="10" t="s">
        <v>201</v>
      </c>
      <c r="H656" s="10" t="s">
        <v>1247</v>
      </c>
      <c r="I656" s="10" t="s">
        <v>14</v>
      </c>
    </row>
    <row r="657" spans="1:9" hidden="1">
      <c r="A657" t="s">
        <v>1248</v>
      </c>
      <c r="B657" t="s">
        <v>3269</v>
      </c>
      <c r="C657" t="s">
        <v>48</v>
      </c>
      <c r="D657" s="2">
        <v>24000</v>
      </c>
      <c r="E657">
        <f>VLOOKUP(I657,Calc!$I$35:$J$39,2,FALSE)</f>
        <v>2.5</v>
      </c>
      <c r="F657">
        <v>15</v>
      </c>
      <c r="G657" s="10" t="s">
        <v>191</v>
      </c>
      <c r="H657" s="10" t="s">
        <v>56</v>
      </c>
      <c r="I657" s="10" t="s">
        <v>36</v>
      </c>
    </row>
    <row r="658" spans="1:9" hidden="1">
      <c r="A658" t="s">
        <v>1249</v>
      </c>
      <c r="B658" t="s">
        <v>3267</v>
      </c>
      <c r="C658" t="s">
        <v>11</v>
      </c>
      <c r="D658" s="2">
        <v>8738</v>
      </c>
      <c r="E658">
        <f>VLOOKUP(I658,Calc!$I$35:$J$39,2,FALSE)</f>
        <v>8</v>
      </c>
      <c r="F658">
        <v>7.3</v>
      </c>
      <c r="G658" s="10" t="s">
        <v>12</v>
      </c>
      <c r="H658" s="10" t="s">
        <v>1250</v>
      </c>
      <c r="I658" s="10" t="s">
        <v>22</v>
      </c>
    </row>
    <row r="659" spans="1:9" hidden="1">
      <c r="A659" t="s">
        <v>1251</v>
      </c>
      <c r="B659" t="s">
        <v>3268</v>
      </c>
      <c r="C659" t="s">
        <v>11</v>
      </c>
      <c r="D659" s="2">
        <v>15000</v>
      </c>
      <c r="E659">
        <f>VLOOKUP(I659,Calc!$I$35:$J$39,2,FALSE)</f>
        <v>5</v>
      </c>
      <c r="F659">
        <v>1</v>
      </c>
      <c r="G659" s="10" t="s">
        <v>1177</v>
      </c>
      <c r="H659" s="10" t="s">
        <v>1252</v>
      </c>
      <c r="I659" s="10" t="s">
        <v>14</v>
      </c>
    </row>
    <row r="660" spans="1:9" hidden="1">
      <c r="A660" t="s">
        <v>1253</v>
      </c>
      <c r="B660" t="s">
        <v>3267</v>
      </c>
      <c r="C660" t="s">
        <v>48</v>
      </c>
      <c r="D660" s="2">
        <v>56400</v>
      </c>
      <c r="E660">
        <f>VLOOKUP(I660,Calc!$I$35:$J$39,2,FALSE)</f>
        <v>2.5</v>
      </c>
      <c r="F660">
        <v>6</v>
      </c>
      <c r="G660" s="10" t="s">
        <v>191</v>
      </c>
      <c r="H660" s="10" t="s">
        <v>1031</v>
      </c>
      <c r="I660" s="10" t="s">
        <v>36</v>
      </c>
    </row>
    <row r="661" spans="1:9" hidden="1">
      <c r="A661" t="s">
        <v>1254</v>
      </c>
      <c r="B661" t="s">
        <v>3268</v>
      </c>
      <c r="C661" t="s">
        <v>11</v>
      </c>
      <c r="D661" s="2">
        <v>10200</v>
      </c>
      <c r="E661">
        <f>VLOOKUP(I661,Calc!$I$35:$J$39,2,FALSE)</f>
        <v>5</v>
      </c>
      <c r="F661">
        <v>4.5</v>
      </c>
      <c r="G661" s="10" t="s">
        <v>12</v>
      </c>
      <c r="H661" s="10" t="s">
        <v>68</v>
      </c>
      <c r="I661" s="10" t="s">
        <v>14</v>
      </c>
    </row>
    <row r="662" spans="1:9" hidden="1">
      <c r="A662" t="s">
        <v>1255</v>
      </c>
      <c r="B662" t="s">
        <v>77</v>
      </c>
      <c r="C662" t="s">
        <v>11</v>
      </c>
      <c r="D662" s="2">
        <v>5787.5729234188348</v>
      </c>
      <c r="E662">
        <f>VLOOKUP(I662,Calc!$I$35:$J$39,2,FALSE)</f>
        <v>8</v>
      </c>
      <c r="F662">
        <v>4.5</v>
      </c>
      <c r="G662" s="10" t="s">
        <v>12</v>
      </c>
      <c r="H662" s="10" t="s">
        <v>1167</v>
      </c>
      <c r="I662" s="10" t="s">
        <v>22</v>
      </c>
    </row>
    <row r="663" spans="1:9" hidden="1">
      <c r="A663" t="s">
        <v>1256</v>
      </c>
      <c r="B663" t="s">
        <v>3264</v>
      </c>
      <c r="C663" t="s">
        <v>29</v>
      </c>
      <c r="D663" s="2">
        <v>105000</v>
      </c>
      <c r="E663">
        <f>VLOOKUP(I663,Calc!$I$35:$J$39,2,FALSE)</f>
        <v>2.5</v>
      </c>
      <c r="F663">
        <v>15</v>
      </c>
      <c r="G663" s="10" t="s">
        <v>30</v>
      </c>
      <c r="H663" s="10" t="s">
        <v>112</v>
      </c>
      <c r="I663" s="10" t="s">
        <v>36</v>
      </c>
    </row>
    <row r="664" spans="1:9" hidden="1">
      <c r="A664" t="s">
        <v>1257</v>
      </c>
      <c r="B664" t="s">
        <v>3267</v>
      </c>
      <c r="C664" t="s">
        <v>11</v>
      </c>
      <c r="D664" s="2">
        <v>4451.9791718606421</v>
      </c>
      <c r="E664">
        <f>VLOOKUP(I664,Calc!$I$35:$J$39,2,FALSE)</f>
        <v>2.5</v>
      </c>
      <c r="F664">
        <v>5</v>
      </c>
      <c r="G664" s="10" t="s">
        <v>12</v>
      </c>
      <c r="H664" s="10" t="s">
        <v>1258</v>
      </c>
      <c r="I664" s="10" t="s">
        <v>36</v>
      </c>
    </row>
    <row r="665" spans="1:9" hidden="1">
      <c r="A665" t="s">
        <v>1259</v>
      </c>
      <c r="B665" t="s">
        <v>3264</v>
      </c>
      <c r="C665" t="s">
        <v>11</v>
      </c>
      <c r="D665" s="2">
        <v>8369.7208430980063</v>
      </c>
      <c r="E665">
        <f>VLOOKUP(I665,Calc!$I$35:$J$39,2,FALSE)</f>
        <v>8</v>
      </c>
      <c r="F665">
        <v>4</v>
      </c>
      <c r="G665" s="10" t="s">
        <v>12</v>
      </c>
      <c r="H665" s="10" t="s">
        <v>90</v>
      </c>
      <c r="I665" s="10" t="s">
        <v>22</v>
      </c>
    </row>
    <row r="666" spans="1:9" hidden="1">
      <c r="A666" t="s">
        <v>1260</v>
      </c>
      <c r="B666" t="s">
        <v>3267</v>
      </c>
      <c r="C666" t="s">
        <v>11</v>
      </c>
      <c r="D666" s="2">
        <v>17067.637625607145</v>
      </c>
      <c r="E666">
        <f>VLOOKUP(I666,Calc!$I$35:$J$39,2,FALSE)</f>
        <v>5</v>
      </c>
      <c r="F666">
        <v>9</v>
      </c>
      <c r="G666" s="10" t="s">
        <v>566</v>
      </c>
      <c r="H666" s="10" t="s">
        <v>736</v>
      </c>
      <c r="I666" s="10" t="s">
        <v>14</v>
      </c>
    </row>
    <row r="667" spans="1:9" hidden="1">
      <c r="A667" t="s">
        <v>1261</v>
      </c>
      <c r="B667" t="s">
        <v>3267</v>
      </c>
      <c r="C667" t="s">
        <v>32</v>
      </c>
      <c r="D667" s="2">
        <v>101990.96564026357</v>
      </c>
      <c r="E667">
        <f>VLOOKUP(I667,Calc!$I$35:$J$39,2,FALSE)</f>
        <v>1.5</v>
      </c>
      <c r="F667">
        <v>20</v>
      </c>
      <c r="G667" s="10" t="s">
        <v>123</v>
      </c>
      <c r="H667" s="10" t="s">
        <v>1262</v>
      </c>
      <c r="I667" s="10" t="s">
        <v>47</v>
      </c>
    </row>
    <row r="668" spans="1:9" hidden="1">
      <c r="A668" t="s">
        <v>1263</v>
      </c>
      <c r="B668" t="s">
        <v>3268</v>
      </c>
      <c r="C668" t="s">
        <v>11</v>
      </c>
      <c r="D668" s="2">
        <v>3917.7416712373652</v>
      </c>
      <c r="E668">
        <f>VLOOKUP(I668,Calc!$I$35:$J$39,2,FALSE)</f>
        <v>2.5</v>
      </c>
      <c r="F668">
        <v>3</v>
      </c>
      <c r="G668" s="10" t="s">
        <v>12</v>
      </c>
      <c r="H668" s="10" t="s">
        <v>1264</v>
      </c>
      <c r="I668" s="10" t="s">
        <v>36</v>
      </c>
    </row>
    <row r="669" spans="1:9" hidden="1">
      <c r="A669" t="s">
        <v>1265</v>
      </c>
      <c r="B669" t="s">
        <v>3265</v>
      </c>
      <c r="C669" t="s">
        <v>29</v>
      </c>
      <c r="D669" s="2">
        <v>52000</v>
      </c>
      <c r="E669">
        <f>VLOOKUP(I669,Calc!$I$35:$J$39,2,FALSE)</f>
        <v>5</v>
      </c>
      <c r="F669">
        <v>18</v>
      </c>
      <c r="G669" s="10" t="s">
        <v>30</v>
      </c>
      <c r="H669" s="10" t="s">
        <v>1266</v>
      </c>
      <c r="I669" s="10" t="s">
        <v>14</v>
      </c>
    </row>
    <row r="670" spans="1:9" hidden="1">
      <c r="A670" t="s">
        <v>1267</v>
      </c>
      <c r="B670" t="s">
        <v>3268</v>
      </c>
      <c r="C670" t="s">
        <v>11</v>
      </c>
      <c r="D670" s="2">
        <v>4630.058338735068</v>
      </c>
      <c r="E670">
        <f>VLOOKUP(I670,Calc!$I$35:$J$39,2,FALSE)</f>
        <v>5</v>
      </c>
      <c r="F670">
        <v>2</v>
      </c>
      <c r="G670" s="10" t="s">
        <v>12</v>
      </c>
      <c r="H670" s="10" t="s">
        <v>10</v>
      </c>
      <c r="I670" s="10" t="s">
        <v>14</v>
      </c>
    </row>
    <row r="671" spans="1:9" hidden="1">
      <c r="A671" t="s">
        <v>1268</v>
      </c>
      <c r="B671" t="s">
        <v>3268</v>
      </c>
      <c r="C671" t="s">
        <v>11</v>
      </c>
      <c r="D671" s="2">
        <v>2136.9500024931081</v>
      </c>
      <c r="E671">
        <f>VLOOKUP(I671,Calc!$I$35:$J$39,2,FALSE)</f>
        <v>2.5</v>
      </c>
      <c r="F671">
        <v>3</v>
      </c>
      <c r="G671" s="10" t="s">
        <v>12</v>
      </c>
      <c r="H671" s="10" t="s">
        <v>233</v>
      </c>
      <c r="I671" s="10" t="s">
        <v>36</v>
      </c>
    </row>
    <row r="672" spans="1:9" hidden="1">
      <c r="A672" t="s">
        <v>1269</v>
      </c>
      <c r="B672" t="s">
        <v>3268</v>
      </c>
      <c r="C672" t="s">
        <v>11</v>
      </c>
      <c r="D672" s="2">
        <v>13000</v>
      </c>
      <c r="E672">
        <f>VLOOKUP(I672,Calc!$I$35:$J$39,2,FALSE)</f>
        <v>1.5</v>
      </c>
      <c r="F672">
        <v>4</v>
      </c>
      <c r="G672" s="10" t="s">
        <v>12</v>
      </c>
      <c r="H672" s="10" t="s">
        <v>10</v>
      </c>
      <c r="I672" s="10" t="s">
        <v>47</v>
      </c>
    </row>
    <row r="673" spans="1:9" hidden="1">
      <c r="A673" t="s">
        <v>1270</v>
      </c>
      <c r="B673" t="s">
        <v>3267</v>
      </c>
      <c r="C673" t="s">
        <v>11</v>
      </c>
      <c r="D673" s="2">
        <v>2564.3400029917298</v>
      </c>
      <c r="E673">
        <f>VLOOKUP(I673,Calc!$I$35:$J$39,2,FALSE)</f>
        <v>2.5</v>
      </c>
      <c r="F673">
        <v>7</v>
      </c>
      <c r="G673" s="10" t="s">
        <v>12</v>
      </c>
      <c r="H673" s="10" t="s">
        <v>1271</v>
      </c>
      <c r="I673" s="10" t="s">
        <v>36</v>
      </c>
    </row>
    <row r="674" spans="1:9" hidden="1">
      <c r="A674" t="s">
        <v>1272</v>
      </c>
      <c r="B674" t="s">
        <v>3267</v>
      </c>
      <c r="C674" t="s">
        <v>11</v>
      </c>
      <c r="D674" s="2">
        <v>20479.104190558952</v>
      </c>
      <c r="E674">
        <f>VLOOKUP(I674,Calc!$I$35:$J$39,2,FALSE)</f>
        <v>2.5</v>
      </c>
      <c r="F674">
        <v>7</v>
      </c>
      <c r="G674" s="10" t="s">
        <v>12</v>
      </c>
      <c r="H674" s="10" t="s">
        <v>1273</v>
      </c>
      <c r="I674" s="10" t="s">
        <v>36</v>
      </c>
    </row>
    <row r="675" spans="1:9" hidden="1">
      <c r="A675" t="s">
        <v>1274</v>
      </c>
      <c r="B675" t="s">
        <v>3269</v>
      </c>
      <c r="C675" t="s">
        <v>48</v>
      </c>
      <c r="D675" s="2">
        <v>33500</v>
      </c>
      <c r="E675">
        <f>VLOOKUP(I675,Calc!$I$35:$J$39,2,FALSE)</f>
        <v>1.5</v>
      </c>
      <c r="F675">
        <v>10</v>
      </c>
      <c r="G675" s="10" t="s">
        <v>585</v>
      </c>
      <c r="H675" s="10" t="s">
        <v>1275</v>
      </c>
      <c r="I675" s="10" t="s">
        <v>47</v>
      </c>
    </row>
    <row r="676" spans="1:9" hidden="1">
      <c r="A676" t="s">
        <v>1276</v>
      </c>
      <c r="B676" t="s">
        <v>3267</v>
      </c>
      <c r="C676" t="s">
        <v>11</v>
      </c>
      <c r="D676" s="2">
        <v>50000</v>
      </c>
      <c r="E676">
        <f>VLOOKUP(I676,Calc!$I$35:$J$39,2,FALSE)</f>
        <v>2.5</v>
      </c>
      <c r="F676">
        <v>20</v>
      </c>
      <c r="G676" s="10" t="s">
        <v>12</v>
      </c>
      <c r="H676" s="10" t="s">
        <v>1277</v>
      </c>
      <c r="I676" s="10" t="s">
        <v>36</v>
      </c>
    </row>
    <row r="677" spans="1:9" hidden="1">
      <c r="A677" t="s">
        <v>1278</v>
      </c>
      <c r="B677" t="s">
        <v>3267</v>
      </c>
      <c r="C677" t="s">
        <v>11</v>
      </c>
      <c r="D677" s="2">
        <v>5342.3750062327708</v>
      </c>
      <c r="E677">
        <f>VLOOKUP(I677,Calc!$I$35:$J$39,2,FALSE)</f>
        <v>2.5</v>
      </c>
      <c r="F677">
        <v>3</v>
      </c>
      <c r="G677" s="10" t="s">
        <v>12</v>
      </c>
      <c r="H677" s="10" t="s">
        <v>1279</v>
      </c>
      <c r="I677" s="10" t="s">
        <v>36</v>
      </c>
    </row>
    <row r="678" spans="1:9" hidden="1">
      <c r="A678" t="s">
        <v>1280</v>
      </c>
      <c r="B678" t="s">
        <v>3268</v>
      </c>
      <c r="C678" t="s">
        <v>11</v>
      </c>
      <c r="D678" s="2">
        <v>11539.530013462785</v>
      </c>
      <c r="E678">
        <f>VLOOKUP(I678,Calc!$I$35:$J$39,2,FALSE)</f>
        <v>8</v>
      </c>
      <c r="F678">
        <v>2</v>
      </c>
      <c r="G678" s="10" t="s">
        <v>12</v>
      </c>
      <c r="H678" s="10" t="s">
        <v>1281</v>
      </c>
      <c r="I678" s="10" t="s">
        <v>22</v>
      </c>
    </row>
    <row r="679" spans="1:9" hidden="1">
      <c r="A679" t="s">
        <v>1282</v>
      </c>
      <c r="B679" t="s">
        <v>3267</v>
      </c>
      <c r="C679" t="s">
        <v>11</v>
      </c>
      <c r="D679" s="2">
        <v>7000</v>
      </c>
      <c r="E679">
        <f>VLOOKUP(I679,Calc!$I$35:$J$39,2,FALSE)</f>
        <v>5</v>
      </c>
      <c r="F679">
        <v>23</v>
      </c>
      <c r="G679" s="10" t="s">
        <v>12</v>
      </c>
      <c r="H679" s="10" t="s">
        <v>1283</v>
      </c>
      <c r="I679" s="10" t="s">
        <v>14</v>
      </c>
    </row>
    <row r="680" spans="1:9" hidden="1">
      <c r="A680" t="s">
        <v>1284</v>
      </c>
      <c r="B680" t="s">
        <v>77</v>
      </c>
      <c r="C680" t="s">
        <v>11</v>
      </c>
      <c r="D680" s="2">
        <v>6767.0083412281756</v>
      </c>
      <c r="E680">
        <f>VLOOKUP(I680,Calc!$I$35:$J$39,2,FALSE)</f>
        <v>2.5</v>
      </c>
      <c r="F680">
        <v>6</v>
      </c>
      <c r="G680" s="10" t="s">
        <v>12</v>
      </c>
      <c r="H680" s="10" t="s">
        <v>1285</v>
      </c>
      <c r="I680" s="10" t="s">
        <v>36</v>
      </c>
    </row>
    <row r="681" spans="1:9" hidden="1">
      <c r="A681" t="s">
        <v>1286</v>
      </c>
      <c r="B681" t="s">
        <v>3264</v>
      </c>
      <c r="C681" t="s">
        <v>11</v>
      </c>
      <c r="D681" s="2">
        <v>3000</v>
      </c>
      <c r="E681">
        <f>VLOOKUP(I681,Calc!$I$35:$J$39,2,FALSE)</f>
        <v>2.5</v>
      </c>
      <c r="F681">
        <v>2</v>
      </c>
      <c r="G681" s="10" t="s">
        <v>1287</v>
      </c>
      <c r="H681" s="10" t="s">
        <v>1288</v>
      </c>
      <c r="I681" s="10" t="s">
        <v>36</v>
      </c>
    </row>
    <row r="682" spans="1:9" hidden="1">
      <c r="A682" t="s">
        <v>1289</v>
      </c>
      <c r="B682" t="s">
        <v>77</v>
      </c>
      <c r="C682" t="s">
        <v>11</v>
      </c>
      <c r="D682" s="2">
        <v>4451.9791718606421</v>
      </c>
      <c r="E682">
        <f>VLOOKUP(I682,Calc!$I$35:$J$39,2,FALSE)</f>
        <v>8</v>
      </c>
      <c r="F682">
        <v>4</v>
      </c>
      <c r="G682" s="10" t="s">
        <v>12</v>
      </c>
      <c r="H682" s="10" t="s">
        <v>1290</v>
      </c>
      <c r="I682" s="10" t="s">
        <v>22</v>
      </c>
    </row>
    <row r="683" spans="1:9" hidden="1">
      <c r="A683" t="s">
        <v>1291</v>
      </c>
      <c r="B683" t="s">
        <v>3249</v>
      </c>
      <c r="C683" t="s">
        <v>11</v>
      </c>
      <c r="D683" s="2">
        <v>2671.1875031163854</v>
      </c>
      <c r="E683">
        <f>VLOOKUP(I683,Calc!$I$35:$J$39,2,FALSE)</f>
        <v>5</v>
      </c>
      <c r="F683">
        <v>4.5</v>
      </c>
      <c r="G683" s="10" t="s">
        <v>12</v>
      </c>
      <c r="H683" s="10" t="s">
        <v>1292</v>
      </c>
      <c r="I683" s="10" t="s">
        <v>14</v>
      </c>
    </row>
    <row r="684" spans="1:9" hidden="1">
      <c r="A684" t="s">
        <v>1293</v>
      </c>
      <c r="B684" t="s">
        <v>3267</v>
      </c>
      <c r="C684" t="s">
        <v>11</v>
      </c>
      <c r="D684" s="2">
        <v>4957.7240057840108</v>
      </c>
      <c r="E684">
        <f>VLOOKUP(I684,Calc!$I$35:$J$39,2,FALSE)</f>
        <v>5</v>
      </c>
      <c r="F684">
        <v>5</v>
      </c>
      <c r="G684" s="10" t="s">
        <v>12</v>
      </c>
      <c r="H684" s="10" t="s">
        <v>1294</v>
      </c>
      <c r="I684" s="10" t="s">
        <v>14</v>
      </c>
    </row>
    <row r="685" spans="1:9" hidden="1">
      <c r="A685" t="s">
        <v>1295</v>
      </c>
      <c r="B685" t="s">
        <v>3269</v>
      </c>
      <c r="C685" t="s">
        <v>11</v>
      </c>
      <c r="D685" s="2">
        <v>3205.4250037396623</v>
      </c>
      <c r="E685">
        <f>VLOOKUP(I685,Calc!$I$35:$J$39,2,FALSE)</f>
        <v>2.5</v>
      </c>
      <c r="F685">
        <v>14</v>
      </c>
      <c r="G685" s="10" t="s">
        <v>12</v>
      </c>
      <c r="H685" s="10" t="s">
        <v>1296</v>
      </c>
      <c r="I685" s="10" t="s">
        <v>36</v>
      </c>
    </row>
    <row r="686" spans="1:9" hidden="1">
      <c r="A686" t="s">
        <v>1297</v>
      </c>
      <c r="B686" t="s">
        <v>3267</v>
      </c>
      <c r="C686" t="s">
        <v>11</v>
      </c>
      <c r="D686" s="2">
        <v>14246.333349954055</v>
      </c>
      <c r="E686">
        <f>VLOOKUP(I686,Calc!$I$35:$J$39,2,FALSE)</f>
        <v>5</v>
      </c>
      <c r="F686">
        <v>7</v>
      </c>
      <c r="G686" s="10" t="s">
        <v>12</v>
      </c>
      <c r="H686" s="10" t="s">
        <v>44</v>
      </c>
      <c r="I686" s="10" t="s">
        <v>14</v>
      </c>
    </row>
    <row r="687" spans="1:9" hidden="1">
      <c r="A687" t="s">
        <v>1298</v>
      </c>
      <c r="B687" t="s">
        <v>3268</v>
      </c>
      <c r="C687" t="s">
        <v>11</v>
      </c>
      <c r="D687" s="2">
        <v>5342.3750062327708</v>
      </c>
      <c r="E687">
        <f>VLOOKUP(I687,Calc!$I$35:$J$39,2,FALSE)</f>
        <v>8</v>
      </c>
      <c r="F687">
        <v>7</v>
      </c>
      <c r="G687" s="10" t="s">
        <v>12</v>
      </c>
      <c r="H687" s="10" t="s">
        <v>10</v>
      </c>
      <c r="I687" s="10" t="s">
        <v>22</v>
      </c>
    </row>
    <row r="688" spans="1:9" hidden="1">
      <c r="A688" t="s">
        <v>1299</v>
      </c>
      <c r="B688" t="s">
        <v>3268</v>
      </c>
      <c r="C688" t="s">
        <v>11</v>
      </c>
      <c r="D688" s="2">
        <v>6588.9291743537506</v>
      </c>
      <c r="E688">
        <f>VLOOKUP(I688,Calc!$I$35:$J$39,2,FALSE)</f>
        <v>8</v>
      </c>
      <c r="F688">
        <v>2</v>
      </c>
      <c r="G688" s="10" t="s">
        <v>12</v>
      </c>
      <c r="H688" s="10" t="s">
        <v>630</v>
      </c>
      <c r="I688" s="10" t="s">
        <v>22</v>
      </c>
    </row>
    <row r="689" spans="1:9" hidden="1">
      <c r="A689" t="s">
        <v>1300</v>
      </c>
      <c r="B689" t="s">
        <v>3268</v>
      </c>
      <c r="C689" t="s">
        <v>11</v>
      </c>
      <c r="D689" s="2">
        <v>6588.9291743537506</v>
      </c>
      <c r="E689">
        <f>VLOOKUP(I689,Calc!$I$35:$J$39,2,FALSE)</f>
        <v>8</v>
      </c>
      <c r="F689">
        <v>2</v>
      </c>
      <c r="G689" s="10" t="s">
        <v>12</v>
      </c>
      <c r="H689" s="10" t="s">
        <v>630</v>
      </c>
      <c r="I689" s="10" t="s">
        <v>22</v>
      </c>
    </row>
    <row r="690" spans="1:9" hidden="1">
      <c r="A690" t="s">
        <v>1301</v>
      </c>
      <c r="B690" t="s">
        <v>3265</v>
      </c>
      <c r="C690" t="s">
        <v>29</v>
      </c>
      <c r="D690" s="2">
        <v>35000</v>
      </c>
      <c r="E690">
        <f>VLOOKUP(I690,Calc!$I$35:$J$39,2,FALSE)</f>
        <v>5</v>
      </c>
      <c r="F690">
        <v>10</v>
      </c>
      <c r="G690" s="10" t="s">
        <v>30</v>
      </c>
      <c r="H690" s="10" t="s">
        <v>1067</v>
      </c>
      <c r="I690" s="10" t="s">
        <v>14</v>
      </c>
    </row>
    <row r="691" spans="1:9" hidden="1">
      <c r="A691" t="s">
        <v>1302</v>
      </c>
      <c r="B691" t="s">
        <v>3269</v>
      </c>
      <c r="C691" t="s">
        <v>11</v>
      </c>
      <c r="D691" s="2">
        <v>12821.700014958649</v>
      </c>
      <c r="E691">
        <f>VLOOKUP(I691,Calc!$I$35:$J$39,2,FALSE)</f>
        <v>5</v>
      </c>
      <c r="F691">
        <v>4</v>
      </c>
      <c r="G691" s="10" t="s">
        <v>12</v>
      </c>
      <c r="H691" s="10" t="s">
        <v>1303</v>
      </c>
      <c r="I691" s="10" t="s">
        <v>14</v>
      </c>
    </row>
    <row r="692" spans="1:9" hidden="1">
      <c r="A692" t="s">
        <v>1304</v>
      </c>
      <c r="B692" t="s">
        <v>3267</v>
      </c>
      <c r="C692" t="s">
        <v>11</v>
      </c>
      <c r="D692" s="2">
        <v>10684.750012465542</v>
      </c>
      <c r="E692">
        <f>VLOOKUP(I692,Calc!$I$35:$J$39,2,FALSE)</f>
        <v>1.5</v>
      </c>
      <c r="F692">
        <v>2</v>
      </c>
      <c r="G692" s="10" t="s">
        <v>12</v>
      </c>
      <c r="H692" s="10" t="s">
        <v>1305</v>
      </c>
      <c r="I692" s="10" t="s">
        <v>47</v>
      </c>
    </row>
    <row r="693" spans="1:9" hidden="1">
      <c r="A693" t="s">
        <v>1306</v>
      </c>
      <c r="B693" t="s">
        <v>3267</v>
      </c>
      <c r="C693" t="s">
        <v>11</v>
      </c>
      <c r="D693" s="2">
        <v>10000</v>
      </c>
      <c r="E693">
        <f>VLOOKUP(I693,Calc!$I$35:$J$39,2,FALSE)</f>
        <v>5</v>
      </c>
      <c r="F693">
        <v>2</v>
      </c>
      <c r="G693" s="10" t="s">
        <v>12</v>
      </c>
      <c r="H693" s="10" t="s">
        <v>1212</v>
      </c>
      <c r="I693" s="10" t="s">
        <v>14</v>
      </c>
    </row>
    <row r="694" spans="1:9" hidden="1">
      <c r="A694" t="s">
        <v>1307</v>
      </c>
      <c r="B694" t="s">
        <v>3268</v>
      </c>
      <c r="C694" t="s">
        <v>11</v>
      </c>
      <c r="D694" s="2">
        <v>2136.9500024931081</v>
      </c>
      <c r="E694">
        <f>VLOOKUP(I694,Calc!$I$35:$J$39,2,FALSE)</f>
        <v>1.5</v>
      </c>
      <c r="F694">
        <v>0</v>
      </c>
      <c r="G694" s="10" t="s">
        <v>12</v>
      </c>
      <c r="H694" s="10" t="s">
        <v>1308</v>
      </c>
      <c r="I694" s="10" t="s">
        <v>47</v>
      </c>
    </row>
    <row r="695" spans="1:9" hidden="1">
      <c r="A695" t="s">
        <v>1309</v>
      </c>
      <c r="B695" t="s">
        <v>3268</v>
      </c>
      <c r="C695" t="s">
        <v>11</v>
      </c>
      <c r="D695" s="2">
        <v>8547.8000099724322</v>
      </c>
      <c r="E695">
        <f>VLOOKUP(I695,Calc!$I$35:$J$39,2,FALSE)</f>
        <v>5</v>
      </c>
      <c r="F695">
        <v>4</v>
      </c>
      <c r="G695" s="10" t="s">
        <v>12</v>
      </c>
      <c r="H695" s="10" t="s">
        <v>320</v>
      </c>
      <c r="I695" s="10" t="s">
        <v>14</v>
      </c>
    </row>
    <row r="696" spans="1:9" hidden="1">
      <c r="A696" t="s">
        <v>1310</v>
      </c>
      <c r="B696" t="s">
        <v>3268</v>
      </c>
      <c r="C696" t="s">
        <v>11</v>
      </c>
      <c r="D696" s="2">
        <v>8013.5625093491553</v>
      </c>
      <c r="E696">
        <f>VLOOKUP(I696,Calc!$I$35:$J$39,2,FALSE)</f>
        <v>8</v>
      </c>
      <c r="F696">
        <v>8</v>
      </c>
      <c r="G696" s="10" t="s">
        <v>12</v>
      </c>
      <c r="H696" s="10" t="s">
        <v>233</v>
      </c>
      <c r="I696" s="10" t="s">
        <v>22</v>
      </c>
    </row>
    <row r="697" spans="1:9" hidden="1">
      <c r="A697" t="s">
        <v>1311</v>
      </c>
      <c r="B697" t="s">
        <v>3264</v>
      </c>
      <c r="C697" t="s">
        <v>11</v>
      </c>
      <c r="D697" s="2">
        <v>7123.1666749770275</v>
      </c>
      <c r="E697">
        <f>VLOOKUP(I697,Calc!$I$35:$J$39,2,FALSE)</f>
        <v>5</v>
      </c>
      <c r="F697">
        <v>0</v>
      </c>
      <c r="G697" s="10" t="s">
        <v>12</v>
      </c>
      <c r="H697" s="10" t="s">
        <v>90</v>
      </c>
      <c r="I697" s="10" t="s">
        <v>14</v>
      </c>
    </row>
    <row r="698" spans="1:9" hidden="1">
      <c r="A698" t="s">
        <v>1312</v>
      </c>
      <c r="B698" t="s">
        <v>3268</v>
      </c>
      <c r="C698" t="s">
        <v>11</v>
      </c>
      <c r="D698" s="2">
        <v>40958.208381117904</v>
      </c>
      <c r="E698">
        <f>VLOOKUP(I698,Calc!$I$35:$J$39,2,FALSE)</f>
        <v>8</v>
      </c>
      <c r="F698">
        <v>5</v>
      </c>
      <c r="G698" s="10" t="s">
        <v>12</v>
      </c>
      <c r="H698" s="10" t="s">
        <v>408</v>
      </c>
      <c r="I698" s="10" t="s">
        <v>22</v>
      </c>
    </row>
    <row r="699" spans="1:9" hidden="1">
      <c r="A699" t="s">
        <v>1313</v>
      </c>
      <c r="B699" t="s">
        <v>3267</v>
      </c>
      <c r="C699" t="s">
        <v>11</v>
      </c>
      <c r="D699" s="2">
        <v>11325.835013213473</v>
      </c>
      <c r="E699">
        <f>VLOOKUP(I699,Calc!$I$35:$J$39,2,FALSE)</f>
        <v>5</v>
      </c>
      <c r="F699">
        <v>2</v>
      </c>
      <c r="G699" s="10" t="s">
        <v>12</v>
      </c>
      <c r="H699" s="10" t="s">
        <v>1314</v>
      </c>
      <c r="I699" s="10" t="s">
        <v>14</v>
      </c>
    </row>
    <row r="700" spans="1:9" hidden="1">
      <c r="A700" t="s">
        <v>1315</v>
      </c>
      <c r="B700" t="s">
        <v>3269</v>
      </c>
      <c r="C700" t="s">
        <v>19</v>
      </c>
      <c r="D700" s="2">
        <v>15000</v>
      </c>
      <c r="E700">
        <f>VLOOKUP(I700,Calc!$I$35:$J$39,2,FALSE)</f>
        <v>5</v>
      </c>
      <c r="F700">
        <v>2</v>
      </c>
      <c r="G700" s="10" t="s">
        <v>1316</v>
      </c>
      <c r="H700" s="10" t="s">
        <v>1317</v>
      </c>
      <c r="I700" s="10" t="s">
        <v>14</v>
      </c>
    </row>
    <row r="701" spans="1:9" hidden="1">
      <c r="A701" t="s">
        <v>1318</v>
      </c>
      <c r="B701" t="s">
        <v>3268</v>
      </c>
      <c r="C701" t="s">
        <v>48</v>
      </c>
      <c r="D701" s="2">
        <v>12000</v>
      </c>
      <c r="E701">
        <f>VLOOKUP(I701,Calc!$I$35:$J$39,2,FALSE)</f>
        <v>5</v>
      </c>
      <c r="F701">
        <v>12</v>
      </c>
      <c r="G701" s="10" t="s">
        <v>191</v>
      </c>
      <c r="H701" s="10" t="s">
        <v>1319</v>
      </c>
      <c r="I701" s="10" t="s">
        <v>14</v>
      </c>
    </row>
    <row r="702" spans="1:9" hidden="1">
      <c r="A702" t="s">
        <v>1320</v>
      </c>
      <c r="B702" t="s">
        <v>77</v>
      </c>
      <c r="C702" t="s">
        <v>11</v>
      </c>
      <c r="D702" s="2">
        <v>8903.9583437212841</v>
      </c>
      <c r="E702">
        <f>VLOOKUP(I702,Calc!$I$35:$J$39,2,FALSE)</f>
        <v>2.5</v>
      </c>
      <c r="F702">
        <v>1</v>
      </c>
      <c r="G702" s="10" t="s">
        <v>12</v>
      </c>
      <c r="H702" s="10" t="s">
        <v>1321</v>
      </c>
      <c r="I702" s="10" t="s">
        <v>36</v>
      </c>
    </row>
    <row r="703" spans="1:9" hidden="1">
      <c r="A703" t="s">
        <v>1322</v>
      </c>
      <c r="B703" t="s">
        <v>3266</v>
      </c>
      <c r="C703" t="s">
        <v>11</v>
      </c>
      <c r="D703" s="2">
        <v>8903.9583437212841</v>
      </c>
      <c r="E703">
        <f>VLOOKUP(I703,Calc!$I$35:$J$39,2,FALSE)</f>
        <v>8</v>
      </c>
      <c r="F703">
        <v>2</v>
      </c>
      <c r="G703" s="10" t="s">
        <v>12</v>
      </c>
      <c r="H703" s="10" t="s">
        <v>38</v>
      </c>
      <c r="I703" s="10" t="s">
        <v>22</v>
      </c>
    </row>
    <row r="704" spans="1:9" hidden="1">
      <c r="A704" t="s">
        <v>1323</v>
      </c>
      <c r="B704" t="s">
        <v>3267</v>
      </c>
      <c r="C704" t="s">
        <v>11</v>
      </c>
      <c r="D704" s="2">
        <v>12821.700014958649</v>
      </c>
      <c r="E704">
        <f>VLOOKUP(I704,Calc!$I$35:$J$39,2,FALSE)</f>
        <v>8</v>
      </c>
      <c r="F704">
        <v>10</v>
      </c>
      <c r="G704" s="10" t="s">
        <v>12</v>
      </c>
      <c r="H704" s="10" t="s">
        <v>1324</v>
      </c>
      <c r="I704" s="10" t="s">
        <v>22</v>
      </c>
    </row>
    <row r="705" spans="1:9" hidden="1">
      <c r="A705" t="s">
        <v>1325</v>
      </c>
      <c r="B705" t="s">
        <v>3267</v>
      </c>
      <c r="C705" t="s">
        <v>11</v>
      </c>
      <c r="D705" s="2">
        <v>3205.4250037396623</v>
      </c>
      <c r="E705">
        <f>VLOOKUP(I705,Calc!$I$35:$J$39,2,FALSE)</f>
        <v>8</v>
      </c>
      <c r="F705">
        <v>7</v>
      </c>
      <c r="G705" s="10" t="s">
        <v>12</v>
      </c>
      <c r="H705" s="10" t="s">
        <v>1326</v>
      </c>
      <c r="I705" s="10" t="s">
        <v>22</v>
      </c>
    </row>
    <row r="706" spans="1:9" hidden="1">
      <c r="A706" t="s">
        <v>1327</v>
      </c>
      <c r="B706" t="s">
        <v>3267</v>
      </c>
      <c r="C706" t="s">
        <v>11</v>
      </c>
      <c r="D706" s="2">
        <v>6677.9687577909626</v>
      </c>
      <c r="E706">
        <f>VLOOKUP(I706,Calc!$I$35:$J$39,2,FALSE)</f>
        <v>2.5</v>
      </c>
      <c r="F706">
        <v>6</v>
      </c>
      <c r="G706" s="10" t="s">
        <v>12</v>
      </c>
      <c r="H706" s="10" t="s">
        <v>137</v>
      </c>
      <c r="I706" s="10" t="s">
        <v>36</v>
      </c>
    </row>
    <row r="707" spans="1:9" hidden="1">
      <c r="A707" t="s">
        <v>1328</v>
      </c>
      <c r="B707" t="s">
        <v>3267</v>
      </c>
      <c r="C707" t="s">
        <v>32</v>
      </c>
      <c r="D707" s="2">
        <v>67794.987956419791</v>
      </c>
      <c r="E707">
        <f>VLOOKUP(I707,Calc!$I$35:$J$39,2,FALSE)</f>
        <v>5</v>
      </c>
      <c r="F707">
        <v>15</v>
      </c>
      <c r="G707" s="10" t="s">
        <v>1023</v>
      </c>
      <c r="H707" s="10" t="s">
        <v>1329</v>
      </c>
      <c r="I707" s="10" t="s">
        <v>14</v>
      </c>
    </row>
    <row r="708" spans="1:9" hidden="1">
      <c r="A708" t="s">
        <v>1330</v>
      </c>
      <c r="B708" t="s">
        <v>3267</v>
      </c>
      <c r="C708" t="s">
        <v>11</v>
      </c>
      <c r="D708" s="2">
        <v>31250</v>
      </c>
      <c r="E708">
        <f>VLOOKUP(I708,Calc!$I$35:$J$39,2,FALSE)</f>
        <v>2.5</v>
      </c>
      <c r="F708">
        <v>6</v>
      </c>
      <c r="G708" s="10" t="s">
        <v>12</v>
      </c>
      <c r="H708" s="10" t="s">
        <v>1331</v>
      </c>
      <c r="I708" s="10" t="s">
        <v>36</v>
      </c>
    </row>
    <row r="709" spans="1:9" hidden="1">
      <c r="A709" t="s">
        <v>1332</v>
      </c>
      <c r="B709" t="s">
        <v>3267</v>
      </c>
      <c r="C709" t="s">
        <v>11</v>
      </c>
      <c r="D709" s="2">
        <v>2165.2740982270229</v>
      </c>
      <c r="E709">
        <f>VLOOKUP(I709,Calc!$I$35:$J$39,2,FALSE)</f>
        <v>8</v>
      </c>
      <c r="F709">
        <v>2</v>
      </c>
      <c r="G709" s="10" t="s">
        <v>34</v>
      </c>
      <c r="H709" s="10" t="s">
        <v>1333</v>
      </c>
      <c r="I709" s="10" t="s">
        <v>22</v>
      </c>
    </row>
    <row r="710" spans="1:9" hidden="1">
      <c r="A710" t="s">
        <v>1334</v>
      </c>
      <c r="B710" t="s">
        <v>77</v>
      </c>
      <c r="C710" t="s">
        <v>11</v>
      </c>
      <c r="D710" s="2">
        <v>7123.1666749770275</v>
      </c>
      <c r="E710">
        <f>VLOOKUP(I710,Calc!$I$35:$J$39,2,FALSE)</f>
        <v>8</v>
      </c>
      <c r="F710">
        <v>4</v>
      </c>
      <c r="G710" s="10" t="s">
        <v>12</v>
      </c>
      <c r="H710" s="10" t="s">
        <v>1335</v>
      </c>
      <c r="I710" s="10" t="s">
        <v>22</v>
      </c>
    </row>
    <row r="711" spans="1:9" hidden="1">
      <c r="A711" t="s">
        <v>1336</v>
      </c>
      <c r="B711" t="s">
        <v>3267</v>
      </c>
      <c r="C711" t="s">
        <v>32</v>
      </c>
      <c r="D711" s="2">
        <v>130000</v>
      </c>
      <c r="E711">
        <f>VLOOKUP(I711,Calc!$I$35:$J$39,2,FALSE)</f>
        <v>5</v>
      </c>
      <c r="F711">
        <v>3</v>
      </c>
      <c r="G711" s="10" t="s">
        <v>123</v>
      </c>
      <c r="H711" s="10" t="s">
        <v>1337</v>
      </c>
      <c r="I711" s="10" t="s">
        <v>14</v>
      </c>
    </row>
    <row r="712" spans="1:9" hidden="1">
      <c r="A712" t="s">
        <v>1338</v>
      </c>
      <c r="B712" t="s">
        <v>3267</v>
      </c>
      <c r="C712" t="s">
        <v>11</v>
      </c>
      <c r="D712" s="2">
        <v>4451.9791718606421</v>
      </c>
      <c r="E712">
        <f>VLOOKUP(I712,Calc!$I$35:$J$39,2,FALSE)</f>
        <v>5</v>
      </c>
      <c r="F712">
        <v>6</v>
      </c>
      <c r="G712" s="10" t="s">
        <v>12</v>
      </c>
      <c r="H712" s="10" t="s">
        <v>1294</v>
      </c>
      <c r="I712" s="10" t="s">
        <v>14</v>
      </c>
    </row>
    <row r="713" spans="1:9" hidden="1">
      <c r="A713" t="s">
        <v>1339</v>
      </c>
      <c r="B713" t="s">
        <v>3268</v>
      </c>
      <c r="C713" t="s">
        <v>42</v>
      </c>
      <c r="D713" s="2">
        <v>9600</v>
      </c>
      <c r="E713">
        <f>VLOOKUP(I713,Calc!$I$35:$J$39,2,FALSE)</f>
        <v>5</v>
      </c>
      <c r="F713">
        <v>2</v>
      </c>
      <c r="G713" s="10" t="s">
        <v>78</v>
      </c>
      <c r="H713" s="10" t="s">
        <v>223</v>
      </c>
      <c r="I713" s="10" t="s">
        <v>14</v>
      </c>
    </row>
    <row r="714" spans="1:9" hidden="1">
      <c r="A714" t="s">
        <v>1340</v>
      </c>
      <c r="B714" t="s">
        <v>3268</v>
      </c>
      <c r="C714" t="s">
        <v>11</v>
      </c>
      <c r="D714" s="2">
        <v>6945.0875081026015</v>
      </c>
      <c r="E714">
        <f>VLOOKUP(I714,Calc!$I$35:$J$39,2,FALSE)</f>
        <v>5</v>
      </c>
      <c r="F714">
        <v>1</v>
      </c>
      <c r="G714" s="10" t="s">
        <v>12</v>
      </c>
      <c r="H714" s="10" t="s">
        <v>320</v>
      </c>
      <c r="I714" s="10" t="s">
        <v>14</v>
      </c>
    </row>
    <row r="715" spans="1:9" hidden="1">
      <c r="A715" t="s">
        <v>1341</v>
      </c>
      <c r="B715" t="s">
        <v>3269</v>
      </c>
      <c r="C715" t="s">
        <v>11</v>
      </c>
      <c r="D715" s="2">
        <v>10684.750012465542</v>
      </c>
      <c r="E715">
        <f>VLOOKUP(I715,Calc!$I$35:$J$39,2,FALSE)</f>
        <v>8</v>
      </c>
      <c r="F715">
        <v>7</v>
      </c>
      <c r="G715" s="10" t="s">
        <v>12</v>
      </c>
      <c r="H715" s="10" t="s">
        <v>1342</v>
      </c>
      <c r="I715" s="10" t="s">
        <v>22</v>
      </c>
    </row>
    <row r="716" spans="1:9" hidden="1">
      <c r="A716" t="s">
        <v>1343</v>
      </c>
      <c r="B716" t="s">
        <v>3268</v>
      </c>
      <c r="C716" t="s">
        <v>11</v>
      </c>
      <c r="D716" s="2">
        <v>8547.8000099724322</v>
      </c>
      <c r="E716">
        <f>VLOOKUP(I716,Calc!$I$35:$J$39,2,FALSE)</f>
        <v>2.5</v>
      </c>
      <c r="F716">
        <v>3.5</v>
      </c>
      <c r="G716" s="10" t="s">
        <v>12</v>
      </c>
      <c r="H716" s="10" t="s">
        <v>1344</v>
      </c>
      <c r="I716" s="10" t="s">
        <v>36</v>
      </c>
    </row>
    <row r="717" spans="1:9" hidden="1">
      <c r="A717" t="s">
        <v>1345</v>
      </c>
      <c r="B717" t="s">
        <v>3268</v>
      </c>
      <c r="C717" t="s">
        <v>11</v>
      </c>
      <c r="D717" s="2">
        <v>35000</v>
      </c>
      <c r="E717">
        <f>VLOOKUP(I717,Calc!$I$35:$J$39,2,FALSE)</f>
        <v>5</v>
      </c>
      <c r="F717">
        <v>10</v>
      </c>
      <c r="G717" s="10" t="s">
        <v>12</v>
      </c>
      <c r="H717" s="10" t="s">
        <v>989</v>
      </c>
      <c r="I717" s="10" t="s">
        <v>14</v>
      </c>
    </row>
    <row r="718" spans="1:9" hidden="1">
      <c r="A718" t="s">
        <v>1346</v>
      </c>
      <c r="B718" t="s">
        <v>3268</v>
      </c>
      <c r="C718" t="s">
        <v>11</v>
      </c>
      <c r="D718" s="2">
        <v>17807.916687442568</v>
      </c>
      <c r="E718">
        <f>VLOOKUP(I718,Calc!$I$35:$J$39,2,FALSE)</f>
        <v>2.5</v>
      </c>
      <c r="F718">
        <v>12</v>
      </c>
      <c r="G718" s="10" t="s">
        <v>12</v>
      </c>
      <c r="H718" s="10" t="s">
        <v>1347</v>
      </c>
      <c r="I718" s="10" t="s">
        <v>36</v>
      </c>
    </row>
    <row r="719" spans="1:9" hidden="1">
      <c r="A719" t="s">
        <v>1348</v>
      </c>
      <c r="B719" t="s">
        <v>3269</v>
      </c>
      <c r="C719" t="s">
        <v>11</v>
      </c>
      <c r="D719" s="2">
        <v>3205.4250037396623</v>
      </c>
      <c r="E719">
        <f>VLOOKUP(I719,Calc!$I$35:$J$39,2,FALSE)</f>
        <v>8</v>
      </c>
      <c r="F719">
        <v>4</v>
      </c>
      <c r="G719" s="10" t="s">
        <v>12</v>
      </c>
      <c r="H719" s="10" t="s">
        <v>56</v>
      </c>
      <c r="I719" s="10" t="s">
        <v>22</v>
      </c>
    </row>
    <row r="720" spans="1:9" hidden="1">
      <c r="A720" t="s">
        <v>1349</v>
      </c>
      <c r="B720" t="s">
        <v>3267</v>
      </c>
      <c r="C720" t="s">
        <v>19</v>
      </c>
      <c r="D720" s="2">
        <v>60000</v>
      </c>
      <c r="E720">
        <f>VLOOKUP(I720,Calc!$I$35:$J$39,2,FALSE)</f>
        <v>5</v>
      </c>
      <c r="F720">
        <v>10</v>
      </c>
      <c r="G720" s="10" t="s">
        <v>103</v>
      </c>
      <c r="H720" s="10" t="s">
        <v>44</v>
      </c>
      <c r="I720" s="10" t="s">
        <v>14</v>
      </c>
    </row>
    <row r="721" spans="1:9" hidden="1">
      <c r="A721" t="s">
        <v>1350</v>
      </c>
      <c r="B721" t="s">
        <v>3267</v>
      </c>
      <c r="C721" t="s">
        <v>11</v>
      </c>
      <c r="D721" s="2">
        <v>14246.333349954055</v>
      </c>
      <c r="E721">
        <f>VLOOKUP(I721,Calc!$I$35:$J$39,2,FALSE)</f>
        <v>2.5</v>
      </c>
      <c r="F721">
        <v>13</v>
      </c>
      <c r="G721" s="10" t="s">
        <v>12</v>
      </c>
      <c r="H721" s="10" t="s">
        <v>44</v>
      </c>
      <c r="I721" s="10" t="s">
        <v>36</v>
      </c>
    </row>
    <row r="722" spans="1:9" hidden="1">
      <c r="A722" t="s">
        <v>1351</v>
      </c>
      <c r="B722" t="s">
        <v>3267</v>
      </c>
      <c r="C722" t="s">
        <v>11</v>
      </c>
      <c r="D722" s="2">
        <v>10684.750012465542</v>
      </c>
      <c r="E722">
        <f>VLOOKUP(I722,Calc!$I$35:$J$39,2,FALSE)</f>
        <v>2.5</v>
      </c>
      <c r="F722">
        <v>8</v>
      </c>
      <c r="G722" s="10" t="s">
        <v>12</v>
      </c>
      <c r="H722" s="10" t="s">
        <v>1352</v>
      </c>
      <c r="I722" s="10" t="s">
        <v>36</v>
      </c>
    </row>
    <row r="723" spans="1:9" hidden="1">
      <c r="A723" t="s">
        <v>1353</v>
      </c>
      <c r="B723" t="s">
        <v>3267</v>
      </c>
      <c r="C723" t="s">
        <v>11</v>
      </c>
      <c r="D723" s="2">
        <v>40000</v>
      </c>
      <c r="E723">
        <f>VLOOKUP(I723,Calc!$I$35:$J$39,2,FALSE)</f>
        <v>8</v>
      </c>
      <c r="F723">
        <v>15</v>
      </c>
      <c r="G723" s="10" t="s">
        <v>12</v>
      </c>
      <c r="H723" s="10" t="s">
        <v>1354</v>
      </c>
      <c r="I723" s="10" t="s">
        <v>22</v>
      </c>
    </row>
    <row r="724" spans="1:9" hidden="1">
      <c r="A724" t="s">
        <v>1355</v>
      </c>
      <c r="B724" t="s">
        <v>3268</v>
      </c>
      <c r="C724" t="s">
        <v>11</v>
      </c>
      <c r="D724" s="2">
        <v>5022</v>
      </c>
      <c r="E724">
        <f>VLOOKUP(I724,Calc!$I$35:$J$39,2,FALSE)</f>
        <v>5</v>
      </c>
      <c r="F724">
        <v>15</v>
      </c>
      <c r="G724" s="10" t="s">
        <v>34</v>
      </c>
      <c r="H724" s="10" t="s">
        <v>1356</v>
      </c>
      <c r="I724" s="10" t="s">
        <v>14</v>
      </c>
    </row>
    <row r="725" spans="1:9" hidden="1">
      <c r="A725" t="s">
        <v>1357</v>
      </c>
      <c r="B725" t="s">
        <v>3268</v>
      </c>
      <c r="C725" t="s">
        <v>11</v>
      </c>
      <c r="D725" s="2">
        <v>7301.2458418514525</v>
      </c>
      <c r="E725">
        <f>VLOOKUP(I725,Calc!$I$35:$J$39,2,FALSE)</f>
        <v>8</v>
      </c>
      <c r="F725">
        <v>5</v>
      </c>
      <c r="G725" s="10" t="s">
        <v>12</v>
      </c>
      <c r="H725" s="10" t="s">
        <v>13</v>
      </c>
      <c r="I725" s="10" t="s">
        <v>22</v>
      </c>
    </row>
    <row r="726" spans="1:9" hidden="1">
      <c r="A726" t="s">
        <v>1358</v>
      </c>
      <c r="B726" t="s">
        <v>3268</v>
      </c>
      <c r="C726" t="s">
        <v>42</v>
      </c>
      <c r="D726" s="2">
        <v>19831.432821021317</v>
      </c>
      <c r="E726">
        <f>VLOOKUP(I726,Calc!$I$35:$J$39,2,FALSE)</f>
        <v>8</v>
      </c>
      <c r="F726">
        <v>5</v>
      </c>
      <c r="G726" s="10" t="s">
        <v>1359</v>
      </c>
      <c r="H726" s="10" t="s">
        <v>1360</v>
      </c>
      <c r="I726" s="10" t="s">
        <v>22</v>
      </c>
    </row>
    <row r="727" spans="1:9" hidden="1">
      <c r="A727" t="s">
        <v>1361</v>
      </c>
      <c r="B727" t="s">
        <v>3267</v>
      </c>
      <c r="C727" t="s">
        <v>11</v>
      </c>
      <c r="D727" s="2">
        <v>10684.750012465542</v>
      </c>
      <c r="E727">
        <f>VLOOKUP(I727,Calc!$I$35:$J$39,2,FALSE)</f>
        <v>5</v>
      </c>
      <c r="F727">
        <v>5</v>
      </c>
      <c r="G727" s="10" t="s">
        <v>12</v>
      </c>
      <c r="H727" s="10" t="s">
        <v>1031</v>
      </c>
      <c r="I727" s="10" t="s">
        <v>14</v>
      </c>
    </row>
    <row r="728" spans="1:9" hidden="1">
      <c r="A728" t="s">
        <v>1362</v>
      </c>
      <c r="B728" t="s">
        <v>3268</v>
      </c>
      <c r="C728" t="s">
        <v>11</v>
      </c>
      <c r="D728" s="2">
        <v>4800</v>
      </c>
      <c r="E728">
        <f>VLOOKUP(I728,Calc!$I$35:$J$39,2,FALSE)</f>
        <v>5</v>
      </c>
      <c r="F728">
        <v>2</v>
      </c>
      <c r="G728" s="10" t="s">
        <v>1363</v>
      </c>
      <c r="H728" s="10" t="s">
        <v>1364</v>
      </c>
      <c r="I728" s="10" t="s">
        <v>14</v>
      </c>
    </row>
    <row r="729" spans="1:9" hidden="1">
      <c r="A729" t="s">
        <v>1365</v>
      </c>
      <c r="B729" t="s">
        <v>3268</v>
      </c>
      <c r="C729" t="s">
        <v>19</v>
      </c>
      <c r="D729" s="2">
        <v>83846.362973446114</v>
      </c>
      <c r="E729">
        <f>VLOOKUP(I729,Calc!$I$35:$J$39,2,FALSE)</f>
        <v>5</v>
      </c>
      <c r="F729">
        <v>7</v>
      </c>
      <c r="G729" s="10" t="s">
        <v>45</v>
      </c>
      <c r="H729" s="10" t="s">
        <v>1366</v>
      </c>
      <c r="I729" s="10" t="s">
        <v>14</v>
      </c>
    </row>
    <row r="730" spans="1:9" hidden="1">
      <c r="A730" t="s">
        <v>1367</v>
      </c>
      <c r="B730" t="s">
        <v>3263</v>
      </c>
      <c r="C730" t="s">
        <v>11</v>
      </c>
      <c r="D730" s="2">
        <v>15000</v>
      </c>
      <c r="E730">
        <f>VLOOKUP(I730,Calc!$I$35:$J$39,2,FALSE)</f>
        <v>2.5</v>
      </c>
      <c r="F730">
        <v>2</v>
      </c>
      <c r="G730" s="10" t="s">
        <v>12</v>
      </c>
      <c r="H730" s="10" t="s">
        <v>1368</v>
      </c>
      <c r="I730" s="10" t="s">
        <v>36</v>
      </c>
    </row>
    <row r="731" spans="1:9" hidden="1">
      <c r="A731" t="s">
        <v>1369</v>
      </c>
      <c r="B731" t="s">
        <v>3268</v>
      </c>
      <c r="C731" t="s">
        <v>11</v>
      </c>
      <c r="D731" s="2">
        <v>10000</v>
      </c>
      <c r="E731">
        <f>VLOOKUP(I731,Calc!$I$35:$J$39,2,FALSE)</f>
        <v>5</v>
      </c>
      <c r="F731">
        <v>12</v>
      </c>
      <c r="G731" s="10" t="s">
        <v>12</v>
      </c>
      <c r="H731" s="10" t="s">
        <v>1370</v>
      </c>
      <c r="I731" s="10" t="s">
        <v>14</v>
      </c>
    </row>
    <row r="732" spans="1:9" hidden="1">
      <c r="A732" t="s">
        <v>1371</v>
      </c>
      <c r="B732" t="s">
        <v>3267</v>
      </c>
      <c r="C732" t="s">
        <v>19</v>
      </c>
      <c r="D732" s="2">
        <v>116637.19213297902</v>
      </c>
      <c r="E732">
        <f>VLOOKUP(I732,Calc!$I$35:$J$39,2,FALSE)</f>
        <v>5</v>
      </c>
      <c r="F732">
        <v>5</v>
      </c>
      <c r="G732" s="10" t="s">
        <v>107</v>
      </c>
      <c r="H732" s="10" t="s">
        <v>1372</v>
      </c>
      <c r="I732" s="10" t="s">
        <v>14</v>
      </c>
    </row>
    <row r="733" spans="1:9" hidden="1">
      <c r="A733" t="s">
        <v>1373</v>
      </c>
      <c r="B733" t="s">
        <v>3268</v>
      </c>
      <c r="C733" t="s">
        <v>19</v>
      </c>
      <c r="D733" s="2">
        <v>34357.533974522659</v>
      </c>
      <c r="E733">
        <f>VLOOKUP(I733,Calc!$I$35:$J$39,2,FALSE)</f>
        <v>8</v>
      </c>
      <c r="F733">
        <v>1.5</v>
      </c>
      <c r="G733" s="10" t="s">
        <v>107</v>
      </c>
      <c r="H733" s="10" t="s">
        <v>233</v>
      </c>
      <c r="I733" s="10" t="s">
        <v>22</v>
      </c>
    </row>
    <row r="734" spans="1:9" hidden="1">
      <c r="A734" t="s">
        <v>1374</v>
      </c>
      <c r="B734" t="s">
        <v>3267</v>
      </c>
      <c r="C734" t="s">
        <v>19</v>
      </c>
      <c r="D734" s="2">
        <v>102451.58768437347</v>
      </c>
      <c r="E734">
        <f>VLOOKUP(I734,Calc!$I$35:$J$39,2,FALSE)</f>
        <v>5</v>
      </c>
      <c r="F734">
        <v>15</v>
      </c>
      <c r="G734" s="10" t="s">
        <v>107</v>
      </c>
      <c r="H734" s="10" t="s">
        <v>1375</v>
      </c>
      <c r="I734" s="10" t="s">
        <v>14</v>
      </c>
    </row>
    <row r="735" spans="1:9" hidden="1">
      <c r="A735" t="s">
        <v>1376</v>
      </c>
      <c r="B735" t="s">
        <v>3266</v>
      </c>
      <c r="C735" t="s">
        <v>11</v>
      </c>
      <c r="D735" s="2">
        <v>16000</v>
      </c>
      <c r="E735">
        <f>VLOOKUP(I735,Calc!$I$35:$J$39,2,FALSE)</f>
        <v>2.5</v>
      </c>
      <c r="F735">
        <v>5</v>
      </c>
      <c r="G735" s="10" t="s">
        <v>12</v>
      </c>
      <c r="H735" s="10" t="s">
        <v>38</v>
      </c>
      <c r="I735" s="10" t="s">
        <v>36</v>
      </c>
    </row>
    <row r="736" spans="1:9" hidden="1">
      <c r="A736" t="s">
        <v>1377</v>
      </c>
      <c r="B736" t="s">
        <v>3267</v>
      </c>
      <c r="C736" t="s">
        <v>11</v>
      </c>
      <c r="D736" s="2">
        <v>6000</v>
      </c>
      <c r="E736">
        <f>VLOOKUP(I736,Calc!$I$35:$J$39,2,FALSE)</f>
        <v>2.5</v>
      </c>
      <c r="F736">
        <v>6</v>
      </c>
      <c r="G736" s="10" t="s">
        <v>12</v>
      </c>
      <c r="H736" s="10" t="s">
        <v>1378</v>
      </c>
      <c r="I736" s="10" t="s">
        <v>36</v>
      </c>
    </row>
    <row r="737" spans="1:9" hidden="1">
      <c r="A737" t="s">
        <v>1379</v>
      </c>
      <c r="B737" t="s">
        <v>3267</v>
      </c>
      <c r="C737" t="s">
        <v>11</v>
      </c>
      <c r="D737" s="2">
        <v>6410.8500074793246</v>
      </c>
      <c r="E737">
        <f>VLOOKUP(I737,Calc!$I$35:$J$39,2,FALSE)</f>
        <v>8</v>
      </c>
      <c r="F737">
        <v>6</v>
      </c>
      <c r="G737" s="10" t="s">
        <v>12</v>
      </c>
      <c r="H737" s="10" t="s">
        <v>1380</v>
      </c>
      <c r="I737" s="10" t="s">
        <v>22</v>
      </c>
    </row>
    <row r="738" spans="1:9" hidden="1">
      <c r="A738" t="s">
        <v>1381</v>
      </c>
      <c r="B738" t="s">
        <v>3266</v>
      </c>
      <c r="C738" t="s">
        <v>48</v>
      </c>
      <c r="D738" s="2">
        <v>36000</v>
      </c>
      <c r="E738">
        <f>VLOOKUP(I738,Calc!$I$35:$J$39,2,FALSE)</f>
        <v>1.5</v>
      </c>
      <c r="F738">
        <v>7</v>
      </c>
      <c r="G738" s="10" t="s">
        <v>191</v>
      </c>
      <c r="H738" s="10" t="s">
        <v>785</v>
      </c>
      <c r="I738" s="10" t="s">
        <v>47</v>
      </c>
    </row>
    <row r="739" spans="1:9" hidden="1">
      <c r="A739" t="s">
        <v>1382</v>
      </c>
      <c r="B739" t="s">
        <v>3266</v>
      </c>
      <c r="C739" t="s">
        <v>11</v>
      </c>
      <c r="D739" s="2">
        <v>20000</v>
      </c>
      <c r="E739">
        <f>VLOOKUP(I739,Calc!$I$35:$J$39,2,FALSE)</f>
        <v>1.5</v>
      </c>
      <c r="F739">
        <v>7</v>
      </c>
      <c r="G739" s="10" t="s">
        <v>12</v>
      </c>
      <c r="H739" s="10" t="s">
        <v>842</v>
      </c>
      <c r="I739" s="10" t="s">
        <v>47</v>
      </c>
    </row>
    <row r="740" spans="1:9" hidden="1">
      <c r="A740" t="s">
        <v>1383</v>
      </c>
      <c r="B740" t="s">
        <v>3269</v>
      </c>
      <c r="C740" t="s">
        <v>11</v>
      </c>
      <c r="D740" s="2">
        <v>4273.9000049862161</v>
      </c>
      <c r="E740">
        <f>VLOOKUP(I740,Calc!$I$35:$J$39,2,FALSE)</f>
        <v>5</v>
      </c>
      <c r="F740">
        <v>8</v>
      </c>
      <c r="G740" s="10" t="s">
        <v>12</v>
      </c>
      <c r="H740" s="10" t="s">
        <v>1384</v>
      </c>
      <c r="I740" s="10" t="s">
        <v>14</v>
      </c>
    </row>
    <row r="741" spans="1:9" hidden="1">
      <c r="A741" t="s">
        <v>1385</v>
      </c>
      <c r="B741" t="s">
        <v>3265</v>
      </c>
      <c r="C741" t="s">
        <v>19</v>
      </c>
      <c r="D741" s="2">
        <v>37828.278529614821</v>
      </c>
      <c r="E741">
        <f>VLOOKUP(I741,Calc!$I$35:$J$39,2,FALSE)</f>
        <v>8</v>
      </c>
      <c r="F741">
        <v>8</v>
      </c>
      <c r="G741" s="10" t="s">
        <v>107</v>
      </c>
      <c r="H741" s="10" t="s">
        <v>1386</v>
      </c>
      <c r="I741" s="10" t="s">
        <v>22</v>
      </c>
    </row>
    <row r="742" spans="1:9" hidden="1">
      <c r="A742" t="s">
        <v>1387</v>
      </c>
      <c r="B742" t="s">
        <v>3267</v>
      </c>
      <c r="C742" t="s">
        <v>11</v>
      </c>
      <c r="D742" s="2">
        <v>11000</v>
      </c>
      <c r="E742">
        <f>VLOOKUP(I742,Calc!$I$35:$J$39,2,FALSE)</f>
        <v>8</v>
      </c>
      <c r="F742">
        <v>4.5</v>
      </c>
      <c r="G742" s="10" t="s">
        <v>1157</v>
      </c>
      <c r="H742" s="10" t="s">
        <v>1388</v>
      </c>
      <c r="I742" s="10" t="s">
        <v>22</v>
      </c>
    </row>
    <row r="743" spans="1:9" hidden="1">
      <c r="A743" t="s">
        <v>1389</v>
      </c>
      <c r="B743" t="s">
        <v>3268</v>
      </c>
      <c r="C743" t="s">
        <v>11</v>
      </c>
      <c r="D743" s="2">
        <v>8000</v>
      </c>
      <c r="E743">
        <f>VLOOKUP(I743,Calc!$I$35:$J$39,2,FALSE)</f>
        <v>2.5</v>
      </c>
      <c r="F743">
        <v>6</v>
      </c>
      <c r="G743" s="10" t="s">
        <v>12</v>
      </c>
      <c r="H743" s="10" t="s">
        <v>320</v>
      </c>
      <c r="I743" s="10" t="s">
        <v>36</v>
      </c>
    </row>
    <row r="744" spans="1:9" hidden="1">
      <c r="A744" t="s">
        <v>1390</v>
      </c>
      <c r="B744" t="s">
        <v>77</v>
      </c>
      <c r="C744" t="s">
        <v>11</v>
      </c>
      <c r="D744" s="2">
        <v>4006.7812546745777</v>
      </c>
      <c r="E744">
        <f>VLOOKUP(I744,Calc!$I$35:$J$39,2,FALSE)</f>
        <v>8</v>
      </c>
      <c r="F744">
        <v>5.5</v>
      </c>
      <c r="G744" s="10" t="s">
        <v>12</v>
      </c>
      <c r="H744" s="10" t="s">
        <v>1167</v>
      </c>
      <c r="I744" s="10" t="s">
        <v>22</v>
      </c>
    </row>
    <row r="745" spans="1:9" hidden="1">
      <c r="A745" t="s">
        <v>1391</v>
      </c>
      <c r="B745" t="s">
        <v>3267</v>
      </c>
      <c r="C745" t="s">
        <v>42</v>
      </c>
      <c r="D745" s="2">
        <v>9171.0323574730355</v>
      </c>
      <c r="E745">
        <f>VLOOKUP(I745,Calc!$I$35:$J$39,2,FALSE)</f>
        <v>2.5</v>
      </c>
      <c r="F745">
        <v>5</v>
      </c>
      <c r="G745" s="10" t="s">
        <v>1392</v>
      </c>
      <c r="H745" s="10" t="s">
        <v>1393</v>
      </c>
      <c r="I745" s="10" t="s">
        <v>36</v>
      </c>
    </row>
    <row r="746" spans="1:9" hidden="1">
      <c r="A746" t="s">
        <v>1394</v>
      </c>
      <c r="B746" t="s">
        <v>3268</v>
      </c>
      <c r="C746" t="s">
        <v>11</v>
      </c>
      <c r="D746" s="2">
        <v>4273.9000049862161</v>
      </c>
      <c r="E746">
        <f>VLOOKUP(I746,Calc!$I$35:$J$39,2,FALSE)</f>
        <v>2.5</v>
      </c>
      <c r="F746">
        <v>20</v>
      </c>
      <c r="G746" s="10" t="s">
        <v>12</v>
      </c>
      <c r="H746" s="10" t="s">
        <v>1395</v>
      </c>
      <c r="I746" s="10" t="s">
        <v>36</v>
      </c>
    </row>
    <row r="747" spans="1:9" hidden="1">
      <c r="A747" t="s">
        <v>1396</v>
      </c>
      <c r="B747" t="s">
        <v>3268</v>
      </c>
      <c r="C747" t="s">
        <v>11</v>
      </c>
      <c r="D747" s="2">
        <v>12465.541681209797</v>
      </c>
      <c r="E747">
        <f>VLOOKUP(I747,Calc!$I$35:$J$39,2,FALSE)</f>
        <v>8</v>
      </c>
      <c r="F747">
        <v>5</v>
      </c>
      <c r="G747" s="10" t="s">
        <v>12</v>
      </c>
      <c r="H747" s="10" t="s">
        <v>1397</v>
      </c>
      <c r="I747" s="10" t="s">
        <v>22</v>
      </c>
    </row>
    <row r="748" spans="1:9" hidden="1">
      <c r="A748" t="s">
        <v>1398</v>
      </c>
      <c r="B748" t="s">
        <v>3268</v>
      </c>
      <c r="C748" t="s">
        <v>11</v>
      </c>
      <c r="D748" s="2">
        <v>24000</v>
      </c>
      <c r="E748">
        <f>VLOOKUP(I748,Calc!$I$35:$J$39,2,FALSE)</f>
        <v>2.5</v>
      </c>
      <c r="F748">
        <v>1</v>
      </c>
      <c r="G748" s="10" t="s">
        <v>12</v>
      </c>
      <c r="H748" s="10" t="s">
        <v>1399</v>
      </c>
      <c r="I748" s="10" t="s">
        <v>36</v>
      </c>
    </row>
    <row r="749" spans="1:9" hidden="1">
      <c r="A749" t="s">
        <v>1400</v>
      </c>
      <c r="B749" t="s">
        <v>3264</v>
      </c>
      <c r="C749" t="s">
        <v>19</v>
      </c>
      <c r="D749" s="2">
        <v>20000</v>
      </c>
      <c r="E749">
        <f>VLOOKUP(I749,Calc!$I$35:$J$39,2,FALSE)</f>
        <v>2.5</v>
      </c>
      <c r="F749">
        <v>15</v>
      </c>
      <c r="G749" s="10" t="s">
        <v>1401</v>
      </c>
      <c r="H749" s="10" t="s">
        <v>1402</v>
      </c>
      <c r="I749" s="10" t="s">
        <v>36</v>
      </c>
    </row>
    <row r="750" spans="1:9">
      <c r="A750" t="s">
        <v>1403</v>
      </c>
      <c r="B750" t="s">
        <v>3268</v>
      </c>
      <c r="C750" t="s">
        <v>29</v>
      </c>
      <c r="D750" s="2">
        <v>62000</v>
      </c>
      <c r="E750">
        <f>VLOOKUP(I750,Calc!$I$35:$J$39,2,FALSE)</f>
        <v>2.5</v>
      </c>
      <c r="F750">
        <v>20</v>
      </c>
      <c r="G750" s="10" t="s">
        <v>30</v>
      </c>
      <c r="H750" s="10" t="s">
        <v>1404</v>
      </c>
      <c r="I750" s="10" t="s">
        <v>36</v>
      </c>
    </row>
    <row r="751" spans="1:9" hidden="1">
      <c r="A751" t="s">
        <v>1405</v>
      </c>
      <c r="B751" t="s">
        <v>3263</v>
      </c>
      <c r="C751" t="s">
        <v>48</v>
      </c>
      <c r="D751" s="2">
        <v>14960</v>
      </c>
      <c r="E751">
        <f>VLOOKUP(I751,Calc!$I$35:$J$39,2,FALSE)</f>
        <v>8</v>
      </c>
      <c r="F751">
        <v>2</v>
      </c>
      <c r="G751" s="10" t="s">
        <v>201</v>
      </c>
      <c r="H751" s="10" t="s">
        <v>1406</v>
      </c>
      <c r="I751" s="10" t="s">
        <v>22</v>
      </c>
    </row>
    <row r="752" spans="1:9" hidden="1">
      <c r="A752" t="s">
        <v>1407</v>
      </c>
      <c r="B752" t="s">
        <v>3269</v>
      </c>
      <c r="C752" t="s">
        <v>11</v>
      </c>
      <c r="D752" s="2">
        <v>2136.9500024931081</v>
      </c>
      <c r="E752">
        <f>VLOOKUP(I752,Calc!$I$35:$J$39,2,FALSE)</f>
        <v>2.5</v>
      </c>
      <c r="F752">
        <v>2</v>
      </c>
      <c r="G752" s="10" t="s">
        <v>12</v>
      </c>
      <c r="H752" s="10" t="s">
        <v>1408</v>
      </c>
      <c r="I752" s="10" t="s">
        <v>36</v>
      </c>
    </row>
    <row r="753" spans="1:9" hidden="1">
      <c r="A753" t="s">
        <v>1409</v>
      </c>
      <c r="B753" t="s">
        <v>3269</v>
      </c>
      <c r="C753" t="s">
        <v>29</v>
      </c>
      <c r="D753" s="2">
        <v>30232</v>
      </c>
      <c r="E753">
        <f>VLOOKUP(I753,Calc!$I$35:$J$39,2,FALSE)</f>
        <v>2.5</v>
      </c>
      <c r="F753">
        <v>5</v>
      </c>
      <c r="G753" s="10" t="s">
        <v>30</v>
      </c>
      <c r="H753" s="10" t="s">
        <v>1410</v>
      </c>
      <c r="I753" s="10" t="s">
        <v>36</v>
      </c>
    </row>
    <row r="754" spans="1:9">
      <c r="A754" t="s">
        <v>1411</v>
      </c>
      <c r="B754" t="s">
        <v>3268</v>
      </c>
      <c r="C754" t="s">
        <v>29</v>
      </c>
      <c r="D754" s="2">
        <v>41000</v>
      </c>
      <c r="E754">
        <f>VLOOKUP(I754,Calc!$I$35:$J$39,2,FALSE)</f>
        <v>8</v>
      </c>
      <c r="F754">
        <v>4</v>
      </c>
      <c r="G754" s="10" t="s">
        <v>30</v>
      </c>
      <c r="H754" s="10" t="s">
        <v>320</v>
      </c>
      <c r="I754" s="10" t="s">
        <v>22</v>
      </c>
    </row>
    <row r="755" spans="1:9" hidden="1">
      <c r="A755" t="s">
        <v>1412</v>
      </c>
      <c r="B755" t="s">
        <v>3268</v>
      </c>
      <c r="C755" t="s">
        <v>32</v>
      </c>
      <c r="D755" s="2">
        <v>96891.417358250401</v>
      </c>
      <c r="E755">
        <f>VLOOKUP(I755,Calc!$I$35:$J$39,2,FALSE)</f>
        <v>2.5</v>
      </c>
      <c r="F755">
        <v>11</v>
      </c>
      <c r="G755" s="10" t="s">
        <v>123</v>
      </c>
      <c r="H755" s="10" t="s">
        <v>1413</v>
      </c>
      <c r="I755" s="10" t="s">
        <v>36</v>
      </c>
    </row>
    <row r="756" spans="1:9" hidden="1">
      <c r="A756" t="s">
        <v>1414</v>
      </c>
      <c r="B756" t="s">
        <v>3267</v>
      </c>
      <c r="C756" t="s">
        <v>11</v>
      </c>
      <c r="D756" s="2">
        <v>21369.500024931083</v>
      </c>
      <c r="E756">
        <f>VLOOKUP(I756,Calc!$I$35:$J$39,2,FALSE)</f>
        <v>8</v>
      </c>
      <c r="F756">
        <v>14</v>
      </c>
      <c r="G756" s="10" t="s">
        <v>12</v>
      </c>
      <c r="H756" s="10" t="s">
        <v>1415</v>
      </c>
      <c r="I756" s="10" t="s">
        <v>22</v>
      </c>
    </row>
    <row r="757" spans="1:9" hidden="1">
      <c r="A757" t="s">
        <v>1416</v>
      </c>
      <c r="B757" t="s">
        <v>3269</v>
      </c>
      <c r="C757" t="s">
        <v>11</v>
      </c>
      <c r="D757" s="2">
        <v>3650.6229209257262</v>
      </c>
      <c r="E757">
        <f>VLOOKUP(I757,Calc!$I$35:$J$39,2,FALSE)</f>
        <v>8</v>
      </c>
      <c r="F757">
        <v>10</v>
      </c>
      <c r="G757" s="10" t="s">
        <v>12</v>
      </c>
      <c r="H757" s="10" t="s">
        <v>1417</v>
      </c>
      <c r="I757" s="10" t="s">
        <v>22</v>
      </c>
    </row>
    <row r="758" spans="1:9" hidden="1">
      <c r="A758" t="s">
        <v>1418</v>
      </c>
      <c r="B758" t="s">
        <v>3269</v>
      </c>
      <c r="C758" t="s">
        <v>11</v>
      </c>
      <c r="D758" s="2">
        <v>19068</v>
      </c>
      <c r="E758">
        <f>VLOOKUP(I758,Calc!$I$35:$J$39,2,FALSE)</f>
        <v>8</v>
      </c>
      <c r="F758">
        <v>20</v>
      </c>
      <c r="G758" s="10" t="s">
        <v>566</v>
      </c>
      <c r="H758" s="10" t="s">
        <v>1419</v>
      </c>
      <c r="I758" s="10" t="s">
        <v>22</v>
      </c>
    </row>
    <row r="759" spans="1:9" hidden="1">
      <c r="A759" t="s">
        <v>1420</v>
      </c>
      <c r="B759" t="s">
        <v>3263</v>
      </c>
      <c r="C759" t="s">
        <v>11</v>
      </c>
      <c r="D759" s="2">
        <v>5342.3750062327708</v>
      </c>
      <c r="E759">
        <f>VLOOKUP(I759,Calc!$I$35:$J$39,2,FALSE)</f>
        <v>8</v>
      </c>
      <c r="F759">
        <v>4</v>
      </c>
      <c r="G759" s="10" t="s">
        <v>12</v>
      </c>
      <c r="H759" s="10" t="s">
        <v>1421</v>
      </c>
      <c r="I759" s="10" t="s">
        <v>22</v>
      </c>
    </row>
    <row r="760" spans="1:9" hidden="1">
      <c r="A760" t="s">
        <v>1422</v>
      </c>
      <c r="B760" t="s">
        <v>3264</v>
      </c>
      <c r="C760" t="s">
        <v>11</v>
      </c>
      <c r="D760" s="2">
        <v>48000</v>
      </c>
      <c r="E760">
        <f>VLOOKUP(I760,Calc!$I$35:$J$39,2,FALSE)</f>
        <v>8</v>
      </c>
      <c r="F760">
        <v>3</v>
      </c>
      <c r="G760" s="10" t="s">
        <v>455</v>
      </c>
      <c r="H760" s="10" t="s">
        <v>90</v>
      </c>
      <c r="I760" s="10" t="s">
        <v>22</v>
      </c>
    </row>
    <row r="761" spans="1:9" hidden="1">
      <c r="A761" t="s">
        <v>1423</v>
      </c>
      <c r="B761" t="s">
        <v>3266</v>
      </c>
      <c r="C761" t="s">
        <v>11</v>
      </c>
      <c r="D761" s="2">
        <v>3917.7416712373652</v>
      </c>
      <c r="E761">
        <f>VLOOKUP(I761,Calc!$I$35:$J$39,2,FALSE)</f>
        <v>5</v>
      </c>
      <c r="F761">
        <v>2</v>
      </c>
      <c r="G761" s="10" t="s">
        <v>12</v>
      </c>
      <c r="H761" s="10" t="s">
        <v>1424</v>
      </c>
      <c r="I761" s="10" t="s">
        <v>14</v>
      </c>
    </row>
    <row r="762" spans="1:9" hidden="1">
      <c r="A762" t="s">
        <v>1425</v>
      </c>
      <c r="B762" t="s">
        <v>77</v>
      </c>
      <c r="C762" t="s">
        <v>11</v>
      </c>
      <c r="D762" s="2">
        <v>13500</v>
      </c>
      <c r="E762">
        <f>VLOOKUP(I762,Calc!$I$35:$J$39,2,FALSE)</f>
        <v>8</v>
      </c>
      <c r="F762">
        <v>2.5</v>
      </c>
      <c r="G762" s="10" t="s">
        <v>12</v>
      </c>
      <c r="H762" s="10" t="s">
        <v>587</v>
      </c>
      <c r="I762" s="10" t="s">
        <v>22</v>
      </c>
    </row>
    <row r="763" spans="1:9" hidden="1">
      <c r="A763" t="s">
        <v>1426</v>
      </c>
      <c r="B763" t="s">
        <v>3267</v>
      </c>
      <c r="C763" t="s">
        <v>11</v>
      </c>
      <c r="D763" s="2">
        <v>45000</v>
      </c>
      <c r="E763">
        <f>VLOOKUP(I763,Calc!$I$35:$J$39,2,FALSE)</f>
        <v>1.5</v>
      </c>
      <c r="F763">
        <v>15</v>
      </c>
      <c r="G763" s="10" t="s">
        <v>12</v>
      </c>
      <c r="H763" s="10" t="s">
        <v>81</v>
      </c>
      <c r="I763" s="10" t="s">
        <v>47</v>
      </c>
    </row>
    <row r="764" spans="1:9" hidden="1">
      <c r="A764" t="s">
        <v>1427</v>
      </c>
      <c r="B764" t="s">
        <v>3249</v>
      </c>
      <c r="C764" t="s">
        <v>19</v>
      </c>
      <c r="D764" s="2">
        <v>69871.969144538423</v>
      </c>
      <c r="E764">
        <f>VLOOKUP(I764,Calc!$I$35:$J$39,2,FALSE)</f>
        <v>2.5</v>
      </c>
      <c r="F764">
        <v>18</v>
      </c>
      <c r="G764" s="10" t="s">
        <v>1428</v>
      </c>
      <c r="H764" s="10" t="s">
        <v>54</v>
      </c>
      <c r="I764" s="10" t="s">
        <v>36</v>
      </c>
    </row>
    <row r="765" spans="1:9" hidden="1">
      <c r="A765" t="s">
        <v>1429</v>
      </c>
      <c r="B765" t="s">
        <v>3267</v>
      </c>
      <c r="C765" t="s">
        <v>11</v>
      </c>
      <c r="D765" s="2">
        <v>8547.8000099724322</v>
      </c>
      <c r="E765">
        <f>VLOOKUP(I765,Calc!$I$35:$J$39,2,FALSE)</f>
        <v>5</v>
      </c>
      <c r="F765">
        <v>11</v>
      </c>
      <c r="G765" s="10" t="s">
        <v>12</v>
      </c>
      <c r="H765" s="10" t="s">
        <v>1430</v>
      </c>
      <c r="I765" s="10" t="s">
        <v>14</v>
      </c>
    </row>
    <row r="766" spans="1:9" hidden="1">
      <c r="A766" t="s">
        <v>1431</v>
      </c>
      <c r="B766" t="s">
        <v>3269</v>
      </c>
      <c r="C766" t="s">
        <v>48</v>
      </c>
      <c r="D766" s="2">
        <v>9146.5655463031271</v>
      </c>
      <c r="E766">
        <f>VLOOKUP(I766,Calc!$I$35:$J$39,2,FALSE)</f>
        <v>1.5</v>
      </c>
      <c r="F766">
        <v>7</v>
      </c>
      <c r="G766" s="10" t="s">
        <v>585</v>
      </c>
      <c r="H766" s="10" t="s">
        <v>56</v>
      </c>
      <c r="I766" s="10" t="s">
        <v>47</v>
      </c>
    </row>
    <row r="767" spans="1:9" hidden="1">
      <c r="A767" t="s">
        <v>1432</v>
      </c>
      <c r="B767" t="s">
        <v>3268</v>
      </c>
      <c r="C767" t="s">
        <v>11</v>
      </c>
      <c r="D767" s="2">
        <v>10150.512511842264</v>
      </c>
      <c r="E767">
        <f>VLOOKUP(I767,Calc!$I$35:$J$39,2,FALSE)</f>
        <v>8</v>
      </c>
      <c r="F767">
        <v>2.4</v>
      </c>
      <c r="G767" s="10" t="s">
        <v>12</v>
      </c>
      <c r="H767" s="10" t="s">
        <v>10</v>
      </c>
      <c r="I767" s="10" t="s">
        <v>22</v>
      </c>
    </row>
    <row r="768" spans="1:9" hidden="1">
      <c r="A768" t="s">
        <v>1433</v>
      </c>
      <c r="B768" t="s">
        <v>3267</v>
      </c>
      <c r="C768" t="s">
        <v>11</v>
      </c>
      <c r="D768" s="2">
        <v>11325.835013213473</v>
      </c>
      <c r="E768">
        <f>VLOOKUP(I768,Calc!$I$35:$J$39,2,FALSE)</f>
        <v>5</v>
      </c>
      <c r="F768">
        <v>7</v>
      </c>
      <c r="G768" s="10" t="s">
        <v>12</v>
      </c>
      <c r="H768" s="10" t="s">
        <v>907</v>
      </c>
      <c r="I768" s="10" t="s">
        <v>14</v>
      </c>
    </row>
    <row r="769" spans="1:9" hidden="1">
      <c r="A769" t="s">
        <v>1434</v>
      </c>
      <c r="B769" t="s">
        <v>77</v>
      </c>
      <c r="C769" t="s">
        <v>11</v>
      </c>
      <c r="D769" s="2">
        <v>1910.5359690238436</v>
      </c>
      <c r="E769">
        <f>VLOOKUP(I769,Calc!$I$35:$J$39,2,FALSE)</f>
        <v>8</v>
      </c>
      <c r="F769">
        <v>7</v>
      </c>
      <c r="G769" s="10" t="s">
        <v>34</v>
      </c>
      <c r="H769" s="10" t="s">
        <v>1435</v>
      </c>
      <c r="I769" s="10" t="s">
        <v>22</v>
      </c>
    </row>
    <row r="770" spans="1:9" hidden="1">
      <c r="A770" t="s">
        <v>1436</v>
      </c>
      <c r="B770" t="s">
        <v>3267</v>
      </c>
      <c r="C770" t="s">
        <v>32</v>
      </c>
      <c r="D770" s="2">
        <v>36000</v>
      </c>
      <c r="E770">
        <f>VLOOKUP(I770,Calc!$I$35:$J$39,2,FALSE)</f>
        <v>2.5</v>
      </c>
      <c r="F770">
        <v>12</v>
      </c>
      <c r="G770" s="10" t="s">
        <v>123</v>
      </c>
      <c r="H770" s="10" t="s">
        <v>1437</v>
      </c>
      <c r="I770" s="10" t="s">
        <v>36</v>
      </c>
    </row>
    <row r="771" spans="1:9" hidden="1">
      <c r="A771" t="s">
        <v>1438</v>
      </c>
      <c r="B771" t="s">
        <v>3269</v>
      </c>
      <c r="C771" t="s">
        <v>11</v>
      </c>
      <c r="D771" s="2">
        <v>40067.812546745779</v>
      </c>
      <c r="E771">
        <f>VLOOKUP(I771,Calc!$I$35:$J$39,2,FALSE)</f>
        <v>1.5</v>
      </c>
      <c r="F771">
        <v>5</v>
      </c>
      <c r="G771" s="10" t="s">
        <v>12</v>
      </c>
      <c r="H771" s="10" t="s">
        <v>1439</v>
      </c>
      <c r="I771" s="10" t="s">
        <v>47</v>
      </c>
    </row>
    <row r="772" spans="1:9" hidden="1">
      <c r="A772" t="s">
        <v>1440</v>
      </c>
      <c r="B772" t="s">
        <v>77</v>
      </c>
      <c r="C772" t="s">
        <v>11</v>
      </c>
      <c r="D772" s="2">
        <v>16000</v>
      </c>
      <c r="E772">
        <f>VLOOKUP(I772,Calc!$I$35:$J$39,2,FALSE)</f>
        <v>8</v>
      </c>
      <c r="F772">
        <v>1</v>
      </c>
      <c r="G772" s="10" t="s">
        <v>12</v>
      </c>
      <c r="H772" s="10" t="s">
        <v>1441</v>
      </c>
      <c r="I772" s="10" t="s">
        <v>22</v>
      </c>
    </row>
    <row r="773" spans="1:9" hidden="1">
      <c r="A773" t="s">
        <v>1442</v>
      </c>
      <c r="B773" t="s">
        <v>3268</v>
      </c>
      <c r="C773" t="s">
        <v>11</v>
      </c>
      <c r="D773" s="2">
        <v>4273.9000049862161</v>
      </c>
      <c r="E773">
        <f>VLOOKUP(I773,Calc!$I$35:$J$39,2,FALSE)</f>
        <v>8</v>
      </c>
      <c r="F773">
        <v>4</v>
      </c>
      <c r="G773" s="10" t="s">
        <v>12</v>
      </c>
      <c r="H773" s="10" t="s">
        <v>10</v>
      </c>
      <c r="I773" s="10" t="s">
        <v>22</v>
      </c>
    </row>
    <row r="774" spans="1:9" hidden="1">
      <c r="A774" t="s">
        <v>1443</v>
      </c>
      <c r="B774" t="s">
        <v>3267</v>
      </c>
      <c r="C774" t="s">
        <v>11</v>
      </c>
      <c r="D774" s="2">
        <v>7123.1666749770275</v>
      </c>
      <c r="E774">
        <f>VLOOKUP(I774,Calc!$I$35:$J$39,2,FALSE)</f>
        <v>5</v>
      </c>
      <c r="F774">
        <v>7</v>
      </c>
      <c r="G774" s="10" t="s">
        <v>12</v>
      </c>
      <c r="H774" s="10" t="s">
        <v>999</v>
      </c>
      <c r="I774" s="10" t="s">
        <v>14</v>
      </c>
    </row>
    <row r="775" spans="1:9" hidden="1">
      <c r="A775" t="s">
        <v>1444</v>
      </c>
      <c r="B775" t="s">
        <v>3267</v>
      </c>
      <c r="C775" t="s">
        <v>11</v>
      </c>
      <c r="D775" s="2">
        <v>10000</v>
      </c>
      <c r="E775">
        <f>VLOOKUP(I775,Calc!$I$35:$J$39,2,FALSE)</f>
        <v>1.5</v>
      </c>
      <c r="F775">
        <v>12</v>
      </c>
      <c r="G775" s="10" t="s">
        <v>12</v>
      </c>
      <c r="H775" s="10" t="s">
        <v>1445</v>
      </c>
      <c r="I775" s="10" t="s">
        <v>47</v>
      </c>
    </row>
    <row r="776" spans="1:9">
      <c r="A776" t="s">
        <v>1446</v>
      </c>
      <c r="B776" t="s">
        <v>3268</v>
      </c>
      <c r="C776" t="s">
        <v>29</v>
      </c>
      <c r="D776" s="2">
        <v>64901.860520001574</v>
      </c>
      <c r="E776">
        <f>VLOOKUP(I776,Calc!$I$35:$J$39,2,FALSE)</f>
        <v>2.5</v>
      </c>
      <c r="F776">
        <v>20</v>
      </c>
      <c r="G776" s="10" t="s">
        <v>128</v>
      </c>
      <c r="H776" s="10" t="s">
        <v>1447</v>
      </c>
      <c r="I776" s="10" t="s">
        <v>36</v>
      </c>
    </row>
    <row r="777" spans="1:9">
      <c r="A777" t="s">
        <v>1448</v>
      </c>
      <c r="B777" t="s">
        <v>3268</v>
      </c>
      <c r="C777" t="s">
        <v>29</v>
      </c>
      <c r="D777" s="2">
        <v>65000</v>
      </c>
      <c r="E777">
        <f>VLOOKUP(I777,Calc!$I$35:$J$39,2,FALSE)</f>
        <v>2.5</v>
      </c>
      <c r="F777">
        <v>10</v>
      </c>
      <c r="G777" s="10" t="s">
        <v>30</v>
      </c>
      <c r="H777" s="10" t="s">
        <v>1449</v>
      </c>
      <c r="I777" s="10" t="s">
        <v>36</v>
      </c>
    </row>
    <row r="778" spans="1:9" hidden="1">
      <c r="A778" t="s">
        <v>1450</v>
      </c>
      <c r="B778" t="s">
        <v>3267</v>
      </c>
      <c r="C778" t="s">
        <v>11</v>
      </c>
      <c r="D778" s="2">
        <v>8013.5625093491553</v>
      </c>
      <c r="E778">
        <f>VLOOKUP(I778,Calc!$I$35:$J$39,2,FALSE)</f>
        <v>8</v>
      </c>
      <c r="F778">
        <v>1.5</v>
      </c>
      <c r="G778" s="10" t="s">
        <v>12</v>
      </c>
      <c r="H778" s="10" t="s">
        <v>1451</v>
      </c>
      <c r="I778" s="10" t="s">
        <v>22</v>
      </c>
    </row>
    <row r="779" spans="1:9" hidden="1">
      <c r="A779" t="s">
        <v>1452</v>
      </c>
      <c r="B779" t="s">
        <v>3249</v>
      </c>
      <c r="C779" t="s">
        <v>29</v>
      </c>
      <c r="D779" s="2">
        <v>98336.152303032693</v>
      </c>
      <c r="E779">
        <f>VLOOKUP(I779,Calc!$I$35:$J$39,2,FALSE)</f>
        <v>5</v>
      </c>
      <c r="F779">
        <v>5</v>
      </c>
      <c r="G779" s="10" t="s">
        <v>128</v>
      </c>
      <c r="H779" s="10" t="s">
        <v>1453</v>
      </c>
      <c r="I779" s="10" t="s">
        <v>14</v>
      </c>
    </row>
    <row r="780" spans="1:9" hidden="1">
      <c r="A780" t="s">
        <v>1454</v>
      </c>
      <c r="B780" t="s">
        <v>3268</v>
      </c>
      <c r="C780" t="s">
        <v>11</v>
      </c>
      <c r="D780" s="2">
        <v>2671.1875031163854</v>
      </c>
      <c r="E780">
        <f>VLOOKUP(I780,Calc!$I$35:$J$39,2,FALSE)</f>
        <v>5</v>
      </c>
      <c r="F780">
        <v>2</v>
      </c>
      <c r="G780" s="10" t="s">
        <v>12</v>
      </c>
      <c r="H780" s="10" t="s">
        <v>1455</v>
      </c>
      <c r="I780" s="10" t="s">
        <v>14</v>
      </c>
    </row>
    <row r="781" spans="1:9" hidden="1">
      <c r="A781" t="s">
        <v>1456</v>
      </c>
      <c r="B781" t="s">
        <v>77</v>
      </c>
      <c r="C781" t="s">
        <v>11</v>
      </c>
      <c r="D781" s="2">
        <v>96000</v>
      </c>
      <c r="E781">
        <f>VLOOKUP(I781,Calc!$I$35:$J$39,2,FALSE)</f>
        <v>8</v>
      </c>
      <c r="F781">
        <v>8</v>
      </c>
      <c r="G781" s="10" t="s">
        <v>12</v>
      </c>
      <c r="H781" s="10" t="s">
        <v>1167</v>
      </c>
      <c r="I781" s="10" t="s">
        <v>22</v>
      </c>
    </row>
    <row r="782" spans="1:9" hidden="1">
      <c r="A782" t="s">
        <v>1457</v>
      </c>
      <c r="B782" t="s">
        <v>3269</v>
      </c>
      <c r="C782" t="s">
        <v>11</v>
      </c>
      <c r="D782" s="2">
        <v>20514.720023933838</v>
      </c>
      <c r="E782">
        <f>VLOOKUP(I782,Calc!$I$35:$J$39,2,FALSE)</f>
        <v>5</v>
      </c>
      <c r="F782">
        <v>6</v>
      </c>
      <c r="G782" s="10" t="s">
        <v>12</v>
      </c>
      <c r="H782" s="10" t="s">
        <v>1458</v>
      </c>
      <c r="I782" s="10" t="s">
        <v>14</v>
      </c>
    </row>
    <row r="783" spans="1:9" hidden="1">
      <c r="A783" t="s">
        <v>1459</v>
      </c>
      <c r="B783" t="s">
        <v>3268</v>
      </c>
      <c r="C783" t="s">
        <v>19</v>
      </c>
      <c r="D783" s="2">
        <v>19055.991584874118</v>
      </c>
      <c r="E783">
        <f>VLOOKUP(I783,Calc!$I$35:$J$39,2,FALSE)</f>
        <v>2.5</v>
      </c>
      <c r="F783">
        <v>10</v>
      </c>
      <c r="G783" s="10" t="s">
        <v>976</v>
      </c>
      <c r="H783" s="10" t="s">
        <v>1460</v>
      </c>
      <c r="I783" s="10" t="s">
        <v>36</v>
      </c>
    </row>
    <row r="784" spans="1:9" hidden="1">
      <c r="A784" t="s">
        <v>1461</v>
      </c>
      <c r="B784" t="s">
        <v>3268</v>
      </c>
      <c r="C784" t="s">
        <v>32</v>
      </c>
      <c r="D784" s="2">
        <v>66294.12766617132</v>
      </c>
      <c r="E784">
        <f>VLOOKUP(I784,Calc!$I$35:$J$39,2,FALSE)</f>
        <v>8</v>
      </c>
      <c r="F784">
        <v>10</v>
      </c>
      <c r="G784" s="10" t="s">
        <v>123</v>
      </c>
      <c r="H784" s="10" t="s">
        <v>1462</v>
      </c>
      <c r="I784" s="10" t="s">
        <v>22</v>
      </c>
    </row>
    <row r="785" spans="1:9" hidden="1">
      <c r="A785" t="s">
        <v>1463</v>
      </c>
      <c r="B785" t="s">
        <v>3268</v>
      </c>
      <c r="C785" t="s">
        <v>11</v>
      </c>
      <c r="D785" s="2">
        <v>6713.584591165848</v>
      </c>
      <c r="E785">
        <f>VLOOKUP(I785,Calc!$I$35:$J$39,2,FALSE)</f>
        <v>1.5</v>
      </c>
      <c r="F785">
        <v>7</v>
      </c>
      <c r="G785" s="10" t="s">
        <v>12</v>
      </c>
      <c r="H785" s="10" t="s">
        <v>1464</v>
      </c>
      <c r="I785" s="10" t="s">
        <v>47</v>
      </c>
    </row>
    <row r="786" spans="1:9" hidden="1">
      <c r="A786" t="s">
        <v>1465</v>
      </c>
      <c r="B786" t="s">
        <v>77</v>
      </c>
      <c r="C786" t="s">
        <v>19</v>
      </c>
      <c r="D786" s="2">
        <v>45709.169889951241</v>
      </c>
      <c r="E786">
        <f>VLOOKUP(I786,Calc!$I$35:$J$39,2,FALSE)</f>
        <v>2.5</v>
      </c>
      <c r="F786">
        <v>15</v>
      </c>
      <c r="G786" s="10" t="s">
        <v>107</v>
      </c>
      <c r="H786" s="10" t="s">
        <v>1466</v>
      </c>
      <c r="I786" s="10" t="s">
        <v>36</v>
      </c>
    </row>
    <row r="787" spans="1:9" hidden="1">
      <c r="A787" t="s">
        <v>1467</v>
      </c>
      <c r="B787" t="s">
        <v>3267</v>
      </c>
      <c r="C787" t="s">
        <v>29</v>
      </c>
      <c r="D787" s="2">
        <v>48500</v>
      </c>
      <c r="E787">
        <f>VLOOKUP(I787,Calc!$I$35:$J$39,2,FALSE)</f>
        <v>2.5</v>
      </c>
      <c r="F787">
        <v>10</v>
      </c>
      <c r="G787" s="10" t="s">
        <v>30</v>
      </c>
      <c r="H787" s="10" t="s">
        <v>1468</v>
      </c>
      <c r="I787" s="10" t="s">
        <v>36</v>
      </c>
    </row>
    <row r="788" spans="1:9" hidden="1">
      <c r="A788" t="s">
        <v>1469</v>
      </c>
      <c r="B788" t="s">
        <v>3268</v>
      </c>
      <c r="C788" t="s">
        <v>11</v>
      </c>
      <c r="D788" s="2">
        <v>10684.750012465542</v>
      </c>
      <c r="E788">
        <f>VLOOKUP(I788,Calc!$I$35:$J$39,2,FALSE)</f>
        <v>8</v>
      </c>
      <c r="F788">
        <v>4</v>
      </c>
      <c r="G788" s="10" t="s">
        <v>12</v>
      </c>
      <c r="H788" s="10" t="s">
        <v>13</v>
      </c>
      <c r="I788" s="10" t="s">
        <v>22</v>
      </c>
    </row>
    <row r="789" spans="1:9">
      <c r="A789" t="s">
        <v>1470</v>
      </c>
      <c r="B789" t="s">
        <v>3268</v>
      </c>
      <c r="C789" t="s">
        <v>29</v>
      </c>
      <c r="D789" s="2">
        <v>33900</v>
      </c>
      <c r="E789">
        <f>VLOOKUP(I789,Calc!$I$35:$J$39,2,FALSE)</f>
        <v>2.5</v>
      </c>
      <c r="F789">
        <v>10</v>
      </c>
      <c r="G789" s="10" t="s">
        <v>30</v>
      </c>
      <c r="H789" s="10" t="s">
        <v>420</v>
      </c>
      <c r="I789" s="10" t="s">
        <v>36</v>
      </c>
    </row>
    <row r="790" spans="1:9" hidden="1">
      <c r="A790" t="s">
        <v>1471</v>
      </c>
      <c r="B790" t="s">
        <v>3268</v>
      </c>
      <c r="C790" t="s">
        <v>42</v>
      </c>
      <c r="D790" s="2">
        <v>109729.60187662003</v>
      </c>
      <c r="E790">
        <f>VLOOKUP(I790,Calc!$I$35:$J$39,2,FALSE)</f>
        <v>8</v>
      </c>
      <c r="F790">
        <v>40</v>
      </c>
      <c r="G790" s="10" t="s">
        <v>78</v>
      </c>
      <c r="H790" s="10" t="s">
        <v>320</v>
      </c>
      <c r="I790" s="10" t="s">
        <v>22</v>
      </c>
    </row>
    <row r="791" spans="1:9" hidden="1">
      <c r="A791" t="s">
        <v>1472</v>
      </c>
      <c r="B791" t="s">
        <v>3268</v>
      </c>
      <c r="C791" t="s">
        <v>11</v>
      </c>
      <c r="D791" s="2">
        <v>15136.729184326183</v>
      </c>
      <c r="E791">
        <f>VLOOKUP(I791,Calc!$I$35:$J$39,2,FALSE)</f>
        <v>5</v>
      </c>
      <c r="F791">
        <v>2</v>
      </c>
      <c r="G791" s="10" t="s">
        <v>12</v>
      </c>
      <c r="H791" s="10" t="s">
        <v>1473</v>
      </c>
      <c r="I791" s="10" t="s">
        <v>14</v>
      </c>
    </row>
    <row r="792" spans="1:9" hidden="1">
      <c r="A792" t="s">
        <v>1474</v>
      </c>
      <c r="B792" t="s">
        <v>3249</v>
      </c>
      <c r="C792" t="s">
        <v>29</v>
      </c>
      <c r="D792" s="2">
        <v>85000</v>
      </c>
      <c r="E792">
        <f>VLOOKUP(I792,Calc!$I$35:$J$39,2,FALSE)</f>
        <v>5</v>
      </c>
      <c r="F792">
        <v>15</v>
      </c>
      <c r="G792" s="10" t="s">
        <v>30</v>
      </c>
      <c r="H792" s="10" t="s">
        <v>1475</v>
      </c>
      <c r="I792" s="10" t="s">
        <v>14</v>
      </c>
    </row>
    <row r="793" spans="1:9" hidden="1">
      <c r="A793" t="s">
        <v>1476</v>
      </c>
      <c r="B793" t="s">
        <v>3267</v>
      </c>
      <c r="C793" t="s">
        <v>11</v>
      </c>
      <c r="D793" s="2">
        <v>8013.5625093491553</v>
      </c>
      <c r="E793">
        <f>VLOOKUP(I793,Calc!$I$35:$J$39,2,FALSE)</f>
        <v>5</v>
      </c>
      <c r="F793">
        <v>6</v>
      </c>
      <c r="G793" s="10" t="s">
        <v>12</v>
      </c>
      <c r="H793" s="10" t="s">
        <v>1477</v>
      </c>
      <c r="I793" s="10" t="s">
        <v>14</v>
      </c>
    </row>
    <row r="794" spans="1:9" hidden="1">
      <c r="A794" t="s">
        <v>1478</v>
      </c>
      <c r="B794" t="s">
        <v>3267</v>
      </c>
      <c r="C794" t="s">
        <v>29</v>
      </c>
      <c r="D794" s="2">
        <v>48000</v>
      </c>
      <c r="E794">
        <f>VLOOKUP(I794,Calc!$I$35:$J$39,2,FALSE)</f>
        <v>2.5</v>
      </c>
      <c r="F794">
        <v>16</v>
      </c>
      <c r="G794" s="10" t="s">
        <v>30</v>
      </c>
      <c r="H794" s="10" t="s">
        <v>1479</v>
      </c>
      <c r="I794" s="10" t="s">
        <v>36</v>
      </c>
    </row>
    <row r="795" spans="1:9" hidden="1">
      <c r="A795" t="s">
        <v>1480</v>
      </c>
      <c r="B795" t="s">
        <v>77</v>
      </c>
      <c r="C795" t="s">
        <v>11</v>
      </c>
      <c r="D795" s="2">
        <v>3027.3458368652364</v>
      </c>
      <c r="E795">
        <f>VLOOKUP(I795,Calc!$I$35:$J$39,2,FALSE)</f>
        <v>5</v>
      </c>
      <c r="F795">
        <v>2</v>
      </c>
      <c r="G795" s="10" t="s">
        <v>12</v>
      </c>
      <c r="H795" s="10" t="s">
        <v>1481</v>
      </c>
      <c r="I795" s="10" t="s">
        <v>14</v>
      </c>
    </row>
    <row r="796" spans="1:9" hidden="1">
      <c r="A796" t="s">
        <v>1482</v>
      </c>
      <c r="B796" t="s">
        <v>3269</v>
      </c>
      <c r="C796" t="s">
        <v>11</v>
      </c>
      <c r="D796" s="2">
        <v>13100</v>
      </c>
      <c r="E796">
        <f>VLOOKUP(I796,Calc!$I$35:$J$39,2,FALSE)</f>
        <v>2.5</v>
      </c>
      <c r="F796">
        <v>5</v>
      </c>
      <c r="G796" s="10" t="s">
        <v>12</v>
      </c>
      <c r="H796" s="10" t="s">
        <v>1483</v>
      </c>
      <c r="I796" s="10" t="s">
        <v>36</v>
      </c>
    </row>
    <row r="797" spans="1:9" hidden="1">
      <c r="A797" t="s">
        <v>1484</v>
      </c>
      <c r="B797" t="s">
        <v>3267</v>
      </c>
      <c r="C797" t="s">
        <v>48</v>
      </c>
      <c r="D797" s="2">
        <v>60000</v>
      </c>
      <c r="E797">
        <f>VLOOKUP(I797,Calc!$I$35:$J$39,2,FALSE)</f>
        <v>2.5</v>
      </c>
      <c r="F797">
        <v>15</v>
      </c>
      <c r="G797" s="10" t="s">
        <v>191</v>
      </c>
      <c r="H797" s="10" t="s">
        <v>1314</v>
      </c>
      <c r="I797" s="10" t="s">
        <v>36</v>
      </c>
    </row>
    <row r="798" spans="1:9" hidden="1">
      <c r="A798" t="s">
        <v>1485</v>
      </c>
      <c r="B798" t="s">
        <v>3267</v>
      </c>
      <c r="C798" t="s">
        <v>19</v>
      </c>
      <c r="D798" s="2">
        <v>24000</v>
      </c>
      <c r="E798">
        <f>VLOOKUP(I798,Calc!$I$35:$J$39,2,FALSE)</f>
        <v>2.5</v>
      </c>
      <c r="F798">
        <v>5</v>
      </c>
      <c r="G798" s="10" t="s">
        <v>20</v>
      </c>
      <c r="H798" s="10" t="s">
        <v>1486</v>
      </c>
      <c r="I798" s="10" t="s">
        <v>36</v>
      </c>
    </row>
    <row r="799" spans="1:9" hidden="1">
      <c r="A799" t="s">
        <v>1487</v>
      </c>
      <c r="B799" t="s">
        <v>3267</v>
      </c>
      <c r="C799" t="s">
        <v>11</v>
      </c>
      <c r="D799" s="2">
        <v>4273.9000049862161</v>
      </c>
      <c r="E799">
        <f>VLOOKUP(I799,Calc!$I$35:$J$39,2,FALSE)</f>
        <v>2.5</v>
      </c>
      <c r="F799">
        <v>3</v>
      </c>
      <c r="G799" s="10" t="s">
        <v>12</v>
      </c>
      <c r="H799" s="10" t="s">
        <v>1222</v>
      </c>
      <c r="I799" s="10" t="s">
        <v>36</v>
      </c>
    </row>
    <row r="800" spans="1:9" hidden="1">
      <c r="A800" t="s">
        <v>1488</v>
      </c>
      <c r="B800" t="s">
        <v>3267</v>
      </c>
      <c r="C800" t="s">
        <v>11</v>
      </c>
      <c r="D800" s="2">
        <v>11575.14584683767</v>
      </c>
      <c r="E800">
        <f>VLOOKUP(I800,Calc!$I$35:$J$39,2,FALSE)</f>
        <v>2.5</v>
      </c>
      <c r="F800">
        <v>5</v>
      </c>
      <c r="G800" s="10" t="s">
        <v>12</v>
      </c>
      <c r="H800" s="10" t="s">
        <v>1489</v>
      </c>
      <c r="I800" s="10" t="s">
        <v>36</v>
      </c>
    </row>
    <row r="801" spans="1:9">
      <c r="A801" t="s">
        <v>1490</v>
      </c>
      <c r="B801" t="s">
        <v>3268</v>
      </c>
      <c r="C801" t="s">
        <v>29</v>
      </c>
      <c r="D801" s="2">
        <v>95000</v>
      </c>
      <c r="E801">
        <f>VLOOKUP(I801,Calc!$I$35:$J$39,2,FALSE)</f>
        <v>2.5</v>
      </c>
      <c r="F801">
        <v>13</v>
      </c>
      <c r="G801" s="10" t="s">
        <v>30</v>
      </c>
      <c r="H801" s="10" t="s">
        <v>320</v>
      </c>
      <c r="I801" s="10" t="s">
        <v>36</v>
      </c>
    </row>
    <row r="802" spans="1:9" hidden="1">
      <c r="A802" t="s">
        <v>1491</v>
      </c>
      <c r="B802" t="s">
        <v>3267</v>
      </c>
      <c r="C802" t="s">
        <v>11</v>
      </c>
      <c r="D802" s="2">
        <v>9188.8850107203652</v>
      </c>
      <c r="E802">
        <f>VLOOKUP(I802,Calc!$I$35:$J$39,2,FALSE)</f>
        <v>5</v>
      </c>
      <c r="F802">
        <v>0</v>
      </c>
      <c r="G802" s="10" t="s">
        <v>12</v>
      </c>
      <c r="H802" s="10" t="s">
        <v>1492</v>
      </c>
      <c r="I802" s="10" t="s">
        <v>14</v>
      </c>
    </row>
    <row r="803" spans="1:9" hidden="1">
      <c r="A803" t="s">
        <v>1493</v>
      </c>
      <c r="B803" t="s">
        <v>3267</v>
      </c>
      <c r="C803" t="s">
        <v>11</v>
      </c>
      <c r="D803" s="2">
        <v>8975.1900104710548</v>
      </c>
      <c r="E803">
        <f>VLOOKUP(I803,Calc!$I$35:$J$39,2,FALSE)</f>
        <v>8</v>
      </c>
      <c r="F803">
        <v>3</v>
      </c>
      <c r="G803" s="10" t="s">
        <v>12</v>
      </c>
      <c r="H803" s="10" t="s">
        <v>1494</v>
      </c>
      <c r="I803" s="10" t="s">
        <v>22</v>
      </c>
    </row>
    <row r="804" spans="1:9" hidden="1">
      <c r="A804" t="s">
        <v>1495</v>
      </c>
      <c r="B804" t="s">
        <v>3268</v>
      </c>
      <c r="C804" t="s">
        <v>11</v>
      </c>
      <c r="D804" s="2">
        <v>2564.3400029917298</v>
      </c>
      <c r="E804">
        <f>VLOOKUP(I804,Calc!$I$35:$J$39,2,FALSE)</f>
        <v>8</v>
      </c>
      <c r="F804">
        <v>1</v>
      </c>
      <c r="G804" s="10" t="s">
        <v>12</v>
      </c>
      <c r="H804" s="10" t="s">
        <v>1496</v>
      </c>
      <c r="I804" s="10" t="s">
        <v>22</v>
      </c>
    </row>
    <row r="805" spans="1:9" hidden="1">
      <c r="A805" t="s">
        <v>1497</v>
      </c>
      <c r="B805" t="s">
        <v>3263</v>
      </c>
      <c r="C805" t="s">
        <v>19</v>
      </c>
      <c r="D805" s="2">
        <v>86689.804963700633</v>
      </c>
      <c r="E805">
        <f>VLOOKUP(I805,Calc!$I$35:$J$39,2,FALSE)</f>
        <v>5</v>
      </c>
      <c r="F805">
        <v>12</v>
      </c>
      <c r="G805" s="10" t="s">
        <v>107</v>
      </c>
      <c r="H805" s="10" t="s">
        <v>1498</v>
      </c>
      <c r="I805" s="10" t="s">
        <v>14</v>
      </c>
    </row>
    <row r="806" spans="1:9" hidden="1">
      <c r="A806" t="s">
        <v>1499</v>
      </c>
      <c r="B806" t="s">
        <v>3266</v>
      </c>
      <c r="C806" t="s">
        <v>11</v>
      </c>
      <c r="D806" s="2">
        <v>15500</v>
      </c>
      <c r="E806">
        <f>VLOOKUP(I806,Calc!$I$35:$J$39,2,FALSE)</f>
        <v>1.5</v>
      </c>
      <c r="F806">
        <v>3</v>
      </c>
      <c r="G806" s="10" t="s">
        <v>12</v>
      </c>
      <c r="H806" s="10" t="s">
        <v>38</v>
      </c>
      <c r="I806" s="10" t="s">
        <v>47</v>
      </c>
    </row>
    <row r="807" spans="1:9" hidden="1">
      <c r="A807" t="s">
        <v>1500</v>
      </c>
      <c r="B807" t="s">
        <v>3268</v>
      </c>
      <c r="C807" t="s">
        <v>3248</v>
      </c>
      <c r="D807" s="2">
        <v>148284.35006969364</v>
      </c>
      <c r="E807">
        <f>VLOOKUP(I807,Calc!$I$35:$J$39,2,FALSE)</f>
        <v>8</v>
      </c>
      <c r="F807">
        <v>3</v>
      </c>
      <c r="G807" s="10" t="s">
        <v>216</v>
      </c>
      <c r="H807" s="10" t="s">
        <v>1501</v>
      </c>
      <c r="I807" s="10" t="s">
        <v>22</v>
      </c>
    </row>
    <row r="808" spans="1:9" hidden="1">
      <c r="A808" t="s">
        <v>1502</v>
      </c>
      <c r="B808" t="s">
        <v>3268</v>
      </c>
      <c r="C808" t="s">
        <v>11</v>
      </c>
      <c r="D808" s="2">
        <v>10684.750012465542</v>
      </c>
      <c r="E808">
        <f>VLOOKUP(I808,Calc!$I$35:$J$39,2,FALSE)</f>
        <v>8</v>
      </c>
      <c r="F808">
        <v>5</v>
      </c>
      <c r="G808" s="10" t="s">
        <v>12</v>
      </c>
      <c r="H808" s="10" t="s">
        <v>1370</v>
      </c>
      <c r="I808" s="10" t="s">
        <v>22</v>
      </c>
    </row>
    <row r="809" spans="1:9">
      <c r="A809" t="s">
        <v>1503</v>
      </c>
      <c r="B809" t="s">
        <v>3268</v>
      </c>
      <c r="C809" t="s">
        <v>29</v>
      </c>
      <c r="D809" s="2">
        <v>75000</v>
      </c>
      <c r="E809">
        <f>VLOOKUP(I809,Calc!$I$35:$J$39,2,FALSE)</f>
        <v>2.5</v>
      </c>
      <c r="F809">
        <v>27</v>
      </c>
      <c r="G809" s="10" t="s">
        <v>30</v>
      </c>
      <c r="H809" s="10" t="s">
        <v>1504</v>
      </c>
      <c r="I809" s="10" t="s">
        <v>36</v>
      </c>
    </row>
    <row r="810" spans="1:9" hidden="1">
      <c r="A810" t="s">
        <v>1505</v>
      </c>
      <c r="B810" t="s">
        <v>3267</v>
      </c>
      <c r="C810" t="s">
        <v>19</v>
      </c>
      <c r="D810" s="2">
        <v>12000</v>
      </c>
      <c r="E810">
        <f>VLOOKUP(I810,Calc!$I$35:$J$39,2,FALSE)</f>
        <v>5</v>
      </c>
      <c r="F810">
        <v>5</v>
      </c>
      <c r="G810" s="10" t="s">
        <v>50</v>
      </c>
      <c r="H810" s="10" t="s">
        <v>1506</v>
      </c>
      <c r="I810" s="10" t="s">
        <v>14</v>
      </c>
    </row>
    <row r="811" spans="1:9" hidden="1">
      <c r="A811" t="s">
        <v>1507</v>
      </c>
      <c r="B811" t="s">
        <v>3267</v>
      </c>
      <c r="C811" t="s">
        <v>11</v>
      </c>
      <c r="D811" s="2">
        <v>30273.458368652366</v>
      </c>
      <c r="E811">
        <f>VLOOKUP(I811,Calc!$I$35:$J$39,2,FALSE)</f>
        <v>8</v>
      </c>
      <c r="F811">
        <v>1.1000000000000001</v>
      </c>
      <c r="G811" s="10" t="s">
        <v>12</v>
      </c>
      <c r="H811" s="10" t="s">
        <v>1508</v>
      </c>
      <c r="I811" s="10" t="s">
        <v>22</v>
      </c>
    </row>
    <row r="812" spans="1:9" hidden="1">
      <c r="A812" t="s">
        <v>1509</v>
      </c>
      <c r="B812" t="s">
        <v>3263</v>
      </c>
      <c r="C812" t="s">
        <v>11</v>
      </c>
      <c r="D812" s="2">
        <v>30000</v>
      </c>
      <c r="E812">
        <f>VLOOKUP(I812,Calc!$I$35:$J$39,2,FALSE)</f>
        <v>5</v>
      </c>
      <c r="F812">
        <v>7</v>
      </c>
      <c r="G812" s="10" t="s">
        <v>1177</v>
      </c>
      <c r="H812" s="10" t="s">
        <v>1510</v>
      </c>
      <c r="I812" s="10" t="s">
        <v>14</v>
      </c>
    </row>
    <row r="813" spans="1:9" hidden="1">
      <c r="A813" t="s">
        <v>1511</v>
      </c>
      <c r="B813" t="s">
        <v>3268</v>
      </c>
      <c r="C813" t="s">
        <v>11</v>
      </c>
      <c r="D813" s="2">
        <v>6410.8500074793246</v>
      </c>
      <c r="E813">
        <f>VLOOKUP(I813,Calc!$I$35:$J$39,2,FALSE)</f>
        <v>8</v>
      </c>
      <c r="F813">
        <v>4</v>
      </c>
      <c r="G813" s="10" t="s">
        <v>12</v>
      </c>
      <c r="H813" s="10" t="s">
        <v>1512</v>
      </c>
      <c r="I813" s="10" t="s">
        <v>22</v>
      </c>
    </row>
    <row r="814" spans="1:9" hidden="1">
      <c r="A814" t="s">
        <v>1513</v>
      </c>
      <c r="B814" t="s">
        <v>3249</v>
      </c>
      <c r="C814" t="s">
        <v>29</v>
      </c>
      <c r="D814" s="2">
        <v>100000</v>
      </c>
      <c r="E814">
        <f>VLOOKUP(I814,Calc!$I$35:$J$39,2,FALSE)</f>
        <v>5</v>
      </c>
      <c r="F814">
        <v>10</v>
      </c>
      <c r="G814" s="10" t="s">
        <v>30</v>
      </c>
      <c r="H814" s="10" t="s">
        <v>740</v>
      </c>
      <c r="I814" s="10" t="s">
        <v>14</v>
      </c>
    </row>
    <row r="815" spans="1:9" hidden="1">
      <c r="A815" t="s">
        <v>1514</v>
      </c>
      <c r="B815" t="s">
        <v>3266</v>
      </c>
      <c r="C815" t="s">
        <v>19</v>
      </c>
      <c r="D815" s="2">
        <v>53356.776437647524</v>
      </c>
      <c r="E815">
        <f>VLOOKUP(I815,Calc!$I$35:$J$39,2,FALSE)</f>
        <v>5</v>
      </c>
      <c r="F815">
        <v>2</v>
      </c>
      <c r="G815" s="10" t="s">
        <v>143</v>
      </c>
      <c r="H815" s="10" t="s">
        <v>70</v>
      </c>
      <c r="I815" s="10" t="s">
        <v>14</v>
      </c>
    </row>
    <row r="816" spans="1:9" hidden="1">
      <c r="A816" t="s">
        <v>1515</v>
      </c>
      <c r="B816" t="s">
        <v>3267</v>
      </c>
      <c r="C816" t="s">
        <v>29</v>
      </c>
      <c r="D816" s="2">
        <v>40000</v>
      </c>
      <c r="E816">
        <f>VLOOKUP(I816,Calc!$I$35:$J$39,2,FALSE)</f>
        <v>2.5</v>
      </c>
      <c r="F816">
        <v>20</v>
      </c>
      <c r="G816" s="10" t="s">
        <v>30</v>
      </c>
      <c r="H816" s="10" t="s">
        <v>1516</v>
      </c>
      <c r="I816" s="10" t="s">
        <v>36</v>
      </c>
    </row>
    <row r="817" spans="1:9" hidden="1">
      <c r="A817" t="s">
        <v>1517</v>
      </c>
      <c r="B817" t="s">
        <v>3268</v>
      </c>
      <c r="C817" t="s">
        <v>11</v>
      </c>
      <c r="D817" s="2">
        <v>9794.354178093412</v>
      </c>
      <c r="E817">
        <f>VLOOKUP(I817,Calc!$I$35:$J$39,2,FALSE)</f>
        <v>5</v>
      </c>
      <c r="F817">
        <v>1</v>
      </c>
      <c r="G817" s="10" t="s">
        <v>12</v>
      </c>
      <c r="H817" s="10" t="s">
        <v>867</v>
      </c>
      <c r="I817" s="10" t="s">
        <v>14</v>
      </c>
    </row>
    <row r="818" spans="1:9" hidden="1">
      <c r="A818" t="s">
        <v>1518</v>
      </c>
      <c r="B818" t="s">
        <v>3265</v>
      </c>
      <c r="C818" t="s">
        <v>19</v>
      </c>
      <c r="D818" s="2">
        <v>18499.860539512854</v>
      </c>
      <c r="E818">
        <f>VLOOKUP(I818,Calc!$I$35:$J$39,2,FALSE)</f>
        <v>5</v>
      </c>
      <c r="F818">
        <v>6</v>
      </c>
      <c r="G818" s="10" t="s">
        <v>805</v>
      </c>
      <c r="H818" s="10" t="s">
        <v>1519</v>
      </c>
      <c r="I818" s="10" t="s">
        <v>14</v>
      </c>
    </row>
    <row r="819" spans="1:9" hidden="1">
      <c r="A819" t="s">
        <v>1520</v>
      </c>
      <c r="B819" t="s">
        <v>3263</v>
      </c>
      <c r="C819" t="s">
        <v>19</v>
      </c>
      <c r="D819" s="2">
        <v>19818.231248269083</v>
      </c>
      <c r="E819">
        <f>VLOOKUP(I819,Calc!$I$35:$J$39,2,FALSE)</f>
        <v>5</v>
      </c>
      <c r="F819">
        <v>5</v>
      </c>
      <c r="G819" s="10" t="s">
        <v>53</v>
      </c>
      <c r="H819" s="10" t="s">
        <v>1521</v>
      </c>
      <c r="I819" s="10" t="s">
        <v>14</v>
      </c>
    </row>
    <row r="820" spans="1:9" hidden="1">
      <c r="A820" t="s">
        <v>1522</v>
      </c>
      <c r="B820" t="s">
        <v>3267</v>
      </c>
      <c r="C820" t="s">
        <v>11</v>
      </c>
      <c r="D820" s="2">
        <v>10684.750012465542</v>
      </c>
      <c r="E820">
        <f>VLOOKUP(I820,Calc!$I$35:$J$39,2,FALSE)</f>
        <v>8</v>
      </c>
      <c r="F820">
        <v>20</v>
      </c>
      <c r="G820" s="10" t="s">
        <v>12</v>
      </c>
      <c r="H820" s="10" t="s">
        <v>1523</v>
      </c>
      <c r="I820" s="10" t="s">
        <v>22</v>
      </c>
    </row>
    <row r="821" spans="1:9" hidden="1">
      <c r="A821" t="s">
        <v>1524</v>
      </c>
      <c r="B821" t="s">
        <v>3267</v>
      </c>
      <c r="C821" t="s">
        <v>11</v>
      </c>
      <c r="D821" s="2">
        <v>10684.750012465542</v>
      </c>
      <c r="E821">
        <f>VLOOKUP(I821,Calc!$I$35:$J$39,2,FALSE)</f>
        <v>2.5</v>
      </c>
      <c r="F821">
        <v>18</v>
      </c>
      <c r="G821" s="10" t="s">
        <v>12</v>
      </c>
      <c r="H821" s="10" t="s">
        <v>310</v>
      </c>
      <c r="I821" s="10" t="s">
        <v>36</v>
      </c>
    </row>
    <row r="822" spans="1:9" hidden="1">
      <c r="A822" t="s">
        <v>1525</v>
      </c>
      <c r="B822" t="s">
        <v>3268</v>
      </c>
      <c r="C822" t="s">
        <v>11</v>
      </c>
      <c r="D822" s="2">
        <v>17807.916687442568</v>
      </c>
      <c r="E822">
        <f>VLOOKUP(I822,Calc!$I$35:$J$39,2,FALSE)</f>
        <v>5</v>
      </c>
      <c r="F822">
        <v>10</v>
      </c>
      <c r="G822" s="10" t="s">
        <v>12</v>
      </c>
      <c r="H822" s="10" t="s">
        <v>1526</v>
      </c>
      <c r="I822" s="10" t="s">
        <v>14</v>
      </c>
    </row>
    <row r="823" spans="1:9" hidden="1">
      <c r="A823" t="s">
        <v>1527</v>
      </c>
      <c r="B823" t="s">
        <v>3268</v>
      </c>
      <c r="C823" t="s">
        <v>11</v>
      </c>
      <c r="D823" s="2">
        <v>13000</v>
      </c>
      <c r="E823">
        <f>VLOOKUP(I823,Calc!$I$35:$J$39,2,FALSE)</f>
        <v>8</v>
      </c>
      <c r="F823">
        <v>6</v>
      </c>
      <c r="G823" s="10" t="s">
        <v>12</v>
      </c>
      <c r="H823" s="10" t="s">
        <v>320</v>
      </c>
      <c r="I823" s="10" t="s">
        <v>22</v>
      </c>
    </row>
    <row r="824" spans="1:9" hidden="1">
      <c r="A824" t="s">
        <v>1528</v>
      </c>
      <c r="B824" t="s">
        <v>3267</v>
      </c>
      <c r="C824" t="s">
        <v>11</v>
      </c>
      <c r="D824" s="2">
        <v>16027.125018698311</v>
      </c>
      <c r="E824">
        <f>VLOOKUP(I824,Calc!$I$35:$J$39,2,FALSE)</f>
        <v>1.5</v>
      </c>
      <c r="F824">
        <v>9</v>
      </c>
      <c r="G824" s="10" t="s">
        <v>12</v>
      </c>
      <c r="H824" s="10" t="s">
        <v>1489</v>
      </c>
      <c r="I824" s="10" t="s">
        <v>47</v>
      </c>
    </row>
    <row r="825" spans="1:9" hidden="1">
      <c r="A825" t="s">
        <v>1529</v>
      </c>
      <c r="B825" t="s">
        <v>3269</v>
      </c>
      <c r="C825" t="s">
        <v>29</v>
      </c>
      <c r="D825" s="2">
        <v>85000</v>
      </c>
      <c r="E825">
        <f>VLOOKUP(I825,Calc!$I$35:$J$39,2,FALSE)</f>
        <v>8</v>
      </c>
      <c r="F825">
        <v>1</v>
      </c>
      <c r="G825" s="10" t="s">
        <v>30</v>
      </c>
      <c r="H825" s="10" t="s">
        <v>1530</v>
      </c>
      <c r="I825" s="10" t="s">
        <v>22</v>
      </c>
    </row>
    <row r="826" spans="1:9" hidden="1">
      <c r="A826" t="s">
        <v>1531</v>
      </c>
      <c r="B826" t="s">
        <v>3268</v>
      </c>
      <c r="C826" t="s">
        <v>3248</v>
      </c>
      <c r="D826" s="2">
        <v>6000</v>
      </c>
      <c r="E826">
        <f>VLOOKUP(I826,Calc!$I$35:$J$39,2,FALSE)</f>
        <v>1.5</v>
      </c>
      <c r="F826">
        <v>10</v>
      </c>
      <c r="G826" s="10" t="s">
        <v>280</v>
      </c>
      <c r="H826" s="10" t="s">
        <v>1532</v>
      </c>
      <c r="I826" s="10" t="s">
        <v>47</v>
      </c>
    </row>
    <row r="827" spans="1:9" hidden="1">
      <c r="A827" t="s">
        <v>1533</v>
      </c>
      <c r="B827" t="s">
        <v>77</v>
      </c>
      <c r="C827" t="s">
        <v>11</v>
      </c>
      <c r="D827" s="2">
        <v>30000</v>
      </c>
      <c r="E827">
        <f>VLOOKUP(I827,Calc!$I$35:$J$39,2,FALSE)</f>
        <v>5</v>
      </c>
      <c r="F827">
        <v>2</v>
      </c>
      <c r="G827" s="10" t="s">
        <v>12</v>
      </c>
      <c r="H827" s="10" t="s">
        <v>1167</v>
      </c>
      <c r="I827" s="10" t="s">
        <v>14</v>
      </c>
    </row>
    <row r="828" spans="1:9" hidden="1">
      <c r="A828" t="s">
        <v>1534</v>
      </c>
      <c r="B828" t="s">
        <v>3263</v>
      </c>
      <c r="C828" t="s">
        <v>19</v>
      </c>
      <c r="D828" s="2">
        <v>157617.8272067284</v>
      </c>
      <c r="E828">
        <f>VLOOKUP(I828,Calc!$I$35:$J$39,2,FALSE)</f>
        <v>2.5</v>
      </c>
      <c r="F828">
        <v>20</v>
      </c>
      <c r="G828" s="10" t="s">
        <v>107</v>
      </c>
      <c r="H828" s="10" t="s">
        <v>276</v>
      </c>
      <c r="I828" s="10" t="s">
        <v>36</v>
      </c>
    </row>
    <row r="829" spans="1:9" hidden="1">
      <c r="A829" t="s">
        <v>1535</v>
      </c>
      <c r="B829" t="s">
        <v>3267</v>
      </c>
      <c r="C829" t="s">
        <v>11</v>
      </c>
      <c r="D829" s="2">
        <v>21369.500024931083</v>
      </c>
      <c r="E829">
        <f>VLOOKUP(I829,Calc!$I$35:$J$39,2,FALSE)</f>
        <v>1.5</v>
      </c>
      <c r="F829">
        <v>18</v>
      </c>
      <c r="G829" s="10" t="s">
        <v>12</v>
      </c>
      <c r="H829" s="10" t="s">
        <v>316</v>
      </c>
      <c r="I829" s="10" t="s">
        <v>47</v>
      </c>
    </row>
    <row r="830" spans="1:9" hidden="1">
      <c r="A830" t="s">
        <v>1536</v>
      </c>
      <c r="B830" t="s">
        <v>77</v>
      </c>
      <c r="C830" t="s">
        <v>11</v>
      </c>
      <c r="D830" s="2">
        <v>3561.5833374885137</v>
      </c>
      <c r="E830">
        <f>VLOOKUP(I830,Calc!$I$35:$J$39,2,FALSE)</f>
        <v>5</v>
      </c>
      <c r="F830">
        <v>1</v>
      </c>
      <c r="G830" s="10" t="s">
        <v>12</v>
      </c>
      <c r="H830" s="10" t="s">
        <v>1537</v>
      </c>
      <c r="I830" s="10" t="s">
        <v>14</v>
      </c>
    </row>
    <row r="831" spans="1:9" hidden="1">
      <c r="A831" t="s">
        <v>1538</v>
      </c>
      <c r="B831" t="s">
        <v>3267</v>
      </c>
      <c r="C831" t="s">
        <v>11</v>
      </c>
      <c r="D831" s="2">
        <v>5000</v>
      </c>
      <c r="E831">
        <f>VLOOKUP(I831,Calc!$I$35:$J$39,2,FALSE)</f>
        <v>5</v>
      </c>
      <c r="F831">
        <v>1</v>
      </c>
      <c r="G831" s="10" t="s">
        <v>12</v>
      </c>
      <c r="H831" s="10" t="s">
        <v>1539</v>
      </c>
      <c r="I831" s="10" t="s">
        <v>14</v>
      </c>
    </row>
    <row r="832" spans="1:9" hidden="1">
      <c r="A832" t="s">
        <v>1540</v>
      </c>
      <c r="B832" t="s">
        <v>3268</v>
      </c>
      <c r="C832" t="s">
        <v>11</v>
      </c>
      <c r="D832" s="2">
        <v>3561.5833374885137</v>
      </c>
      <c r="E832">
        <f>VLOOKUP(I832,Calc!$I$35:$J$39,2,FALSE)</f>
        <v>5</v>
      </c>
      <c r="F832">
        <v>2</v>
      </c>
      <c r="G832" s="10" t="s">
        <v>12</v>
      </c>
      <c r="H832" s="10" t="s">
        <v>167</v>
      </c>
      <c r="I832" s="10" t="s">
        <v>14</v>
      </c>
    </row>
    <row r="833" spans="1:9" hidden="1">
      <c r="A833" t="s">
        <v>1541</v>
      </c>
      <c r="B833" t="s">
        <v>3269</v>
      </c>
      <c r="C833" t="s">
        <v>19</v>
      </c>
      <c r="D833" s="2">
        <v>38111.983169748237</v>
      </c>
      <c r="E833">
        <f>VLOOKUP(I833,Calc!$I$35:$J$39,2,FALSE)</f>
        <v>8</v>
      </c>
      <c r="F833">
        <v>8</v>
      </c>
      <c r="G833" s="10" t="s">
        <v>53</v>
      </c>
      <c r="H833" s="10" t="s">
        <v>1542</v>
      </c>
      <c r="I833" s="10" t="s">
        <v>22</v>
      </c>
    </row>
    <row r="834" spans="1:9" hidden="1">
      <c r="A834" t="s">
        <v>1543</v>
      </c>
      <c r="B834" t="s">
        <v>3268</v>
      </c>
      <c r="C834" t="s">
        <v>11</v>
      </c>
      <c r="D834" s="2">
        <v>17807.916687442568</v>
      </c>
      <c r="E834">
        <f>VLOOKUP(I834,Calc!$I$35:$J$39,2,FALSE)</f>
        <v>5</v>
      </c>
      <c r="F834">
        <v>6.5</v>
      </c>
      <c r="G834" s="10" t="s">
        <v>12</v>
      </c>
      <c r="H834" s="10" t="s">
        <v>619</v>
      </c>
      <c r="I834" s="10" t="s">
        <v>14</v>
      </c>
    </row>
    <row r="835" spans="1:9" hidden="1">
      <c r="A835" t="s">
        <v>1544</v>
      </c>
      <c r="B835" t="s">
        <v>3268</v>
      </c>
      <c r="C835" t="s">
        <v>11</v>
      </c>
      <c r="D835" s="2">
        <v>11575.14584683767</v>
      </c>
      <c r="E835">
        <f>VLOOKUP(I835,Calc!$I$35:$J$39,2,FALSE)</f>
        <v>8</v>
      </c>
      <c r="F835">
        <v>3.5</v>
      </c>
      <c r="G835" s="10" t="s">
        <v>12</v>
      </c>
      <c r="H835" s="10" t="s">
        <v>1545</v>
      </c>
      <c r="I835" s="10" t="s">
        <v>22</v>
      </c>
    </row>
    <row r="836" spans="1:9" hidden="1">
      <c r="A836" t="s">
        <v>1546</v>
      </c>
      <c r="B836" t="s">
        <v>3267</v>
      </c>
      <c r="C836" t="s">
        <v>29</v>
      </c>
      <c r="D836" s="2">
        <v>98336.152303032693</v>
      </c>
      <c r="E836">
        <f>VLOOKUP(I836,Calc!$I$35:$J$39,2,FALSE)</f>
        <v>2.5</v>
      </c>
      <c r="F836">
        <v>10</v>
      </c>
      <c r="G836" s="10" t="s">
        <v>128</v>
      </c>
      <c r="H836" s="10" t="s">
        <v>1547</v>
      </c>
      <c r="I836" s="10" t="s">
        <v>36</v>
      </c>
    </row>
    <row r="837" spans="1:9">
      <c r="A837" t="s">
        <v>1548</v>
      </c>
      <c r="B837" t="s">
        <v>3268</v>
      </c>
      <c r="C837" t="s">
        <v>29</v>
      </c>
      <c r="D837" s="2">
        <v>92500</v>
      </c>
      <c r="E837">
        <f>VLOOKUP(I837,Calc!$I$35:$J$39,2,FALSE)</f>
        <v>2.5</v>
      </c>
      <c r="F837">
        <v>15</v>
      </c>
      <c r="G837" s="10" t="s">
        <v>30</v>
      </c>
      <c r="H837" s="10" t="s">
        <v>1549</v>
      </c>
      <c r="I837" s="10" t="s">
        <v>36</v>
      </c>
    </row>
    <row r="838" spans="1:9" hidden="1">
      <c r="A838" t="s">
        <v>1550</v>
      </c>
      <c r="B838" t="s">
        <v>3268</v>
      </c>
      <c r="C838" t="s">
        <v>11</v>
      </c>
      <c r="D838" s="2">
        <v>9794.354178093412</v>
      </c>
      <c r="E838">
        <f>VLOOKUP(I838,Calc!$I$35:$J$39,2,FALSE)</f>
        <v>5</v>
      </c>
      <c r="F838">
        <v>1</v>
      </c>
      <c r="G838" s="10" t="s">
        <v>12</v>
      </c>
      <c r="H838" s="10" t="s">
        <v>10</v>
      </c>
      <c r="I838" s="10" t="s">
        <v>14</v>
      </c>
    </row>
    <row r="839" spans="1:9" hidden="1">
      <c r="A839" t="s">
        <v>1551</v>
      </c>
      <c r="B839" t="s">
        <v>3267</v>
      </c>
      <c r="C839" t="s">
        <v>29</v>
      </c>
      <c r="D839" s="2">
        <v>32000</v>
      </c>
      <c r="E839">
        <f>VLOOKUP(I839,Calc!$I$35:$J$39,2,FALSE)</f>
        <v>5</v>
      </c>
      <c r="F839">
        <v>1</v>
      </c>
      <c r="G839" s="10" t="s">
        <v>30</v>
      </c>
      <c r="H839" s="10" t="s">
        <v>1552</v>
      </c>
      <c r="I839" s="10" t="s">
        <v>14</v>
      </c>
    </row>
    <row r="840" spans="1:9">
      <c r="A840" t="s">
        <v>1553</v>
      </c>
      <c r="B840" t="s">
        <v>3268</v>
      </c>
      <c r="C840" t="s">
        <v>29</v>
      </c>
      <c r="D840" s="2">
        <v>55000</v>
      </c>
      <c r="E840">
        <f>VLOOKUP(I840,Calc!$I$35:$J$39,2,FALSE)</f>
        <v>5</v>
      </c>
      <c r="F840">
        <v>10</v>
      </c>
      <c r="G840" s="10" t="s">
        <v>30</v>
      </c>
      <c r="H840" s="10" t="s">
        <v>10</v>
      </c>
      <c r="I840" s="10" t="s">
        <v>14</v>
      </c>
    </row>
    <row r="841" spans="1:9">
      <c r="A841" t="s">
        <v>1554</v>
      </c>
      <c r="B841" t="s">
        <v>3268</v>
      </c>
      <c r="C841" t="s">
        <v>29</v>
      </c>
      <c r="D841" s="2">
        <v>40000</v>
      </c>
      <c r="E841">
        <f>VLOOKUP(I841,Calc!$I$35:$J$39,2,FALSE)</f>
        <v>8</v>
      </c>
      <c r="F841">
        <v>4</v>
      </c>
      <c r="G841" s="10" t="s">
        <v>30</v>
      </c>
      <c r="H841" s="10" t="s">
        <v>1555</v>
      </c>
      <c r="I841" s="10" t="s">
        <v>22</v>
      </c>
    </row>
    <row r="842" spans="1:9" hidden="1">
      <c r="A842" t="s">
        <v>1556</v>
      </c>
      <c r="B842" t="s">
        <v>3268</v>
      </c>
      <c r="C842" t="s">
        <v>11</v>
      </c>
      <c r="D842" s="2">
        <v>3000</v>
      </c>
      <c r="E842">
        <f>VLOOKUP(I842,Calc!$I$35:$J$39,2,FALSE)</f>
        <v>2.5</v>
      </c>
      <c r="F842">
        <v>2</v>
      </c>
      <c r="G842" s="10" t="s">
        <v>34</v>
      </c>
      <c r="H842" s="10" t="s">
        <v>198</v>
      </c>
      <c r="I842" s="10" t="s">
        <v>36</v>
      </c>
    </row>
    <row r="843" spans="1:9">
      <c r="A843" t="s">
        <v>1557</v>
      </c>
      <c r="B843" t="s">
        <v>3268</v>
      </c>
      <c r="C843" t="s">
        <v>29</v>
      </c>
      <c r="D843" s="2">
        <v>43600</v>
      </c>
      <c r="E843">
        <f>VLOOKUP(I843,Calc!$I$35:$J$39,2,FALSE)</f>
        <v>5</v>
      </c>
      <c r="F843">
        <v>5</v>
      </c>
      <c r="G843" s="10" t="s">
        <v>30</v>
      </c>
      <c r="H843" s="10" t="s">
        <v>233</v>
      </c>
      <c r="I843" s="10" t="s">
        <v>14</v>
      </c>
    </row>
    <row r="844" spans="1:9" hidden="1">
      <c r="A844" t="s">
        <v>1558</v>
      </c>
      <c r="B844" t="s">
        <v>3268</v>
      </c>
      <c r="C844" t="s">
        <v>11</v>
      </c>
      <c r="D844" s="2">
        <v>9616.275011218986</v>
      </c>
      <c r="E844">
        <f>VLOOKUP(I844,Calc!$I$35:$J$39,2,FALSE)</f>
        <v>8</v>
      </c>
      <c r="F844">
        <v>8</v>
      </c>
      <c r="G844" s="10" t="s">
        <v>12</v>
      </c>
      <c r="H844" s="10" t="s">
        <v>398</v>
      </c>
      <c r="I844" s="10" t="s">
        <v>22</v>
      </c>
    </row>
    <row r="845" spans="1:9" hidden="1">
      <c r="A845" t="s">
        <v>1559</v>
      </c>
      <c r="B845" t="s">
        <v>3267</v>
      </c>
      <c r="C845" t="s">
        <v>3248</v>
      </c>
      <c r="D845" s="2">
        <v>35000</v>
      </c>
      <c r="E845">
        <f>VLOOKUP(I845,Calc!$I$35:$J$39,2,FALSE)</f>
        <v>8</v>
      </c>
      <c r="F845">
        <v>10</v>
      </c>
      <c r="G845" s="10" t="s">
        <v>1560</v>
      </c>
      <c r="H845" s="10" t="s">
        <v>1147</v>
      </c>
      <c r="I845" s="10" t="s">
        <v>22</v>
      </c>
    </row>
    <row r="846" spans="1:9" hidden="1">
      <c r="A846" t="s">
        <v>1561</v>
      </c>
      <c r="B846" t="s">
        <v>3264</v>
      </c>
      <c r="C846" t="s">
        <v>19</v>
      </c>
      <c r="D846" s="2">
        <v>12000</v>
      </c>
      <c r="E846">
        <f>VLOOKUP(I846,Calc!$I$35:$J$39,2,FALSE)</f>
        <v>2.5</v>
      </c>
      <c r="F846">
        <v>15</v>
      </c>
      <c r="G846" s="10" t="s">
        <v>976</v>
      </c>
      <c r="H846" s="10" t="s">
        <v>1562</v>
      </c>
      <c r="I846" s="10" t="s">
        <v>36</v>
      </c>
    </row>
    <row r="847" spans="1:9" hidden="1">
      <c r="A847" t="s">
        <v>1563</v>
      </c>
      <c r="B847" t="s">
        <v>3264</v>
      </c>
      <c r="C847" t="s">
        <v>3248</v>
      </c>
      <c r="D847" s="2">
        <v>5000</v>
      </c>
      <c r="E847">
        <f>VLOOKUP(I847,Calc!$I$35:$J$39,2,FALSE)</f>
        <v>1.5</v>
      </c>
      <c r="F847">
        <v>13</v>
      </c>
      <c r="G847" s="10" t="s">
        <v>1564</v>
      </c>
      <c r="H847" s="10" t="s">
        <v>1565</v>
      </c>
      <c r="I847" s="10" t="s">
        <v>47</v>
      </c>
    </row>
    <row r="848" spans="1:9" hidden="1">
      <c r="A848" t="s">
        <v>1566</v>
      </c>
      <c r="B848" t="s">
        <v>3268</v>
      </c>
      <c r="C848" t="s">
        <v>42</v>
      </c>
      <c r="D848" s="2">
        <v>16337.518501630093</v>
      </c>
      <c r="E848">
        <f>VLOOKUP(I848,Calc!$I$35:$J$39,2,FALSE)</f>
        <v>5</v>
      </c>
      <c r="F848">
        <v>2</v>
      </c>
      <c r="G848" s="10" t="s">
        <v>78</v>
      </c>
      <c r="H848" s="10" t="s">
        <v>233</v>
      </c>
      <c r="I848" s="10" t="s">
        <v>14</v>
      </c>
    </row>
    <row r="849" spans="1:9">
      <c r="A849" t="s">
        <v>1567</v>
      </c>
      <c r="B849" t="s">
        <v>3268</v>
      </c>
      <c r="C849" t="s">
        <v>29</v>
      </c>
      <c r="D849" s="2">
        <v>65000</v>
      </c>
      <c r="E849">
        <f>VLOOKUP(I849,Calc!$I$35:$J$39,2,FALSE)</f>
        <v>1.5</v>
      </c>
      <c r="F849">
        <v>8</v>
      </c>
      <c r="G849" s="10" t="s">
        <v>30</v>
      </c>
      <c r="H849" s="10" t="s">
        <v>1568</v>
      </c>
      <c r="I849" s="10" t="s">
        <v>47</v>
      </c>
    </row>
    <row r="850" spans="1:9">
      <c r="A850" t="s">
        <v>1569</v>
      </c>
      <c r="B850" t="s">
        <v>3268</v>
      </c>
      <c r="C850" t="s">
        <v>29</v>
      </c>
      <c r="D850" s="2">
        <v>40000</v>
      </c>
      <c r="E850">
        <f>VLOOKUP(I850,Calc!$I$35:$J$39,2,FALSE)</f>
        <v>8</v>
      </c>
      <c r="F850">
        <v>2</v>
      </c>
      <c r="G850" s="10" t="s">
        <v>30</v>
      </c>
      <c r="H850" s="10" t="s">
        <v>1570</v>
      </c>
      <c r="I850" s="10" t="s">
        <v>22</v>
      </c>
    </row>
    <row r="851" spans="1:9" hidden="1">
      <c r="A851" t="s">
        <v>1571</v>
      </c>
      <c r="B851" t="s">
        <v>3267</v>
      </c>
      <c r="C851" t="s">
        <v>11</v>
      </c>
      <c r="D851" s="2">
        <v>98000</v>
      </c>
      <c r="E851">
        <f>VLOOKUP(I851,Calc!$I$35:$J$39,2,FALSE)</f>
        <v>2.5</v>
      </c>
      <c r="F851">
        <v>14</v>
      </c>
      <c r="G851" s="10" t="s">
        <v>1177</v>
      </c>
      <c r="H851" s="10" t="s">
        <v>1572</v>
      </c>
      <c r="I851" s="10" t="s">
        <v>36</v>
      </c>
    </row>
    <row r="852" spans="1:9" hidden="1">
      <c r="A852" t="s">
        <v>1573</v>
      </c>
      <c r="B852" t="s">
        <v>3249</v>
      </c>
      <c r="C852" t="s">
        <v>29</v>
      </c>
      <c r="D852" s="2">
        <v>50000</v>
      </c>
      <c r="E852">
        <f>VLOOKUP(I852,Calc!$I$35:$J$39,2,FALSE)</f>
        <v>8</v>
      </c>
      <c r="F852">
        <v>15</v>
      </c>
      <c r="G852" s="10" t="s">
        <v>30</v>
      </c>
      <c r="H852" s="10" t="s">
        <v>1574</v>
      </c>
      <c r="I852" s="10" t="s">
        <v>22</v>
      </c>
    </row>
    <row r="853" spans="1:9" hidden="1">
      <c r="A853" t="s">
        <v>1575</v>
      </c>
      <c r="B853" t="s">
        <v>3249</v>
      </c>
      <c r="C853" t="s">
        <v>29</v>
      </c>
      <c r="D853" s="2">
        <v>135000</v>
      </c>
      <c r="E853">
        <f>VLOOKUP(I853,Calc!$I$35:$J$39,2,FALSE)</f>
        <v>5</v>
      </c>
      <c r="F853">
        <v>25</v>
      </c>
      <c r="G853" s="10" t="s">
        <v>30</v>
      </c>
      <c r="H853" s="10" t="s">
        <v>1576</v>
      </c>
      <c r="I853" s="10" t="s">
        <v>14</v>
      </c>
    </row>
    <row r="854" spans="1:9" hidden="1">
      <c r="A854" t="s">
        <v>1577</v>
      </c>
      <c r="B854" t="s">
        <v>3267</v>
      </c>
      <c r="C854" t="s">
        <v>19</v>
      </c>
      <c r="D854" s="2">
        <v>125000</v>
      </c>
      <c r="E854">
        <f>VLOOKUP(I854,Calc!$I$35:$J$39,2,FALSE)</f>
        <v>5</v>
      </c>
      <c r="F854">
        <v>6</v>
      </c>
      <c r="G854" s="10" t="s">
        <v>938</v>
      </c>
      <c r="H854" s="10" t="s">
        <v>1578</v>
      </c>
      <c r="I854" s="10" t="s">
        <v>14</v>
      </c>
    </row>
    <row r="855" spans="1:9" hidden="1">
      <c r="A855" t="s">
        <v>1579</v>
      </c>
      <c r="B855" t="s">
        <v>3268</v>
      </c>
      <c r="C855" t="s">
        <v>11</v>
      </c>
      <c r="D855" s="2">
        <v>4500</v>
      </c>
      <c r="E855">
        <f>VLOOKUP(I855,Calc!$I$35:$J$39,2,FALSE)</f>
        <v>2.5</v>
      </c>
      <c r="F855">
        <v>4</v>
      </c>
      <c r="G855" s="10" t="s">
        <v>1177</v>
      </c>
      <c r="H855" s="10" t="s">
        <v>1580</v>
      </c>
      <c r="I855" s="10" t="s">
        <v>36</v>
      </c>
    </row>
    <row r="856" spans="1:9">
      <c r="A856" t="s">
        <v>1581</v>
      </c>
      <c r="B856" t="s">
        <v>3268</v>
      </c>
      <c r="C856" t="s">
        <v>29</v>
      </c>
      <c r="D856" s="2">
        <v>115000</v>
      </c>
      <c r="E856">
        <f>VLOOKUP(I856,Calc!$I$35:$J$39,2,FALSE)</f>
        <v>5</v>
      </c>
      <c r="F856">
        <v>10</v>
      </c>
      <c r="G856" s="10" t="s">
        <v>30</v>
      </c>
      <c r="H856" s="10" t="s">
        <v>1582</v>
      </c>
      <c r="I856" s="10" t="s">
        <v>14</v>
      </c>
    </row>
    <row r="857" spans="1:9">
      <c r="A857" t="s">
        <v>1583</v>
      </c>
      <c r="B857" t="s">
        <v>3268</v>
      </c>
      <c r="C857" t="s">
        <v>29</v>
      </c>
      <c r="D857" s="2">
        <v>70000</v>
      </c>
      <c r="E857">
        <f>VLOOKUP(I857,Calc!$I$35:$J$39,2,FALSE)</f>
        <v>8</v>
      </c>
      <c r="F857">
        <v>15</v>
      </c>
      <c r="G857" s="10" t="s">
        <v>30</v>
      </c>
      <c r="H857" s="10" t="s">
        <v>31</v>
      </c>
      <c r="I857" s="10" t="s">
        <v>22</v>
      </c>
    </row>
    <row r="858" spans="1:9">
      <c r="A858" t="s">
        <v>1584</v>
      </c>
      <c r="B858" t="s">
        <v>3268</v>
      </c>
      <c r="C858" t="s">
        <v>29</v>
      </c>
      <c r="D858" s="2">
        <v>60000</v>
      </c>
      <c r="E858">
        <f>VLOOKUP(I858,Calc!$I$35:$J$39,2,FALSE)</f>
        <v>2.5</v>
      </c>
      <c r="F858">
        <v>8</v>
      </c>
      <c r="G858" s="10" t="s">
        <v>30</v>
      </c>
      <c r="H858" s="10" t="s">
        <v>1585</v>
      </c>
      <c r="I858" s="10" t="s">
        <v>36</v>
      </c>
    </row>
    <row r="859" spans="1:9" hidden="1">
      <c r="A859" t="s">
        <v>1586</v>
      </c>
      <c r="B859" t="s">
        <v>3267</v>
      </c>
      <c r="C859" t="s">
        <v>29</v>
      </c>
      <c r="D859" s="2">
        <v>87456</v>
      </c>
      <c r="E859">
        <f>VLOOKUP(I859,Calc!$I$35:$J$39,2,FALSE)</f>
        <v>2.5</v>
      </c>
      <c r="F859">
        <v>12</v>
      </c>
      <c r="G859" s="10" t="s">
        <v>30</v>
      </c>
      <c r="H859" s="10" t="s">
        <v>1587</v>
      </c>
      <c r="I859" s="10" t="s">
        <v>36</v>
      </c>
    </row>
    <row r="860" spans="1:9" hidden="1">
      <c r="A860" t="s">
        <v>1588</v>
      </c>
      <c r="B860" t="s">
        <v>3268</v>
      </c>
      <c r="C860" t="s">
        <v>48</v>
      </c>
      <c r="D860" s="2">
        <v>26400</v>
      </c>
      <c r="E860">
        <f>VLOOKUP(I860,Calc!$I$35:$J$39,2,FALSE)</f>
        <v>8</v>
      </c>
      <c r="F860">
        <v>6</v>
      </c>
      <c r="G860" s="10" t="s">
        <v>191</v>
      </c>
      <c r="H860" s="10" t="s">
        <v>1589</v>
      </c>
      <c r="I860" s="10" t="s">
        <v>22</v>
      </c>
    </row>
    <row r="861" spans="1:9" hidden="1">
      <c r="A861" t="s">
        <v>1590</v>
      </c>
      <c r="B861" t="s">
        <v>3267</v>
      </c>
      <c r="C861" t="s">
        <v>48</v>
      </c>
      <c r="D861" s="2">
        <v>12000</v>
      </c>
      <c r="E861">
        <f>VLOOKUP(I861,Calc!$I$35:$J$39,2,FALSE)</f>
        <v>8</v>
      </c>
      <c r="F861">
        <v>18</v>
      </c>
      <c r="G861" s="10" t="s">
        <v>191</v>
      </c>
      <c r="H861" s="10" t="s">
        <v>1591</v>
      </c>
      <c r="I861" s="10" t="s">
        <v>22</v>
      </c>
    </row>
    <row r="862" spans="1:9" hidden="1">
      <c r="A862" t="s">
        <v>1592</v>
      </c>
      <c r="B862" t="s">
        <v>3268</v>
      </c>
      <c r="C862" t="s">
        <v>11</v>
      </c>
      <c r="D862" s="2">
        <v>2564.3400029917298</v>
      </c>
      <c r="E862">
        <f>VLOOKUP(I862,Calc!$I$35:$J$39,2,FALSE)</f>
        <v>5</v>
      </c>
      <c r="F862">
        <v>1</v>
      </c>
      <c r="G862" s="10" t="s">
        <v>12</v>
      </c>
      <c r="H862" s="10" t="s">
        <v>1593</v>
      </c>
      <c r="I862" s="10" t="s">
        <v>14</v>
      </c>
    </row>
    <row r="863" spans="1:9" hidden="1">
      <c r="A863" t="s">
        <v>1594</v>
      </c>
      <c r="B863" t="s">
        <v>3267</v>
      </c>
      <c r="C863" t="s">
        <v>48</v>
      </c>
      <c r="D863" s="2">
        <v>62000</v>
      </c>
      <c r="E863">
        <f>VLOOKUP(I863,Calc!$I$35:$J$39,2,FALSE)</f>
        <v>8</v>
      </c>
      <c r="F863">
        <v>11</v>
      </c>
      <c r="G863" s="10" t="s">
        <v>1595</v>
      </c>
      <c r="H863" s="10" t="s">
        <v>1596</v>
      </c>
      <c r="I863" s="10" t="s">
        <v>22</v>
      </c>
    </row>
    <row r="864" spans="1:9" hidden="1">
      <c r="A864" t="s">
        <v>1597</v>
      </c>
      <c r="B864" t="s">
        <v>3268</v>
      </c>
      <c r="C864" t="s">
        <v>11</v>
      </c>
      <c r="D864" s="2">
        <v>5342.3750062327708</v>
      </c>
      <c r="E864">
        <f>VLOOKUP(I864,Calc!$I$35:$J$39,2,FALSE)</f>
        <v>1.5</v>
      </c>
      <c r="F864">
        <v>10</v>
      </c>
      <c r="G864" s="10" t="s">
        <v>12</v>
      </c>
      <c r="H864" s="10" t="s">
        <v>1598</v>
      </c>
      <c r="I864" s="10" t="s">
        <v>47</v>
      </c>
    </row>
    <row r="865" spans="1:9" hidden="1">
      <c r="A865" t="s">
        <v>1599</v>
      </c>
      <c r="B865" t="s">
        <v>3268</v>
      </c>
      <c r="C865" t="s">
        <v>19</v>
      </c>
      <c r="D865" s="2">
        <v>50815.977559664309</v>
      </c>
      <c r="E865">
        <f>VLOOKUP(I865,Calc!$I$35:$J$39,2,FALSE)</f>
        <v>5</v>
      </c>
      <c r="F865">
        <v>4</v>
      </c>
      <c r="G865" s="10" t="s">
        <v>143</v>
      </c>
      <c r="H865" s="10" t="s">
        <v>1600</v>
      </c>
      <c r="I865" s="10" t="s">
        <v>14</v>
      </c>
    </row>
    <row r="866" spans="1:9" hidden="1">
      <c r="A866" t="s">
        <v>1601</v>
      </c>
      <c r="B866" t="s">
        <v>3267</v>
      </c>
      <c r="C866" t="s">
        <v>48</v>
      </c>
      <c r="D866" s="2">
        <v>25560</v>
      </c>
      <c r="E866">
        <f>VLOOKUP(I866,Calc!$I$35:$J$39,2,FALSE)</f>
        <v>5</v>
      </c>
      <c r="F866">
        <v>3</v>
      </c>
      <c r="G866" s="10" t="s">
        <v>201</v>
      </c>
      <c r="H866" s="10" t="s">
        <v>1602</v>
      </c>
      <c r="I866" s="10" t="s">
        <v>14</v>
      </c>
    </row>
    <row r="867" spans="1:9" hidden="1">
      <c r="A867" t="s">
        <v>1603</v>
      </c>
      <c r="B867" t="s">
        <v>3269</v>
      </c>
      <c r="C867" t="s">
        <v>11</v>
      </c>
      <c r="D867" s="2">
        <v>12821.700014958649</v>
      </c>
      <c r="E867">
        <f>VLOOKUP(I867,Calc!$I$35:$J$39,2,FALSE)</f>
        <v>5</v>
      </c>
      <c r="F867">
        <v>3</v>
      </c>
      <c r="G867" s="10" t="s">
        <v>12</v>
      </c>
      <c r="H867" s="10" t="s">
        <v>1604</v>
      </c>
      <c r="I867" s="10" t="s">
        <v>14</v>
      </c>
    </row>
    <row r="868" spans="1:9" hidden="1">
      <c r="A868" t="s">
        <v>1605</v>
      </c>
      <c r="B868" t="s">
        <v>3267</v>
      </c>
      <c r="C868" t="s">
        <v>11</v>
      </c>
      <c r="D868" s="2">
        <v>10684.750012465542</v>
      </c>
      <c r="E868">
        <f>VLOOKUP(I868,Calc!$I$35:$J$39,2,FALSE)</f>
        <v>8</v>
      </c>
      <c r="F868">
        <v>5</v>
      </c>
      <c r="G868" s="10" t="s">
        <v>12</v>
      </c>
      <c r="H868" s="10" t="s">
        <v>1606</v>
      </c>
      <c r="I868" s="10" t="s">
        <v>22</v>
      </c>
    </row>
    <row r="869" spans="1:9" hidden="1">
      <c r="A869" t="s">
        <v>1607</v>
      </c>
      <c r="B869" t="s">
        <v>3267</v>
      </c>
      <c r="C869" t="s">
        <v>11</v>
      </c>
      <c r="D869" s="2">
        <v>4457.9172610556352</v>
      </c>
      <c r="E869">
        <f>VLOOKUP(I869,Calc!$I$35:$J$39,2,FALSE)</f>
        <v>8</v>
      </c>
      <c r="F869">
        <v>4</v>
      </c>
      <c r="G869" s="10" t="s">
        <v>34</v>
      </c>
      <c r="H869" s="10" t="s">
        <v>1608</v>
      </c>
      <c r="I869" s="10" t="s">
        <v>22</v>
      </c>
    </row>
    <row r="870" spans="1:9" hidden="1">
      <c r="A870" t="s">
        <v>1609</v>
      </c>
      <c r="B870" t="s">
        <v>3249</v>
      </c>
      <c r="C870" t="s">
        <v>42</v>
      </c>
      <c r="D870" s="2">
        <v>125000</v>
      </c>
      <c r="E870">
        <f>VLOOKUP(I870,Calc!$I$35:$J$39,2,FALSE)</f>
        <v>5</v>
      </c>
      <c r="F870">
        <v>20</v>
      </c>
      <c r="G870" s="10" t="s">
        <v>78</v>
      </c>
      <c r="H870" s="10" t="s">
        <v>1610</v>
      </c>
      <c r="I870" s="10" t="s">
        <v>14</v>
      </c>
    </row>
    <row r="871" spans="1:9">
      <c r="A871" t="s">
        <v>1611</v>
      </c>
      <c r="B871" t="s">
        <v>3268</v>
      </c>
      <c r="C871" t="s">
        <v>29</v>
      </c>
      <c r="D871" s="2">
        <v>43000</v>
      </c>
      <c r="E871">
        <f>VLOOKUP(I871,Calc!$I$35:$J$39,2,FALSE)</f>
        <v>5</v>
      </c>
      <c r="F871">
        <v>1</v>
      </c>
      <c r="G871" s="10" t="s">
        <v>30</v>
      </c>
      <c r="H871" s="10" t="s">
        <v>31</v>
      </c>
      <c r="I871" s="10" t="s">
        <v>14</v>
      </c>
    </row>
    <row r="872" spans="1:9" hidden="1">
      <c r="A872" t="s">
        <v>1612</v>
      </c>
      <c r="B872" t="s">
        <v>3266</v>
      </c>
      <c r="C872" t="s">
        <v>11</v>
      </c>
      <c r="D872" s="2">
        <v>7123.1666749770275</v>
      </c>
      <c r="E872">
        <f>VLOOKUP(I872,Calc!$I$35:$J$39,2,FALSE)</f>
        <v>2.5</v>
      </c>
      <c r="F872">
        <v>6</v>
      </c>
      <c r="G872" s="10" t="s">
        <v>12</v>
      </c>
      <c r="H872" s="10" t="s">
        <v>842</v>
      </c>
      <c r="I872" s="10" t="s">
        <v>36</v>
      </c>
    </row>
    <row r="873" spans="1:9" hidden="1">
      <c r="A873" t="s">
        <v>1613</v>
      </c>
      <c r="B873" t="s">
        <v>3269</v>
      </c>
      <c r="C873" t="s">
        <v>11</v>
      </c>
      <c r="D873" s="2">
        <v>10000</v>
      </c>
      <c r="E873">
        <f>VLOOKUP(I873,Calc!$I$35:$J$39,2,FALSE)</f>
        <v>5</v>
      </c>
      <c r="F873">
        <v>4</v>
      </c>
      <c r="G873" s="10" t="s">
        <v>1614</v>
      </c>
      <c r="H873" s="10" t="s">
        <v>1615</v>
      </c>
      <c r="I873" s="10" t="s">
        <v>14</v>
      </c>
    </row>
    <row r="874" spans="1:9" hidden="1">
      <c r="A874" t="s">
        <v>1616</v>
      </c>
      <c r="B874" t="s">
        <v>3267</v>
      </c>
      <c r="C874" t="s">
        <v>11</v>
      </c>
      <c r="D874" s="2">
        <v>8903.9583437212841</v>
      </c>
      <c r="E874">
        <f>VLOOKUP(I874,Calc!$I$35:$J$39,2,FALSE)</f>
        <v>1.5</v>
      </c>
      <c r="F874">
        <v>5</v>
      </c>
      <c r="G874" s="10" t="s">
        <v>12</v>
      </c>
      <c r="H874" s="10" t="s">
        <v>1617</v>
      </c>
      <c r="I874" s="10" t="s">
        <v>47</v>
      </c>
    </row>
    <row r="875" spans="1:9" hidden="1">
      <c r="A875" t="s">
        <v>1618</v>
      </c>
      <c r="B875" t="s">
        <v>3269</v>
      </c>
      <c r="C875" t="s">
        <v>48</v>
      </c>
      <c r="D875" s="2">
        <v>36500</v>
      </c>
      <c r="E875">
        <f>VLOOKUP(I875,Calc!$I$35:$J$39,2,FALSE)</f>
        <v>5</v>
      </c>
      <c r="F875">
        <v>15</v>
      </c>
      <c r="G875" s="10" t="s">
        <v>201</v>
      </c>
      <c r="H875" s="10" t="s">
        <v>56</v>
      </c>
      <c r="I875" s="10" t="s">
        <v>14</v>
      </c>
    </row>
    <row r="876" spans="1:9" hidden="1">
      <c r="A876" t="s">
        <v>1619</v>
      </c>
      <c r="B876" t="s">
        <v>3249</v>
      </c>
      <c r="C876" t="s">
        <v>3248</v>
      </c>
      <c r="D876" s="2">
        <v>100000</v>
      </c>
      <c r="E876">
        <f>VLOOKUP(I876,Calc!$I$35:$J$39,2,FALSE)</f>
        <v>8</v>
      </c>
      <c r="F876">
        <v>10</v>
      </c>
      <c r="G876" s="10" t="s">
        <v>254</v>
      </c>
      <c r="H876" s="10" t="s">
        <v>211</v>
      </c>
      <c r="I876" s="10" t="s">
        <v>22</v>
      </c>
    </row>
    <row r="877" spans="1:9" hidden="1">
      <c r="A877" t="s">
        <v>1620</v>
      </c>
      <c r="B877" t="s">
        <v>3269</v>
      </c>
      <c r="C877" t="s">
        <v>11</v>
      </c>
      <c r="D877" s="2">
        <v>7123.1666749770275</v>
      </c>
      <c r="E877">
        <f>VLOOKUP(I877,Calc!$I$35:$J$39,2,FALSE)</f>
        <v>2.5</v>
      </c>
      <c r="F877">
        <v>8</v>
      </c>
      <c r="G877" s="10" t="s">
        <v>12</v>
      </c>
      <c r="H877" s="10" t="s">
        <v>1621</v>
      </c>
      <c r="I877" s="10" t="s">
        <v>36</v>
      </c>
    </row>
    <row r="878" spans="1:9" hidden="1">
      <c r="A878" t="s">
        <v>1622</v>
      </c>
      <c r="B878" t="s">
        <v>3267</v>
      </c>
      <c r="C878" t="s">
        <v>11</v>
      </c>
      <c r="D878" s="2">
        <v>40958.208381117904</v>
      </c>
      <c r="E878">
        <f>VLOOKUP(I878,Calc!$I$35:$J$39,2,FALSE)</f>
        <v>2.5</v>
      </c>
      <c r="F878">
        <v>8</v>
      </c>
      <c r="G878" s="10" t="s">
        <v>12</v>
      </c>
      <c r="H878" s="10" t="s">
        <v>1623</v>
      </c>
      <c r="I878" s="10" t="s">
        <v>36</v>
      </c>
    </row>
    <row r="879" spans="1:9" hidden="1">
      <c r="A879" t="s">
        <v>1624</v>
      </c>
      <c r="B879" t="s">
        <v>3249</v>
      </c>
      <c r="C879" t="s">
        <v>11</v>
      </c>
      <c r="D879" s="2">
        <v>21369.500024931083</v>
      </c>
      <c r="E879">
        <f>VLOOKUP(I879,Calc!$I$35:$J$39,2,FALSE)</f>
        <v>5</v>
      </c>
      <c r="F879">
        <v>17</v>
      </c>
      <c r="G879" s="10" t="s">
        <v>12</v>
      </c>
      <c r="H879" s="10" t="s">
        <v>1625</v>
      </c>
      <c r="I879" s="10" t="s">
        <v>14</v>
      </c>
    </row>
    <row r="880" spans="1:9" hidden="1">
      <c r="A880" t="s">
        <v>1626</v>
      </c>
      <c r="B880" t="s">
        <v>3267</v>
      </c>
      <c r="C880" t="s">
        <v>11</v>
      </c>
      <c r="D880" s="2">
        <v>2136.9500024931081</v>
      </c>
      <c r="E880">
        <f>VLOOKUP(I880,Calc!$I$35:$J$39,2,FALSE)</f>
        <v>5</v>
      </c>
      <c r="F880">
        <v>5</v>
      </c>
      <c r="G880" s="10" t="s">
        <v>12</v>
      </c>
      <c r="H880" s="10" t="s">
        <v>1627</v>
      </c>
      <c r="I880" s="10" t="s">
        <v>14</v>
      </c>
    </row>
    <row r="881" spans="1:9" hidden="1">
      <c r="A881" t="s">
        <v>1628</v>
      </c>
      <c r="B881" t="s">
        <v>3266</v>
      </c>
      <c r="C881" t="s">
        <v>11</v>
      </c>
      <c r="D881" s="2">
        <v>8903.9583437212841</v>
      </c>
      <c r="E881">
        <f>VLOOKUP(I881,Calc!$I$35:$J$39,2,FALSE)</f>
        <v>2.5</v>
      </c>
      <c r="F881">
        <v>3</v>
      </c>
      <c r="G881" s="10" t="s">
        <v>12</v>
      </c>
      <c r="H881" s="10" t="s">
        <v>1196</v>
      </c>
      <c r="I881" s="10" t="s">
        <v>36</v>
      </c>
    </row>
    <row r="882" spans="1:9" hidden="1">
      <c r="A882" t="s">
        <v>1629</v>
      </c>
      <c r="B882" t="s">
        <v>3267</v>
      </c>
      <c r="C882" t="s">
        <v>11</v>
      </c>
      <c r="D882" s="2">
        <v>17807.916687442568</v>
      </c>
      <c r="E882">
        <f>VLOOKUP(I882,Calc!$I$35:$J$39,2,FALSE)</f>
        <v>5</v>
      </c>
      <c r="F882">
        <v>5</v>
      </c>
      <c r="G882" s="10" t="s">
        <v>12</v>
      </c>
      <c r="H882" s="10" t="s">
        <v>1630</v>
      </c>
      <c r="I882" s="10" t="s">
        <v>14</v>
      </c>
    </row>
    <row r="883" spans="1:9" hidden="1">
      <c r="A883" t="s">
        <v>1631</v>
      </c>
      <c r="B883" t="s">
        <v>3267</v>
      </c>
      <c r="C883" t="s">
        <v>11</v>
      </c>
      <c r="D883" s="2">
        <v>15136.729184326183</v>
      </c>
      <c r="E883">
        <f>VLOOKUP(I883,Calc!$I$35:$J$39,2,FALSE)</f>
        <v>2.5</v>
      </c>
      <c r="F883">
        <v>3</v>
      </c>
      <c r="G883" s="10" t="s">
        <v>12</v>
      </c>
      <c r="H883" s="10" t="s">
        <v>1608</v>
      </c>
      <c r="I883" s="10" t="s">
        <v>36</v>
      </c>
    </row>
    <row r="884" spans="1:9" hidden="1">
      <c r="A884" t="s">
        <v>1632</v>
      </c>
      <c r="B884" t="s">
        <v>3268</v>
      </c>
      <c r="C884" t="s">
        <v>11</v>
      </c>
      <c r="D884" s="2">
        <v>3982.448779308334</v>
      </c>
      <c r="E884">
        <f>VLOOKUP(I884,Calc!$I$35:$J$39,2,FALSE)</f>
        <v>5</v>
      </c>
      <c r="F884">
        <v>10</v>
      </c>
      <c r="G884" s="10" t="s">
        <v>566</v>
      </c>
      <c r="H884" s="10" t="s">
        <v>1633</v>
      </c>
      <c r="I884" s="10" t="s">
        <v>14</v>
      </c>
    </row>
    <row r="885" spans="1:9" hidden="1">
      <c r="A885" t="s">
        <v>1634</v>
      </c>
      <c r="B885" t="s">
        <v>3263</v>
      </c>
      <c r="C885" t="s">
        <v>48</v>
      </c>
      <c r="D885" s="2">
        <v>15600</v>
      </c>
      <c r="E885">
        <f>VLOOKUP(I885,Calc!$I$35:$J$39,2,FALSE)</f>
        <v>5</v>
      </c>
      <c r="F885">
        <v>13</v>
      </c>
      <c r="G885" s="10" t="s">
        <v>1635</v>
      </c>
      <c r="H885" s="10" t="s">
        <v>1636</v>
      </c>
      <c r="I885" s="10" t="s">
        <v>14</v>
      </c>
    </row>
    <row r="886" spans="1:9" hidden="1">
      <c r="A886" t="s">
        <v>1637</v>
      </c>
      <c r="B886" t="s">
        <v>3268</v>
      </c>
      <c r="C886" t="s">
        <v>11</v>
      </c>
      <c r="D886" s="2">
        <v>3205.4250037396623</v>
      </c>
      <c r="E886">
        <f>VLOOKUP(I886,Calc!$I$35:$J$39,2,FALSE)</f>
        <v>2.5</v>
      </c>
      <c r="F886">
        <v>3.5</v>
      </c>
      <c r="G886" s="10" t="s">
        <v>12</v>
      </c>
      <c r="H886" s="10" t="s">
        <v>1212</v>
      </c>
      <c r="I886" s="10" t="s">
        <v>36</v>
      </c>
    </row>
    <row r="887" spans="1:9" hidden="1">
      <c r="A887" t="s">
        <v>1638</v>
      </c>
      <c r="B887" t="s">
        <v>3267</v>
      </c>
      <c r="C887" t="s">
        <v>11</v>
      </c>
      <c r="D887" s="2">
        <v>10000</v>
      </c>
      <c r="E887">
        <f>VLOOKUP(I887,Calc!$I$35:$J$39,2,FALSE)</f>
        <v>5</v>
      </c>
      <c r="F887">
        <v>6</v>
      </c>
      <c r="G887" s="10" t="s">
        <v>12</v>
      </c>
      <c r="H887" s="10" t="s">
        <v>844</v>
      </c>
      <c r="I887" s="10" t="s">
        <v>14</v>
      </c>
    </row>
    <row r="888" spans="1:9">
      <c r="A888" t="s">
        <v>1639</v>
      </c>
      <c r="B888" t="s">
        <v>3268</v>
      </c>
      <c r="C888" t="s">
        <v>29</v>
      </c>
      <c r="D888" s="2">
        <v>75010</v>
      </c>
      <c r="E888">
        <f>VLOOKUP(I888,Calc!$I$35:$J$39,2,FALSE)</f>
        <v>2.5</v>
      </c>
      <c r="F888">
        <v>6</v>
      </c>
      <c r="G888" s="10" t="s">
        <v>30</v>
      </c>
      <c r="H888" s="10" t="s">
        <v>745</v>
      </c>
      <c r="I888" s="10" t="s">
        <v>36</v>
      </c>
    </row>
    <row r="889" spans="1:9" hidden="1">
      <c r="A889" t="s">
        <v>1640</v>
      </c>
      <c r="B889" t="s">
        <v>3267</v>
      </c>
      <c r="C889" t="s">
        <v>11</v>
      </c>
      <c r="D889" s="2">
        <v>10684.750012465542</v>
      </c>
      <c r="E889">
        <f>VLOOKUP(I889,Calc!$I$35:$J$39,2,FALSE)</f>
        <v>8</v>
      </c>
      <c r="F889">
        <v>9</v>
      </c>
      <c r="G889" s="10" t="s">
        <v>12</v>
      </c>
      <c r="H889" s="10" t="s">
        <v>44</v>
      </c>
      <c r="I889" s="10" t="s">
        <v>22</v>
      </c>
    </row>
    <row r="890" spans="1:9" hidden="1">
      <c r="A890" t="s">
        <v>1641</v>
      </c>
      <c r="B890" t="s">
        <v>3267</v>
      </c>
      <c r="C890" t="s">
        <v>11</v>
      </c>
      <c r="D890" s="2">
        <v>16350</v>
      </c>
      <c r="E890">
        <f>VLOOKUP(I890,Calc!$I$35:$J$39,2,FALSE)</f>
        <v>5</v>
      </c>
      <c r="F890">
        <v>5</v>
      </c>
      <c r="G890" s="10" t="s">
        <v>12</v>
      </c>
      <c r="H890" s="10" t="s">
        <v>1360</v>
      </c>
      <c r="I890" s="10" t="s">
        <v>14</v>
      </c>
    </row>
    <row r="891" spans="1:9" hidden="1">
      <c r="A891" t="s">
        <v>1642</v>
      </c>
      <c r="B891" t="s">
        <v>3269</v>
      </c>
      <c r="C891" t="s">
        <v>19</v>
      </c>
      <c r="D891" s="2">
        <v>126094.26176538273</v>
      </c>
      <c r="E891">
        <f>VLOOKUP(I891,Calc!$I$35:$J$39,2,FALSE)</f>
        <v>5</v>
      </c>
      <c r="F891">
        <v>10</v>
      </c>
      <c r="G891" s="10" t="s">
        <v>107</v>
      </c>
      <c r="H891" s="10" t="s">
        <v>1643</v>
      </c>
      <c r="I891" s="10" t="s">
        <v>14</v>
      </c>
    </row>
    <row r="892" spans="1:9" hidden="1">
      <c r="A892" t="s">
        <v>1644</v>
      </c>
      <c r="B892" t="s">
        <v>3269</v>
      </c>
      <c r="C892" t="s">
        <v>11</v>
      </c>
      <c r="D892" s="2">
        <v>60000</v>
      </c>
      <c r="E892">
        <f>VLOOKUP(I892,Calc!$I$35:$J$39,2,FALSE)</f>
        <v>8</v>
      </c>
      <c r="F892">
        <v>10</v>
      </c>
      <c r="G892" s="10" t="s">
        <v>455</v>
      </c>
      <c r="H892" s="10" t="s">
        <v>1645</v>
      </c>
      <c r="I892" s="10" t="s">
        <v>22</v>
      </c>
    </row>
    <row r="893" spans="1:9" hidden="1">
      <c r="A893" t="s">
        <v>1646</v>
      </c>
      <c r="B893" t="s">
        <v>3267</v>
      </c>
      <c r="C893" t="s">
        <v>11</v>
      </c>
      <c r="D893" s="2">
        <v>23150.291693675339</v>
      </c>
      <c r="E893">
        <f>VLOOKUP(I893,Calc!$I$35:$J$39,2,FALSE)</f>
        <v>1.5</v>
      </c>
      <c r="F893">
        <v>3</v>
      </c>
      <c r="G893" s="10" t="s">
        <v>12</v>
      </c>
      <c r="H893" s="10" t="s">
        <v>1647</v>
      </c>
      <c r="I893" s="10" t="s">
        <v>47</v>
      </c>
    </row>
    <row r="894" spans="1:9" hidden="1">
      <c r="A894" t="s">
        <v>1648</v>
      </c>
      <c r="B894" t="s">
        <v>3268</v>
      </c>
      <c r="C894" t="s">
        <v>11</v>
      </c>
      <c r="D894" s="2">
        <v>13801.135432767991</v>
      </c>
      <c r="E894">
        <f>VLOOKUP(I894,Calc!$I$35:$J$39,2,FALSE)</f>
        <v>5</v>
      </c>
      <c r="F894">
        <v>2</v>
      </c>
      <c r="G894" s="10" t="s">
        <v>12</v>
      </c>
      <c r="H894" s="10" t="s">
        <v>10</v>
      </c>
      <c r="I894" s="10" t="s">
        <v>14</v>
      </c>
    </row>
    <row r="895" spans="1:9" hidden="1">
      <c r="A895" t="s">
        <v>1649</v>
      </c>
      <c r="B895" t="s">
        <v>3267</v>
      </c>
      <c r="C895" t="s">
        <v>11</v>
      </c>
      <c r="D895" s="2">
        <v>18698.312521814696</v>
      </c>
      <c r="E895">
        <f>VLOOKUP(I895,Calc!$I$35:$J$39,2,FALSE)</f>
        <v>8</v>
      </c>
      <c r="F895">
        <v>5</v>
      </c>
      <c r="G895" s="10" t="s">
        <v>12</v>
      </c>
      <c r="H895" s="10" t="s">
        <v>1650</v>
      </c>
      <c r="I895" s="10" t="s">
        <v>22</v>
      </c>
    </row>
    <row r="896" spans="1:9" hidden="1">
      <c r="A896" t="s">
        <v>1651</v>
      </c>
      <c r="B896" t="s">
        <v>3263</v>
      </c>
      <c r="C896" t="s">
        <v>19</v>
      </c>
      <c r="D896" s="2">
        <v>36000</v>
      </c>
      <c r="E896">
        <f>VLOOKUP(I896,Calc!$I$35:$J$39,2,FALSE)</f>
        <v>2.5</v>
      </c>
      <c r="F896">
        <v>9</v>
      </c>
      <c r="G896" s="10" t="s">
        <v>1652</v>
      </c>
      <c r="H896" s="10" t="s">
        <v>1653</v>
      </c>
      <c r="I896" s="10" t="s">
        <v>36</v>
      </c>
    </row>
    <row r="897" spans="1:9" hidden="1">
      <c r="A897" t="s">
        <v>1654</v>
      </c>
      <c r="B897" t="s">
        <v>3267</v>
      </c>
      <c r="C897" t="s">
        <v>11</v>
      </c>
      <c r="D897" s="2">
        <v>8654.6475100970874</v>
      </c>
      <c r="E897">
        <f>VLOOKUP(I897,Calc!$I$35:$J$39,2,FALSE)</f>
        <v>8</v>
      </c>
      <c r="F897">
        <v>6</v>
      </c>
      <c r="G897" s="10" t="s">
        <v>12</v>
      </c>
      <c r="H897" s="10" t="s">
        <v>1655</v>
      </c>
      <c r="I897" s="10" t="s">
        <v>22</v>
      </c>
    </row>
    <row r="898" spans="1:9" hidden="1">
      <c r="A898" t="s">
        <v>1656</v>
      </c>
      <c r="B898" t="s">
        <v>3267</v>
      </c>
      <c r="C898" t="s">
        <v>19</v>
      </c>
      <c r="D898" s="2">
        <v>102451.58768437347</v>
      </c>
      <c r="E898">
        <f>VLOOKUP(I898,Calc!$I$35:$J$39,2,FALSE)</f>
        <v>1.5</v>
      </c>
      <c r="F898">
        <v>15</v>
      </c>
      <c r="G898" s="10" t="s">
        <v>107</v>
      </c>
      <c r="H898" s="10" t="s">
        <v>44</v>
      </c>
      <c r="I898" s="10" t="s">
        <v>47</v>
      </c>
    </row>
    <row r="899" spans="1:9" hidden="1">
      <c r="A899" t="s">
        <v>1657</v>
      </c>
      <c r="B899" t="s">
        <v>3268</v>
      </c>
      <c r="C899" t="s">
        <v>42</v>
      </c>
      <c r="D899" s="2">
        <v>36400</v>
      </c>
      <c r="E899">
        <f>VLOOKUP(I899,Calc!$I$35:$J$39,2,FALSE)</f>
        <v>5</v>
      </c>
      <c r="F899">
        <v>20</v>
      </c>
      <c r="G899" s="10" t="s">
        <v>1658</v>
      </c>
      <c r="H899" s="10" t="s">
        <v>10</v>
      </c>
      <c r="I899" s="10" t="s">
        <v>14</v>
      </c>
    </row>
    <row r="900" spans="1:9" hidden="1">
      <c r="A900" t="s">
        <v>1659</v>
      </c>
      <c r="B900" t="s">
        <v>3264</v>
      </c>
      <c r="C900" t="s">
        <v>19</v>
      </c>
      <c r="D900" s="2">
        <v>101206.40684944032</v>
      </c>
      <c r="E900">
        <f>VLOOKUP(I900,Calc!$I$35:$J$39,2,FALSE)</f>
        <v>5</v>
      </c>
      <c r="F900">
        <v>16</v>
      </c>
      <c r="G900" s="10" t="s">
        <v>107</v>
      </c>
      <c r="H900" s="10" t="s">
        <v>1660</v>
      </c>
      <c r="I900" s="10" t="s">
        <v>14</v>
      </c>
    </row>
    <row r="901" spans="1:9" hidden="1">
      <c r="A901" t="s">
        <v>1661</v>
      </c>
      <c r="B901" t="s">
        <v>3268</v>
      </c>
      <c r="C901" t="s">
        <v>11</v>
      </c>
      <c r="D901" s="2">
        <v>5342.3750062327708</v>
      </c>
      <c r="E901">
        <f>VLOOKUP(I901,Calc!$I$35:$J$39,2,FALSE)</f>
        <v>5</v>
      </c>
      <c r="F901">
        <v>0.5</v>
      </c>
      <c r="G901" s="10" t="s">
        <v>12</v>
      </c>
      <c r="H901" s="10" t="s">
        <v>1662</v>
      </c>
      <c r="I901" s="10" t="s">
        <v>14</v>
      </c>
    </row>
    <row r="902" spans="1:9" hidden="1">
      <c r="A902" t="s">
        <v>1663</v>
      </c>
      <c r="B902" t="s">
        <v>3268</v>
      </c>
      <c r="C902" t="s">
        <v>48</v>
      </c>
      <c r="D902" s="2">
        <v>28310.79811950968</v>
      </c>
      <c r="E902">
        <f>VLOOKUP(I902,Calc!$I$35:$J$39,2,FALSE)</f>
        <v>5</v>
      </c>
      <c r="F902">
        <v>11</v>
      </c>
      <c r="G902" s="10" t="s">
        <v>191</v>
      </c>
      <c r="H902" s="10" t="s">
        <v>31</v>
      </c>
      <c r="I902" s="10" t="s">
        <v>14</v>
      </c>
    </row>
    <row r="903" spans="1:9" hidden="1">
      <c r="A903" t="s">
        <v>1664</v>
      </c>
      <c r="B903" t="s">
        <v>3267</v>
      </c>
      <c r="C903" t="s">
        <v>19</v>
      </c>
      <c r="D903" s="2">
        <v>26043.18849932796</v>
      </c>
      <c r="E903">
        <f>VLOOKUP(I903,Calc!$I$35:$J$39,2,FALSE)</f>
        <v>5</v>
      </c>
      <c r="F903">
        <v>8</v>
      </c>
      <c r="G903" s="10" t="s">
        <v>110</v>
      </c>
      <c r="H903" s="10" t="s">
        <v>1665</v>
      </c>
      <c r="I903" s="10" t="s">
        <v>14</v>
      </c>
    </row>
    <row r="904" spans="1:9" hidden="1">
      <c r="A904" t="s">
        <v>1666</v>
      </c>
      <c r="B904" t="s">
        <v>3268</v>
      </c>
      <c r="C904" t="s">
        <v>32</v>
      </c>
      <c r="D904" s="2">
        <v>96891.417358250401</v>
      </c>
      <c r="E904">
        <f>VLOOKUP(I904,Calc!$I$35:$J$39,2,FALSE)</f>
        <v>1.5</v>
      </c>
      <c r="F904">
        <v>7</v>
      </c>
      <c r="G904" s="10" t="s">
        <v>123</v>
      </c>
      <c r="H904" s="10" t="s">
        <v>1667</v>
      </c>
      <c r="I904" s="10" t="s">
        <v>47</v>
      </c>
    </row>
    <row r="905" spans="1:9" hidden="1">
      <c r="A905" t="s">
        <v>1668</v>
      </c>
      <c r="B905" t="s">
        <v>3263</v>
      </c>
      <c r="C905" t="s">
        <v>11</v>
      </c>
      <c r="D905" s="2">
        <v>2564.3400029917298</v>
      </c>
      <c r="E905">
        <f>VLOOKUP(I905,Calc!$I$35:$J$39,2,FALSE)</f>
        <v>5</v>
      </c>
      <c r="F905">
        <v>4</v>
      </c>
      <c r="G905" s="10" t="s">
        <v>12</v>
      </c>
      <c r="H905" s="10" t="s">
        <v>1669</v>
      </c>
      <c r="I905" s="10" t="s">
        <v>14</v>
      </c>
    </row>
    <row r="906" spans="1:9" hidden="1">
      <c r="A906" t="s">
        <v>1670</v>
      </c>
      <c r="B906" t="s">
        <v>77</v>
      </c>
      <c r="C906" t="s">
        <v>11</v>
      </c>
      <c r="D906" s="2">
        <v>3205.4250037396623</v>
      </c>
      <c r="E906">
        <f>VLOOKUP(I906,Calc!$I$35:$J$39,2,FALSE)</f>
        <v>8</v>
      </c>
      <c r="F906">
        <v>8</v>
      </c>
      <c r="G906" s="10" t="s">
        <v>12</v>
      </c>
      <c r="H906" s="10" t="s">
        <v>1671</v>
      </c>
      <c r="I906" s="10" t="s">
        <v>22</v>
      </c>
    </row>
    <row r="907" spans="1:9" hidden="1">
      <c r="A907" t="s">
        <v>1672</v>
      </c>
      <c r="B907" t="s">
        <v>3268</v>
      </c>
      <c r="C907" t="s">
        <v>11</v>
      </c>
      <c r="D907" s="2">
        <v>10684.750012465542</v>
      </c>
      <c r="E907">
        <f>VLOOKUP(I907,Calc!$I$35:$J$39,2,FALSE)</f>
        <v>8</v>
      </c>
      <c r="F907">
        <v>8</v>
      </c>
      <c r="G907" s="10" t="s">
        <v>12</v>
      </c>
      <c r="H907" s="10" t="s">
        <v>167</v>
      </c>
      <c r="I907" s="10" t="s">
        <v>22</v>
      </c>
    </row>
    <row r="908" spans="1:9" hidden="1">
      <c r="A908" t="s">
        <v>1673</v>
      </c>
      <c r="B908" t="s">
        <v>3263</v>
      </c>
      <c r="C908" t="s">
        <v>29</v>
      </c>
      <c r="D908" s="2">
        <v>150000</v>
      </c>
      <c r="E908">
        <f>VLOOKUP(I908,Calc!$I$35:$J$39,2,FALSE)</f>
        <v>5</v>
      </c>
      <c r="F908">
        <v>25</v>
      </c>
      <c r="G908" s="10" t="s">
        <v>30</v>
      </c>
      <c r="H908" s="10" t="s">
        <v>18</v>
      </c>
      <c r="I908" s="10" t="s">
        <v>14</v>
      </c>
    </row>
    <row r="909" spans="1:9" hidden="1">
      <c r="A909" t="s">
        <v>1674</v>
      </c>
      <c r="B909" t="s">
        <v>3267</v>
      </c>
      <c r="C909" t="s">
        <v>11</v>
      </c>
      <c r="D909" s="2">
        <v>12465.541681209797</v>
      </c>
      <c r="E909">
        <f>VLOOKUP(I909,Calc!$I$35:$J$39,2,FALSE)</f>
        <v>5</v>
      </c>
      <c r="F909">
        <v>3</v>
      </c>
      <c r="G909" s="10" t="s">
        <v>12</v>
      </c>
      <c r="H909" s="10" t="s">
        <v>1675</v>
      </c>
      <c r="I909" s="10" t="s">
        <v>14</v>
      </c>
    </row>
    <row r="910" spans="1:9" hidden="1">
      <c r="A910" t="s">
        <v>1676</v>
      </c>
      <c r="B910" t="s">
        <v>3268</v>
      </c>
      <c r="C910" t="s">
        <v>19</v>
      </c>
      <c r="D910" s="2">
        <v>19055.991584874118</v>
      </c>
      <c r="E910">
        <f>VLOOKUP(I910,Calc!$I$35:$J$39,2,FALSE)</f>
        <v>5</v>
      </c>
      <c r="F910">
        <v>4</v>
      </c>
      <c r="G910" s="10" t="s">
        <v>1677</v>
      </c>
      <c r="H910" s="10" t="s">
        <v>1678</v>
      </c>
      <c r="I910" s="10" t="s">
        <v>14</v>
      </c>
    </row>
    <row r="911" spans="1:9">
      <c r="A911" t="s">
        <v>1679</v>
      </c>
      <c r="B911" t="s">
        <v>3268</v>
      </c>
      <c r="C911" t="s">
        <v>29</v>
      </c>
      <c r="D911" s="2">
        <v>105000</v>
      </c>
      <c r="E911">
        <f>VLOOKUP(I911,Calc!$I$35:$J$39,2,FALSE)</f>
        <v>5</v>
      </c>
      <c r="F911">
        <v>20</v>
      </c>
      <c r="G911" s="10" t="s">
        <v>30</v>
      </c>
      <c r="H911" s="10" t="s">
        <v>68</v>
      </c>
      <c r="I911" s="10" t="s">
        <v>14</v>
      </c>
    </row>
    <row r="912" spans="1:9" hidden="1">
      <c r="A912" t="s">
        <v>1680</v>
      </c>
      <c r="B912" t="s">
        <v>3268</v>
      </c>
      <c r="C912" t="s">
        <v>11</v>
      </c>
      <c r="D912" s="2">
        <v>24000</v>
      </c>
      <c r="E912">
        <f>VLOOKUP(I912,Calc!$I$35:$J$39,2,FALSE)</f>
        <v>5</v>
      </c>
      <c r="F912">
        <v>3</v>
      </c>
      <c r="G912" s="10" t="s">
        <v>12</v>
      </c>
      <c r="H912" s="10" t="s">
        <v>68</v>
      </c>
      <c r="I912" s="10" t="s">
        <v>14</v>
      </c>
    </row>
    <row r="913" spans="1:9" hidden="1">
      <c r="A913" t="s">
        <v>1681</v>
      </c>
      <c r="B913" t="s">
        <v>3268</v>
      </c>
      <c r="C913" t="s">
        <v>19</v>
      </c>
      <c r="D913" s="2">
        <v>78808.913603364199</v>
      </c>
      <c r="E913">
        <f>VLOOKUP(I913,Calc!$I$35:$J$39,2,FALSE)</f>
        <v>8</v>
      </c>
      <c r="F913">
        <v>10</v>
      </c>
      <c r="G913" s="10" t="s">
        <v>107</v>
      </c>
      <c r="H913" s="10" t="s">
        <v>1682</v>
      </c>
      <c r="I913" s="10" t="s">
        <v>22</v>
      </c>
    </row>
    <row r="914" spans="1:9" hidden="1">
      <c r="A914" t="s">
        <v>1683</v>
      </c>
      <c r="B914" t="s">
        <v>3263</v>
      </c>
      <c r="C914" t="s">
        <v>48</v>
      </c>
      <c r="D914" s="2">
        <v>42000</v>
      </c>
      <c r="E914">
        <f>VLOOKUP(I914,Calc!$I$35:$J$39,2,FALSE)</f>
        <v>8</v>
      </c>
      <c r="F914">
        <v>15</v>
      </c>
      <c r="G914" s="10" t="s">
        <v>201</v>
      </c>
      <c r="H914" s="10" t="s">
        <v>1684</v>
      </c>
      <c r="I914" s="10" t="s">
        <v>22</v>
      </c>
    </row>
    <row r="915" spans="1:9" hidden="1">
      <c r="A915" t="s">
        <v>1685</v>
      </c>
      <c r="B915" t="s">
        <v>3268</v>
      </c>
      <c r="C915" t="s">
        <v>3248</v>
      </c>
      <c r="D915" s="2">
        <v>9490.1984044603923</v>
      </c>
      <c r="E915">
        <f>VLOOKUP(I915,Calc!$I$35:$J$39,2,FALSE)</f>
        <v>8</v>
      </c>
      <c r="F915">
        <v>8</v>
      </c>
      <c r="G915" s="10" t="s">
        <v>216</v>
      </c>
      <c r="H915" s="10" t="s">
        <v>1686</v>
      </c>
      <c r="I915" s="10" t="s">
        <v>22</v>
      </c>
    </row>
    <row r="916" spans="1:9" hidden="1">
      <c r="A916" t="s">
        <v>1687</v>
      </c>
      <c r="B916" t="s">
        <v>3264</v>
      </c>
      <c r="C916" t="s">
        <v>11</v>
      </c>
      <c r="D916" s="2">
        <v>60000</v>
      </c>
      <c r="E916">
        <f>VLOOKUP(I916,Calc!$I$35:$J$39,2,FALSE)</f>
        <v>5</v>
      </c>
      <c r="F916">
        <v>5</v>
      </c>
      <c r="G916" s="10" t="s">
        <v>455</v>
      </c>
      <c r="H916" s="10" t="s">
        <v>90</v>
      </c>
      <c r="I916" s="10" t="s">
        <v>14</v>
      </c>
    </row>
    <row r="917" spans="1:9" hidden="1">
      <c r="A917" t="s">
        <v>1688</v>
      </c>
      <c r="B917" t="s">
        <v>3267</v>
      </c>
      <c r="C917" t="s">
        <v>11</v>
      </c>
      <c r="D917" s="2">
        <v>17807.916687442568</v>
      </c>
      <c r="E917">
        <f>VLOOKUP(I917,Calc!$I$35:$J$39,2,FALSE)</f>
        <v>8</v>
      </c>
      <c r="F917">
        <v>8</v>
      </c>
      <c r="G917" s="10" t="s">
        <v>12</v>
      </c>
      <c r="H917" s="10" t="s">
        <v>1689</v>
      </c>
      <c r="I917" s="10" t="s">
        <v>22</v>
      </c>
    </row>
    <row r="918" spans="1:9" hidden="1">
      <c r="A918" t="s">
        <v>1690</v>
      </c>
      <c r="B918" t="s">
        <v>3268</v>
      </c>
      <c r="C918" t="s">
        <v>11</v>
      </c>
      <c r="D918" s="2">
        <v>12465.541681209797</v>
      </c>
      <c r="E918">
        <f>VLOOKUP(I918,Calc!$I$35:$J$39,2,FALSE)</f>
        <v>8</v>
      </c>
      <c r="F918">
        <v>1</v>
      </c>
      <c r="G918" s="10" t="s">
        <v>12</v>
      </c>
      <c r="H918" s="10" t="s">
        <v>320</v>
      </c>
      <c r="I918" s="10" t="s">
        <v>22</v>
      </c>
    </row>
    <row r="919" spans="1:9" hidden="1">
      <c r="A919" t="s">
        <v>1691</v>
      </c>
      <c r="B919" t="s">
        <v>3249</v>
      </c>
      <c r="C919" t="s">
        <v>19</v>
      </c>
      <c r="D919" s="2">
        <v>20571</v>
      </c>
      <c r="E919">
        <f>VLOOKUP(I919,Calc!$I$35:$J$39,2,FALSE)</f>
        <v>5</v>
      </c>
      <c r="F919">
        <v>8</v>
      </c>
      <c r="G919" s="10" t="s">
        <v>1692</v>
      </c>
      <c r="H919" s="10" t="s">
        <v>54</v>
      </c>
      <c r="I919" s="10" t="s">
        <v>14</v>
      </c>
    </row>
    <row r="920" spans="1:9" hidden="1">
      <c r="A920" t="s">
        <v>1693</v>
      </c>
      <c r="B920" t="s">
        <v>3267</v>
      </c>
      <c r="C920" t="s">
        <v>11</v>
      </c>
      <c r="D920" s="2">
        <v>3480</v>
      </c>
      <c r="E920">
        <f>VLOOKUP(I920,Calc!$I$35:$J$39,2,FALSE)</f>
        <v>8</v>
      </c>
      <c r="F920">
        <v>6</v>
      </c>
      <c r="G920" s="10" t="s">
        <v>34</v>
      </c>
      <c r="H920" s="10" t="s">
        <v>1694</v>
      </c>
      <c r="I920" s="10" t="s">
        <v>22</v>
      </c>
    </row>
    <row r="921" spans="1:9" hidden="1">
      <c r="A921" t="s">
        <v>1695</v>
      </c>
      <c r="B921" t="s">
        <v>77</v>
      </c>
      <c r="C921" t="s">
        <v>11</v>
      </c>
      <c r="D921" s="2">
        <v>18060</v>
      </c>
      <c r="E921">
        <f>VLOOKUP(I921,Calc!$I$35:$J$39,2,FALSE)</f>
        <v>5</v>
      </c>
      <c r="F921">
        <v>12</v>
      </c>
      <c r="G921" s="10" t="s">
        <v>566</v>
      </c>
      <c r="H921" s="10" t="s">
        <v>1696</v>
      </c>
      <c r="I921" s="10" t="s">
        <v>14</v>
      </c>
    </row>
    <row r="922" spans="1:9" hidden="1">
      <c r="A922" t="s">
        <v>1697</v>
      </c>
      <c r="B922" t="s">
        <v>3269</v>
      </c>
      <c r="C922" t="s">
        <v>48</v>
      </c>
      <c r="D922" s="2">
        <v>30000</v>
      </c>
      <c r="E922">
        <f>VLOOKUP(I922,Calc!$I$35:$J$39,2,FALSE)</f>
        <v>2.5</v>
      </c>
      <c r="F922">
        <v>30</v>
      </c>
      <c r="G922" s="10" t="s">
        <v>829</v>
      </c>
      <c r="H922" s="10" t="s">
        <v>1698</v>
      </c>
      <c r="I922" s="10" t="s">
        <v>36</v>
      </c>
    </row>
    <row r="923" spans="1:9" hidden="1">
      <c r="A923" t="s">
        <v>1699</v>
      </c>
      <c r="B923" t="s">
        <v>3267</v>
      </c>
      <c r="C923" t="s">
        <v>11</v>
      </c>
      <c r="D923" s="2">
        <v>24000</v>
      </c>
      <c r="E923">
        <f>VLOOKUP(I923,Calc!$I$35:$J$39,2,FALSE)</f>
        <v>5</v>
      </c>
      <c r="F923">
        <v>10</v>
      </c>
      <c r="G923" s="10" t="s">
        <v>12</v>
      </c>
      <c r="H923" s="10" t="s">
        <v>1700</v>
      </c>
      <c r="I923" s="10" t="s">
        <v>14</v>
      </c>
    </row>
    <row r="924" spans="1:9" hidden="1">
      <c r="A924" t="s">
        <v>1701</v>
      </c>
      <c r="B924" t="s">
        <v>3264</v>
      </c>
      <c r="C924" t="s">
        <v>19</v>
      </c>
      <c r="D924" s="2">
        <v>80289.244544269619</v>
      </c>
      <c r="E924">
        <f>VLOOKUP(I924,Calc!$I$35:$J$39,2,FALSE)</f>
        <v>5</v>
      </c>
      <c r="F924">
        <v>3</v>
      </c>
      <c r="G924" s="10" t="s">
        <v>159</v>
      </c>
      <c r="H924" s="10" t="s">
        <v>90</v>
      </c>
      <c r="I924" s="10" t="s">
        <v>14</v>
      </c>
    </row>
    <row r="925" spans="1:9" hidden="1">
      <c r="A925" t="s">
        <v>1702</v>
      </c>
      <c r="B925" t="s">
        <v>3267</v>
      </c>
      <c r="C925" t="s">
        <v>29</v>
      </c>
      <c r="D925" s="2">
        <v>70000</v>
      </c>
      <c r="E925">
        <f>VLOOKUP(I925,Calc!$I$35:$J$39,2,FALSE)</f>
        <v>5</v>
      </c>
      <c r="F925">
        <v>4</v>
      </c>
      <c r="G925" s="10" t="s">
        <v>30</v>
      </c>
      <c r="H925" s="10" t="s">
        <v>1703</v>
      </c>
      <c r="I925" s="10" t="s">
        <v>14</v>
      </c>
    </row>
    <row r="926" spans="1:9" hidden="1">
      <c r="A926" t="s">
        <v>1704</v>
      </c>
      <c r="B926" t="s">
        <v>3267</v>
      </c>
      <c r="C926" t="s">
        <v>11</v>
      </c>
      <c r="D926" s="2">
        <v>8547.8000099724322</v>
      </c>
      <c r="E926">
        <f>VLOOKUP(I926,Calc!$I$35:$J$39,2,FALSE)</f>
        <v>2.5</v>
      </c>
      <c r="F926">
        <v>2</v>
      </c>
      <c r="G926" s="10" t="s">
        <v>12</v>
      </c>
      <c r="H926" s="10" t="s">
        <v>44</v>
      </c>
      <c r="I926" s="10" t="s">
        <v>36</v>
      </c>
    </row>
    <row r="927" spans="1:9" hidden="1">
      <c r="A927" t="s">
        <v>1705</v>
      </c>
      <c r="B927" t="s">
        <v>3268</v>
      </c>
      <c r="C927" t="s">
        <v>11</v>
      </c>
      <c r="D927" s="2">
        <v>10684.750012465542</v>
      </c>
      <c r="E927">
        <f>VLOOKUP(I927,Calc!$I$35:$J$39,2,FALSE)</f>
        <v>5</v>
      </c>
      <c r="F927">
        <v>11</v>
      </c>
      <c r="G927" s="10" t="s">
        <v>12</v>
      </c>
      <c r="H927" s="10" t="s">
        <v>1706</v>
      </c>
      <c r="I927" s="10" t="s">
        <v>14</v>
      </c>
    </row>
    <row r="928" spans="1:9" hidden="1">
      <c r="A928" t="s">
        <v>1707</v>
      </c>
      <c r="B928" t="s">
        <v>3268</v>
      </c>
      <c r="C928" t="s">
        <v>11</v>
      </c>
      <c r="D928" s="2">
        <v>10684.750012465542</v>
      </c>
      <c r="E928">
        <f>VLOOKUP(I928,Calc!$I$35:$J$39,2,FALSE)</f>
        <v>2.5</v>
      </c>
      <c r="F928">
        <v>4</v>
      </c>
      <c r="G928" s="10" t="s">
        <v>12</v>
      </c>
      <c r="H928" s="10" t="s">
        <v>1212</v>
      </c>
      <c r="I928" s="10" t="s">
        <v>36</v>
      </c>
    </row>
    <row r="929" spans="1:9" hidden="1">
      <c r="A929" t="s">
        <v>1708</v>
      </c>
      <c r="B929" t="s">
        <v>3269</v>
      </c>
      <c r="C929" t="s">
        <v>42</v>
      </c>
      <c r="D929" s="2">
        <v>20000</v>
      </c>
      <c r="E929">
        <f>VLOOKUP(I929,Calc!$I$35:$J$39,2,FALSE)</f>
        <v>8</v>
      </c>
      <c r="F929">
        <v>2</v>
      </c>
      <c r="G929" s="10" t="s">
        <v>1709</v>
      </c>
      <c r="H929" s="10" t="s">
        <v>1643</v>
      </c>
      <c r="I929" s="10" t="s">
        <v>22</v>
      </c>
    </row>
    <row r="930" spans="1:9" hidden="1">
      <c r="A930" t="s">
        <v>1710</v>
      </c>
      <c r="B930" t="s">
        <v>3264</v>
      </c>
      <c r="C930" t="s">
        <v>19</v>
      </c>
      <c r="D930" s="2">
        <v>53356.776437647524</v>
      </c>
      <c r="E930">
        <f>VLOOKUP(I930,Calc!$I$35:$J$39,2,FALSE)</f>
        <v>2.5</v>
      </c>
      <c r="F930">
        <v>3</v>
      </c>
      <c r="G930" s="10" t="s">
        <v>45</v>
      </c>
      <c r="H930" s="10" t="s">
        <v>90</v>
      </c>
      <c r="I930" s="10" t="s">
        <v>36</v>
      </c>
    </row>
    <row r="931" spans="1:9" hidden="1">
      <c r="A931" t="s">
        <v>1711</v>
      </c>
      <c r="B931" t="s">
        <v>3269</v>
      </c>
      <c r="C931" t="s">
        <v>48</v>
      </c>
      <c r="D931" s="2">
        <v>36000</v>
      </c>
      <c r="E931">
        <f>VLOOKUP(I931,Calc!$I$35:$J$39,2,FALSE)</f>
        <v>5</v>
      </c>
      <c r="F931">
        <v>4.5</v>
      </c>
      <c r="G931" s="10" t="s">
        <v>191</v>
      </c>
      <c r="H931" s="10" t="s">
        <v>56</v>
      </c>
      <c r="I931" s="10" t="s">
        <v>14</v>
      </c>
    </row>
    <row r="932" spans="1:9" hidden="1">
      <c r="A932" t="s">
        <v>1712</v>
      </c>
      <c r="B932" t="s">
        <v>3266</v>
      </c>
      <c r="C932" t="s">
        <v>29</v>
      </c>
      <c r="D932" s="2">
        <v>57000</v>
      </c>
      <c r="E932">
        <f>VLOOKUP(I932,Calc!$I$35:$J$39,2,FALSE)</f>
        <v>2.5</v>
      </c>
      <c r="F932">
        <v>4</v>
      </c>
      <c r="G932" s="10" t="s">
        <v>30</v>
      </c>
      <c r="H932" s="10" t="s">
        <v>1713</v>
      </c>
      <c r="I932" s="10" t="s">
        <v>36</v>
      </c>
    </row>
    <row r="933" spans="1:9" hidden="1">
      <c r="A933" t="s">
        <v>1714</v>
      </c>
      <c r="B933" t="s">
        <v>3267</v>
      </c>
      <c r="C933" t="s">
        <v>29</v>
      </c>
      <c r="D933" s="2">
        <v>135000</v>
      </c>
      <c r="E933">
        <f>VLOOKUP(I933,Calc!$I$35:$J$39,2,FALSE)</f>
        <v>8</v>
      </c>
      <c r="F933">
        <v>15</v>
      </c>
      <c r="G933" s="10" t="s">
        <v>30</v>
      </c>
      <c r="H933" s="10" t="s">
        <v>1715</v>
      </c>
      <c r="I933" s="10" t="s">
        <v>22</v>
      </c>
    </row>
    <row r="934" spans="1:9" hidden="1">
      <c r="A934" t="s">
        <v>1716</v>
      </c>
      <c r="B934" t="s">
        <v>3268</v>
      </c>
      <c r="C934" t="s">
        <v>19</v>
      </c>
      <c r="D934" s="2">
        <v>95279.957924370581</v>
      </c>
      <c r="E934">
        <f>VLOOKUP(I934,Calc!$I$35:$J$39,2,FALSE)</f>
        <v>5</v>
      </c>
      <c r="F934">
        <v>4</v>
      </c>
      <c r="G934" s="10" t="s">
        <v>143</v>
      </c>
      <c r="H934" s="10" t="s">
        <v>1717</v>
      </c>
      <c r="I934" s="10" t="s">
        <v>14</v>
      </c>
    </row>
    <row r="935" spans="1:9" hidden="1">
      <c r="A935" t="s">
        <v>1718</v>
      </c>
      <c r="B935" t="s">
        <v>3268</v>
      </c>
      <c r="C935" t="s">
        <v>19</v>
      </c>
      <c r="D935" s="2">
        <v>57167.974754622352</v>
      </c>
      <c r="E935">
        <f>VLOOKUP(I935,Calc!$I$35:$J$39,2,FALSE)</f>
        <v>2.5</v>
      </c>
      <c r="F935">
        <v>10</v>
      </c>
      <c r="G935" s="10" t="s">
        <v>143</v>
      </c>
      <c r="H935" s="10" t="s">
        <v>1719</v>
      </c>
      <c r="I935" s="10" t="s">
        <v>36</v>
      </c>
    </row>
    <row r="936" spans="1:9" hidden="1">
      <c r="A936" t="s">
        <v>1720</v>
      </c>
      <c r="B936" t="s">
        <v>3267</v>
      </c>
      <c r="C936" t="s">
        <v>42</v>
      </c>
      <c r="D936" s="2">
        <v>12326.656394453004</v>
      </c>
      <c r="E936">
        <f>VLOOKUP(I936,Calc!$I$35:$J$39,2,FALSE)</f>
        <v>5</v>
      </c>
      <c r="F936">
        <v>5</v>
      </c>
      <c r="G936" s="10" t="s">
        <v>1392</v>
      </c>
      <c r="H936" s="10" t="s">
        <v>1721</v>
      </c>
      <c r="I936" s="10" t="s">
        <v>14</v>
      </c>
    </row>
    <row r="937" spans="1:9" hidden="1">
      <c r="A937" t="s">
        <v>1722</v>
      </c>
      <c r="B937" t="s">
        <v>3268</v>
      </c>
      <c r="C937" t="s">
        <v>11</v>
      </c>
      <c r="D937" s="2">
        <v>8000</v>
      </c>
      <c r="E937">
        <f>VLOOKUP(I937,Calc!$I$35:$J$39,2,FALSE)</f>
        <v>1.5</v>
      </c>
      <c r="F937">
        <v>5</v>
      </c>
      <c r="G937" s="10" t="s">
        <v>12</v>
      </c>
      <c r="H937" s="10" t="s">
        <v>258</v>
      </c>
      <c r="I937" s="10" t="s">
        <v>47</v>
      </c>
    </row>
    <row r="938" spans="1:9" hidden="1">
      <c r="A938" t="s">
        <v>1723</v>
      </c>
      <c r="B938" t="s">
        <v>3267</v>
      </c>
      <c r="C938" t="s">
        <v>19</v>
      </c>
      <c r="D938" s="2">
        <v>48000</v>
      </c>
      <c r="E938">
        <f>VLOOKUP(I938,Calc!$I$35:$J$39,2,FALSE)</f>
        <v>5</v>
      </c>
      <c r="F938">
        <v>5</v>
      </c>
      <c r="G938" s="10" t="s">
        <v>159</v>
      </c>
      <c r="H938" s="10" t="s">
        <v>1724</v>
      </c>
      <c r="I938" s="10" t="s">
        <v>14</v>
      </c>
    </row>
    <row r="939" spans="1:9" hidden="1">
      <c r="A939" t="s">
        <v>1725</v>
      </c>
      <c r="B939" t="s">
        <v>3268</v>
      </c>
      <c r="C939" t="s">
        <v>32</v>
      </c>
      <c r="D939" s="2">
        <v>40000</v>
      </c>
      <c r="E939">
        <f>VLOOKUP(I939,Calc!$I$35:$J$39,2,FALSE)</f>
        <v>5</v>
      </c>
      <c r="F939">
        <v>5</v>
      </c>
      <c r="G939" s="10" t="s">
        <v>1023</v>
      </c>
      <c r="H939" s="10" t="s">
        <v>408</v>
      </c>
      <c r="I939" s="10" t="s">
        <v>14</v>
      </c>
    </row>
    <row r="940" spans="1:9" hidden="1">
      <c r="A940" t="s">
        <v>1726</v>
      </c>
      <c r="B940" t="s">
        <v>3268</v>
      </c>
      <c r="C940" t="s">
        <v>32</v>
      </c>
      <c r="D940" s="2">
        <v>59819.107020370408</v>
      </c>
      <c r="E940">
        <f>VLOOKUP(I940,Calc!$I$35:$J$39,2,FALSE)</f>
        <v>5</v>
      </c>
      <c r="F940">
        <v>10</v>
      </c>
      <c r="G940" s="10" t="s">
        <v>1023</v>
      </c>
      <c r="H940" s="10" t="s">
        <v>638</v>
      </c>
      <c r="I940" s="10" t="s">
        <v>14</v>
      </c>
    </row>
    <row r="941" spans="1:9" hidden="1">
      <c r="A941" t="s">
        <v>1727</v>
      </c>
      <c r="B941" t="s">
        <v>3268</v>
      </c>
      <c r="C941" t="s">
        <v>19</v>
      </c>
      <c r="D941" s="2">
        <v>150000</v>
      </c>
      <c r="E941">
        <f>VLOOKUP(I941,Calc!$I$35:$J$39,2,FALSE)</f>
        <v>1.5</v>
      </c>
      <c r="F941">
        <v>20</v>
      </c>
      <c r="G941" s="10" t="s">
        <v>74</v>
      </c>
      <c r="H941" s="10" t="s">
        <v>1728</v>
      </c>
      <c r="I941" s="10" t="s">
        <v>47</v>
      </c>
    </row>
    <row r="942" spans="1:9" hidden="1">
      <c r="A942" t="s">
        <v>1729</v>
      </c>
      <c r="B942" t="s">
        <v>3267</v>
      </c>
      <c r="C942" t="s">
        <v>32</v>
      </c>
      <c r="D942" s="2">
        <v>81592.772512210868</v>
      </c>
      <c r="E942">
        <f>VLOOKUP(I942,Calc!$I$35:$J$39,2,FALSE)</f>
        <v>5</v>
      </c>
      <c r="F942">
        <v>25</v>
      </c>
      <c r="G942" s="10" t="s">
        <v>123</v>
      </c>
      <c r="H942" s="10" t="s">
        <v>1730</v>
      </c>
      <c r="I942" s="10" t="s">
        <v>14</v>
      </c>
    </row>
    <row r="943" spans="1:9" hidden="1">
      <c r="A943" t="s">
        <v>1731</v>
      </c>
      <c r="B943" t="s">
        <v>3268</v>
      </c>
      <c r="C943" t="s">
        <v>32</v>
      </c>
      <c r="D943" s="2">
        <v>96891.417358250401</v>
      </c>
      <c r="E943">
        <f>VLOOKUP(I943,Calc!$I$35:$J$39,2,FALSE)</f>
        <v>2.5</v>
      </c>
      <c r="F943">
        <v>20</v>
      </c>
      <c r="G943" s="10" t="s">
        <v>123</v>
      </c>
      <c r="H943" s="10" t="s">
        <v>245</v>
      </c>
      <c r="I943" s="10" t="s">
        <v>36</v>
      </c>
    </row>
    <row r="944" spans="1:9" hidden="1">
      <c r="A944" t="s">
        <v>1732</v>
      </c>
      <c r="B944" t="s">
        <v>3268</v>
      </c>
      <c r="C944" t="s">
        <v>32</v>
      </c>
      <c r="D944" s="2">
        <v>91791.869076237213</v>
      </c>
      <c r="E944">
        <f>VLOOKUP(I944,Calc!$I$35:$J$39,2,FALSE)</f>
        <v>5</v>
      </c>
      <c r="F944">
        <v>13</v>
      </c>
      <c r="G944" s="10" t="s">
        <v>123</v>
      </c>
      <c r="H944" s="10" t="s">
        <v>1473</v>
      </c>
      <c r="I944" s="10" t="s">
        <v>14</v>
      </c>
    </row>
    <row r="945" spans="1:9" hidden="1">
      <c r="A945" t="s">
        <v>1733</v>
      </c>
      <c r="B945" t="s">
        <v>3268</v>
      </c>
      <c r="C945" t="s">
        <v>11</v>
      </c>
      <c r="D945" s="2">
        <v>15000</v>
      </c>
      <c r="E945">
        <f>VLOOKUP(I945,Calc!$I$35:$J$39,2,FALSE)</f>
        <v>2.5</v>
      </c>
      <c r="F945">
        <v>2</v>
      </c>
      <c r="G945" s="10" t="s">
        <v>12</v>
      </c>
      <c r="H945" s="10" t="s">
        <v>1734</v>
      </c>
      <c r="I945" s="10" t="s">
        <v>36</v>
      </c>
    </row>
    <row r="946" spans="1:9" hidden="1">
      <c r="A946" t="s">
        <v>1735</v>
      </c>
      <c r="B946" t="s">
        <v>3267</v>
      </c>
      <c r="C946" t="s">
        <v>32</v>
      </c>
      <c r="D946" s="2">
        <v>66294.12766617132</v>
      </c>
      <c r="E946">
        <f>VLOOKUP(I946,Calc!$I$35:$J$39,2,FALSE)</f>
        <v>2.5</v>
      </c>
      <c r="F946">
        <v>5</v>
      </c>
      <c r="G946" s="10" t="s">
        <v>123</v>
      </c>
      <c r="H946" s="10" t="s">
        <v>1736</v>
      </c>
      <c r="I946" s="10" t="s">
        <v>36</v>
      </c>
    </row>
    <row r="947" spans="1:9" hidden="1">
      <c r="A947" t="s">
        <v>1737</v>
      </c>
      <c r="B947" t="s">
        <v>3264</v>
      </c>
      <c r="C947" t="s">
        <v>32</v>
      </c>
      <c r="D947" s="2">
        <v>101990.96564026357</v>
      </c>
      <c r="E947">
        <f>VLOOKUP(I947,Calc!$I$35:$J$39,2,FALSE)</f>
        <v>8</v>
      </c>
      <c r="F947">
        <v>6</v>
      </c>
      <c r="G947" s="10" t="s">
        <v>123</v>
      </c>
      <c r="H947" s="10" t="s">
        <v>112</v>
      </c>
      <c r="I947" s="10" t="s">
        <v>22</v>
      </c>
    </row>
    <row r="948" spans="1:9" hidden="1">
      <c r="A948" t="s">
        <v>1738</v>
      </c>
      <c r="B948" t="s">
        <v>3267</v>
      </c>
      <c r="C948" t="s">
        <v>29</v>
      </c>
      <c r="D948" s="2">
        <v>60000</v>
      </c>
      <c r="E948">
        <f>VLOOKUP(I948,Calc!$I$35:$J$39,2,FALSE)</f>
        <v>2.5</v>
      </c>
      <c r="F948">
        <v>3</v>
      </c>
      <c r="G948" s="10" t="s">
        <v>30</v>
      </c>
      <c r="H948" s="10" t="s">
        <v>1739</v>
      </c>
      <c r="I948" s="10" t="s">
        <v>36</v>
      </c>
    </row>
    <row r="949" spans="1:9" hidden="1">
      <c r="A949" t="s">
        <v>1740</v>
      </c>
      <c r="B949" t="s">
        <v>3267</v>
      </c>
      <c r="C949" t="s">
        <v>32</v>
      </c>
      <c r="D949" s="2">
        <v>43856.11522531334</v>
      </c>
      <c r="E949">
        <f>VLOOKUP(I949,Calc!$I$35:$J$39,2,FALSE)</f>
        <v>8</v>
      </c>
      <c r="F949">
        <v>1</v>
      </c>
      <c r="G949" s="10" t="s">
        <v>123</v>
      </c>
      <c r="H949" s="10" t="s">
        <v>1741</v>
      </c>
      <c r="I949" s="10" t="s">
        <v>22</v>
      </c>
    </row>
    <row r="950" spans="1:9" hidden="1">
      <c r="A950" t="s">
        <v>1742</v>
      </c>
      <c r="B950" t="s">
        <v>3268</v>
      </c>
      <c r="C950" t="s">
        <v>32</v>
      </c>
      <c r="D950" s="2">
        <v>45616</v>
      </c>
      <c r="E950">
        <f>VLOOKUP(I950,Calc!$I$35:$J$39,2,FALSE)</f>
        <v>5</v>
      </c>
      <c r="F950">
        <v>1.5</v>
      </c>
      <c r="G950" s="10" t="s">
        <v>123</v>
      </c>
      <c r="H950" s="10" t="s">
        <v>1743</v>
      </c>
      <c r="I950" s="10" t="s">
        <v>14</v>
      </c>
    </row>
    <row r="951" spans="1:9" hidden="1">
      <c r="A951" t="s">
        <v>1744</v>
      </c>
      <c r="B951" t="s">
        <v>3269</v>
      </c>
      <c r="C951" t="s">
        <v>32</v>
      </c>
      <c r="D951" s="2">
        <v>75770.868892469181</v>
      </c>
      <c r="E951">
        <f>VLOOKUP(I951,Calc!$I$35:$J$39,2,FALSE)</f>
        <v>5</v>
      </c>
      <c r="F951">
        <v>20</v>
      </c>
      <c r="G951" s="10" t="s">
        <v>1023</v>
      </c>
      <c r="H951" s="10" t="s">
        <v>1303</v>
      </c>
      <c r="I951" s="10" t="s">
        <v>14</v>
      </c>
    </row>
    <row r="952" spans="1:9" hidden="1">
      <c r="A952" t="s">
        <v>1745</v>
      </c>
      <c r="B952" t="s">
        <v>3267</v>
      </c>
      <c r="C952" t="s">
        <v>32</v>
      </c>
      <c r="D952" s="2">
        <v>57726.886552389187</v>
      </c>
      <c r="E952">
        <f>VLOOKUP(I952,Calc!$I$35:$J$39,2,FALSE)</f>
        <v>2.5</v>
      </c>
      <c r="F952">
        <v>2</v>
      </c>
      <c r="G952" s="10" t="s">
        <v>123</v>
      </c>
      <c r="H952" s="10" t="s">
        <v>1746</v>
      </c>
      <c r="I952" s="10" t="s">
        <v>36</v>
      </c>
    </row>
    <row r="953" spans="1:9" hidden="1">
      <c r="A953" t="s">
        <v>1747</v>
      </c>
      <c r="B953" t="s">
        <v>3268</v>
      </c>
      <c r="C953" t="s">
        <v>32</v>
      </c>
      <c r="D953" s="2">
        <v>20000</v>
      </c>
      <c r="E953">
        <f>VLOOKUP(I953,Calc!$I$35:$J$39,2,FALSE)</f>
        <v>2.5</v>
      </c>
      <c r="F953">
        <v>2</v>
      </c>
      <c r="G953" s="10" t="s">
        <v>123</v>
      </c>
      <c r="H953" s="10" t="s">
        <v>331</v>
      </c>
      <c r="I953" s="10" t="s">
        <v>36</v>
      </c>
    </row>
    <row r="954" spans="1:9" hidden="1">
      <c r="A954" t="s">
        <v>1748</v>
      </c>
      <c r="B954" t="s">
        <v>3267</v>
      </c>
      <c r="C954" t="s">
        <v>32</v>
      </c>
      <c r="D954" s="2">
        <v>203981.93128052715</v>
      </c>
      <c r="E954">
        <f>VLOOKUP(I954,Calc!$I$35:$J$39,2,FALSE)</f>
        <v>5</v>
      </c>
      <c r="F954">
        <v>15</v>
      </c>
      <c r="G954" s="10" t="s">
        <v>123</v>
      </c>
      <c r="H954" s="10" t="s">
        <v>1372</v>
      </c>
      <c r="I954" s="10" t="s">
        <v>14</v>
      </c>
    </row>
    <row r="955" spans="1:9" hidden="1">
      <c r="A955" t="s">
        <v>1749</v>
      </c>
      <c r="B955" t="s">
        <v>3263</v>
      </c>
      <c r="C955" t="s">
        <v>32</v>
      </c>
      <c r="D955" s="2">
        <v>50995.482820131787</v>
      </c>
      <c r="E955">
        <f>VLOOKUP(I955,Calc!$I$35:$J$39,2,FALSE)</f>
        <v>1.5</v>
      </c>
      <c r="F955">
        <v>5</v>
      </c>
      <c r="G955" s="10" t="s">
        <v>123</v>
      </c>
      <c r="H955" s="10" t="s">
        <v>1135</v>
      </c>
      <c r="I955" s="10" t="s">
        <v>47</v>
      </c>
    </row>
    <row r="956" spans="1:9" hidden="1">
      <c r="A956" t="s">
        <v>1750</v>
      </c>
      <c r="B956" t="s">
        <v>3249</v>
      </c>
      <c r="C956" t="s">
        <v>32</v>
      </c>
      <c r="D956" s="2">
        <v>127488.70705032947</v>
      </c>
      <c r="E956">
        <f>VLOOKUP(I956,Calc!$I$35:$J$39,2,FALSE)</f>
        <v>5</v>
      </c>
      <c r="F956">
        <v>15</v>
      </c>
      <c r="G956" s="10" t="s">
        <v>123</v>
      </c>
      <c r="H956" s="10" t="s">
        <v>1751</v>
      </c>
      <c r="I956" s="10" t="s">
        <v>14</v>
      </c>
    </row>
    <row r="957" spans="1:9" hidden="1">
      <c r="A957" t="s">
        <v>1752</v>
      </c>
      <c r="B957" t="s">
        <v>3268</v>
      </c>
      <c r="C957" t="s">
        <v>32</v>
      </c>
      <c r="D957" s="2">
        <v>66294.12766617132</v>
      </c>
      <c r="E957">
        <f>VLOOKUP(I957,Calc!$I$35:$J$39,2,FALSE)</f>
        <v>5</v>
      </c>
      <c r="F957">
        <v>4</v>
      </c>
      <c r="G957" s="10" t="s">
        <v>123</v>
      </c>
      <c r="H957" s="10" t="s">
        <v>233</v>
      </c>
      <c r="I957" s="10" t="s">
        <v>14</v>
      </c>
    </row>
    <row r="958" spans="1:9" hidden="1">
      <c r="A958" t="s">
        <v>1753</v>
      </c>
      <c r="B958" t="s">
        <v>3268</v>
      </c>
      <c r="C958" t="s">
        <v>32</v>
      </c>
      <c r="D958" s="2">
        <v>63234.398696963413</v>
      </c>
      <c r="E958">
        <f>VLOOKUP(I958,Calc!$I$35:$J$39,2,FALSE)</f>
        <v>5</v>
      </c>
      <c r="F958">
        <v>3</v>
      </c>
      <c r="G958" s="10" t="s">
        <v>123</v>
      </c>
      <c r="H958" s="10" t="s">
        <v>320</v>
      </c>
      <c r="I958" s="10" t="s">
        <v>14</v>
      </c>
    </row>
    <row r="959" spans="1:9" hidden="1">
      <c r="A959" t="s">
        <v>1754</v>
      </c>
      <c r="B959" t="s">
        <v>3249</v>
      </c>
      <c r="C959" t="s">
        <v>29</v>
      </c>
      <c r="D959" s="2">
        <v>260000</v>
      </c>
      <c r="E959">
        <f>VLOOKUP(I959,Calc!$I$35:$J$39,2,FALSE)</f>
        <v>2.5</v>
      </c>
      <c r="F959">
        <v>10</v>
      </c>
      <c r="G959" s="10" t="s">
        <v>30</v>
      </c>
      <c r="H959" s="10" t="s">
        <v>54</v>
      </c>
      <c r="I959" s="10" t="s">
        <v>36</v>
      </c>
    </row>
    <row r="960" spans="1:9" hidden="1">
      <c r="A960" t="s">
        <v>1755</v>
      </c>
      <c r="B960" t="s">
        <v>3267</v>
      </c>
      <c r="C960" t="s">
        <v>32</v>
      </c>
      <c r="D960" s="2">
        <v>112190.06220428993</v>
      </c>
      <c r="E960">
        <f>VLOOKUP(I960,Calc!$I$35:$J$39,2,FALSE)</f>
        <v>2.5</v>
      </c>
      <c r="F960">
        <v>8</v>
      </c>
      <c r="G960" s="10" t="s">
        <v>123</v>
      </c>
      <c r="H960" s="10" t="s">
        <v>1756</v>
      </c>
      <c r="I960" s="10" t="s">
        <v>36</v>
      </c>
    </row>
    <row r="961" spans="1:9" hidden="1">
      <c r="A961" t="s">
        <v>1757</v>
      </c>
      <c r="B961" t="s">
        <v>3267</v>
      </c>
      <c r="C961" t="s">
        <v>32</v>
      </c>
      <c r="D961" s="2">
        <v>71393.675948184507</v>
      </c>
      <c r="E961">
        <f>VLOOKUP(I961,Calc!$I$35:$J$39,2,FALSE)</f>
        <v>5</v>
      </c>
      <c r="F961">
        <v>7</v>
      </c>
      <c r="G961" s="10" t="s">
        <v>123</v>
      </c>
      <c r="H961" s="10" t="s">
        <v>75</v>
      </c>
      <c r="I961" s="10" t="s">
        <v>14</v>
      </c>
    </row>
    <row r="962" spans="1:9" hidden="1">
      <c r="A962" t="s">
        <v>1758</v>
      </c>
      <c r="B962" t="s">
        <v>77</v>
      </c>
      <c r="C962" t="s">
        <v>32</v>
      </c>
      <c r="D962" s="2">
        <v>85000</v>
      </c>
      <c r="E962">
        <f>VLOOKUP(I962,Calc!$I$35:$J$39,2,FALSE)</f>
        <v>5</v>
      </c>
      <c r="F962">
        <v>8</v>
      </c>
      <c r="G962" s="10" t="s">
        <v>123</v>
      </c>
      <c r="H962" s="10" t="s">
        <v>1759</v>
      </c>
      <c r="I962" s="10" t="s">
        <v>14</v>
      </c>
    </row>
    <row r="963" spans="1:9" hidden="1">
      <c r="A963" t="s">
        <v>1760</v>
      </c>
      <c r="B963" t="s">
        <v>3268</v>
      </c>
      <c r="C963" t="s">
        <v>32</v>
      </c>
      <c r="D963" s="2">
        <v>95871.50770184776</v>
      </c>
      <c r="E963">
        <f>VLOOKUP(I963,Calc!$I$35:$J$39,2,FALSE)</f>
        <v>2.5</v>
      </c>
      <c r="F963">
        <v>2.5</v>
      </c>
      <c r="G963" s="10" t="s">
        <v>123</v>
      </c>
      <c r="H963" s="10" t="s">
        <v>320</v>
      </c>
      <c r="I963" s="10" t="s">
        <v>36</v>
      </c>
    </row>
    <row r="964" spans="1:9" hidden="1">
      <c r="A964" t="s">
        <v>1761</v>
      </c>
      <c r="B964" t="s">
        <v>3267</v>
      </c>
      <c r="C964" t="s">
        <v>32</v>
      </c>
      <c r="D964" s="2">
        <v>109130.33323508203</v>
      </c>
      <c r="E964">
        <f>VLOOKUP(I964,Calc!$I$35:$J$39,2,FALSE)</f>
        <v>5</v>
      </c>
      <c r="F964">
        <v>35</v>
      </c>
      <c r="G964" s="10" t="s">
        <v>123</v>
      </c>
      <c r="H964" s="10" t="s">
        <v>1247</v>
      </c>
      <c r="I964" s="10" t="s">
        <v>14</v>
      </c>
    </row>
    <row r="965" spans="1:9" hidden="1">
      <c r="A965" t="s">
        <v>1762</v>
      </c>
      <c r="B965" t="s">
        <v>3267</v>
      </c>
      <c r="C965" t="s">
        <v>11</v>
      </c>
      <c r="D965" s="2">
        <v>36000</v>
      </c>
      <c r="E965">
        <f>VLOOKUP(I965,Calc!$I$35:$J$39,2,FALSE)</f>
        <v>1.5</v>
      </c>
      <c r="F965">
        <v>3</v>
      </c>
      <c r="G965" s="10" t="s">
        <v>1763</v>
      </c>
      <c r="H965" s="10" t="s">
        <v>262</v>
      </c>
      <c r="I965" s="10" t="s">
        <v>47</v>
      </c>
    </row>
    <row r="966" spans="1:9" hidden="1">
      <c r="A966" t="s">
        <v>1764</v>
      </c>
      <c r="B966" t="s">
        <v>3268</v>
      </c>
      <c r="C966" t="s">
        <v>32</v>
      </c>
      <c r="D966" s="2">
        <v>122389.15876831629</v>
      </c>
      <c r="E966">
        <f>VLOOKUP(I966,Calc!$I$35:$J$39,2,FALSE)</f>
        <v>5</v>
      </c>
      <c r="F966">
        <v>2</v>
      </c>
      <c r="G966" s="10" t="s">
        <v>123</v>
      </c>
      <c r="H966" s="10" t="s">
        <v>408</v>
      </c>
      <c r="I966" s="10" t="s">
        <v>14</v>
      </c>
    </row>
    <row r="967" spans="1:9" hidden="1">
      <c r="A967" t="s">
        <v>1765</v>
      </c>
      <c r="B967" t="s">
        <v>3268</v>
      </c>
      <c r="C967" t="s">
        <v>32</v>
      </c>
      <c r="D967" s="2">
        <v>53035.30213293706</v>
      </c>
      <c r="E967">
        <f>VLOOKUP(I967,Calc!$I$35:$J$39,2,FALSE)</f>
        <v>5</v>
      </c>
      <c r="F967">
        <v>4</v>
      </c>
      <c r="G967" s="10" t="s">
        <v>123</v>
      </c>
      <c r="H967" s="10" t="s">
        <v>1766</v>
      </c>
      <c r="I967" s="10" t="s">
        <v>14</v>
      </c>
    </row>
    <row r="968" spans="1:9" hidden="1">
      <c r="A968" t="s">
        <v>1767</v>
      </c>
      <c r="B968" t="s">
        <v>3249</v>
      </c>
      <c r="C968" t="s">
        <v>29</v>
      </c>
      <c r="D968" s="2">
        <v>125000</v>
      </c>
      <c r="E968">
        <f>VLOOKUP(I968,Calc!$I$35:$J$39,2,FALSE)</f>
        <v>5</v>
      </c>
      <c r="F968">
        <v>10</v>
      </c>
      <c r="G968" s="10" t="s">
        <v>30</v>
      </c>
      <c r="H968" s="10" t="s">
        <v>1768</v>
      </c>
      <c r="I968" s="10" t="s">
        <v>14</v>
      </c>
    </row>
    <row r="969" spans="1:9" hidden="1">
      <c r="A969" t="s">
        <v>1769</v>
      </c>
      <c r="B969" t="s">
        <v>3268</v>
      </c>
      <c r="C969" t="s">
        <v>11</v>
      </c>
      <c r="D969" s="2">
        <v>19000</v>
      </c>
      <c r="E969">
        <f>VLOOKUP(I969,Calc!$I$35:$J$39,2,FALSE)</f>
        <v>5</v>
      </c>
      <c r="F969">
        <v>6</v>
      </c>
      <c r="G969" s="10" t="s">
        <v>1118</v>
      </c>
      <c r="H969" s="10" t="s">
        <v>1770</v>
      </c>
      <c r="I969" s="10" t="s">
        <v>14</v>
      </c>
    </row>
    <row r="970" spans="1:9" hidden="1">
      <c r="A970" t="s">
        <v>1771</v>
      </c>
      <c r="B970" t="s">
        <v>3268</v>
      </c>
      <c r="C970" t="s">
        <v>32</v>
      </c>
      <c r="D970" s="2">
        <v>93831.688389042494</v>
      </c>
      <c r="E970">
        <f>VLOOKUP(I970,Calc!$I$35:$J$39,2,FALSE)</f>
        <v>8</v>
      </c>
      <c r="F970">
        <v>6</v>
      </c>
      <c r="G970" s="10" t="s">
        <v>123</v>
      </c>
      <c r="H970" s="10" t="s">
        <v>1770</v>
      </c>
      <c r="I970" s="10" t="s">
        <v>22</v>
      </c>
    </row>
    <row r="971" spans="1:9" hidden="1">
      <c r="A971" t="s">
        <v>1772</v>
      </c>
      <c r="B971" t="s">
        <v>3268</v>
      </c>
      <c r="C971" t="s">
        <v>32</v>
      </c>
      <c r="D971" s="2">
        <v>101990.96564026357</v>
      </c>
      <c r="E971">
        <f>VLOOKUP(I971,Calc!$I$35:$J$39,2,FALSE)</f>
        <v>5</v>
      </c>
      <c r="F971">
        <v>20</v>
      </c>
      <c r="G971" s="10" t="s">
        <v>123</v>
      </c>
      <c r="H971" s="10" t="s">
        <v>1370</v>
      </c>
      <c r="I971" s="10" t="s">
        <v>14</v>
      </c>
    </row>
    <row r="972" spans="1:9" hidden="1">
      <c r="A972" t="s">
        <v>1773</v>
      </c>
      <c r="B972" t="s">
        <v>3268</v>
      </c>
      <c r="C972" t="s">
        <v>32</v>
      </c>
      <c r="D972" s="2">
        <v>122389.15876831629</v>
      </c>
      <c r="E972">
        <f>VLOOKUP(I972,Calc!$I$35:$J$39,2,FALSE)</f>
        <v>5</v>
      </c>
      <c r="F972">
        <v>5</v>
      </c>
      <c r="G972" s="10" t="s">
        <v>123</v>
      </c>
      <c r="H972" s="10" t="s">
        <v>1774</v>
      </c>
      <c r="I972" s="10" t="s">
        <v>14</v>
      </c>
    </row>
    <row r="973" spans="1:9">
      <c r="A973" t="s">
        <v>1775</v>
      </c>
      <c r="B973" t="s">
        <v>3268</v>
      </c>
      <c r="C973" t="s">
        <v>29</v>
      </c>
      <c r="D973" s="2">
        <v>34417.653306061438</v>
      </c>
      <c r="E973">
        <f>VLOOKUP(I973,Calc!$I$35:$J$39,2,FALSE)</f>
        <v>8</v>
      </c>
      <c r="F973">
        <v>4</v>
      </c>
      <c r="G973" s="10" t="s">
        <v>128</v>
      </c>
      <c r="H973" s="10" t="s">
        <v>1370</v>
      </c>
      <c r="I973" s="10" t="s">
        <v>22</v>
      </c>
    </row>
    <row r="974" spans="1:9" hidden="1">
      <c r="A974" t="s">
        <v>1776</v>
      </c>
      <c r="B974" t="s">
        <v>3267</v>
      </c>
      <c r="C974" t="s">
        <v>11</v>
      </c>
      <c r="D974" s="2">
        <v>12000</v>
      </c>
      <c r="E974">
        <f>VLOOKUP(I974,Calc!$I$35:$J$39,2,FALSE)</f>
        <v>8</v>
      </c>
      <c r="F974">
        <v>3</v>
      </c>
      <c r="G974" s="10" t="s">
        <v>11</v>
      </c>
      <c r="H974" s="10" t="s">
        <v>44</v>
      </c>
      <c r="I974" s="10" t="s">
        <v>22</v>
      </c>
    </row>
    <row r="975" spans="1:9" hidden="1">
      <c r="A975" t="s">
        <v>1777</v>
      </c>
      <c r="B975" t="s">
        <v>3267</v>
      </c>
      <c r="C975" t="s">
        <v>11</v>
      </c>
      <c r="D975" s="2">
        <v>3632.815004238284</v>
      </c>
      <c r="E975">
        <f>VLOOKUP(I975,Calc!$I$35:$J$39,2,FALSE)</f>
        <v>5</v>
      </c>
      <c r="F975">
        <v>0</v>
      </c>
      <c r="G975" s="10" t="s">
        <v>12</v>
      </c>
      <c r="H975" s="10" t="s">
        <v>1778</v>
      </c>
      <c r="I975" s="10" t="s">
        <v>14</v>
      </c>
    </row>
    <row r="976" spans="1:9" hidden="1">
      <c r="A976" t="s">
        <v>1779</v>
      </c>
      <c r="B976" t="s">
        <v>3264</v>
      </c>
      <c r="C976" t="s">
        <v>11</v>
      </c>
      <c r="D976" s="2">
        <v>21369.500024931083</v>
      </c>
      <c r="E976">
        <f>VLOOKUP(I976,Calc!$I$35:$J$39,2,FALSE)</f>
        <v>8</v>
      </c>
      <c r="F976">
        <v>6</v>
      </c>
      <c r="G976" s="10" t="s">
        <v>12</v>
      </c>
      <c r="H976" s="10" t="s">
        <v>112</v>
      </c>
      <c r="I976" s="10" t="s">
        <v>22</v>
      </c>
    </row>
    <row r="977" spans="1:9" hidden="1">
      <c r="A977" t="s">
        <v>1780</v>
      </c>
      <c r="B977" t="s">
        <v>3268</v>
      </c>
      <c r="C977" t="s">
        <v>11</v>
      </c>
      <c r="D977" s="2">
        <v>8903.9583437212841</v>
      </c>
      <c r="E977">
        <f>VLOOKUP(I977,Calc!$I$35:$J$39,2,FALSE)</f>
        <v>5</v>
      </c>
      <c r="F977">
        <v>7</v>
      </c>
      <c r="G977" s="10" t="s">
        <v>12</v>
      </c>
      <c r="H977" s="10" t="s">
        <v>320</v>
      </c>
      <c r="I977" s="10" t="s">
        <v>14</v>
      </c>
    </row>
    <row r="978" spans="1:9" hidden="1">
      <c r="A978" t="s">
        <v>1781</v>
      </c>
      <c r="B978" t="s">
        <v>3267</v>
      </c>
      <c r="C978" t="s">
        <v>11</v>
      </c>
      <c r="D978" s="2">
        <v>15206.427249917633</v>
      </c>
      <c r="E978">
        <f>VLOOKUP(I978,Calc!$I$35:$J$39,2,FALSE)</f>
        <v>5</v>
      </c>
      <c r="F978">
        <v>2</v>
      </c>
      <c r="G978" s="10" t="s">
        <v>1763</v>
      </c>
      <c r="H978" s="10" t="s">
        <v>1782</v>
      </c>
      <c r="I978" s="10" t="s">
        <v>14</v>
      </c>
    </row>
    <row r="979" spans="1:9" hidden="1">
      <c r="A979" t="s">
        <v>1783</v>
      </c>
      <c r="B979" t="s">
        <v>3267</v>
      </c>
      <c r="C979" t="s">
        <v>32</v>
      </c>
      <c r="D979" s="2">
        <v>143565.85684888897</v>
      </c>
      <c r="E979">
        <f>VLOOKUP(I979,Calc!$I$35:$J$39,2,FALSE)</f>
        <v>5</v>
      </c>
      <c r="F979">
        <v>25</v>
      </c>
      <c r="G979" s="10" t="s">
        <v>1023</v>
      </c>
      <c r="H979" s="10" t="s">
        <v>725</v>
      </c>
      <c r="I979" s="10" t="s">
        <v>14</v>
      </c>
    </row>
    <row r="980" spans="1:9" hidden="1">
      <c r="A980" t="s">
        <v>1784</v>
      </c>
      <c r="B980" t="s">
        <v>3267</v>
      </c>
      <c r="C980" t="s">
        <v>11</v>
      </c>
      <c r="D980" s="2">
        <v>9705.3145946561999</v>
      </c>
      <c r="E980">
        <f>VLOOKUP(I980,Calc!$I$35:$J$39,2,FALSE)</f>
        <v>2.5</v>
      </c>
      <c r="F980">
        <v>6</v>
      </c>
      <c r="G980" s="10" t="s">
        <v>12</v>
      </c>
      <c r="H980" s="10" t="s">
        <v>1608</v>
      </c>
      <c r="I980" s="10" t="s">
        <v>36</v>
      </c>
    </row>
    <row r="981" spans="1:9" hidden="1">
      <c r="A981" t="s">
        <v>1785</v>
      </c>
      <c r="B981" t="s">
        <v>3267</v>
      </c>
      <c r="C981" t="s">
        <v>11</v>
      </c>
      <c r="D981" s="2">
        <v>17807.916687442568</v>
      </c>
      <c r="E981">
        <f>VLOOKUP(I981,Calc!$I$35:$J$39,2,FALSE)</f>
        <v>8</v>
      </c>
      <c r="F981">
        <v>8</v>
      </c>
      <c r="G981" s="10" t="s">
        <v>12</v>
      </c>
      <c r="H981" s="10" t="s">
        <v>1786</v>
      </c>
      <c r="I981" s="10" t="s">
        <v>22</v>
      </c>
    </row>
    <row r="982" spans="1:9" hidden="1">
      <c r="A982" t="s">
        <v>1787</v>
      </c>
      <c r="B982" t="s">
        <v>3268</v>
      </c>
      <c r="C982" t="s">
        <v>11</v>
      </c>
      <c r="D982" s="2">
        <v>3205.4250037396623</v>
      </c>
      <c r="E982">
        <f>VLOOKUP(I982,Calc!$I$35:$J$39,2,FALSE)</f>
        <v>5</v>
      </c>
      <c r="F982">
        <v>10</v>
      </c>
      <c r="G982" s="10" t="s">
        <v>12</v>
      </c>
      <c r="H982" s="10" t="s">
        <v>1788</v>
      </c>
      <c r="I982" s="10" t="s">
        <v>14</v>
      </c>
    </row>
    <row r="983" spans="1:9" hidden="1">
      <c r="A983" t="s">
        <v>1789</v>
      </c>
      <c r="B983" t="s">
        <v>3269</v>
      </c>
      <c r="C983" t="s">
        <v>29</v>
      </c>
      <c r="D983" s="2">
        <v>45000</v>
      </c>
      <c r="E983">
        <f>VLOOKUP(I983,Calc!$I$35:$J$39,2,FALSE)</f>
        <v>8</v>
      </c>
      <c r="F983">
        <v>3</v>
      </c>
      <c r="G983" s="10" t="s">
        <v>30</v>
      </c>
      <c r="H983" s="10" t="s">
        <v>1790</v>
      </c>
      <c r="I983" s="10" t="s">
        <v>22</v>
      </c>
    </row>
    <row r="984" spans="1:9" hidden="1">
      <c r="A984" t="s">
        <v>1791</v>
      </c>
      <c r="B984" t="s">
        <v>3267</v>
      </c>
      <c r="C984" t="s">
        <v>11</v>
      </c>
      <c r="D984" s="2">
        <v>12465.541681209797</v>
      </c>
      <c r="E984">
        <f>VLOOKUP(I984,Calc!$I$35:$J$39,2,FALSE)</f>
        <v>2.5</v>
      </c>
      <c r="F984">
        <v>7</v>
      </c>
      <c r="G984" s="10" t="s">
        <v>12</v>
      </c>
      <c r="H984" s="10" t="s">
        <v>1792</v>
      </c>
      <c r="I984" s="10" t="s">
        <v>36</v>
      </c>
    </row>
    <row r="985" spans="1:9" hidden="1">
      <c r="A985" t="s">
        <v>1793</v>
      </c>
      <c r="B985" t="s">
        <v>3268</v>
      </c>
      <c r="C985" t="s">
        <v>32</v>
      </c>
      <c r="D985" s="2">
        <v>95871.50770184776</v>
      </c>
      <c r="E985">
        <f>VLOOKUP(I985,Calc!$I$35:$J$39,2,FALSE)</f>
        <v>2.5</v>
      </c>
      <c r="F985">
        <v>14</v>
      </c>
      <c r="G985" s="10" t="s">
        <v>123</v>
      </c>
      <c r="H985" s="10" t="s">
        <v>1794</v>
      </c>
      <c r="I985" s="10" t="s">
        <v>36</v>
      </c>
    </row>
    <row r="986" spans="1:9" hidden="1">
      <c r="A986" t="s">
        <v>1795</v>
      </c>
      <c r="B986" t="s">
        <v>3264</v>
      </c>
      <c r="C986" t="s">
        <v>32</v>
      </c>
      <c r="D986" s="2">
        <v>173384.64158844808</v>
      </c>
      <c r="E986">
        <f>VLOOKUP(I986,Calc!$I$35:$J$39,2,FALSE)</f>
        <v>2.5</v>
      </c>
      <c r="F986">
        <v>8</v>
      </c>
      <c r="G986" s="10" t="s">
        <v>123</v>
      </c>
      <c r="H986" s="10" t="s">
        <v>1796</v>
      </c>
      <c r="I986" s="10" t="s">
        <v>36</v>
      </c>
    </row>
    <row r="987" spans="1:9" hidden="1">
      <c r="A987" t="s">
        <v>1797</v>
      </c>
      <c r="B987" t="s">
        <v>3267</v>
      </c>
      <c r="C987" t="s">
        <v>11</v>
      </c>
      <c r="D987" s="2">
        <v>11575.14584683767</v>
      </c>
      <c r="E987">
        <f>VLOOKUP(I987,Calc!$I$35:$J$39,2,FALSE)</f>
        <v>2.5</v>
      </c>
      <c r="F987">
        <v>1</v>
      </c>
      <c r="G987" s="10" t="s">
        <v>12</v>
      </c>
      <c r="H987" s="10" t="s">
        <v>1798</v>
      </c>
      <c r="I987" s="10" t="s">
        <v>36</v>
      </c>
    </row>
    <row r="988" spans="1:9" hidden="1">
      <c r="A988" t="s">
        <v>1799</v>
      </c>
      <c r="B988" t="s">
        <v>3265</v>
      </c>
      <c r="C988" t="s">
        <v>11</v>
      </c>
      <c r="D988" s="2">
        <v>18000</v>
      </c>
      <c r="E988">
        <f>VLOOKUP(I988,Calc!$I$35:$J$39,2,FALSE)</f>
        <v>8</v>
      </c>
      <c r="F988">
        <v>8</v>
      </c>
      <c r="G988" s="10" t="s">
        <v>12</v>
      </c>
      <c r="H988" s="10" t="s">
        <v>1800</v>
      </c>
      <c r="I988" s="10" t="s">
        <v>22</v>
      </c>
    </row>
    <row r="989" spans="1:9" hidden="1">
      <c r="A989" t="s">
        <v>1801</v>
      </c>
      <c r="B989" t="s">
        <v>3249</v>
      </c>
      <c r="C989" t="s">
        <v>32</v>
      </c>
      <c r="D989" s="2">
        <v>71393.675948184507</v>
      </c>
      <c r="E989">
        <f>VLOOKUP(I989,Calc!$I$35:$J$39,2,FALSE)</f>
        <v>8</v>
      </c>
      <c r="F989">
        <v>2</v>
      </c>
      <c r="G989" s="10" t="s">
        <v>123</v>
      </c>
      <c r="H989" s="10" t="s">
        <v>211</v>
      </c>
      <c r="I989" s="10" t="s">
        <v>22</v>
      </c>
    </row>
    <row r="990" spans="1:9" hidden="1">
      <c r="A990" t="s">
        <v>1802</v>
      </c>
      <c r="B990" t="s">
        <v>3268</v>
      </c>
      <c r="C990" t="s">
        <v>11</v>
      </c>
      <c r="D990" s="2">
        <v>6232.7708406048987</v>
      </c>
      <c r="E990">
        <f>VLOOKUP(I990,Calc!$I$35:$J$39,2,FALSE)</f>
        <v>5</v>
      </c>
      <c r="F990">
        <v>2.5</v>
      </c>
      <c r="G990" s="10" t="s">
        <v>12</v>
      </c>
      <c r="H990" s="10" t="s">
        <v>233</v>
      </c>
      <c r="I990" s="10" t="s">
        <v>14</v>
      </c>
    </row>
    <row r="991" spans="1:9" hidden="1">
      <c r="A991" t="s">
        <v>1803</v>
      </c>
      <c r="B991" t="s">
        <v>3267</v>
      </c>
      <c r="C991" t="s">
        <v>11</v>
      </c>
      <c r="D991" s="2">
        <v>1805.7739622442759</v>
      </c>
      <c r="E991">
        <f>VLOOKUP(I991,Calc!$I$35:$J$39,2,FALSE)</f>
        <v>5</v>
      </c>
      <c r="F991">
        <v>3</v>
      </c>
      <c r="G991" s="10" t="s">
        <v>1157</v>
      </c>
      <c r="H991" s="10" t="s">
        <v>1492</v>
      </c>
      <c r="I991" s="10" t="s">
        <v>14</v>
      </c>
    </row>
    <row r="992" spans="1:9" hidden="1">
      <c r="A992" t="s">
        <v>1804</v>
      </c>
      <c r="B992" t="s">
        <v>3268</v>
      </c>
      <c r="C992" t="s">
        <v>11</v>
      </c>
      <c r="D992" s="2">
        <v>11397.066679963244</v>
      </c>
      <c r="E992">
        <f>VLOOKUP(I992,Calc!$I$35:$J$39,2,FALSE)</f>
        <v>8</v>
      </c>
      <c r="F992">
        <v>6</v>
      </c>
      <c r="G992" s="10" t="s">
        <v>12</v>
      </c>
      <c r="H992" s="10" t="s">
        <v>1805</v>
      </c>
      <c r="I992" s="10" t="s">
        <v>22</v>
      </c>
    </row>
    <row r="993" spans="1:9" hidden="1">
      <c r="A993" t="s">
        <v>1806</v>
      </c>
      <c r="B993" t="s">
        <v>3267</v>
      </c>
      <c r="C993" t="s">
        <v>11</v>
      </c>
      <c r="D993" s="2">
        <v>15000</v>
      </c>
      <c r="E993">
        <f>VLOOKUP(I993,Calc!$I$35:$J$39,2,FALSE)</f>
        <v>5</v>
      </c>
      <c r="F993">
        <v>4</v>
      </c>
      <c r="G993" s="10" t="s">
        <v>12</v>
      </c>
      <c r="H993" s="10" t="s">
        <v>1807</v>
      </c>
      <c r="I993" s="10" t="s">
        <v>14</v>
      </c>
    </row>
    <row r="994" spans="1:9" hidden="1">
      <c r="A994" t="s">
        <v>1808</v>
      </c>
      <c r="B994" t="s">
        <v>3267</v>
      </c>
      <c r="C994" t="s">
        <v>42</v>
      </c>
      <c r="D994" s="2">
        <v>37612.869087708088</v>
      </c>
      <c r="E994">
        <f>VLOOKUP(I994,Calc!$I$35:$J$39,2,FALSE)</f>
        <v>8</v>
      </c>
      <c r="F994">
        <v>3</v>
      </c>
      <c r="G994" s="10" t="s">
        <v>78</v>
      </c>
      <c r="H994" s="10" t="s">
        <v>1809</v>
      </c>
      <c r="I994" s="10" t="s">
        <v>22</v>
      </c>
    </row>
    <row r="995" spans="1:9" hidden="1">
      <c r="A995" t="s">
        <v>1810</v>
      </c>
      <c r="B995" t="s">
        <v>3268</v>
      </c>
      <c r="C995" t="s">
        <v>11</v>
      </c>
      <c r="D995" s="2">
        <v>6499.8895909165376</v>
      </c>
      <c r="E995">
        <f>VLOOKUP(I995,Calc!$I$35:$J$39,2,FALSE)</f>
        <v>5</v>
      </c>
      <c r="F995">
        <v>3</v>
      </c>
      <c r="G995" s="10" t="s">
        <v>12</v>
      </c>
      <c r="H995" s="10" t="s">
        <v>1811</v>
      </c>
      <c r="I995" s="10" t="s">
        <v>14</v>
      </c>
    </row>
    <row r="996" spans="1:9" hidden="1">
      <c r="A996" t="s">
        <v>1812</v>
      </c>
      <c r="B996" t="s">
        <v>77</v>
      </c>
      <c r="C996" t="s">
        <v>3248</v>
      </c>
      <c r="D996" s="2">
        <v>20000</v>
      </c>
      <c r="E996">
        <f>VLOOKUP(I996,Calc!$I$35:$J$39,2,FALSE)</f>
        <v>8</v>
      </c>
      <c r="F996">
        <v>6</v>
      </c>
      <c r="G996" s="10" t="s">
        <v>1813</v>
      </c>
      <c r="H996" s="10" t="s">
        <v>1814</v>
      </c>
      <c r="I996" s="10" t="s">
        <v>22</v>
      </c>
    </row>
    <row r="997" spans="1:9" hidden="1">
      <c r="A997" t="s">
        <v>1815</v>
      </c>
      <c r="B997" t="s">
        <v>3266</v>
      </c>
      <c r="C997" t="s">
        <v>11</v>
      </c>
      <c r="D997" s="2">
        <v>7265</v>
      </c>
      <c r="E997">
        <f>VLOOKUP(I997,Calc!$I$35:$J$39,2,FALSE)</f>
        <v>5</v>
      </c>
      <c r="F997">
        <v>6</v>
      </c>
      <c r="G997" s="10" t="s">
        <v>12</v>
      </c>
      <c r="H997" s="10" t="s">
        <v>1816</v>
      </c>
      <c r="I997" s="10" t="s">
        <v>14</v>
      </c>
    </row>
    <row r="998" spans="1:9" hidden="1">
      <c r="A998" t="s">
        <v>1817</v>
      </c>
      <c r="B998" t="s">
        <v>3267</v>
      </c>
      <c r="C998" t="s">
        <v>11</v>
      </c>
      <c r="D998" s="2">
        <v>72571.80269935554</v>
      </c>
      <c r="E998">
        <f>VLOOKUP(I998,Calc!$I$35:$J$39,2,FALSE)</f>
        <v>8</v>
      </c>
      <c r="F998">
        <v>15</v>
      </c>
      <c r="G998" s="10" t="s">
        <v>455</v>
      </c>
      <c r="H998" s="10" t="s">
        <v>1031</v>
      </c>
      <c r="I998" s="10" t="s">
        <v>22</v>
      </c>
    </row>
    <row r="999" spans="1:9" hidden="1">
      <c r="A999" t="s">
        <v>1818</v>
      </c>
      <c r="B999" t="s">
        <v>3267</v>
      </c>
      <c r="C999" t="s">
        <v>11</v>
      </c>
      <c r="D999" s="2">
        <v>8013.5625093491553</v>
      </c>
      <c r="E999">
        <f>VLOOKUP(I999,Calc!$I$35:$J$39,2,FALSE)</f>
        <v>8</v>
      </c>
      <c r="F999">
        <v>15</v>
      </c>
      <c r="G999" s="10" t="s">
        <v>12</v>
      </c>
      <c r="H999" s="10" t="s">
        <v>1294</v>
      </c>
      <c r="I999" s="10" t="s">
        <v>22</v>
      </c>
    </row>
    <row r="1000" spans="1:9" hidden="1">
      <c r="A1000" t="s">
        <v>1819</v>
      </c>
      <c r="B1000" t="s">
        <v>3268</v>
      </c>
      <c r="C1000" t="s">
        <v>11</v>
      </c>
      <c r="D1000" s="2">
        <v>10150.512511842264</v>
      </c>
      <c r="E1000">
        <f>VLOOKUP(I1000,Calc!$I$35:$J$39,2,FALSE)</f>
        <v>5</v>
      </c>
      <c r="F1000">
        <v>5</v>
      </c>
      <c r="G1000" s="10" t="s">
        <v>12</v>
      </c>
      <c r="H1000" s="10" t="s">
        <v>1820</v>
      </c>
      <c r="I1000" s="10" t="s">
        <v>14</v>
      </c>
    </row>
    <row r="1001" spans="1:9" hidden="1">
      <c r="A1001" t="s">
        <v>1821</v>
      </c>
      <c r="B1001" t="s">
        <v>3263</v>
      </c>
      <c r="C1001" t="s">
        <v>29</v>
      </c>
      <c r="D1001" s="2">
        <v>65000</v>
      </c>
      <c r="E1001">
        <f>VLOOKUP(I1001,Calc!$I$35:$J$39,2,FALSE)</f>
        <v>5</v>
      </c>
      <c r="F1001">
        <v>9</v>
      </c>
      <c r="G1001" s="10" t="s">
        <v>30</v>
      </c>
      <c r="H1001" s="10" t="s">
        <v>18</v>
      </c>
      <c r="I1001" s="10" t="s">
        <v>14</v>
      </c>
    </row>
    <row r="1002" spans="1:9" hidden="1">
      <c r="A1002" t="s">
        <v>1822</v>
      </c>
      <c r="B1002" t="s">
        <v>3267</v>
      </c>
      <c r="C1002" t="s">
        <v>11</v>
      </c>
      <c r="D1002" s="2">
        <v>3184.2266150397395</v>
      </c>
      <c r="E1002">
        <f>VLOOKUP(I1002,Calc!$I$35:$J$39,2,FALSE)</f>
        <v>5</v>
      </c>
      <c r="F1002">
        <v>4</v>
      </c>
      <c r="G1002" s="10" t="s">
        <v>34</v>
      </c>
      <c r="H1002" s="10" t="s">
        <v>1430</v>
      </c>
      <c r="I1002" s="10" t="s">
        <v>14</v>
      </c>
    </row>
    <row r="1003" spans="1:9" hidden="1">
      <c r="A1003" t="s">
        <v>1823</v>
      </c>
      <c r="B1003" t="s">
        <v>3267</v>
      </c>
      <c r="C1003" t="s">
        <v>11</v>
      </c>
      <c r="D1003" s="2">
        <v>10898.445012714852</v>
      </c>
      <c r="E1003">
        <f>VLOOKUP(I1003,Calc!$I$35:$J$39,2,FALSE)</f>
        <v>2.5</v>
      </c>
      <c r="F1003">
        <v>13</v>
      </c>
      <c r="G1003" s="10" t="s">
        <v>12</v>
      </c>
      <c r="H1003" s="10" t="s">
        <v>1824</v>
      </c>
      <c r="I1003" s="10" t="s">
        <v>36</v>
      </c>
    </row>
    <row r="1004" spans="1:9" hidden="1">
      <c r="A1004" t="s">
        <v>1825</v>
      </c>
      <c r="B1004" t="s">
        <v>3267</v>
      </c>
      <c r="C1004" t="s">
        <v>11</v>
      </c>
      <c r="D1004" s="2">
        <v>10800</v>
      </c>
      <c r="E1004">
        <f>VLOOKUP(I1004,Calc!$I$35:$J$39,2,FALSE)</f>
        <v>8</v>
      </c>
      <c r="F1004">
        <v>5</v>
      </c>
      <c r="G1004" s="10" t="s">
        <v>34</v>
      </c>
      <c r="H1004" s="10" t="s">
        <v>1826</v>
      </c>
      <c r="I1004" s="10" t="s">
        <v>22</v>
      </c>
    </row>
    <row r="1005" spans="1:9" hidden="1">
      <c r="A1005" t="s">
        <v>1827</v>
      </c>
      <c r="B1005" t="s">
        <v>3268</v>
      </c>
      <c r="C1005" t="s">
        <v>11</v>
      </c>
      <c r="D1005" s="2">
        <v>2136.9500024931081</v>
      </c>
      <c r="E1005">
        <f>VLOOKUP(I1005,Calc!$I$35:$J$39,2,FALSE)</f>
        <v>2.5</v>
      </c>
      <c r="F1005">
        <v>3.5</v>
      </c>
      <c r="G1005" s="10" t="s">
        <v>12</v>
      </c>
      <c r="H1005" s="10" t="s">
        <v>1828</v>
      </c>
      <c r="I1005" s="10" t="s">
        <v>36</v>
      </c>
    </row>
    <row r="1006" spans="1:9" hidden="1">
      <c r="A1006" t="s">
        <v>1829</v>
      </c>
      <c r="B1006" t="s">
        <v>3266</v>
      </c>
      <c r="C1006" t="s">
        <v>11</v>
      </c>
      <c r="D1006" s="2">
        <v>45000</v>
      </c>
      <c r="E1006">
        <f>VLOOKUP(I1006,Calc!$I$35:$J$39,2,FALSE)</f>
        <v>2.5</v>
      </c>
      <c r="F1006">
        <v>4</v>
      </c>
      <c r="G1006" s="10" t="s">
        <v>455</v>
      </c>
      <c r="H1006" s="10" t="s">
        <v>38</v>
      </c>
      <c r="I1006" s="10" t="s">
        <v>36</v>
      </c>
    </row>
    <row r="1007" spans="1:9" hidden="1">
      <c r="A1007" t="s">
        <v>1830</v>
      </c>
      <c r="B1007" t="s">
        <v>3267</v>
      </c>
      <c r="C1007" t="s">
        <v>11</v>
      </c>
      <c r="D1007" s="2">
        <v>7123.1666749770275</v>
      </c>
      <c r="E1007">
        <f>VLOOKUP(I1007,Calc!$I$35:$J$39,2,FALSE)</f>
        <v>2.5</v>
      </c>
      <c r="F1007">
        <v>5</v>
      </c>
      <c r="G1007" s="10" t="s">
        <v>12</v>
      </c>
      <c r="H1007" s="10" t="s">
        <v>1477</v>
      </c>
      <c r="I1007" s="10" t="s">
        <v>36</v>
      </c>
    </row>
    <row r="1008" spans="1:9" hidden="1">
      <c r="A1008" t="s">
        <v>1831</v>
      </c>
      <c r="B1008" t="s">
        <v>3269</v>
      </c>
      <c r="C1008" t="s">
        <v>11</v>
      </c>
      <c r="D1008" s="2">
        <v>5342.3750062327708</v>
      </c>
      <c r="E1008">
        <f>VLOOKUP(I1008,Calc!$I$35:$J$39,2,FALSE)</f>
        <v>2.5</v>
      </c>
      <c r="F1008">
        <v>5</v>
      </c>
      <c r="G1008" s="10" t="s">
        <v>12</v>
      </c>
      <c r="H1008" s="10" t="s">
        <v>1832</v>
      </c>
      <c r="I1008" s="10" t="s">
        <v>36</v>
      </c>
    </row>
    <row r="1009" spans="1:9" hidden="1">
      <c r="A1009" t="s">
        <v>1833</v>
      </c>
      <c r="B1009" t="s">
        <v>3267</v>
      </c>
      <c r="C1009" t="s">
        <v>11</v>
      </c>
      <c r="D1009" s="2">
        <v>18000</v>
      </c>
      <c r="E1009">
        <f>VLOOKUP(I1009,Calc!$I$35:$J$39,2,FALSE)</f>
        <v>2.5</v>
      </c>
      <c r="F1009">
        <v>4.5999999999999996</v>
      </c>
      <c r="G1009" s="10" t="s">
        <v>12</v>
      </c>
      <c r="H1009" s="10" t="s">
        <v>1834</v>
      </c>
      <c r="I1009" s="10" t="s">
        <v>36</v>
      </c>
    </row>
    <row r="1010" spans="1:9" hidden="1">
      <c r="A1010" t="s">
        <v>1835</v>
      </c>
      <c r="B1010" t="s">
        <v>3267</v>
      </c>
      <c r="C1010" t="s">
        <v>11</v>
      </c>
      <c r="D1010" s="2">
        <v>4840.0244548604041</v>
      </c>
      <c r="E1010">
        <f>VLOOKUP(I1010,Calc!$I$35:$J$39,2,FALSE)</f>
        <v>5</v>
      </c>
      <c r="F1010">
        <v>2</v>
      </c>
      <c r="G1010" s="10" t="s">
        <v>34</v>
      </c>
      <c r="H1010" s="10" t="s">
        <v>1836</v>
      </c>
      <c r="I1010" s="10" t="s">
        <v>14</v>
      </c>
    </row>
    <row r="1011" spans="1:9" hidden="1">
      <c r="A1011" t="s">
        <v>1837</v>
      </c>
      <c r="B1011" t="s">
        <v>3268</v>
      </c>
      <c r="C1011" t="s">
        <v>11</v>
      </c>
      <c r="D1011" s="2">
        <v>7479.3250087258784</v>
      </c>
      <c r="E1011">
        <f>VLOOKUP(I1011,Calc!$I$35:$J$39,2,FALSE)</f>
        <v>2.5</v>
      </c>
      <c r="F1011">
        <v>10</v>
      </c>
      <c r="G1011" s="10" t="s">
        <v>12</v>
      </c>
      <c r="H1011" s="10" t="s">
        <v>10</v>
      </c>
      <c r="I1011" s="10" t="s">
        <v>36</v>
      </c>
    </row>
    <row r="1012" spans="1:9" hidden="1">
      <c r="A1012" t="s">
        <v>1838</v>
      </c>
      <c r="B1012" t="s">
        <v>77</v>
      </c>
      <c r="C1012" t="s">
        <v>11</v>
      </c>
      <c r="D1012" s="2">
        <v>3739.6625043629392</v>
      </c>
      <c r="E1012">
        <f>VLOOKUP(I1012,Calc!$I$35:$J$39,2,FALSE)</f>
        <v>8</v>
      </c>
      <c r="F1012">
        <v>3.5</v>
      </c>
      <c r="G1012" s="10" t="s">
        <v>12</v>
      </c>
      <c r="H1012" s="10" t="s">
        <v>1290</v>
      </c>
      <c r="I1012" s="10" t="s">
        <v>22</v>
      </c>
    </row>
    <row r="1013" spans="1:9" hidden="1">
      <c r="A1013" t="s">
        <v>1839</v>
      </c>
      <c r="B1013" t="s">
        <v>3267</v>
      </c>
      <c r="C1013" t="s">
        <v>48</v>
      </c>
      <c r="D1013" s="2">
        <v>42000</v>
      </c>
      <c r="E1013">
        <f>VLOOKUP(I1013,Calc!$I$35:$J$39,2,FALSE)</f>
        <v>8</v>
      </c>
      <c r="F1013">
        <v>5</v>
      </c>
      <c r="G1013" s="10" t="s">
        <v>1840</v>
      </c>
      <c r="H1013" s="10" t="s">
        <v>1841</v>
      </c>
      <c r="I1013" s="10" t="s">
        <v>22</v>
      </c>
    </row>
    <row r="1014" spans="1:9" hidden="1">
      <c r="A1014" t="s">
        <v>1842</v>
      </c>
      <c r="B1014" t="s">
        <v>77</v>
      </c>
      <c r="C1014" t="s">
        <v>11</v>
      </c>
      <c r="D1014" s="2">
        <v>28000</v>
      </c>
      <c r="E1014">
        <f>VLOOKUP(I1014,Calc!$I$35:$J$39,2,FALSE)</f>
        <v>2.5</v>
      </c>
      <c r="F1014">
        <v>3</v>
      </c>
      <c r="G1014" s="10" t="s">
        <v>12</v>
      </c>
      <c r="H1014" s="10" t="s">
        <v>1843</v>
      </c>
      <c r="I1014" s="10" t="s">
        <v>36</v>
      </c>
    </row>
    <row r="1015" spans="1:9" hidden="1">
      <c r="A1015" t="s">
        <v>1844</v>
      </c>
      <c r="B1015" t="s">
        <v>3267</v>
      </c>
      <c r="C1015" t="s">
        <v>11</v>
      </c>
      <c r="D1015" s="2">
        <v>6000</v>
      </c>
      <c r="E1015">
        <f>VLOOKUP(I1015,Calc!$I$35:$J$39,2,FALSE)</f>
        <v>5</v>
      </c>
      <c r="F1015">
        <v>5</v>
      </c>
      <c r="G1015" s="10" t="s">
        <v>12</v>
      </c>
      <c r="H1015" s="10" t="s">
        <v>44</v>
      </c>
      <c r="I1015" s="10" t="s">
        <v>14</v>
      </c>
    </row>
    <row r="1016" spans="1:9" hidden="1">
      <c r="A1016" t="s">
        <v>1845</v>
      </c>
      <c r="B1016" t="s">
        <v>3268</v>
      </c>
      <c r="C1016" t="s">
        <v>32</v>
      </c>
      <c r="D1016" s="2">
        <v>43867.345148271634</v>
      </c>
      <c r="E1016">
        <f>VLOOKUP(I1016,Calc!$I$35:$J$39,2,FALSE)</f>
        <v>8</v>
      </c>
      <c r="F1016">
        <v>10</v>
      </c>
      <c r="G1016" s="10" t="s">
        <v>1023</v>
      </c>
      <c r="H1016" s="10" t="s">
        <v>31</v>
      </c>
      <c r="I1016" s="10" t="s">
        <v>22</v>
      </c>
    </row>
    <row r="1017" spans="1:9" hidden="1">
      <c r="A1017" t="s">
        <v>1846</v>
      </c>
      <c r="B1017" t="s">
        <v>3268</v>
      </c>
      <c r="C1017" t="s">
        <v>11</v>
      </c>
      <c r="D1017" s="2">
        <v>17807.916687442568</v>
      </c>
      <c r="E1017">
        <f>VLOOKUP(I1017,Calc!$I$35:$J$39,2,FALSE)</f>
        <v>1.5</v>
      </c>
      <c r="F1017">
        <v>25</v>
      </c>
      <c r="G1017" s="10" t="s">
        <v>12</v>
      </c>
      <c r="H1017" s="10" t="s">
        <v>1847</v>
      </c>
      <c r="I1017" s="10" t="s">
        <v>47</v>
      </c>
    </row>
    <row r="1018" spans="1:9" hidden="1">
      <c r="A1018" t="s">
        <v>1848</v>
      </c>
      <c r="B1018" t="s">
        <v>3268</v>
      </c>
      <c r="C1018" t="s">
        <v>11</v>
      </c>
      <c r="D1018" s="2">
        <v>10684.750012465542</v>
      </c>
      <c r="E1018">
        <f>VLOOKUP(I1018,Calc!$I$35:$J$39,2,FALSE)</f>
        <v>8</v>
      </c>
      <c r="F1018">
        <v>12</v>
      </c>
      <c r="G1018" s="10" t="s">
        <v>12</v>
      </c>
      <c r="H1018" s="10" t="s">
        <v>320</v>
      </c>
      <c r="I1018" s="10" t="s">
        <v>22</v>
      </c>
    </row>
    <row r="1019" spans="1:9" hidden="1">
      <c r="A1019" t="s">
        <v>1849</v>
      </c>
      <c r="B1019" t="s">
        <v>3264</v>
      </c>
      <c r="C1019" t="s">
        <v>19</v>
      </c>
      <c r="D1019" s="2">
        <v>60000</v>
      </c>
      <c r="E1019">
        <f>VLOOKUP(I1019,Calc!$I$35:$J$39,2,FALSE)</f>
        <v>8</v>
      </c>
      <c r="F1019">
        <v>5</v>
      </c>
      <c r="G1019" s="10" t="s">
        <v>833</v>
      </c>
      <c r="H1019" s="10" t="s">
        <v>1850</v>
      </c>
      <c r="I1019" s="10" t="s">
        <v>22</v>
      </c>
    </row>
    <row r="1020" spans="1:9" hidden="1">
      <c r="A1020" t="s">
        <v>1851</v>
      </c>
      <c r="B1020" t="s">
        <v>77</v>
      </c>
      <c r="C1020" t="s">
        <v>11</v>
      </c>
      <c r="D1020" s="2">
        <v>8476.5683432226633</v>
      </c>
      <c r="E1020">
        <f>VLOOKUP(I1020,Calc!$I$35:$J$39,2,FALSE)</f>
        <v>5</v>
      </c>
      <c r="F1020">
        <v>8</v>
      </c>
      <c r="G1020" s="10" t="s">
        <v>12</v>
      </c>
      <c r="H1020" s="10" t="s">
        <v>1852</v>
      </c>
      <c r="I1020" s="10" t="s">
        <v>14</v>
      </c>
    </row>
    <row r="1021" spans="1:9" hidden="1">
      <c r="A1021" t="s">
        <v>1853</v>
      </c>
      <c r="B1021" t="s">
        <v>3263</v>
      </c>
      <c r="C1021" t="s">
        <v>11</v>
      </c>
      <c r="D1021" s="2">
        <v>8700</v>
      </c>
      <c r="E1021">
        <f>VLOOKUP(I1021,Calc!$I$35:$J$39,2,FALSE)</f>
        <v>2.5</v>
      </c>
      <c r="F1021">
        <v>7</v>
      </c>
      <c r="G1021" s="10" t="s">
        <v>12</v>
      </c>
      <c r="H1021" s="10" t="s">
        <v>1854</v>
      </c>
      <c r="I1021" s="10" t="s">
        <v>36</v>
      </c>
    </row>
    <row r="1022" spans="1:9" hidden="1">
      <c r="A1022" t="s">
        <v>1855</v>
      </c>
      <c r="B1022" t="s">
        <v>3267</v>
      </c>
      <c r="C1022" t="s">
        <v>11</v>
      </c>
      <c r="D1022" s="2">
        <v>3561.5833374885137</v>
      </c>
      <c r="E1022">
        <f>VLOOKUP(I1022,Calc!$I$35:$J$39,2,FALSE)</f>
        <v>8</v>
      </c>
      <c r="F1022">
        <v>8</v>
      </c>
      <c r="G1022" s="10" t="s">
        <v>12</v>
      </c>
      <c r="H1022" s="10" t="s">
        <v>1856</v>
      </c>
      <c r="I1022" s="10" t="s">
        <v>22</v>
      </c>
    </row>
    <row r="1023" spans="1:9" hidden="1">
      <c r="A1023" t="s">
        <v>1857</v>
      </c>
      <c r="B1023" t="s">
        <v>77</v>
      </c>
      <c r="C1023" t="s">
        <v>11</v>
      </c>
      <c r="D1023" s="2">
        <v>3205.4250037396623</v>
      </c>
      <c r="E1023">
        <f>VLOOKUP(I1023,Calc!$I$35:$J$39,2,FALSE)</f>
        <v>8</v>
      </c>
      <c r="F1023">
        <v>4</v>
      </c>
      <c r="G1023" s="10" t="s">
        <v>12</v>
      </c>
      <c r="H1023" s="10" t="s">
        <v>693</v>
      </c>
      <c r="I1023" s="10" t="s">
        <v>22</v>
      </c>
    </row>
    <row r="1024" spans="1:9" hidden="1">
      <c r="A1024" t="s">
        <v>1858</v>
      </c>
      <c r="B1024" t="s">
        <v>3269</v>
      </c>
      <c r="C1024" t="s">
        <v>11</v>
      </c>
      <c r="D1024" s="2">
        <v>4487.5950052355274</v>
      </c>
      <c r="E1024">
        <f>VLOOKUP(I1024,Calc!$I$35:$J$39,2,FALSE)</f>
        <v>1.5</v>
      </c>
      <c r="F1024">
        <v>5</v>
      </c>
      <c r="G1024" s="10" t="s">
        <v>12</v>
      </c>
      <c r="H1024" s="10" t="s">
        <v>1859</v>
      </c>
      <c r="I1024" s="10" t="s">
        <v>47</v>
      </c>
    </row>
    <row r="1025" spans="1:9" hidden="1">
      <c r="A1025" t="s">
        <v>1860</v>
      </c>
      <c r="B1025" t="s">
        <v>3268</v>
      </c>
      <c r="C1025" t="s">
        <v>11</v>
      </c>
      <c r="D1025" s="2">
        <v>12465.541681209797</v>
      </c>
      <c r="E1025">
        <f>VLOOKUP(I1025,Calc!$I$35:$J$39,2,FALSE)</f>
        <v>5</v>
      </c>
      <c r="F1025">
        <v>5</v>
      </c>
      <c r="G1025" s="10" t="s">
        <v>12</v>
      </c>
      <c r="H1025" s="10" t="s">
        <v>817</v>
      </c>
      <c r="I1025" s="10" t="s">
        <v>14</v>
      </c>
    </row>
    <row r="1026" spans="1:9" hidden="1">
      <c r="A1026" t="s">
        <v>1861</v>
      </c>
      <c r="B1026" t="s">
        <v>3269</v>
      </c>
      <c r="C1026" t="s">
        <v>11</v>
      </c>
      <c r="D1026" s="2">
        <v>2400</v>
      </c>
      <c r="E1026">
        <f>VLOOKUP(I1026,Calc!$I$35:$J$39,2,FALSE)</f>
        <v>2.5</v>
      </c>
      <c r="F1026">
        <v>15</v>
      </c>
      <c r="G1026" s="10" t="s">
        <v>34</v>
      </c>
      <c r="H1026" s="10" t="s">
        <v>1227</v>
      </c>
      <c r="I1026" s="10" t="s">
        <v>36</v>
      </c>
    </row>
    <row r="1027" spans="1:9" hidden="1">
      <c r="A1027" t="s">
        <v>1862</v>
      </c>
      <c r="B1027" t="s">
        <v>77</v>
      </c>
      <c r="C1027" t="s">
        <v>48</v>
      </c>
      <c r="D1027" s="2">
        <v>55000</v>
      </c>
      <c r="E1027">
        <f>VLOOKUP(I1027,Calc!$I$35:$J$39,2,FALSE)</f>
        <v>5</v>
      </c>
      <c r="F1027">
        <v>6</v>
      </c>
      <c r="G1027" s="10" t="s">
        <v>675</v>
      </c>
      <c r="H1027" s="10" t="s">
        <v>758</v>
      </c>
      <c r="I1027" s="10" t="s">
        <v>14</v>
      </c>
    </row>
    <row r="1028" spans="1:9" hidden="1">
      <c r="A1028" t="s">
        <v>1863</v>
      </c>
      <c r="B1028" t="s">
        <v>3263</v>
      </c>
      <c r="C1028" t="s">
        <v>48</v>
      </c>
      <c r="D1028" s="2">
        <v>12000</v>
      </c>
      <c r="E1028">
        <f>VLOOKUP(I1028,Calc!$I$35:$J$39,2,FALSE)</f>
        <v>5</v>
      </c>
      <c r="F1028">
        <v>3</v>
      </c>
      <c r="G1028" s="10" t="s">
        <v>829</v>
      </c>
      <c r="H1028" s="10" t="s">
        <v>1864</v>
      </c>
      <c r="I1028" s="10" t="s">
        <v>14</v>
      </c>
    </row>
    <row r="1029" spans="1:9" hidden="1">
      <c r="A1029" t="s">
        <v>1865</v>
      </c>
      <c r="B1029" t="s">
        <v>3267</v>
      </c>
      <c r="C1029" t="s">
        <v>19</v>
      </c>
      <c r="D1029" s="2">
        <v>55262.375596134938</v>
      </c>
      <c r="E1029">
        <f>VLOOKUP(I1029,Calc!$I$35:$J$39,2,FALSE)</f>
        <v>2.5</v>
      </c>
      <c r="F1029">
        <v>10</v>
      </c>
      <c r="G1029" s="10" t="s">
        <v>976</v>
      </c>
      <c r="H1029" s="10" t="s">
        <v>1866</v>
      </c>
      <c r="I1029" s="10" t="s">
        <v>36</v>
      </c>
    </row>
    <row r="1030" spans="1:9" hidden="1">
      <c r="A1030" t="s">
        <v>1867</v>
      </c>
      <c r="B1030" t="s">
        <v>3267</v>
      </c>
      <c r="C1030" t="s">
        <v>11</v>
      </c>
      <c r="D1030" s="2">
        <v>21369.500024931083</v>
      </c>
      <c r="E1030">
        <f>VLOOKUP(I1030,Calc!$I$35:$J$39,2,FALSE)</f>
        <v>2.5</v>
      </c>
      <c r="F1030">
        <v>2</v>
      </c>
      <c r="G1030" s="10" t="s">
        <v>12</v>
      </c>
      <c r="H1030" s="10" t="s">
        <v>1492</v>
      </c>
      <c r="I1030" s="10" t="s">
        <v>36</v>
      </c>
    </row>
    <row r="1031" spans="1:9" hidden="1">
      <c r="A1031" t="s">
        <v>1868</v>
      </c>
      <c r="B1031" t="s">
        <v>3264</v>
      </c>
      <c r="C1031" t="s">
        <v>19</v>
      </c>
      <c r="D1031" s="2">
        <v>40980.635073749385</v>
      </c>
      <c r="E1031">
        <f>VLOOKUP(I1031,Calc!$I$35:$J$39,2,FALSE)</f>
        <v>8</v>
      </c>
      <c r="F1031">
        <v>8</v>
      </c>
      <c r="G1031" s="10" t="s">
        <v>107</v>
      </c>
      <c r="H1031" s="10" t="s">
        <v>90</v>
      </c>
      <c r="I1031" s="10" t="s">
        <v>22</v>
      </c>
    </row>
    <row r="1032" spans="1:9" hidden="1">
      <c r="A1032" t="s">
        <v>1869</v>
      </c>
      <c r="B1032" t="s">
        <v>3268</v>
      </c>
      <c r="C1032" t="s">
        <v>32</v>
      </c>
      <c r="D1032" s="2">
        <v>50995.482820131787</v>
      </c>
      <c r="E1032">
        <f>VLOOKUP(I1032,Calc!$I$35:$J$39,2,FALSE)</f>
        <v>5</v>
      </c>
      <c r="F1032">
        <v>4</v>
      </c>
      <c r="G1032" s="10" t="s">
        <v>123</v>
      </c>
      <c r="H1032" s="10" t="s">
        <v>1870</v>
      </c>
      <c r="I1032" s="10" t="s">
        <v>14</v>
      </c>
    </row>
    <row r="1033" spans="1:9" hidden="1">
      <c r="A1033" t="s">
        <v>1871</v>
      </c>
      <c r="B1033" t="s">
        <v>3267</v>
      </c>
      <c r="C1033" t="s">
        <v>19</v>
      </c>
      <c r="D1033" s="2">
        <v>20326.391023865726</v>
      </c>
      <c r="E1033">
        <f>VLOOKUP(I1033,Calc!$I$35:$J$39,2,FALSE)</f>
        <v>8</v>
      </c>
      <c r="F1033">
        <v>16</v>
      </c>
      <c r="G1033" s="10" t="s">
        <v>261</v>
      </c>
      <c r="H1033" s="10" t="s">
        <v>1872</v>
      </c>
      <c r="I1033" s="10" t="s">
        <v>22</v>
      </c>
    </row>
    <row r="1034" spans="1:9" hidden="1">
      <c r="A1034" t="s">
        <v>1873</v>
      </c>
      <c r="B1034" t="s">
        <v>3264</v>
      </c>
      <c r="C1034" t="s">
        <v>11</v>
      </c>
      <c r="D1034" s="2">
        <v>12000</v>
      </c>
      <c r="E1034">
        <f>VLOOKUP(I1034,Calc!$I$35:$J$39,2,FALSE)</f>
        <v>2.5</v>
      </c>
      <c r="F1034">
        <v>8</v>
      </c>
      <c r="G1034" s="10" t="s">
        <v>12</v>
      </c>
      <c r="H1034" s="10" t="s">
        <v>124</v>
      </c>
      <c r="I1034" s="10" t="s">
        <v>36</v>
      </c>
    </row>
    <row r="1035" spans="1:9" hidden="1">
      <c r="A1035" t="s">
        <v>1874</v>
      </c>
      <c r="B1035" t="s">
        <v>3269</v>
      </c>
      <c r="C1035" t="s">
        <v>42</v>
      </c>
      <c r="D1035" s="2">
        <v>29261.227167098674</v>
      </c>
      <c r="E1035">
        <f>VLOOKUP(I1035,Calc!$I$35:$J$39,2,FALSE)</f>
        <v>2.5</v>
      </c>
      <c r="F1035">
        <v>20</v>
      </c>
      <c r="G1035" s="10" t="s">
        <v>78</v>
      </c>
      <c r="H1035" s="10" t="s">
        <v>1875</v>
      </c>
      <c r="I1035" s="10" t="s">
        <v>36</v>
      </c>
    </row>
    <row r="1036" spans="1:9" hidden="1">
      <c r="A1036" t="s">
        <v>1876</v>
      </c>
      <c r="B1036" t="s">
        <v>3249</v>
      </c>
      <c r="C1036" t="s">
        <v>42</v>
      </c>
      <c r="D1036" s="2">
        <v>14630.613583549337</v>
      </c>
      <c r="E1036">
        <f>VLOOKUP(I1036,Calc!$I$35:$J$39,2,FALSE)</f>
        <v>5</v>
      </c>
      <c r="F1036">
        <v>10</v>
      </c>
      <c r="G1036" s="10" t="s">
        <v>78</v>
      </c>
      <c r="H1036" s="10" t="s">
        <v>562</v>
      </c>
      <c r="I1036" s="10" t="s">
        <v>14</v>
      </c>
    </row>
    <row r="1037" spans="1:9" hidden="1">
      <c r="A1037" t="s">
        <v>1877</v>
      </c>
      <c r="B1037" t="s">
        <v>3269</v>
      </c>
      <c r="C1037" t="s">
        <v>11</v>
      </c>
      <c r="D1037" s="2">
        <v>7265.630008476568</v>
      </c>
      <c r="E1037">
        <f>VLOOKUP(I1037,Calc!$I$35:$J$39,2,FALSE)</f>
        <v>8</v>
      </c>
      <c r="F1037">
        <v>5</v>
      </c>
      <c r="G1037" s="10" t="s">
        <v>12</v>
      </c>
      <c r="H1037" s="10" t="s">
        <v>1878</v>
      </c>
      <c r="I1037" s="10" t="s">
        <v>22</v>
      </c>
    </row>
    <row r="1038" spans="1:9" hidden="1">
      <c r="A1038" t="s">
        <v>1879</v>
      </c>
      <c r="B1038" t="s">
        <v>3268</v>
      </c>
      <c r="C1038" t="s">
        <v>19</v>
      </c>
      <c r="D1038" s="2">
        <v>44132.991617883956</v>
      </c>
      <c r="E1038">
        <f>VLOOKUP(I1038,Calc!$I$35:$J$39,2,FALSE)</f>
        <v>2.5</v>
      </c>
      <c r="F1038">
        <v>16</v>
      </c>
      <c r="G1038" s="10" t="s">
        <v>107</v>
      </c>
      <c r="H1038" s="10" t="s">
        <v>1337</v>
      </c>
      <c r="I1038" s="10" t="s">
        <v>36</v>
      </c>
    </row>
    <row r="1039" spans="1:9" hidden="1">
      <c r="A1039" t="s">
        <v>1880</v>
      </c>
      <c r="B1039" t="s">
        <v>3268</v>
      </c>
      <c r="C1039" t="s">
        <v>11</v>
      </c>
      <c r="D1039" s="2">
        <v>9438.1958443445619</v>
      </c>
      <c r="E1039">
        <f>VLOOKUP(I1039,Calc!$I$35:$J$39,2,FALSE)</f>
        <v>2.5</v>
      </c>
      <c r="F1039">
        <v>7</v>
      </c>
      <c r="G1039" s="10" t="s">
        <v>12</v>
      </c>
      <c r="H1039" s="10" t="s">
        <v>1881</v>
      </c>
      <c r="I1039" s="10" t="s">
        <v>36</v>
      </c>
    </row>
    <row r="1040" spans="1:9" hidden="1">
      <c r="A1040" t="s">
        <v>1882</v>
      </c>
      <c r="B1040" t="s">
        <v>3268</v>
      </c>
      <c r="C1040" t="s">
        <v>19</v>
      </c>
      <c r="D1040" s="2">
        <v>18000</v>
      </c>
      <c r="E1040">
        <f>VLOOKUP(I1040,Calc!$I$35:$J$39,2,FALSE)</f>
        <v>5</v>
      </c>
      <c r="F1040">
        <v>7</v>
      </c>
      <c r="G1040" s="10" t="s">
        <v>110</v>
      </c>
      <c r="H1040" s="10" t="s">
        <v>10</v>
      </c>
      <c r="I1040" s="10" t="s">
        <v>14</v>
      </c>
    </row>
    <row r="1041" spans="1:9" hidden="1">
      <c r="A1041" t="s">
        <v>1883</v>
      </c>
      <c r="B1041" t="s">
        <v>3267</v>
      </c>
      <c r="C1041" t="s">
        <v>11</v>
      </c>
      <c r="D1041" s="2">
        <v>3561.5833374885137</v>
      </c>
      <c r="E1041">
        <f>VLOOKUP(I1041,Calc!$I$35:$J$39,2,FALSE)</f>
        <v>2.5</v>
      </c>
      <c r="F1041">
        <v>5</v>
      </c>
      <c r="G1041" s="10" t="s">
        <v>12</v>
      </c>
      <c r="H1041" s="10" t="s">
        <v>1884</v>
      </c>
      <c r="I1041" s="10" t="s">
        <v>36</v>
      </c>
    </row>
    <row r="1042" spans="1:9" hidden="1">
      <c r="A1042" t="s">
        <v>1885</v>
      </c>
      <c r="B1042" t="s">
        <v>77</v>
      </c>
      <c r="C1042" t="s">
        <v>11</v>
      </c>
      <c r="D1042" s="2">
        <v>3561.5833374885137</v>
      </c>
      <c r="E1042">
        <f>VLOOKUP(I1042,Calc!$I$35:$J$39,2,FALSE)</f>
        <v>5</v>
      </c>
      <c r="F1042">
        <v>3</v>
      </c>
      <c r="G1042" s="10" t="s">
        <v>12</v>
      </c>
      <c r="H1042" s="10" t="s">
        <v>1167</v>
      </c>
      <c r="I1042" s="10" t="s">
        <v>14</v>
      </c>
    </row>
    <row r="1043" spans="1:9" hidden="1">
      <c r="A1043" t="s">
        <v>1886</v>
      </c>
      <c r="B1043" t="s">
        <v>77</v>
      </c>
      <c r="C1043" t="s">
        <v>11</v>
      </c>
      <c r="D1043" s="2">
        <v>5100</v>
      </c>
      <c r="E1043">
        <f>VLOOKUP(I1043,Calc!$I$35:$J$39,2,FALSE)</f>
        <v>8</v>
      </c>
      <c r="F1043">
        <v>8</v>
      </c>
      <c r="G1043" s="10" t="s">
        <v>12</v>
      </c>
      <c r="H1043" s="10" t="s">
        <v>1167</v>
      </c>
      <c r="I1043" s="10" t="s">
        <v>22</v>
      </c>
    </row>
    <row r="1044" spans="1:9" hidden="1">
      <c r="A1044" t="s">
        <v>1887</v>
      </c>
      <c r="B1044" t="s">
        <v>3268</v>
      </c>
      <c r="C1044" t="s">
        <v>11</v>
      </c>
      <c r="D1044" s="2">
        <v>21369.500024931083</v>
      </c>
      <c r="E1044">
        <f>VLOOKUP(I1044,Calc!$I$35:$J$39,2,FALSE)</f>
        <v>5</v>
      </c>
      <c r="F1044">
        <v>7</v>
      </c>
      <c r="G1044" s="10" t="s">
        <v>12</v>
      </c>
      <c r="H1044" s="10" t="s">
        <v>1178</v>
      </c>
      <c r="I1044" s="10" t="s">
        <v>14</v>
      </c>
    </row>
    <row r="1045" spans="1:9" hidden="1">
      <c r="A1045" t="s">
        <v>1888</v>
      </c>
      <c r="B1045" t="s">
        <v>3264</v>
      </c>
      <c r="C1045" t="s">
        <v>11</v>
      </c>
      <c r="D1045" s="2">
        <v>5342.3750062327708</v>
      </c>
      <c r="E1045">
        <f>VLOOKUP(I1045,Calc!$I$35:$J$39,2,FALSE)</f>
        <v>2.5</v>
      </c>
      <c r="F1045">
        <v>1</v>
      </c>
      <c r="G1045" s="10" t="s">
        <v>12</v>
      </c>
      <c r="H1045" s="10" t="s">
        <v>1889</v>
      </c>
      <c r="I1045" s="10" t="s">
        <v>36</v>
      </c>
    </row>
    <row r="1046" spans="1:9" hidden="1">
      <c r="A1046" t="s">
        <v>1890</v>
      </c>
      <c r="B1046" t="s">
        <v>3249</v>
      </c>
      <c r="C1046" t="s">
        <v>11</v>
      </c>
      <c r="D1046" s="2">
        <v>50000</v>
      </c>
      <c r="E1046">
        <f>VLOOKUP(I1046,Calc!$I$35:$J$39,2,FALSE)</f>
        <v>1.5</v>
      </c>
      <c r="F1046">
        <v>26</v>
      </c>
      <c r="G1046" s="10" t="s">
        <v>12</v>
      </c>
      <c r="H1046" s="10" t="s">
        <v>953</v>
      </c>
      <c r="I1046" s="10" t="s">
        <v>47</v>
      </c>
    </row>
    <row r="1047" spans="1:9" hidden="1">
      <c r="A1047" t="s">
        <v>1891</v>
      </c>
      <c r="B1047" t="s">
        <v>3267</v>
      </c>
      <c r="C1047" t="s">
        <v>11</v>
      </c>
      <c r="D1047" s="2">
        <v>28492.66669990811</v>
      </c>
      <c r="E1047">
        <f>VLOOKUP(I1047,Calc!$I$35:$J$39,2,FALSE)</f>
        <v>8</v>
      </c>
      <c r="F1047">
        <v>9</v>
      </c>
      <c r="G1047" s="10" t="s">
        <v>12</v>
      </c>
      <c r="H1047" s="10" t="s">
        <v>1892</v>
      </c>
      <c r="I1047" s="10" t="s">
        <v>22</v>
      </c>
    </row>
    <row r="1048" spans="1:9" hidden="1">
      <c r="A1048" t="s">
        <v>1893</v>
      </c>
      <c r="B1048" t="s">
        <v>3268</v>
      </c>
      <c r="C1048" t="s">
        <v>19</v>
      </c>
      <c r="D1048" s="2">
        <v>24588.381044249632</v>
      </c>
      <c r="E1048">
        <f>VLOOKUP(I1048,Calc!$I$35:$J$39,2,FALSE)</f>
        <v>8</v>
      </c>
      <c r="F1048">
        <v>0</v>
      </c>
      <c r="G1048" s="10" t="s">
        <v>107</v>
      </c>
      <c r="H1048" s="10" t="s">
        <v>1894</v>
      </c>
      <c r="I1048" s="10" t="s">
        <v>22</v>
      </c>
    </row>
    <row r="1049" spans="1:9" hidden="1">
      <c r="A1049" t="s">
        <v>1895</v>
      </c>
      <c r="B1049" t="s">
        <v>77</v>
      </c>
      <c r="C1049" t="s">
        <v>11</v>
      </c>
      <c r="D1049" s="2">
        <v>7000</v>
      </c>
      <c r="E1049">
        <f>VLOOKUP(I1049,Calc!$I$35:$J$39,2,FALSE)</f>
        <v>8</v>
      </c>
      <c r="F1049">
        <v>5</v>
      </c>
      <c r="G1049" s="10" t="s">
        <v>12</v>
      </c>
      <c r="H1049" s="10" t="s">
        <v>1167</v>
      </c>
      <c r="I1049" s="10" t="s">
        <v>22</v>
      </c>
    </row>
    <row r="1050" spans="1:9" hidden="1">
      <c r="A1050" t="s">
        <v>1896</v>
      </c>
      <c r="B1050" t="s">
        <v>3268</v>
      </c>
      <c r="C1050" t="s">
        <v>11</v>
      </c>
      <c r="D1050" s="2">
        <v>7799.8675090998449</v>
      </c>
      <c r="E1050">
        <f>VLOOKUP(I1050,Calc!$I$35:$J$39,2,FALSE)</f>
        <v>1.5</v>
      </c>
      <c r="F1050">
        <v>10</v>
      </c>
      <c r="G1050" s="10" t="s">
        <v>12</v>
      </c>
      <c r="H1050" s="10" t="s">
        <v>1897</v>
      </c>
      <c r="I1050" s="10" t="s">
        <v>47</v>
      </c>
    </row>
    <row r="1051" spans="1:9" hidden="1">
      <c r="A1051" t="s">
        <v>1898</v>
      </c>
      <c r="B1051" t="s">
        <v>3267</v>
      </c>
      <c r="C1051" t="s">
        <v>19</v>
      </c>
      <c r="D1051" s="2">
        <v>78808.913603364199</v>
      </c>
      <c r="E1051">
        <f>VLOOKUP(I1051,Calc!$I$35:$J$39,2,FALSE)</f>
        <v>2.5</v>
      </c>
      <c r="F1051">
        <v>12</v>
      </c>
      <c r="G1051" s="10" t="s">
        <v>107</v>
      </c>
      <c r="H1051" s="10" t="s">
        <v>1899</v>
      </c>
      <c r="I1051" s="10" t="s">
        <v>36</v>
      </c>
    </row>
    <row r="1052" spans="1:9" hidden="1">
      <c r="A1052" t="s">
        <v>1900</v>
      </c>
      <c r="B1052" t="s">
        <v>77</v>
      </c>
      <c r="C1052" t="s">
        <v>11</v>
      </c>
      <c r="D1052" s="2">
        <v>6720</v>
      </c>
      <c r="E1052">
        <f>VLOOKUP(I1052,Calc!$I$35:$J$39,2,FALSE)</f>
        <v>5</v>
      </c>
      <c r="F1052">
        <v>6</v>
      </c>
      <c r="G1052" s="10" t="s">
        <v>12</v>
      </c>
      <c r="H1052" s="10" t="s">
        <v>1167</v>
      </c>
      <c r="I1052" s="10" t="s">
        <v>14</v>
      </c>
    </row>
    <row r="1053" spans="1:9" hidden="1">
      <c r="A1053" t="s">
        <v>1901</v>
      </c>
      <c r="B1053" t="s">
        <v>77</v>
      </c>
      <c r="C1053" t="s">
        <v>11</v>
      </c>
      <c r="D1053" s="2">
        <v>4451.9791718606421</v>
      </c>
      <c r="E1053">
        <f>VLOOKUP(I1053,Calc!$I$35:$J$39,2,FALSE)</f>
        <v>8</v>
      </c>
      <c r="F1053">
        <v>3.5</v>
      </c>
      <c r="G1053" s="10" t="s">
        <v>12</v>
      </c>
      <c r="H1053" s="10" t="s">
        <v>1902</v>
      </c>
      <c r="I1053" s="10" t="s">
        <v>22</v>
      </c>
    </row>
    <row r="1054" spans="1:9" hidden="1">
      <c r="A1054" t="s">
        <v>1903</v>
      </c>
      <c r="B1054" t="s">
        <v>3268</v>
      </c>
      <c r="C1054" t="s">
        <v>19</v>
      </c>
      <c r="D1054" s="2">
        <v>47285.348162018527</v>
      </c>
      <c r="E1054">
        <f>VLOOKUP(I1054,Calc!$I$35:$J$39,2,FALSE)</f>
        <v>8</v>
      </c>
      <c r="F1054">
        <v>15</v>
      </c>
      <c r="G1054" s="10" t="s">
        <v>107</v>
      </c>
      <c r="H1054" s="10" t="s">
        <v>233</v>
      </c>
      <c r="I1054" s="10" t="s">
        <v>22</v>
      </c>
    </row>
    <row r="1055" spans="1:9" hidden="1">
      <c r="A1055" t="s">
        <v>1904</v>
      </c>
      <c r="B1055" t="s">
        <v>3268</v>
      </c>
      <c r="C1055" t="s">
        <v>11</v>
      </c>
      <c r="D1055" s="2">
        <v>7200</v>
      </c>
      <c r="E1055">
        <f>VLOOKUP(I1055,Calc!$I$35:$J$39,2,FALSE)</f>
        <v>8</v>
      </c>
      <c r="F1055">
        <v>10</v>
      </c>
      <c r="G1055" s="10" t="s">
        <v>12</v>
      </c>
      <c r="H1055" s="10" t="s">
        <v>1905</v>
      </c>
      <c r="I1055" s="10" t="s">
        <v>22</v>
      </c>
    </row>
    <row r="1056" spans="1:9" hidden="1">
      <c r="A1056" t="s">
        <v>1906</v>
      </c>
      <c r="B1056" t="s">
        <v>3249</v>
      </c>
      <c r="C1056" t="s">
        <v>11</v>
      </c>
      <c r="D1056" s="2">
        <v>44519.791718606422</v>
      </c>
      <c r="E1056">
        <f>VLOOKUP(I1056,Calc!$I$35:$J$39,2,FALSE)</f>
        <v>5</v>
      </c>
      <c r="F1056">
        <v>9</v>
      </c>
      <c r="G1056" s="10" t="s">
        <v>12</v>
      </c>
      <c r="H1056" s="10" t="s">
        <v>1907</v>
      </c>
      <c r="I1056" s="10" t="s">
        <v>14</v>
      </c>
    </row>
    <row r="1057" spans="1:9" hidden="1">
      <c r="A1057" t="s">
        <v>1908</v>
      </c>
      <c r="B1057" t="s">
        <v>3269</v>
      </c>
      <c r="C1057" t="s">
        <v>11</v>
      </c>
      <c r="D1057" s="2">
        <v>2493.1083362419595</v>
      </c>
      <c r="E1057">
        <f>VLOOKUP(I1057,Calc!$I$35:$J$39,2,FALSE)</f>
        <v>5</v>
      </c>
      <c r="F1057">
        <v>4</v>
      </c>
      <c r="G1057" s="10" t="s">
        <v>12</v>
      </c>
      <c r="H1057" s="10" t="s">
        <v>56</v>
      </c>
      <c r="I1057" s="10" t="s">
        <v>14</v>
      </c>
    </row>
    <row r="1058" spans="1:9" hidden="1">
      <c r="A1058" t="s">
        <v>1909</v>
      </c>
      <c r="B1058" t="s">
        <v>3268</v>
      </c>
      <c r="C1058" t="s">
        <v>19</v>
      </c>
      <c r="D1058" s="2">
        <v>31523.565441345683</v>
      </c>
      <c r="E1058">
        <f>VLOOKUP(I1058,Calc!$I$35:$J$39,2,FALSE)</f>
        <v>5</v>
      </c>
      <c r="F1058">
        <v>1</v>
      </c>
      <c r="G1058" s="10" t="s">
        <v>107</v>
      </c>
      <c r="H1058" s="10" t="s">
        <v>1910</v>
      </c>
      <c r="I1058" s="10" t="s">
        <v>14</v>
      </c>
    </row>
    <row r="1059" spans="1:9" hidden="1">
      <c r="A1059" t="s">
        <v>1911</v>
      </c>
      <c r="B1059" t="s">
        <v>3263</v>
      </c>
      <c r="C1059" t="s">
        <v>11</v>
      </c>
      <c r="D1059" s="2">
        <v>21369.500024931083</v>
      </c>
      <c r="E1059">
        <f>VLOOKUP(I1059,Calc!$I$35:$J$39,2,FALSE)</f>
        <v>5</v>
      </c>
      <c r="F1059">
        <v>8</v>
      </c>
      <c r="G1059" s="10" t="s">
        <v>12</v>
      </c>
      <c r="H1059" s="10" t="s">
        <v>1912</v>
      </c>
      <c r="I1059" s="10" t="s">
        <v>14</v>
      </c>
    </row>
    <row r="1060" spans="1:9" hidden="1">
      <c r="A1060" t="s">
        <v>1913</v>
      </c>
      <c r="B1060" t="s">
        <v>3264</v>
      </c>
      <c r="C1060" t="s">
        <v>19</v>
      </c>
      <c r="D1060" s="2">
        <v>126094.26176538273</v>
      </c>
      <c r="E1060">
        <f>VLOOKUP(I1060,Calc!$I$35:$J$39,2,FALSE)</f>
        <v>5</v>
      </c>
      <c r="F1060">
        <v>10</v>
      </c>
      <c r="G1060" s="10" t="s">
        <v>107</v>
      </c>
      <c r="H1060" s="10" t="s">
        <v>1914</v>
      </c>
      <c r="I1060" s="10" t="s">
        <v>14</v>
      </c>
    </row>
    <row r="1061" spans="1:9" hidden="1">
      <c r="A1061" t="s">
        <v>1915</v>
      </c>
      <c r="B1061" t="s">
        <v>3265</v>
      </c>
      <c r="C1061" t="s">
        <v>19</v>
      </c>
      <c r="D1061" s="2">
        <v>99299.231140238902</v>
      </c>
      <c r="E1061">
        <f>VLOOKUP(I1061,Calc!$I$35:$J$39,2,FALSE)</f>
        <v>2.5</v>
      </c>
      <c r="F1061">
        <v>1</v>
      </c>
      <c r="G1061" s="10" t="s">
        <v>107</v>
      </c>
      <c r="H1061" s="10" t="s">
        <v>1916</v>
      </c>
      <c r="I1061" s="10" t="s">
        <v>36</v>
      </c>
    </row>
    <row r="1062" spans="1:9" hidden="1">
      <c r="A1062" t="s">
        <v>1917</v>
      </c>
      <c r="B1062" t="s">
        <v>3249</v>
      </c>
      <c r="C1062" t="s">
        <v>19</v>
      </c>
      <c r="D1062" s="2">
        <v>86689.804963700633</v>
      </c>
      <c r="E1062">
        <f>VLOOKUP(I1062,Calc!$I$35:$J$39,2,FALSE)</f>
        <v>2.5</v>
      </c>
      <c r="F1062">
        <v>22</v>
      </c>
      <c r="G1062" s="10" t="s">
        <v>107</v>
      </c>
      <c r="H1062" s="10" t="s">
        <v>327</v>
      </c>
      <c r="I1062" s="10" t="s">
        <v>36</v>
      </c>
    </row>
    <row r="1063" spans="1:9" hidden="1">
      <c r="A1063" t="s">
        <v>1918</v>
      </c>
      <c r="B1063" t="s">
        <v>3267</v>
      </c>
      <c r="C1063" t="s">
        <v>11</v>
      </c>
      <c r="D1063" s="2">
        <v>50000</v>
      </c>
      <c r="E1063">
        <f>VLOOKUP(I1063,Calc!$I$35:$J$39,2,FALSE)</f>
        <v>2.5</v>
      </c>
      <c r="F1063">
        <v>30</v>
      </c>
      <c r="G1063" s="10" t="s">
        <v>12</v>
      </c>
      <c r="H1063" s="10" t="s">
        <v>1919</v>
      </c>
      <c r="I1063" s="10" t="s">
        <v>36</v>
      </c>
    </row>
    <row r="1064" spans="1:9" hidden="1">
      <c r="A1064" t="s">
        <v>1920</v>
      </c>
      <c r="B1064" t="s">
        <v>3268</v>
      </c>
      <c r="C1064" t="s">
        <v>11</v>
      </c>
      <c r="D1064" s="2">
        <v>4273.9000049862161</v>
      </c>
      <c r="E1064">
        <f>VLOOKUP(I1064,Calc!$I$35:$J$39,2,FALSE)</f>
        <v>2.5</v>
      </c>
      <c r="F1064">
        <v>3</v>
      </c>
      <c r="G1064" s="10" t="s">
        <v>12</v>
      </c>
      <c r="H1064" s="10" t="s">
        <v>1212</v>
      </c>
      <c r="I1064" s="10" t="s">
        <v>36</v>
      </c>
    </row>
    <row r="1065" spans="1:9" hidden="1">
      <c r="A1065" t="s">
        <v>1921</v>
      </c>
      <c r="B1065" t="s">
        <v>77</v>
      </c>
      <c r="C1065" t="s">
        <v>11</v>
      </c>
      <c r="D1065" s="2">
        <v>4451.9791718606421</v>
      </c>
      <c r="E1065">
        <f>VLOOKUP(I1065,Calc!$I$35:$J$39,2,FALSE)</f>
        <v>2.5</v>
      </c>
      <c r="F1065">
        <v>3</v>
      </c>
      <c r="G1065" s="10" t="s">
        <v>12</v>
      </c>
      <c r="H1065" s="10" t="s">
        <v>1167</v>
      </c>
      <c r="I1065" s="10" t="s">
        <v>36</v>
      </c>
    </row>
    <row r="1066" spans="1:9" hidden="1">
      <c r="A1066" t="s">
        <v>1922</v>
      </c>
      <c r="B1066" t="s">
        <v>3268</v>
      </c>
      <c r="C1066" t="s">
        <v>11</v>
      </c>
      <c r="D1066" s="2">
        <v>10684.750012465542</v>
      </c>
      <c r="E1066">
        <f>VLOOKUP(I1066,Calc!$I$35:$J$39,2,FALSE)</f>
        <v>5</v>
      </c>
      <c r="F1066">
        <v>10</v>
      </c>
      <c r="G1066" s="10" t="s">
        <v>12</v>
      </c>
      <c r="H1066" s="10" t="s">
        <v>1923</v>
      </c>
      <c r="I1066" s="10" t="s">
        <v>14</v>
      </c>
    </row>
    <row r="1067" spans="1:9" hidden="1">
      <c r="A1067" t="s">
        <v>1924</v>
      </c>
      <c r="B1067" t="s">
        <v>3267</v>
      </c>
      <c r="C1067" t="s">
        <v>19</v>
      </c>
      <c r="D1067" s="2">
        <v>63835.220018725006</v>
      </c>
      <c r="E1067">
        <f>VLOOKUP(I1067,Calc!$I$35:$J$39,2,FALSE)</f>
        <v>2.5</v>
      </c>
      <c r="F1067">
        <v>25</v>
      </c>
      <c r="G1067" s="10" t="s">
        <v>107</v>
      </c>
      <c r="H1067" s="10" t="s">
        <v>1925</v>
      </c>
      <c r="I1067" s="10" t="s">
        <v>36</v>
      </c>
    </row>
    <row r="1068" spans="1:9" hidden="1">
      <c r="A1068" t="s">
        <v>1926</v>
      </c>
      <c r="B1068" t="s">
        <v>3268</v>
      </c>
      <c r="C1068" t="s">
        <v>19</v>
      </c>
      <c r="D1068" s="2">
        <v>36252.100257547536</v>
      </c>
      <c r="E1068">
        <f>VLOOKUP(I1068,Calc!$I$35:$J$39,2,FALSE)</f>
        <v>8</v>
      </c>
      <c r="F1068">
        <v>5</v>
      </c>
      <c r="G1068" s="10" t="s">
        <v>107</v>
      </c>
      <c r="H1068" s="10" t="s">
        <v>233</v>
      </c>
      <c r="I1068" s="10" t="s">
        <v>22</v>
      </c>
    </row>
    <row r="1069" spans="1:9" hidden="1">
      <c r="A1069" t="s">
        <v>1927</v>
      </c>
      <c r="B1069" t="s">
        <v>3267</v>
      </c>
      <c r="C1069" t="s">
        <v>11</v>
      </c>
      <c r="D1069" s="2">
        <v>7960</v>
      </c>
      <c r="E1069">
        <f>VLOOKUP(I1069,Calc!$I$35:$J$39,2,FALSE)</f>
        <v>5</v>
      </c>
      <c r="F1069">
        <v>7</v>
      </c>
      <c r="G1069" s="10" t="s">
        <v>12</v>
      </c>
      <c r="H1069" s="10" t="s">
        <v>1271</v>
      </c>
      <c r="I1069" s="10" t="s">
        <v>14</v>
      </c>
    </row>
    <row r="1070" spans="1:9" hidden="1">
      <c r="A1070" t="s">
        <v>1928</v>
      </c>
      <c r="B1070" t="s">
        <v>3268</v>
      </c>
      <c r="C1070" t="s">
        <v>11</v>
      </c>
      <c r="D1070" s="2">
        <v>8903.9583437212841</v>
      </c>
      <c r="E1070">
        <f>VLOOKUP(I1070,Calc!$I$35:$J$39,2,FALSE)</f>
        <v>2.5</v>
      </c>
      <c r="F1070">
        <v>23</v>
      </c>
      <c r="G1070" s="10" t="s">
        <v>12</v>
      </c>
      <c r="H1070" s="10" t="s">
        <v>1212</v>
      </c>
      <c r="I1070" s="10" t="s">
        <v>36</v>
      </c>
    </row>
    <row r="1071" spans="1:9" hidden="1">
      <c r="A1071" t="s">
        <v>1929</v>
      </c>
      <c r="B1071" t="s">
        <v>3268</v>
      </c>
      <c r="C1071" t="s">
        <v>19</v>
      </c>
      <c r="D1071" s="2">
        <v>50815.977559664309</v>
      </c>
      <c r="E1071">
        <f>VLOOKUP(I1071,Calc!$I$35:$J$39,2,FALSE)</f>
        <v>5</v>
      </c>
      <c r="F1071">
        <v>3</v>
      </c>
      <c r="G1071" s="10" t="s">
        <v>143</v>
      </c>
      <c r="H1071" s="10" t="s">
        <v>1930</v>
      </c>
      <c r="I1071" s="10" t="s">
        <v>14</v>
      </c>
    </row>
    <row r="1072" spans="1:9" hidden="1">
      <c r="A1072" t="s">
        <v>1931</v>
      </c>
      <c r="B1072" t="s">
        <v>3268</v>
      </c>
      <c r="C1072" t="s">
        <v>19</v>
      </c>
      <c r="D1072" s="2">
        <v>47285.348162018527</v>
      </c>
      <c r="E1072">
        <f>VLOOKUP(I1072,Calc!$I$35:$J$39,2,FALSE)</f>
        <v>5</v>
      </c>
      <c r="F1072">
        <v>4</v>
      </c>
      <c r="G1072" s="10" t="s">
        <v>107</v>
      </c>
      <c r="H1072" s="10" t="s">
        <v>638</v>
      </c>
      <c r="I1072" s="10" t="s">
        <v>14</v>
      </c>
    </row>
    <row r="1073" spans="1:9" hidden="1">
      <c r="A1073" t="s">
        <v>1932</v>
      </c>
      <c r="B1073" t="s">
        <v>3267</v>
      </c>
      <c r="C1073" t="s">
        <v>19</v>
      </c>
      <c r="D1073" s="2">
        <v>75656.557059229643</v>
      </c>
      <c r="E1073">
        <f>VLOOKUP(I1073,Calc!$I$35:$J$39,2,FALSE)</f>
        <v>2.5</v>
      </c>
      <c r="F1073">
        <v>10</v>
      </c>
      <c r="G1073" s="10" t="s">
        <v>107</v>
      </c>
      <c r="H1073" s="10" t="s">
        <v>1933</v>
      </c>
      <c r="I1073" s="10" t="s">
        <v>36</v>
      </c>
    </row>
    <row r="1074" spans="1:9" hidden="1">
      <c r="A1074" t="s">
        <v>1934</v>
      </c>
      <c r="B1074" t="s">
        <v>3269</v>
      </c>
      <c r="C1074" t="s">
        <v>11</v>
      </c>
      <c r="D1074" s="2">
        <v>4273.9000049862161</v>
      </c>
      <c r="E1074">
        <f>VLOOKUP(I1074,Calc!$I$35:$J$39,2,FALSE)</f>
        <v>8</v>
      </c>
      <c r="F1074">
        <v>20</v>
      </c>
      <c r="G1074" s="10" t="s">
        <v>12</v>
      </c>
      <c r="H1074" s="10" t="s">
        <v>56</v>
      </c>
      <c r="I1074" s="10" t="s">
        <v>22</v>
      </c>
    </row>
    <row r="1075" spans="1:9" hidden="1">
      <c r="A1075" t="s">
        <v>1935</v>
      </c>
      <c r="B1075" t="s">
        <v>3268</v>
      </c>
      <c r="C1075" t="s">
        <v>19</v>
      </c>
      <c r="D1075" s="2">
        <v>47004.779242689488</v>
      </c>
      <c r="E1075">
        <f>VLOOKUP(I1075,Calc!$I$35:$J$39,2,FALSE)</f>
        <v>5</v>
      </c>
      <c r="F1075">
        <v>11</v>
      </c>
      <c r="G1075" s="10" t="s">
        <v>976</v>
      </c>
      <c r="H1075" s="10" t="s">
        <v>1936</v>
      </c>
      <c r="I1075" s="10" t="s">
        <v>14</v>
      </c>
    </row>
    <row r="1076" spans="1:9" hidden="1">
      <c r="A1076" t="s">
        <v>1937</v>
      </c>
      <c r="B1076" t="s">
        <v>3268</v>
      </c>
      <c r="C1076" t="s">
        <v>19</v>
      </c>
      <c r="D1076" s="2">
        <v>47285.348162018527</v>
      </c>
      <c r="E1076">
        <f>VLOOKUP(I1076,Calc!$I$35:$J$39,2,FALSE)</f>
        <v>8</v>
      </c>
      <c r="F1076">
        <v>10</v>
      </c>
      <c r="G1076" s="10" t="s">
        <v>107</v>
      </c>
      <c r="H1076" s="10" t="s">
        <v>1938</v>
      </c>
      <c r="I1076" s="10" t="s">
        <v>22</v>
      </c>
    </row>
    <row r="1077" spans="1:9" hidden="1">
      <c r="A1077" t="s">
        <v>1939</v>
      </c>
      <c r="B1077" t="s">
        <v>3268</v>
      </c>
      <c r="C1077" t="s">
        <v>19</v>
      </c>
      <c r="D1077" s="2">
        <v>91418.339779902482</v>
      </c>
      <c r="E1077">
        <f>VLOOKUP(I1077,Calc!$I$35:$J$39,2,FALSE)</f>
        <v>8</v>
      </c>
      <c r="F1077">
        <v>8</v>
      </c>
      <c r="G1077" s="10" t="s">
        <v>107</v>
      </c>
      <c r="H1077" s="10" t="s">
        <v>1940</v>
      </c>
      <c r="I1077" s="10" t="s">
        <v>22</v>
      </c>
    </row>
    <row r="1078" spans="1:9" hidden="1">
      <c r="A1078" t="s">
        <v>1941</v>
      </c>
      <c r="B1078" t="s">
        <v>3268</v>
      </c>
      <c r="C1078" t="s">
        <v>19</v>
      </c>
      <c r="D1078" s="2">
        <v>124518.08349331544</v>
      </c>
      <c r="E1078">
        <f>VLOOKUP(I1078,Calc!$I$35:$J$39,2,FALSE)</f>
        <v>2.5</v>
      </c>
      <c r="F1078">
        <v>14</v>
      </c>
      <c r="G1078" s="10" t="s">
        <v>107</v>
      </c>
      <c r="H1078" s="10" t="s">
        <v>283</v>
      </c>
      <c r="I1078" s="10" t="s">
        <v>36</v>
      </c>
    </row>
    <row r="1079" spans="1:9" hidden="1">
      <c r="A1079" t="s">
        <v>1942</v>
      </c>
      <c r="B1079" t="s">
        <v>3268</v>
      </c>
      <c r="C1079" t="s">
        <v>19</v>
      </c>
      <c r="D1079" s="2">
        <v>69213.140283018583</v>
      </c>
      <c r="E1079">
        <f>VLOOKUP(I1079,Calc!$I$35:$J$39,2,FALSE)</f>
        <v>8</v>
      </c>
      <c r="F1079">
        <v>3</v>
      </c>
      <c r="G1079" s="10" t="s">
        <v>107</v>
      </c>
      <c r="H1079" s="10" t="s">
        <v>691</v>
      </c>
      <c r="I1079" s="10" t="s">
        <v>22</v>
      </c>
    </row>
    <row r="1080" spans="1:9" hidden="1">
      <c r="A1080" t="s">
        <v>1943</v>
      </c>
      <c r="B1080" t="s">
        <v>3267</v>
      </c>
      <c r="C1080" t="s">
        <v>11</v>
      </c>
      <c r="D1080" s="2">
        <v>3500</v>
      </c>
      <c r="E1080">
        <f>VLOOKUP(I1080,Calc!$I$35:$J$39,2,FALSE)</f>
        <v>5</v>
      </c>
      <c r="F1080">
        <v>4</v>
      </c>
      <c r="G1080" s="10" t="s">
        <v>34</v>
      </c>
      <c r="H1080" s="10" t="s">
        <v>1944</v>
      </c>
      <c r="I1080" s="10" t="s">
        <v>14</v>
      </c>
    </row>
    <row r="1081" spans="1:9" hidden="1">
      <c r="A1081" t="s">
        <v>1945</v>
      </c>
      <c r="B1081" t="s">
        <v>3267</v>
      </c>
      <c r="C1081" t="s">
        <v>19</v>
      </c>
      <c r="D1081" s="2">
        <v>63047.130882691366</v>
      </c>
      <c r="E1081">
        <f>VLOOKUP(I1081,Calc!$I$35:$J$39,2,FALSE)</f>
        <v>1.5</v>
      </c>
      <c r="F1081">
        <v>20</v>
      </c>
      <c r="G1081" s="10" t="s">
        <v>107</v>
      </c>
      <c r="H1081" s="10" t="s">
        <v>449</v>
      </c>
      <c r="I1081" s="10" t="s">
        <v>47</v>
      </c>
    </row>
    <row r="1082" spans="1:9" hidden="1">
      <c r="A1082" t="s">
        <v>1946</v>
      </c>
      <c r="B1082" t="s">
        <v>3267</v>
      </c>
      <c r="C1082" t="s">
        <v>19</v>
      </c>
      <c r="D1082" s="2">
        <v>72412.768022521646</v>
      </c>
      <c r="E1082">
        <f>VLOOKUP(I1082,Calc!$I$35:$J$39,2,FALSE)</f>
        <v>1.5</v>
      </c>
      <c r="F1082">
        <v>15</v>
      </c>
      <c r="G1082" s="10" t="s">
        <v>938</v>
      </c>
      <c r="H1082" s="10" t="s">
        <v>1947</v>
      </c>
      <c r="I1082" s="10" t="s">
        <v>47</v>
      </c>
    </row>
    <row r="1083" spans="1:9" hidden="1">
      <c r="A1083" t="s">
        <v>1948</v>
      </c>
      <c r="B1083" t="s">
        <v>3269</v>
      </c>
      <c r="C1083" t="s">
        <v>19</v>
      </c>
      <c r="D1083" s="2">
        <v>50815.977559664309</v>
      </c>
      <c r="E1083">
        <f>VLOOKUP(I1083,Calc!$I$35:$J$39,2,FALSE)</f>
        <v>2.5</v>
      </c>
      <c r="F1083">
        <v>10</v>
      </c>
      <c r="G1083" s="10" t="s">
        <v>53</v>
      </c>
      <c r="H1083" s="10" t="s">
        <v>294</v>
      </c>
      <c r="I1083" s="10" t="s">
        <v>36</v>
      </c>
    </row>
    <row r="1084" spans="1:9" hidden="1">
      <c r="A1084" t="s">
        <v>1949</v>
      </c>
      <c r="B1084" t="s">
        <v>3267</v>
      </c>
      <c r="C1084" t="s">
        <v>11</v>
      </c>
      <c r="D1084" s="2">
        <v>21369.500024931083</v>
      </c>
      <c r="E1084">
        <f>VLOOKUP(I1084,Calc!$I$35:$J$39,2,FALSE)</f>
        <v>2.5</v>
      </c>
      <c r="F1084">
        <v>5</v>
      </c>
      <c r="G1084" s="10" t="s">
        <v>12</v>
      </c>
      <c r="H1084" s="10" t="s">
        <v>1950</v>
      </c>
      <c r="I1084" s="10" t="s">
        <v>36</v>
      </c>
    </row>
    <row r="1085" spans="1:9" hidden="1">
      <c r="A1085" t="s">
        <v>1951</v>
      </c>
      <c r="B1085" t="s">
        <v>3268</v>
      </c>
      <c r="C1085" t="s">
        <v>19</v>
      </c>
      <c r="D1085" s="2">
        <v>55166.239522354947</v>
      </c>
      <c r="E1085">
        <f>VLOOKUP(I1085,Calc!$I$35:$J$39,2,FALSE)</f>
        <v>2.5</v>
      </c>
      <c r="F1085">
        <v>6</v>
      </c>
      <c r="G1085" s="10" t="s">
        <v>107</v>
      </c>
      <c r="H1085" s="10" t="s">
        <v>1952</v>
      </c>
      <c r="I1085" s="10" t="s">
        <v>36</v>
      </c>
    </row>
    <row r="1086" spans="1:9" hidden="1">
      <c r="A1086" t="s">
        <v>1953</v>
      </c>
      <c r="B1086" t="s">
        <v>3268</v>
      </c>
      <c r="C1086" t="s">
        <v>11</v>
      </c>
      <c r="D1086" s="2">
        <v>3205.4250037396623</v>
      </c>
      <c r="E1086">
        <f>VLOOKUP(I1086,Calc!$I$35:$J$39,2,FALSE)</f>
        <v>8</v>
      </c>
      <c r="F1086">
        <v>3</v>
      </c>
      <c r="G1086" s="10" t="s">
        <v>12</v>
      </c>
      <c r="H1086" s="10" t="s">
        <v>1954</v>
      </c>
      <c r="I1086" s="10" t="s">
        <v>22</v>
      </c>
    </row>
    <row r="1087" spans="1:9" hidden="1">
      <c r="A1087" t="s">
        <v>1955</v>
      </c>
      <c r="B1087" t="s">
        <v>3269</v>
      </c>
      <c r="C1087" t="s">
        <v>11</v>
      </c>
      <c r="D1087" s="2">
        <v>10684.750012465542</v>
      </c>
      <c r="E1087">
        <f>VLOOKUP(I1087,Calc!$I$35:$J$39,2,FALSE)</f>
        <v>2.5</v>
      </c>
      <c r="F1087">
        <v>8</v>
      </c>
      <c r="G1087" s="10" t="s">
        <v>12</v>
      </c>
      <c r="H1087" s="10" t="s">
        <v>1956</v>
      </c>
      <c r="I1087" s="10" t="s">
        <v>36</v>
      </c>
    </row>
    <row r="1088" spans="1:9" hidden="1">
      <c r="A1088" t="s">
        <v>1957</v>
      </c>
      <c r="B1088" t="s">
        <v>3268</v>
      </c>
      <c r="C1088" t="s">
        <v>11</v>
      </c>
      <c r="D1088" s="2">
        <v>5342.3750062327708</v>
      </c>
      <c r="E1088">
        <f>VLOOKUP(I1088,Calc!$I$35:$J$39,2,FALSE)</f>
        <v>5</v>
      </c>
      <c r="F1088">
        <v>5</v>
      </c>
      <c r="G1088" s="10" t="s">
        <v>12</v>
      </c>
      <c r="H1088" s="10" t="s">
        <v>10</v>
      </c>
      <c r="I1088" s="10" t="s">
        <v>14</v>
      </c>
    </row>
    <row r="1089" spans="1:9" hidden="1">
      <c r="A1089" t="s">
        <v>1958</v>
      </c>
      <c r="B1089" t="s">
        <v>3267</v>
      </c>
      <c r="C1089" t="s">
        <v>19</v>
      </c>
      <c r="D1089" s="2">
        <v>118213.37040504631</v>
      </c>
      <c r="E1089">
        <f>VLOOKUP(I1089,Calc!$I$35:$J$39,2,FALSE)</f>
        <v>2.5</v>
      </c>
      <c r="F1089">
        <v>10</v>
      </c>
      <c r="G1089" s="10" t="s">
        <v>107</v>
      </c>
      <c r="H1089" s="10" t="s">
        <v>869</v>
      </c>
      <c r="I1089" s="10" t="s">
        <v>36</v>
      </c>
    </row>
    <row r="1090" spans="1:9" hidden="1">
      <c r="A1090" t="s">
        <v>1959</v>
      </c>
      <c r="B1090" t="s">
        <v>3267</v>
      </c>
      <c r="C1090" t="s">
        <v>42</v>
      </c>
      <c r="D1090" s="2">
        <v>12192.177986291113</v>
      </c>
      <c r="E1090">
        <f>VLOOKUP(I1090,Calc!$I$35:$J$39,2,FALSE)</f>
        <v>8</v>
      </c>
      <c r="F1090">
        <v>15</v>
      </c>
      <c r="G1090" s="10" t="s">
        <v>78</v>
      </c>
      <c r="H1090" s="10" t="s">
        <v>1960</v>
      </c>
      <c r="I1090" s="10" t="s">
        <v>22</v>
      </c>
    </row>
    <row r="1091" spans="1:9" hidden="1">
      <c r="A1091" t="s">
        <v>1961</v>
      </c>
      <c r="B1091" t="s">
        <v>3249</v>
      </c>
      <c r="C1091" t="s">
        <v>19</v>
      </c>
      <c r="D1091" s="2">
        <v>70928.022243027779</v>
      </c>
      <c r="E1091">
        <f>VLOOKUP(I1091,Calc!$I$35:$J$39,2,FALSE)</f>
        <v>5</v>
      </c>
      <c r="F1091">
        <v>8</v>
      </c>
      <c r="G1091" s="10" t="s">
        <v>107</v>
      </c>
      <c r="H1091" s="10" t="s">
        <v>1962</v>
      </c>
      <c r="I1091" s="10" t="s">
        <v>14</v>
      </c>
    </row>
    <row r="1092" spans="1:9" hidden="1">
      <c r="A1092" t="s">
        <v>1963</v>
      </c>
      <c r="B1092" t="s">
        <v>3268</v>
      </c>
      <c r="C1092" t="s">
        <v>19</v>
      </c>
      <c r="D1092" s="2">
        <v>39404.456801682099</v>
      </c>
      <c r="E1092">
        <f>VLOOKUP(I1092,Calc!$I$35:$J$39,2,FALSE)</f>
        <v>5</v>
      </c>
      <c r="F1092">
        <v>3</v>
      </c>
      <c r="G1092" s="10" t="s">
        <v>107</v>
      </c>
      <c r="H1092" s="10" t="s">
        <v>1964</v>
      </c>
      <c r="I1092" s="10" t="s">
        <v>14</v>
      </c>
    </row>
    <row r="1093" spans="1:9" hidden="1">
      <c r="A1093" t="s">
        <v>1965</v>
      </c>
      <c r="B1093" t="s">
        <v>3268</v>
      </c>
      <c r="C1093" t="s">
        <v>42</v>
      </c>
      <c r="D1093" s="2">
        <v>18987</v>
      </c>
      <c r="E1093">
        <f>VLOOKUP(I1093,Calc!$I$35:$J$39,2,FALSE)</f>
        <v>8</v>
      </c>
      <c r="F1093">
        <v>7</v>
      </c>
      <c r="G1093" s="10" t="s">
        <v>1392</v>
      </c>
      <c r="H1093" s="10" t="s">
        <v>320</v>
      </c>
      <c r="I1093" s="10" t="s">
        <v>22</v>
      </c>
    </row>
    <row r="1094" spans="1:9" hidden="1">
      <c r="A1094" t="s">
        <v>1966</v>
      </c>
      <c r="B1094" t="s">
        <v>3267</v>
      </c>
      <c r="C1094" t="s">
        <v>19</v>
      </c>
      <c r="D1094" s="2">
        <v>44921.080753917595</v>
      </c>
      <c r="E1094">
        <f>VLOOKUP(I1094,Calc!$I$35:$J$39,2,FALSE)</f>
        <v>1.5</v>
      </c>
      <c r="F1094">
        <v>15</v>
      </c>
      <c r="G1094" s="10" t="s">
        <v>107</v>
      </c>
      <c r="H1094" s="10" t="s">
        <v>1967</v>
      </c>
      <c r="I1094" s="10" t="s">
        <v>47</v>
      </c>
    </row>
    <row r="1095" spans="1:9" hidden="1">
      <c r="A1095" t="s">
        <v>1968</v>
      </c>
      <c r="B1095" t="s">
        <v>3267</v>
      </c>
      <c r="C1095" t="s">
        <v>11</v>
      </c>
      <c r="D1095" s="2">
        <v>60000</v>
      </c>
      <c r="E1095">
        <f>VLOOKUP(I1095,Calc!$I$35:$J$39,2,FALSE)</f>
        <v>8</v>
      </c>
      <c r="F1095">
        <v>14</v>
      </c>
      <c r="G1095" s="10" t="s">
        <v>12</v>
      </c>
      <c r="H1095" s="10" t="s">
        <v>1024</v>
      </c>
      <c r="I1095" s="10" t="s">
        <v>22</v>
      </c>
    </row>
    <row r="1096" spans="1:9" hidden="1">
      <c r="A1096" t="s">
        <v>1969</v>
      </c>
      <c r="B1096" t="s">
        <v>3267</v>
      </c>
      <c r="C1096" t="s">
        <v>19</v>
      </c>
      <c r="D1096" s="2">
        <v>71243.257897441246</v>
      </c>
      <c r="E1096">
        <f>VLOOKUP(I1096,Calc!$I$35:$J$39,2,FALSE)</f>
        <v>2.5</v>
      </c>
      <c r="F1096">
        <v>5</v>
      </c>
      <c r="G1096" s="10" t="s">
        <v>107</v>
      </c>
      <c r="H1096" s="10" t="s">
        <v>1970</v>
      </c>
      <c r="I1096" s="10" t="s">
        <v>36</v>
      </c>
    </row>
    <row r="1097" spans="1:9" hidden="1">
      <c r="A1097" t="s">
        <v>1971</v>
      </c>
      <c r="B1097" t="s">
        <v>3267</v>
      </c>
      <c r="C1097" t="s">
        <v>11</v>
      </c>
      <c r="D1097" s="2">
        <v>4487.5950052355274</v>
      </c>
      <c r="E1097">
        <f>VLOOKUP(I1097,Calc!$I$35:$J$39,2,FALSE)</f>
        <v>1.5</v>
      </c>
      <c r="F1097">
        <v>16</v>
      </c>
      <c r="G1097" s="10" t="s">
        <v>12</v>
      </c>
      <c r="H1097" s="10" t="s">
        <v>1972</v>
      </c>
      <c r="I1097" s="10" t="s">
        <v>47</v>
      </c>
    </row>
    <row r="1098" spans="1:9" hidden="1">
      <c r="A1098" t="s">
        <v>1973</v>
      </c>
      <c r="B1098" t="s">
        <v>3269</v>
      </c>
      <c r="C1098" t="s">
        <v>11</v>
      </c>
      <c r="D1098" s="2">
        <v>4314.929445034084</v>
      </c>
      <c r="E1098">
        <f>VLOOKUP(I1098,Calc!$I$35:$J$39,2,FALSE)</f>
        <v>5</v>
      </c>
      <c r="F1098">
        <v>7</v>
      </c>
      <c r="G1098" s="10" t="s">
        <v>12</v>
      </c>
      <c r="H1098" s="10" t="s">
        <v>1483</v>
      </c>
      <c r="I1098" s="10" t="s">
        <v>14</v>
      </c>
    </row>
    <row r="1099" spans="1:9" hidden="1">
      <c r="A1099" t="s">
        <v>1974</v>
      </c>
      <c r="B1099" t="s">
        <v>3268</v>
      </c>
      <c r="C1099" t="s">
        <v>11</v>
      </c>
      <c r="D1099" s="2">
        <v>3739.6625043629392</v>
      </c>
      <c r="E1099">
        <f>VLOOKUP(I1099,Calc!$I$35:$J$39,2,FALSE)</f>
        <v>8</v>
      </c>
      <c r="F1099">
        <v>1</v>
      </c>
      <c r="G1099" s="10" t="s">
        <v>12</v>
      </c>
      <c r="H1099" s="10" t="s">
        <v>1975</v>
      </c>
      <c r="I1099" s="10" t="s">
        <v>22</v>
      </c>
    </row>
    <row r="1100" spans="1:9" hidden="1">
      <c r="A1100" t="s">
        <v>1976</v>
      </c>
      <c r="B1100" t="s">
        <v>3267</v>
      </c>
      <c r="C1100" t="s">
        <v>19</v>
      </c>
      <c r="D1100" s="2">
        <v>76223.966339496474</v>
      </c>
      <c r="E1100">
        <f>VLOOKUP(I1100,Calc!$I$35:$J$39,2,FALSE)</f>
        <v>1.5</v>
      </c>
      <c r="F1100">
        <v>4</v>
      </c>
      <c r="G1100" s="10" t="s">
        <v>833</v>
      </c>
      <c r="H1100" s="10" t="s">
        <v>1977</v>
      </c>
      <c r="I1100" s="10" t="s">
        <v>47</v>
      </c>
    </row>
    <row r="1101" spans="1:9" hidden="1">
      <c r="A1101" t="s">
        <v>1978</v>
      </c>
      <c r="B1101" t="s">
        <v>3267</v>
      </c>
      <c r="C1101" t="s">
        <v>48</v>
      </c>
      <c r="D1101" s="2">
        <v>32666.305522511171</v>
      </c>
      <c r="E1101">
        <f>VLOOKUP(I1101,Calc!$I$35:$J$39,2,FALSE)</f>
        <v>2.5</v>
      </c>
      <c r="F1101">
        <v>12</v>
      </c>
      <c r="G1101" s="10" t="s">
        <v>191</v>
      </c>
      <c r="H1101" s="10" t="s">
        <v>1031</v>
      </c>
      <c r="I1101" s="10" t="s">
        <v>36</v>
      </c>
    </row>
    <row r="1102" spans="1:9" hidden="1">
      <c r="A1102" t="s">
        <v>1979</v>
      </c>
      <c r="B1102" t="s">
        <v>77</v>
      </c>
      <c r="C1102" t="s">
        <v>19</v>
      </c>
      <c r="D1102" s="2">
        <v>19000</v>
      </c>
      <c r="E1102">
        <f>VLOOKUP(I1102,Calc!$I$35:$J$39,2,FALSE)</f>
        <v>8</v>
      </c>
      <c r="F1102">
        <v>8</v>
      </c>
      <c r="G1102" s="10" t="s">
        <v>107</v>
      </c>
      <c r="H1102" s="10" t="s">
        <v>1980</v>
      </c>
      <c r="I1102" s="10" t="s">
        <v>22</v>
      </c>
    </row>
    <row r="1103" spans="1:9" hidden="1">
      <c r="A1103" t="s">
        <v>1981</v>
      </c>
      <c r="B1103" t="s">
        <v>3266</v>
      </c>
      <c r="C1103" t="s">
        <v>19</v>
      </c>
      <c r="D1103" s="2">
        <v>63519.971949580387</v>
      </c>
      <c r="E1103">
        <f>VLOOKUP(I1103,Calc!$I$35:$J$39,2,FALSE)</f>
        <v>2.5</v>
      </c>
      <c r="F1103">
        <v>14</v>
      </c>
      <c r="G1103" s="10" t="s">
        <v>53</v>
      </c>
      <c r="H1103" s="10" t="s">
        <v>1982</v>
      </c>
      <c r="I1103" s="10" t="s">
        <v>36</v>
      </c>
    </row>
    <row r="1104" spans="1:9" hidden="1">
      <c r="A1104" t="s">
        <v>1983</v>
      </c>
      <c r="B1104" t="s">
        <v>3267</v>
      </c>
      <c r="C1104" t="s">
        <v>11</v>
      </c>
      <c r="D1104" s="2">
        <v>16027.125018698311</v>
      </c>
      <c r="E1104">
        <f>VLOOKUP(I1104,Calc!$I$35:$J$39,2,FALSE)</f>
        <v>5</v>
      </c>
      <c r="F1104">
        <v>22</v>
      </c>
      <c r="G1104" s="10" t="s">
        <v>12</v>
      </c>
      <c r="H1104" s="10" t="s">
        <v>1984</v>
      </c>
      <c r="I1104" s="10" t="s">
        <v>14</v>
      </c>
    </row>
    <row r="1105" spans="1:9" hidden="1">
      <c r="A1105" t="s">
        <v>1985</v>
      </c>
      <c r="B1105" t="s">
        <v>77</v>
      </c>
      <c r="C1105" t="s">
        <v>11</v>
      </c>
      <c r="D1105" s="2">
        <v>7123.1666749770275</v>
      </c>
      <c r="E1105">
        <f>VLOOKUP(I1105,Calc!$I$35:$J$39,2,FALSE)</f>
        <v>5</v>
      </c>
      <c r="F1105">
        <v>9</v>
      </c>
      <c r="G1105" s="10" t="s">
        <v>12</v>
      </c>
      <c r="H1105" s="10" t="s">
        <v>1986</v>
      </c>
      <c r="I1105" s="10" t="s">
        <v>14</v>
      </c>
    </row>
    <row r="1106" spans="1:9" hidden="1">
      <c r="A1106" t="s">
        <v>1987</v>
      </c>
      <c r="B1106" t="s">
        <v>3267</v>
      </c>
      <c r="C1106" t="s">
        <v>11</v>
      </c>
      <c r="D1106" s="2">
        <v>2675.675098121621</v>
      </c>
      <c r="E1106">
        <f>VLOOKUP(I1106,Calc!$I$35:$J$39,2,FALSE)</f>
        <v>2.5</v>
      </c>
      <c r="F1106">
        <v>5</v>
      </c>
      <c r="G1106" s="10" t="s">
        <v>12</v>
      </c>
      <c r="H1106" s="10" t="s">
        <v>1988</v>
      </c>
      <c r="I1106" s="10" t="s">
        <v>36</v>
      </c>
    </row>
    <row r="1107" spans="1:9" hidden="1">
      <c r="A1107" t="s">
        <v>1989</v>
      </c>
      <c r="B1107" t="s">
        <v>77</v>
      </c>
      <c r="C1107" t="s">
        <v>19</v>
      </c>
      <c r="D1107" s="2">
        <v>23642.674081009263</v>
      </c>
      <c r="E1107">
        <f>VLOOKUP(I1107,Calc!$I$35:$J$39,2,FALSE)</f>
        <v>8</v>
      </c>
      <c r="F1107">
        <v>2</v>
      </c>
      <c r="G1107" s="10" t="s">
        <v>107</v>
      </c>
      <c r="H1107" s="10" t="s">
        <v>1980</v>
      </c>
      <c r="I1107" s="10" t="s">
        <v>22</v>
      </c>
    </row>
    <row r="1108" spans="1:9" hidden="1">
      <c r="A1108" t="s">
        <v>1990</v>
      </c>
      <c r="B1108" t="s">
        <v>3267</v>
      </c>
      <c r="C1108" t="s">
        <v>19</v>
      </c>
      <c r="D1108" s="2">
        <v>57167.974754622352</v>
      </c>
      <c r="E1108">
        <f>VLOOKUP(I1108,Calc!$I$35:$J$39,2,FALSE)</f>
        <v>5</v>
      </c>
      <c r="F1108">
        <v>14</v>
      </c>
      <c r="G1108" s="10" t="s">
        <v>976</v>
      </c>
      <c r="H1108" s="10" t="s">
        <v>1991</v>
      </c>
      <c r="I1108" s="10" t="s">
        <v>14</v>
      </c>
    </row>
    <row r="1109" spans="1:9" hidden="1">
      <c r="A1109" t="s">
        <v>1992</v>
      </c>
      <c r="B1109" t="s">
        <v>3267</v>
      </c>
      <c r="C1109" t="s">
        <v>11</v>
      </c>
      <c r="D1109" s="2">
        <v>42739.000049862167</v>
      </c>
      <c r="E1109">
        <f>VLOOKUP(I1109,Calc!$I$35:$J$39,2,FALSE)</f>
        <v>8</v>
      </c>
      <c r="F1109">
        <v>10</v>
      </c>
      <c r="G1109" s="10" t="s">
        <v>12</v>
      </c>
      <c r="H1109" s="10" t="s">
        <v>1993</v>
      </c>
      <c r="I1109" s="10" t="s">
        <v>22</v>
      </c>
    </row>
    <row r="1110" spans="1:9" hidden="1">
      <c r="A1110" t="s">
        <v>1994</v>
      </c>
      <c r="B1110" t="s">
        <v>3267</v>
      </c>
      <c r="C1110" t="s">
        <v>11</v>
      </c>
      <c r="D1110" s="2">
        <v>5120.2912876821438</v>
      </c>
      <c r="E1110">
        <f>VLOOKUP(I1110,Calc!$I$35:$J$39,2,FALSE)</f>
        <v>5</v>
      </c>
      <c r="F1110">
        <v>2</v>
      </c>
      <c r="G1110" s="10" t="s">
        <v>566</v>
      </c>
      <c r="H1110" s="10" t="s">
        <v>844</v>
      </c>
      <c r="I1110" s="10" t="s">
        <v>14</v>
      </c>
    </row>
    <row r="1111" spans="1:9" hidden="1">
      <c r="A1111" t="s">
        <v>1995</v>
      </c>
      <c r="B1111" t="s">
        <v>3249</v>
      </c>
      <c r="C1111" t="s">
        <v>19</v>
      </c>
      <c r="D1111" s="2">
        <v>127039.94389916077</v>
      </c>
      <c r="E1111">
        <f>VLOOKUP(I1111,Calc!$I$35:$J$39,2,FALSE)</f>
        <v>1.5</v>
      </c>
      <c r="F1111">
        <v>20</v>
      </c>
      <c r="G1111" s="10" t="s">
        <v>976</v>
      </c>
      <c r="H1111" s="10" t="s">
        <v>327</v>
      </c>
      <c r="I1111" s="10" t="s">
        <v>47</v>
      </c>
    </row>
    <row r="1112" spans="1:9" hidden="1">
      <c r="A1112" t="s">
        <v>1996</v>
      </c>
      <c r="B1112" t="s">
        <v>3267</v>
      </c>
      <c r="C1112" t="s">
        <v>29</v>
      </c>
      <c r="D1112" s="2">
        <v>90000</v>
      </c>
      <c r="E1112">
        <f>VLOOKUP(I1112,Calc!$I$35:$J$39,2,FALSE)</f>
        <v>5</v>
      </c>
      <c r="F1112">
        <v>5</v>
      </c>
      <c r="G1112" s="10" t="s">
        <v>30</v>
      </c>
      <c r="H1112" s="10" t="s">
        <v>1997</v>
      </c>
      <c r="I1112" s="10" t="s">
        <v>14</v>
      </c>
    </row>
    <row r="1113" spans="1:9" hidden="1">
      <c r="A1113" t="s">
        <v>1998</v>
      </c>
      <c r="B1113" t="s">
        <v>3266</v>
      </c>
      <c r="C1113" t="s">
        <v>11</v>
      </c>
      <c r="D1113" s="2">
        <v>7123.1666749770275</v>
      </c>
      <c r="E1113">
        <f>VLOOKUP(I1113,Calc!$I$35:$J$39,2,FALSE)</f>
        <v>1.5</v>
      </c>
      <c r="F1113">
        <v>2</v>
      </c>
      <c r="G1113" s="10" t="s">
        <v>12</v>
      </c>
      <c r="H1113" s="10" t="s">
        <v>1999</v>
      </c>
      <c r="I1113" s="10" t="s">
        <v>47</v>
      </c>
    </row>
    <row r="1114" spans="1:9" hidden="1">
      <c r="A1114" t="s">
        <v>2000</v>
      </c>
      <c r="B1114" t="s">
        <v>3268</v>
      </c>
      <c r="C1114" t="s">
        <v>11</v>
      </c>
      <c r="D1114" s="2">
        <v>10000</v>
      </c>
      <c r="E1114">
        <f>VLOOKUP(I1114,Calc!$I$35:$J$39,2,FALSE)</f>
        <v>2.5</v>
      </c>
      <c r="F1114">
        <v>5</v>
      </c>
      <c r="G1114" s="10" t="s">
        <v>12</v>
      </c>
      <c r="H1114" s="10" t="s">
        <v>1039</v>
      </c>
      <c r="I1114" s="10" t="s">
        <v>36</v>
      </c>
    </row>
    <row r="1115" spans="1:9" hidden="1">
      <c r="A1115" t="s">
        <v>2001</v>
      </c>
      <c r="B1115" t="s">
        <v>3268</v>
      </c>
      <c r="C1115" t="s">
        <v>19</v>
      </c>
      <c r="D1115" s="2">
        <v>45709.169889951241</v>
      </c>
      <c r="E1115">
        <f>VLOOKUP(I1115,Calc!$I$35:$J$39,2,FALSE)</f>
        <v>5</v>
      </c>
      <c r="F1115">
        <v>14</v>
      </c>
      <c r="G1115" s="10" t="s">
        <v>107</v>
      </c>
      <c r="H1115" s="10" t="s">
        <v>31</v>
      </c>
      <c r="I1115" s="10" t="s">
        <v>14</v>
      </c>
    </row>
    <row r="1116" spans="1:9" hidden="1">
      <c r="A1116" t="s">
        <v>2002</v>
      </c>
      <c r="B1116" t="s">
        <v>77</v>
      </c>
      <c r="C1116" t="s">
        <v>11</v>
      </c>
      <c r="D1116" s="2">
        <v>3561.5833374885137</v>
      </c>
      <c r="E1116">
        <f>VLOOKUP(I1116,Calc!$I$35:$J$39,2,FALSE)</f>
        <v>8</v>
      </c>
      <c r="F1116">
        <v>5</v>
      </c>
      <c r="G1116" s="10" t="s">
        <v>12</v>
      </c>
      <c r="H1116" s="10" t="s">
        <v>2003</v>
      </c>
      <c r="I1116" s="10" t="s">
        <v>22</v>
      </c>
    </row>
    <row r="1117" spans="1:9" hidden="1">
      <c r="A1117" t="s">
        <v>2004</v>
      </c>
      <c r="B1117" t="s">
        <v>3268</v>
      </c>
      <c r="C1117" t="s">
        <v>19</v>
      </c>
      <c r="D1117" s="2">
        <v>38111.983169748237</v>
      </c>
      <c r="E1117">
        <f>VLOOKUP(I1117,Calc!$I$35:$J$39,2,FALSE)</f>
        <v>1.5</v>
      </c>
      <c r="F1117">
        <v>15</v>
      </c>
      <c r="G1117" s="10" t="s">
        <v>96</v>
      </c>
      <c r="H1117" s="10" t="s">
        <v>2005</v>
      </c>
      <c r="I1117" s="10" t="s">
        <v>47</v>
      </c>
    </row>
    <row r="1118" spans="1:9">
      <c r="A1118" t="s">
        <v>2006</v>
      </c>
      <c r="B1118" t="s">
        <v>3268</v>
      </c>
      <c r="C1118" t="s">
        <v>29</v>
      </c>
      <c r="D1118" s="2">
        <v>60000</v>
      </c>
      <c r="E1118">
        <f>VLOOKUP(I1118,Calc!$I$35:$J$39,2,FALSE)</f>
        <v>2.5</v>
      </c>
      <c r="F1118">
        <v>4</v>
      </c>
      <c r="G1118" s="10" t="s">
        <v>30</v>
      </c>
      <c r="H1118" s="10" t="s">
        <v>2007</v>
      </c>
      <c r="I1118" s="10" t="s">
        <v>36</v>
      </c>
    </row>
    <row r="1119" spans="1:9" hidden="1">
      <c r="A1119" t="s">
        <v>2008</v>
      </c>
      <c r="B1119" t="s">
        <v>3266</v>
      </c>
      <c r="C1119" t="s">
        <v>11</v>
      </c>
      <c r="D1119" s="2">
        <v>40000</v>
      </c>
      <c r="E1119">
        <f>VLOOKUP(I1119,Calc!$I$35:$J$39,2,FALSE)</f>
        <v>2.5</v>
      </c>
      <c r="F1119">
        <v>2</v>
      </c>
      <c r="G1119" s="10" t="s">
        <v>12</v>
      </c>
      <c r="H1119" s="10" t="s">
        <v>38</v>
      </c>
      <c r="I1119" s="10" t="s">
        <v>36</v>
      </c>
    </row>
    <row r="1120" spans="1:9" hidden="1">
      <c r="A1120" t="s">
        <v>2009</v>
      </c>
      <c r="B1120" t="s">
        <v>3268</v>
      </c>
      <c r="C1120" t="s">
        <v>11</v>
      </c>
      <c r="D1120" s="2">
        <v>15190.15293438851</v>
      </c>
      <c r="E1120">
        <f>VLOOKUP(I1120,Calc!$I$35:$J$39,2,FALSE)</f>
        <v>2.5</v>
      </c>
      <c r="F1120">
        <v>6</v>
      </c>
      <c r="G1120" s="10" t="s">
        <v>12</v>
      </c>
      <c r="H1120" s="10" t="s">
        <v>2010</v>
      </c>
      <c r="I1120" s="10" t="s">
        <v>36</v>
      </c>
    </row>
    <row r="1121" spans="1:9" hidden="1">
      <c r="A1121" t="s">
        <v>2011</v>
      </c>
      <c r="B1121" t="s">
        <v>3267</v>
      </c>
      <c r="C1121" t="s">
        <v>19</v>
      </c>
      <c r="D1121" s="2">
        <v>114335.9495092447</v>
      </c>
      <c r="E1121">
        <f>VLOOKUP(I1121,Calc!$I$35:$J$39,2,FALSE)</f>
        <v>2.5</v>
      </c>
      <c r="F1121">
        <v>20</v>
      </c>
      <c r="G1121" s="10" t="s">
        <v>2012</v>
      </c>
      <c r="H1121" s="10" t="s">
        <v>2013</v>
      </c>
      <c r="I1121" s="10" t="s">
        <v>36</v>
      </c>
    </row>
    <row r="1122" spans="1:9" hidden="1">
      <c r="A1122" t="s">
        <v>2014</v>
      </c>
      <c r="B1122" t="s">
        <v>3267</v>
      </c>
      <c r="C1122" t="s">
        <v>19</v>
      </c>
      <c r="D1122" s="2">
        <v>36252.100257547536</v>
      </c>
      <c r="E1122">
        <f>VLOOKUP(I1122,Calc!$I$35:$J$39,2,FALSE)</f>
        <v>5</v>
      </c>
      <c r="F1122">
        <v>10</v>
      </c>
      <c r="G1122" s="10" t="s">
        <v>107</v>
      </c>
      <c r="H1122" s="10" t="s">
        <v>2015</v>
      </c>
      <c r="I1122" s="10" t="s">
        <v>14</v>
      </c>
    </row>
    <row r="1123" spans="1:9" hidden="1">
      <c r="A1123" t="s">
        <v>2016</v>
      </c>
      <c r="B1123" t="s">
        <v>3269</v>
      </c>
      <c r="C1123" t="s">
        <v>19</v>
      </c>
      <c r="D1123" s="2">
        <v>47285.348162018527</v>
      </c>
      <c r="E1123">
        <f>VLOOKUP(I1123,Calc!$I$35:$J$39,2,FALSE)</f>
        <v>2.5</v>
      </c>
      <c r="F1123">
        <v>5</v>
      </c>
      <c r="G1123" s="10" t="s">
        <v>107</v>
      </c>
      <c r="H1123" s="10" t="s">
        <v>2017</v>
      </c>
      <c r="I1123" s="10" t="s">
        <v>36</v>
      </c>
    </row>
    <row r="1124" spans="1:9" hidden="1">
      <c r="A1124" t="s">
        <v>2018</v>
      </c>
      <c r="B1124" t="s">
        <v>3264</v>
      </c>
      <c r="C1124" t="s">
        <v>19</v>
      </c>
      <c r="D1124" s="2">
        <v>88927.960729412545</v>
      </c>
      <c r="E1124">
        <f>VLOOKUP(I1124,Calc!$I$35:$J$39,2,FALSE)</f>
        <v>2.5</v>
      </c>
      <c r="F1124">
        <v>20</v>
      </c>
      <c r="G1124" s="10" t="s">
        <v>60</v>
      </c>
      <c r="H1124" s="10" t="s">
        <v>2019</v>
      </c>
      <c r="I1124" s="10" t="s">
        <v>36</v>
      </c>
    </row>
    <row r="1125" spans="1:9" hidden="1">
      <c r="A1125" t="s">
        <v>2020</v>
      </c>
      <c r="B1125" t="s">
        <v>3269</v>
      </c>
      <c r="C1125" t="s">
        <v>42</v>
      </c>
      <c r="D1125" s="2">
        <v>6000</v>
      </c>
      <c r="E1125">
        <f>VLOOKUP(I1125,Calc!$I$35:$J$39,2,FALSE)</f>
        <v>8</v>
      </c>
      <c r="F1125">
        <v>5</v>
      </c>
      <c r="G1125" s="10" t="s">
        <v>1709</v>
      </c>
      <c r="H1125" s="10" t="s">
        <v>2021</v>
      </c>
      <c r="I1125" s="10" t="s">
        <v>22</v>
      </c>
    </row>
    <row r="1126" spans="1:9">
      <c r="A1126" t="s">
        <v>2022</v>
      </c>
      <c r="B1126" t="s">
        <v>3268</v>
      </c>
      <c r="C1126" t="s">
        <v>29</v>
      </c>
      <c r="D1126" s="2">
        <v>35000</v>
      </c>
      <c r="E1126">
        <f>VLOOKUP(I1126,Calc!$I$35:$J$39,2,FALSE)</f>
        <v>8</v>
      </c>
      <c r="F1126">
        <v>20</v>
      </c>
      <c r="G1126" s="10" t="s">
        <v>30</v>
      </c>
      <c r="H1126" s="10" t="s">
        <v>2023</v>
      </c>
      <c r="I1126" s="10" t="s">
        <v>22</v>
      </c>
    </row>
    <row r="1127" spans="1:9" hidden="1">
      <c r="A1127" t="s">
        <v>2024</v>
      </c>
      <c r="B1127" t="s">
        <v>3268</v>
      </c>
      <c r="C1127" t="s">
        <v>19</v>
      </c>
      <c r="D1127" s="2">
        <v>55166.239522354947</v>
      </c>
      <c r="E1127">
        <f>VLOOKUP(I1127,Calc!$I$35:$J$39,2,FALSE)</f>
        <v>5</v>
      </c>
      <c r="F1127">
        <v>10</v>
      </c>
      <c r="G1127" s="10" t="s">
        <v>107</v>
      </c>
      <c r="H1127" s="10" t="s">
        <v>2025</v>
      </c>
      <c r="I1127" s="10" t="s">
        <v>14</v>
      </c>
    </row>
    <row r="1128" spans="1:9" hidden="1">
      <c r="A1128" t="s">
        <v>2026</v>
      </c>
      <c r="B1128" t="s">
        <v>3269</v>
      </c>
      <c r="C1128" t="s">
        <v>11</v>
      </c>
      <c r="D1128" s="2">
        <v>1783.166904422254</v>
      </c>
      <c r="E1128">
        <f>VLOOKUP(I1128,Calc!$I$35:$J$39,2,FALSE)</f>
        <v>5</v>
      </c>
      <c r="F1128">
        <v>10</v>
      </c>
      <c r="G1128" s="10" t="s">
        <v>34</v>
      </c>
      <c r="H1128" s="10" t="s">
        <v>2027</v>
      </c>
      <c r="I1128" s="10" t="s">
        <v>14</v>
      </c>
    </row>
    <row r="1129" spans="1:9" hidden="1">
      <c r="A1129" t="s">
        <v>2028</v>
      </c>
      <c r="B1129" t="s">
        <v>3267</v>
      </c>
      <c r="C1129" t="s">
        <v>19</v>
      </c>
      <c r="D1129" s="2">
        <v>13500</v>
      </c>
      <c r="E1129">
        <f>VLOOKUP(I1129,Calc!$I$35:$J$39,2,FALSE)</f>
        <v>5</v>
      </c>
      <c r="F1129">
        <v>13</v>
      </c>
      <c r="G1129" s="10" t="s">
        <v>2029</v>
      </c>
      <c r="H1129" s="10" t="s">
        <v>262</v>
      </c>
      <c r="I1129" s="10" t="s">
        <v>14</v>
      </c>
    </row>
    <row r="1130" spans="1:9" hidden="1">
      <c r="A1130" t="s">
        <v>2030</v>
      </c>
      <c r="B1130" t="s">
        <v>3269</v>
      </c>
      <c r="C1130" t="s">
        <v>19</v>
      </c>
      <c r="D1130" s="2">
        <v>59106.685202523156</v>
      </c>
      <c r="E1130">
        <f>VLOOKUP(I1130,Calc!$I$35:$J$39,2,FALSE)</f>
        <v>2.5</v>
      </c>
      <c r="F1130">
        <v>5</v>
      </c>
      <c r="G1130" s="10" t="s">
        <v>107</v>
      </c>
      <c r="H1130" s="10" t="s">
        <v>2031</v>
      </c>
      <c r="I1130" s="10" t="s">
        <v>36</v>
      </c>
    </row>
    <row r="1131" spans="1:9" hidden="1">
      <c r="A1131" t="s">
        <v>2032</v>
      </c>
      <c r="B1131" t="s">
        <v>3267</v>
      </c>
      <c r="C1131" t="s">
        <v>11</v>
      </c>
      <c r="D1131" s="2">
        <v>12608.005014709339</v>
      </c>
      <c r="E1131">
        <f>VLOOKUP(I1131,Calc!$I$35:$J$39,2,FALSE)</f>
        <v>5</v>
      </c>
      <c r="F1131">
        <v>5</v>
      </c>
      <c r="G1131" s="10" t="s">
        <v>12</v>
      </c>
      <c r="H1131" s="10" t="s">
        <v>2033</v>
      </c>
      <c r="I1131" s="10" t="s">
        <v>14</v>
      </c>
    </row>
    <row r="1132" spans="1:9" hidden="1">
      <c r="A1132" t="s">
        <v>2034</v>
      </c>
      <c r="B1132" t="s">
        <v>3269</v>
      </c>
      <c r="C1132" t="s">
        <v>42</v>
      </c>
      <c r="D1132" s="2">
        <v>44654.095718350931</v>
      </c>
      <c r="E1132">
        <f>VLOOKUP(I1132,Calc!$I$35:$J$39,2,FALSE)</f>
        <v>8</v>
      </c>
      <c r="F1132">
        <v>15</v>
      </c>
      <c r="G1132" s="10" t="s">
        <v>78</v>
      </c>
      <c r="H1132" s="10" t="s">
        <v>56</v>
      </c>
      <c r="I1132" s="10" t="s">
        <v>22</v>
      </c>
    </row>
    <row r="1133" spans="1:9">
      <c r="A1133" t="s">
        <v>2035</v>
      </c>
      <c r="B1133" t="s">
        <v>3268</v>
      </c>
      <c r="C1133" t="s">
        <v>29</v>
      </c>
      <c r="D1133" s="2">
        <v>69000</v>
      </c>
      <c r="E1133">
        <f>VLOOKUP(I1133,Calc!$I$35:$J$39,2,FALSE)</f>
        <v>2.5</v>
      </c>
      <c r="F1133">
        <v>20</v>
      </c>
      <c r="G1133" s="10" t="s">
        <v>30</v>
      </c>
      <c r="H1133" s="10" t="s">
        <v>2036</v>
      </c>
      <c r="I1133" s="10" t="s">
        <v>36</v>
      </c>
    </row>
    <row r="1134" spans="1:9" hidden="1">
      <c r="A1134" t="s">
        <v>2037</v>
      </c>
      <c r="B1134" t="s">
        <v>3267</v>
      </c>
      <c r="C1134" t="s">
        <v>11</v>
      </c>
      <c r="D1134" s="2">
        <v>6000</v>
      </c>
      <c r="E1134">
        <f>VLOOKUP(I1134,Calc!$I$35:$J$39,2,FALSE)</f>
        <v>5</v>
      </c>
      <c r="F1134">
        <v>6</v>
      </c>
      <c r="G1134" s="10" t="s">
        <v>12</v>
      </c>
      <c r="H1134" s="10" t="s">
        <v>2038</v>
      </c>
      <c r="I1134" s="10" t="s">
        <v>14</v>
      </c>
    </row>
    <row r="1135" spans="1:9" hidden="1">
      <c r="A1135" t="s">
        <v>2039</v>
      </c>
      <c r="B1135" t="s">
        <v>3267</v>
      </c>
      <c r="C1135" t="s">
        <v>11</v>
      </c>
      <c r="D1135" s="2">
        <v>8903.9583437212841</v>
      </c>
      <c r="E1135">
        <f>VLOOKUP(I1135,Calc!$I$35:$J$39,2,FALSE)</f>
        <v>1.5</v>
      </c>
      <c r="F1135">
        <v>25</v>
      </c>
      <c r="G1135" s="10" t="s">
        <v>12</v>
      </c>
      <c r="H1135" s="10" t="s">
        <v>1489</v>
      </c>
      <c r="I1135" s="10" t="s">
        <v>47</v>
      </c>
    </row>
    <row r="1136" spans="1:9" hidden="1">
      <c r="A1136" t="s">
        <v>2040</v>
      </c>
      <c r="B1136" t="s">
        <v>3267</v>
      </c>
      <c r="C1136" t="s">
        <v>3248</v>
      </c>
      <c r="D1136" s="2">
        <v>30000</v>
      </c>
      <c r="E1136">
        <f>VLOOKUP(I1136,Calc!$I$35:$J$39,2,FALSE)</f>
        <v>8</v>
      </c>
      <c r="F1136">
        <v>17</v>
      </c>
      <c r="G1136" s="10" t="s">
        <v>254</v>
      </c>
      <c r="H1136" s="10" t="s">
        <v>2041</v>
      </c>
      <c r="I1136" s="10" t="s">
        <v>22</v>
      </c>
    </row>
    <row r="1137" spans="1:9" hidden="1">
      <c r="A1137" t="s">
        <v>2042</v>
      </c>
      <c r="B1137" t="s">
        <v>3268</v>
      </c>
      <c r="C1137" t="s">
        <v>11</v>
      </c>
      <c r="D1137" s="2">
        <v>8600</v>
      </c>
      <c r="E1137">
        <f>VLOOKUP(I1137,Calc!$I$35:$J$39,2,FALSE)</f>
        <v>5</v>
      </c>
      <c r="F1137">
        <v>2</v>
      </c>
      <c r="G1137" s="10" t="s">
        <v>12</v>
      </c>
      <c r="H1137" s="10" t="s">
        <v>2043</v>
      </c>
      <c r="I1137" s="10" t="s">
        <v>14</v>
      </c>
    </row>
    <row r="1138" spans="1:9" hidden="1">
      <c r="A1138" t="s">
        <v>2044</v>
      </c>
      <c r="B1138" t="s">
        <v>3268</v>
      </c>
      <c r="C1138" t="s">
        <v>19</v>
      </c>
      <c r="D1138" s="2">
        <v>81600</v>
      </c>
      <c r="E1138">
        <f>VLOOKUP(I1138,Calc!$I$35:$J$39,2,FALSE)</f>
        <v>5</v>
      </c>
      <c r="F1138">
        <v>4</v>
      </c>
      <c r="G1138" s="10" t="s">
        <v>107</v>
      </c>
      <c r="H1138" s="10" t="s">
        <v>2045</v>
      </c>
      <c r="I1138" s="10" t="s">
        <v>14</v>
      </c>
    </row>
    <row r="1139" spans="1:9" hidden="1">
      <c r="A1139" t="s">
        <v>2046</v>
      </c>
      <c r="B1139" t="s">
        <v>3268</v>
      </c>
      <c r="C1139" t="s">
        <v>3248</v>
      </c>
      <c r="D1139" s="2">
        <v>15404.364569961488</v>
      </c>
      <c r="E1139">
        <f>VLOOKUP(I1139,Calc!$I$35:$J$39,2,FALSE)</f>
        <v>8</v>
      </c>
      <c r="F1139">
        <v>3</v>
      </c>
      <c r="G1139" s="10" t="s">
        <v>2047</v>
      </c>
      <c r="H1139" s="10" t="s">
        <v>2048</v>
      </c>
      <c r="I1139" s="10" t="s">
        <v>22</v>
      </c>
    </row>
    <row r="1140" spans="1:9">
      <c r="A1140" t="s">
        <v>2049</v>
      </c>
      <c r="B1140" t="s">
        <v>3268</v>
      </c>
      <c r="C1140" t="s">
        <v>29</v>
      </c>
      <c r="D1140" s="2">
        <v>63918.498996971248</v>
      </c>
      <c r="E1140">
        <f>VLOOKUP(I1140,Calc!$I$35:$J$39,2,FALSE)</f>
        <v>5</v>
      </c>
      <c r="F1140">
        <v>20</v>
      </c>
      <c r="G1140" s="10" t="s">
        <v>128</v>
      </c>
      <c r="H1140" s="10" t="s">
        <v>2050</v>
      </c>
      <c r="I1140" s="10" t="s">
        <v>14</v>
      </c>
    </row>
    <row r="1141" spans="1:9" hidden="1">
      <c r="A1141" t="s">
        <v>2051</v>
      </c>
      <c r="B1141" t="s">
        <v>3263</v>
      </c>
      <c r="C1141" t="s">
        <v>29</v>
      </c>
      <c r="D1141" s="2">
        <v>75000</v>
      </c>
      <c r="E1141">
        <f>VLOOKUP(I1141,Calc!$I$35:$J$39,2,FALSE)</f>
        <v>2.5</v>
      </c>
      <c r="F1141">
        <v>20</v>
      </c>
      <c r="G1141" s="10" t="s">
        <v>30</v>
      </c>
      <c r="H1141" s="10" t="s">
        <v>18</v>
      </c>
      <c r="I1141" s="10" t="s">
        <v>36</v>
      </c>
    </row>
    <row r="1142" spans="1:9">
      <c r="A1142" t="s">
        <v>2052</v>
      </c>
      <c r="B1142" t="s">
        <v>3268</v>
      </c>
      <c r="C1142" t="s">
        <v>29</v>
      </c>
      <c r="D1142" s="2">
        <v>59000</v>
      </c>
      <c r="E1142">
        <f>VLOOKUP(I1142,Calc!$I$35:$J$39,2,FALSE)</f>
        <v>5</v>
      </c>
      <c r="F1142">
        <v>14</v>
      </c>
      <c r="G1142" s="10" t="s">
        <v>30</v>
      </c>
      <c r="H1142" s="10" t="s">
        <v>644</v>
      </c>
      <c r="I1142" s="10" t="s">
        <v>14</v>
      </c>
    </row>
    <row r="1143" spans="1:9" hidden="1">
      <c r="A1143" t="s">
        <v>2053</v>
      </c>
      <c r="B1143" t="s">
        <v>3267</v>
      </c>
      <c r="C1143" t="s">
        <v>29</v>
      </c>
      <c r="D1143" s="2">
        <v>50000</v>
      </c>
      <c r="E1143">
        <f>VLOOKUP(I1143,Calc!$I$35:$J$39,2,FALSE)</f>
        <v>1.5</v>
      </c>
      <c r="F1143">
        <v>5</v>
      </c>
      <c r="G1143" s="10" t="s">
        <v>128</v>
      </c>
      <c r="H1143" s="10" t="s">
        <v>907</v>
      </c>
      <c r="I1143" s="10" t="s">
        <v>47</v>
      </c>
    </row>
    <row r="1144" spans="1:9" hidden="1">
      <c r="A1144" t="s">
        <v>2054</v>
      </c>
      <c r="B1144" t="s">
        <v>3263</v>
      </c>
      <c r="C1144" t="s">
        <v>19</v>
      </c>
      <c r="D1144" s="2">
        <v>126094.26176538273</v>
      </c>
      <c r="E1144">
        <f>VLOOKUP(I1144,Calc!$I$35:$J$39,2,FALSE)</f>
        <v>5</v>
      </c>
      <c r="F1144">
        <v>15</v>
      </c>
      <c r="G1144" s="10" t="s">
        <v>107</v>
      </c>
      <c r="H1144" s="10" t="s">
        <v>276</v>
      </c>
      <c r="I1144" s="10" t="s">
        <v>14</v>
      </c>
    </row>
    <row r="1145" spans="1:9" hidden="1">
      <c r="A1145" t="s">
        <v>2055</v>
      </c>
      <c r="B1145" t="s">
        <v>3267</v>
      </c>
      <c r="C1145" t="s">
        <v>3248</v>
      </c>
      <c r="D1145" s="2">
        <v>26691.183012544854</v>
      </c>
      <c r="E1145">
        <f>VLOOKUP(I1145,Calc!$I$35:$J$39,2,FALSE)</f>
        <v>1.5</v>
      </c>
      <c r="F1145">
        <v>7</v>
      </c>
      <c r="G1145" s="10" t="s">
        <v>216</v>
      </c>
      <c r="H1145" s="10" t="s">
        <v>2056</v>
      </c>
      <c r="I1145" s="10" t="s">
        <v>47</v>
      </c>
    </row>
    <row r="1146" spans="1:9" hidden="1">
      <c r="A1146" t="s">
        <v>2057</v>
      </c>
      <c r="B1146" t="s">
        <v>3268</v>
      </c>
      <c r="C1146" t="s">
        <v>11</v>
      </c>
      <c r="D1146" s="2">
        <v>8903.9583437212841</v>
      </c>
      <c r="E1146">
        <f>VLOOKUP(I1146,Calc!$I$35:$J$39,2,FALSE)</f>
        <v>5</v>
      </c>
      <c r="F1146">
        <v>0.8</v>
      </c>
      <c r="G1146" s="10" t="s">
        <v>12</v>
      </c>
      <c r="H1146" s="10" t="s">
        <v>320</v>
      </c>
      <c r="I1146" s="10" t="s">
        <v>14</v>
      </c>
    </row>
    <row r="1147" spans="1:9" hidden="1">
      <c r="A1147" t="s">
        <v>2058</v>
      </c>
      <c r="B1147" t="s">
        <v>3267</v>
      </c>
      <c r="C1147" t="s">
        <v>11</v>
      </c>
      <c r="D1147" s="2">
        <v>8725</v>
      </c>
      <c r="E1147">
        <f>VLOOKUP(I1147,Calc!$I$35:$J$39,2,FALSE)</f>
        <v>2.5</v>
      </c>
      <c r="F1147">
        <v>18</v>
      </c>
      <c r="G1147" s="10" t="s">
        <v>34</v>
      </c>
      <c r="H1147" s="10" t="s">
        <v>955</v>
      </c>
      <c r="I1147" s="10" t="s">
        <v>36</v>
      </c>
    </row>
    <row r="1148" spans="1:9" hidden="1">
      <c r="A1148" t="s">
        <v>2059</v>
      </c>
      <c r="B1148" t="s">
        <v>3268</v>
      </c>
      <c r="C1148" t="s">
        <v>19</v>
      </c>
      <c r="D1148" s="2">
        <v>50437.70470615309</v>
      </c>
      <c r="E1148">
        <f>VLOOKUP(I1148,Calc!$I$35:$J$39,2,FALSE)</f>
        <v>5</v>
      </c>
      <c r="F1148">
        <v>4</v>
      </c>
      <c r="G1148" s="10" t="s">
        <v>107</v>
      </c>
      <c r="H1148" s="10" t="s">
        <v>2060</v>
      </c>
      <c r="I1148" s="10" t="s">
        <v>14</v>
      </c>
    </row>
    <row r="1149" spans="1:9" hidden="1">
      <c r="A1149" t="s">
        <v>2061</v>
      </c>
      <c r="B1149" t="s">
        <v>3269</v>
      </c>
      <c r="C1149" t="s">
        <v>19</v>
      </c>
      <c r="D1149" s="2">
        <v>67775.665698893223</v>
      </c>
      <c r="E1149">
        <f>VLOOKUP(I1149,Calc!$I$35:$J$39,2,FALSE)</f>
        <v>8</v>
      </c>
      <c r="F1149">
        <v>15</v>
      </c>
      <c r="G1149" s="10" t="s">
        <v>107</v>
      </c>
      <c r="H1149" s="10" t="s">
        <v>2062</v>
      </c>
      <c r="I1149" s="10" t="s">
        <v>22</v>
      </c>
    </row>
    <row r="1150" spans="1:9">
      <c r="A1150" t="s">
        <v>2063</v>
      </c>
      <c r="B1150" t="s">
        <v>3268</v>
      </c>
      <c r="C1150" t="s">
        <v>29</v>
      </c>
      <c r="D1150" s="2">
        <v>52118.160720607324</v>
      </c>
      <c r="E1150">
        <f>VLOOKUP(I1150,Calc!$I$35:$J$39,2,FALSE)</f>
        <v>5</v>
      </c>
      <c r="F1150">
        <v>6</v>
      </c>
      <c r="G1150" s="10" t="s">
        <v>128</v>
      </c>
      <c r="H1150" s="10" t="s">
        <v>233</v>
      </c>
      <c r="I1150" s="10" t="s">
        <v>14</v>
      </c>
    </row>
    <row r="1151" spans="1:9" hidden="1">
      <c r="A1151" t="s">
        <v>2064</v>
      </c>
      <c r="B1151" t="s">
        <v>3268</v>
      </c>
      <c r="C1151" t="s">
        <v>11</v>
      </c>
      <c r="D1151" s="2">
        <v>3561.5833374885137</v>
      </c>
      <c r="E1151">
        <f>VLOOKUP(I1151,Calc!$I$35:$J$39,2,FALSE)</f>
        <v>1.5</v>
      </c>
      <c r="F1151">
        <v>6</v>
      </c>
      <c r="G1151" s="10" t="s">
        <v>12</v>
      </c>
      <c r="H1151" s="10" t="s">
        <v>989</v>
      </c>
      <c r="I1151" s="10" t="s">
        <v>47</v>
      </c>
    </row>
    <row r="1152" spans="1:9" hidden="1">
      <c r="A1152" t="s">
        <v>2065</v>
      </c>
      <c r="B1152" t="s">
        <v>3267</v>
      </c>
      <c r="C1152" t="s">
        <v>11</v>
      </c>
      <c r="D1152" s="2">
        <v>8013.5625093491553</v>
      </c>
      <c r="E1152">
        <f>VLOOKUP(I1152,Calc!$I$35:$J$39,2,FALSE)</f>
        <v>5</v>
      </c>
      <c r="F1152">
        <v>21</v>
      </c>
      <c r="G1152" s="10" t="s">
        <v>12</v>
      </c>
      <c r="H1152" s="10" t="s">
        <v>1012</v>
      </c>
      <c r="I1152" s="10" t="s">
        <v>14</v>
      </c>
    </row>
    <row r="1153" spans="1:9" hidden="1">
      <c r="A1153" t="s">
        <v>2066</v>
      </c>
      <c r="B1153" t="s">
        <v>3267</v>
      </c>
      <c r="C1153" t="s">
        <v>19</v>
      </c>
      <c r="D1153" s="2">
        <v>28000</v>
      </c>
      <c r="E1153">
        <f>VLOOKUP(I1153,Calc!$I$35:$J$39,2,FALSE)</f>
        <v>5</v>
      </c>
      <c r="F1153">
        <v>5</v>
      </c>
      <c r="G1153" s="10" t="s">
        <v>110</v>
      </c>
      <c r="H1153" s="10" t="s">
        <v>2067</v>
      </c>
      <c r="I1153" s="10" t="s">
        <v>14</v>
      </c>
    </row>
    <row r="1154" spans="1:9" hidden="1">
      <c r="A1154" t="s">
        <v>2068</v>
      </c>
      <c r="B1154" t="s">
        <v>3268</v>
      </c>
      <c r="C1154" t="s">
        <v>19</v>
      </c>
      <c r="D1154" s="2">
        <v>50064.150455673145</v>
      </c>
      <c r="E1154">
        <f>VLOOKUP(I1154,Calc!$I$35:$J$39,2,FALSE)</f>
        <v>2.5</v>
      </c>
      <c r="F1154">
        <v>2</v>
      </c>
      <c r="G1154" s="10" t="s">
        <v>107</v>
      </c>
      <c r="H1154" s="10" t="s">
        <v>2069</v>
      </c>
      <c r="I1154" s="10" t="s">
        <v>36</v>
      </c>
    </row>
    <row r="1155" spans="1:9">
      <c r="A1155" t="s">
        <v>2070</v>
      </c>
      <c r="B1155" t="s">
        <v>3268</v>
      </c>
      <c r="C1155" t="s">
        <v>29</v>
      </c>
      <c r="D1155" s="2">
        <v>50437.70470615309</v>
      </c>
      <c r="E1155">
        <f>VLOOKUP(I1155,Calc!$I$35:$J$39,2,FALSE)</f>
        <v>5</v>
      </c>
      <c r="F1155">
        <v>9</v>
      </c>
      <c r="G1155" s="10" t="s">
        <v>128</v>
      </c>
      <c r="H1155" s="10" t="s">
        <v>2071</v>
      </c>
      <c r="I1155" s="10" t="s">
        <v>14</v>
      </c>
    </row>
    <row r="1156" spans="1:9">
      <c r="A1156" t="s">
        <v>2072</v>
      </c>
      <c r="B1156" t="s">
        <v>3268</v>
      </c>
      <c r="C1156" t="s">
        <v>29</v>
      </c>
      <c r="D1156" s="2">
        <v>27840</v>
      </c>
      <c r="E1156">
        <f>VLOOKUP(I1156,Calc!$I$35:$J$39,2,FALSE)</f>
        <v>2.5</v>
      </c>
      <c r="F1156">
        <v>1</v>
      </c>
      <c r="G1156" s="10" t="s">
        <v>30</v>
      </c>
      <c r="H1156" s="10" t="s">
        <v>2073</v>
      </c>
      <c r="I1156" s="10" t="s">
        <v>36</v>
      </c>
    </row>
    <row r="1157" spans="1:9" hidden="1">
      <c r="A1157" t="s">
        <v>2074</v>
      </c>
      <c r="B1157" t="s">
        <v>3269</v>
      </c>
      <c r="C1157" t="s">
        <v>11</v>
      </c>
      <c r="D1157" s="2">
        <v>6232.7708406048987</v>
      </c>
      <c r="E1157">
        <f>VLOOKUP(I1157,Calc!$I$35:$J$39,2,FALSE)</f>
        <v>2.5</v>
      </c>
      <c r="F1157">
        <v>1.5</v>
      </c>
      <c r="G1157" s="10" t="s">
        <v>12</v>
      </c>
      <c r="H1157" s="10" t="s">
        <v>2075</v>
      </c>
      <c r="I1157" s="10" t="s">
        <v>36</v>
      </c>
    </row>
    <row r="1158" spans="1:9" hidden="1">
      <c r="A1158" t="s">
        <v>2076</v>
      </c>
      <c r="B1158" t="s">
        <v>3266</v>
      </c>
      <c r="C1158" t="s">
        <v>11</v>
      </c>
      <c r="D1158" s="2">
        <v>50000</v>
      </c>
      <c r="E1158">
        <f>VLOOKUP(I1158,Calc!$I$35:$J$39,2,FALSE)</f>
        <v>2.5</v>
      </c>
      <c r="F1158">
        <v>25</v>
      </c>
      <c r="G1158" s="10" t="s">
        <v>455</v>
      </c>
      <c r="H1158" s="10" t="s">
        <v>38</v>
      </c>
      <c r="I1158" s="10" t="s">
        <v>36</v>
      </c>
    </row>
    <row r="1159" spans="1:9" hidden="1">
      <c r="A1159" t="s">
        <v>2077</v>
      </c>
      <c r="B1159" t="s">
        <v>3263</v>
      </c>
      <c r="C1159" t="s">
        <v>48</v>
      </c>
      <c r="D1159" s="2">
        <v>48000</v>
      </c>
      <c r="E1159">
        <f>VLOOKUP(I1159,Calc!$I$35:$J$39,2,FALSE)</f>
        <v>2.5</v>
      </c>
      <c r="F1159">
        <v>10</v>
      </c>
      <c r="G1159" s="10" t="s">
        <v>1595</v>
      </c>
      <c r="H1159" s="10" t="s">
        <v>2078</v>
      </c>
      <c r="I1159" s="10" t="s">
        <v>36</v>
      </c>
    </row>
    <row r="1160" spans="1:9" hidden="1">
      <c r="A1160" t="s">
        <v>2079</v>
      </c>
      <c r="B1160" t="s">
        <v>3267</v>
      </c>
      <c r="C1160" t="s">
        <v>3248</v>
      </c>
      <c r="D1160" s="2">
        <v>24000</v>
      </c>
      <c r="E1160">
        <f>VLOOKUP(I1160,Calc!$I$35:$J$39,2,FALSE)</f>
        <v>5</v>
      </c>
      <c r="F1160">
        <v>21</v>
      </c>
      <c r="G1160" s="10" t="s">
        <v>2080</v>
      </c>
      <c r="H1160" s="10" t="s">
        <v>2081</v>
      </c>
      <c r="I1160" s="10" t="s">
        <v>14</v>
      </c>
    </row>
    <row r="1161" spans="1:9">
      <c r="A1161" t="s">
        <v>2082</v>
      </c>
      <c r="B1161" t="s">
        <v>3268</v>
      </c>
      <c r="C1161" t="s">
        <v>29</v>
      </c>
      <c r="D1161" s="2">
        <v>75000</v>
      </c>
      <c r="E1161">
        <f>VLOOKUP(I1161,Calc!$I$35:$J$39,2,FALSE)</f>
        <v>5</v>
      </c>
      <c r="F1161">
        <v>12</v>
      </c>
      <c r="G1161" s="10" t="s">
        <v>30</v>
      </c>
      <c r="H1161" s="10" t="s">
        <v>31</v>
      </c>
      <c r="I1161" s="10" t="s">
        <v>14</v>
      </c>
    </row>
    <row r="1162" spans="1:9" hidden="1">
      <c r="A1162" t="s">
        <v>2083</v>
      </c>
      <c r="B1162" t="s">
        <v>3268</v>
      </c>
      <c r="C1162" t="s">
        <v>48</v>
      </c>
      <c r="D1162" s="2">
        <v>58799.349940520107</v>
      </c>
      <c r="E1162">
        <f>VLOOKUP(I1162,Calc!$I$35:$J$39,2,FALSE)</f>
        <v>5</v>
      </c>
      <c r="F1162">
        <v>2</v>
      </c>
      <c r="G1162" s="10" t="s">
        <v>585</v>
      </c>
      <c r="H1162" s="10" t="s">
        <v>756</v>
      </c>
      <c r="I1162" s="10" t="s">
        <v>14</v>
      </c>
    </row>
    <row r="1163" spans="1:9" hidden="1">
      <c r="A1163" t="s">
        <v>2084</v>
      </c>
      <c r="B1163" t="s">
        <v>3264</v>
      </c>
      <c r="C1163" t="s">
        <v>11</v>
      </c>
      <c r="D1163" s="2">
        <v>21228.177433598263</v>
      </c>
      <c r="E1163">
        <f>VLOOKUP(I1163,Calc!$I$35:$J$39,2,FALSE)</f>
        <v>8</v>
      </c>
      <c r="F1163">
        <v>8</v>
      </c>
      <c r="G1163" s="10" t="s">
        <v>34</v>
      </c>
      <c r="H1163" s="10" t="s">
        <v>2085</v>
      </c>
      <c r="I1163" s="10" t="s">
        <v>22</v>
      </c>
    </row>
    <row r="1164" spans="1:9" hidden="1">
      <c r="A1164" t="s">
        <v>2086</v>
      </c>
      <c r="B1164" t="s">
        <v>3267</v>
      </c>
      <c r="C1164" t="s">
        <v>29</v>
      </c>
      <c r="D1164" s="2">
        <v>60000</v>
      </c>
      <c r="E1164">
        <f>VLOOKUP(I1164,Calc!$I$35:$J$39,2,FALSE)</f>
        <v>2.5</v>
      </c>
      <c r="F1164">
        <v>10</v>
      </c>
      <c r="G1164" s="10" t="s">
        <v>30</v>
      </c>
      <c r="H1164" s="10" t="s">
        <v>2087</v>
      </c>
      <c r="I1164" s="10" t="s">
        <v>36</v>
      </c>
    </row>
    <row r="1165" spans="1:9" hidden="1">
      <c r="A1165" t="s">
        <v>2088</v>
      </c>
      <c r="B1165" t="s">
        <v>3268</v>
      </c>
      <c r="C1165" t="s">
        <v>19</v>
      </c>
      <c r="D1165" s="2">
        <v>18018.883790212141</v>
      </c>
      <c r="E1165">
        <f>VLOOKUP(I1165,Calc!$I$35:$J$39,2,FALSE)</f>
        <v>8</v>
      </c>
      <c r="F1165">
        <v>10</v>
      </c>
      <c r="G1165" s="10" t="s">
        <v>110</v>
      </c>
      <c r="H1165" s="10" t="s">
        <v>167</v>
      </c>
      <c r="I1165" s="10" t="s">
        <v>22</v>
      </c>
    </row>
    <row r="1166" spans="1:9" hidden="1">
      <c r="A1166" t="s">
        <v>2089</v>
      </c>
      <c r="B1166" t="s">
        <v>77</v>
      </c>
      <c r="C1166" t="s">
        <v>11</v>
      </c>
      <c r="D1166" s="2">
        <v>7200</v>
      </c>
      <c r="E1166">
        <f>VLOOKUP(I1166,Calc!$I$35:$J$39,2,FALSE)</f>
        <v>5</v>
      </c>
      <c r="F1166">
        <v>7</v>
      </c>
      <c r="G1166" s="10" t="s">
        <v>12</v>
      </c>
      <c r="H1166" s="10" t="s">
        <v>2090</v>
      </c>
      <c r="I1166" s="10" t="s">
        <v>14</v>
      </c>
    </row>
    <row r="1167" spans="1:9">
      <c r="A1167" t="s">
        <v>2091</v>
      </c>
      <c r="B1167" t="s">
        <v>3268</v>
      </c>
      <c r="C1167" t="s">
        <v>29</v>
      </c>
      <c r="D1167" s="2">
        <v>56000</v>
      </c>
      <c r="E1167">
        <f>VLOOKUP(I1167,Calc!$I$35:$J$39,2,FALSE)</f>
        <v>1.5</v>
      </c>
      <c r="F1167">
        <v>2</v>
      </c>
      <c r="G1167" s="10" t="s">
        <v>30</v>
      </c>
      <c r="H1167" s="10" t="s">
        <v>10</v>
      </c>
      <c r="I1167" s="10" t="s">
        <v>47</v>
      </c>
    </row>
    <row r="1168" spans="1:9" hidden="1">
      <c r="A1168" t="s">
        <v>2092</v>
      </c>
      <c r="B1168" t="s">
        <v>3268</v>
      </c>
      <c r="C1168" t="s">
        <v>11</v>
      </c>
      <c r="D1168" s="2">
        <v>9616.275011218986</v>
      </c>
      <c r="E1168">
        <f>VLOOKUP(I1168,Calc!$I$35:$J$39,2,FALSE)</f>
        <v>5</v>
      </c>
      <c r="F1168">
        <v>7.9</v>
      </c>
      <c r="G1168" s="10" t="s">
        <v>12</v>
      </c>
      <c r="H1168" s="10" t="s">
        <v>2093</v>
      </c>
      <c r="I1168" s="10" t="s">
        <v>14</v>
      </c>
    </row>
    <row r="1169" spans="1:9" hidden="1">
      <c r="A1169" t="s">
        <v>2094</v>
      </c>
      <c r="B1169" t="s">
        <v>3267</v>
      </c>
      <c r="C1169" t="s">
        <v>42</v>
      </c>
      <c r="D1169" s="2">
        <v>51497.005988023957</v>
      </c>
      <c r="E1169">
        <f>VLOOKUP(I1169,Calc!$I$35:$J$39,2,FALSE)</f>
        <v>5</v>
      </c>
      <c r="F1169">
        <v>9</v>
      </c>
      <c r="G1169" s="10" t="s">
        <v>2095</v>
      </c>
      <c r="H1169" s="10" t="s">
        <v>1031</v>
      </c>
      <c r="I1169" s="10" t="s">
        <v>14</v>
      </c>
    </row>
    <row r="1170" spans="1:9" hidden="1">
      <c r="A1170" t="s">
        <v>2096</v>
      </c>
      <c r="B1170" t="s">
        <v>3267</v>
      </c>
      <c r="C1170" t="s">
        <v>19</v>
      </c>
      <c r="D1170" s="2">
        <v>104172.75399731184</v>
      </c>
      <c r="E1170">
        <f>VLOOKUP(I1170,Calc!$I$35:$J$39,2,FALSE)</f>
        <v>8</v>
      </c>
      <c r="F1170">
        <v>25</v>
      </c>
      <c r="G1170" s="10" t="s">
        <v>143</v>
      </c>
      <c r="H1170" s="10" t="s">
        <v>2097</v>
      </c>
      <c r="I1170" s="10" t="s">
        <v>22</v>
      </c>
    </row>
    <row r="1171" spans="1:9" hidden="1">
      <c r="A1171" t="s">
        <v>2098</v>
      </c>
      <c r="B1171" t="s">
        <v>3267</v>
      </c>
      <c r="C1171" t="s">
        <v>29</v>
      </c>
      <c r="D1171" s="2">
        <v>88000</v>
      </c>
      <c r="E1171">
        <f>VLOOKUP(I1171,Calc!$I$35:$J$39,2,FALSE)</f>
        <v>5</v>
      </c>
      <c r="F1171">
        <v>2</v>
      </c>
      <c r="G1171" s="10" t="s">
        <v>30</v>
      </c>
      <c r="H1171" s="10" t="s">
        <v>2099</v>
      </c>
      <c r="I1171" s="10" t="s">
        <v>14</v>
      </c>
    </row>
    <row r="1172" spans="1:9">
      <c r="A1172" t="s">
        <v>2100</v>
      </c>
      <c r="B1172" t="s">
        <v>3268</v>
      </c>
      <c r="C1172" t="s">
        <v>29</v>
      </c>
      <c r="D1172" s="2">
        <v>80000</v>
      </c>
      <c r="E1172">
        <f>VLOOKUP(I1172,Calc!$I$35:$J$39,2,FALSE)</f>
        <v>5</v>
      </c>
      <c r="F1172">
        <v>6</v>
      </c>
      <c r="G1172" s="10" t="s">
        <v>30</v>
      </c>
      <c r="H1172" s="10" t="s">
        <v>2101</v>
      </c>
      <c r="I1172" s="10" t="s">
        <v>14</v>
      </c>
    </row>
    <row r="1173" spans="1:9" hidden="1">
      <c r="A1173" t="s">
        <v>2102</v>
      </c>
      <c r="B1173" t="s">
        <v>3269</v>
      </c>
      <c r="C1173" t="s">
        <v>19</v>
      </c>
      <c r="D1173" s="2">
        <v>19000</v>
      </c>
      <c r="E1173">
        <f>VLOOKUP(I1173,Calc!$I$35:$J$39,2,FALSE)</f>
        <v>5</v>
      </c>
      <c r="F1173">
        <v>20</v>
      </c>
      <c r="G1173" s="10" t="s">
        <v>107</v>
      </c>
      <c r="H1173" s="10" t="s">
        <v>56</v>
      </c>
      <c r="I1173" s="10" t="s">
        <v>14</v>
      </c>
    </row>
    <row r="1174" spans="1:9" hidden="1">
      <c r="A1174" t="s">
        <v>2103</v>
      </c>
      <c r="B1174" t="s">
        <v>3264</v>
      </c>
      <c r="C1174" t="s">
        <v>19</v>
      </c>
      <c r="D1174" s="2">
        <v>19055.991584874118</v>
      </c>
      <c r="E1174">
        <f>VLOOKUP(I1174,Calc!$I$35:$J$39,2,FALSE)</f>
        <v>5</v>
      </c>
      <c r="F1174">
        <v>3</v>
      </c>
      <c r="G1174" s="10" t="s">
        <v>1428</v>
      </c>
      <c r="H1174" s="10" t="s">
        <v>2104</v>
      </c>
      <c r="I1174" s="10" t="s">
        <v>14</v>
      </c>
    </row>
    <row r="1175" spans="1:9" hidden="1">
      <c r="A1175" t="s">
        <v>2105</v>
      </c>
      <c r="B1175" t="s">
        <v>3264</v>
      </c>
      <c r="C1175" t="s">
        <v>11</v>
      </c>
      <c r="D1175" s="2">
        <v>8547.8000099724322</v>
      </c>
      <c r="E1175">
        <f>VLOOKUP(I1175,Calc!$I$35:$J$39,2,FALSE)</f>
        <v>8</v>
      </c>
      <c r="F1175">
        <v>15</v>
      </c>
      <c r="G1175" s="10" t="s">
        <v>12</v>
      </c>
      <c r="H1175" s="10" t="s">
        <v>2106</v>
      </c>
      <c r="I1175" s="10" t="s">
        <v>22</v>
      </c>
    </row>
    <row r="1176" spans="1:9" hidden="1">
      <c r="A1176" t="s">
        <v>2107</v>
      </c>
      <c r="B1176" t="s">
        <v>3264</v>
      </c>
      <c r="C1176" t="s">
        <v>11</v>
      </c>
      <c r="D1176" s="2">
        <v>19588.708356186824</v>
      </c>
      <c r="E1176">
        <f>VLOOKUP(I1176,Calc!$I$35:$J$39,2,FALSE)</f>
        <v>8</v>
      </c>
      <c r="F1176">
        <v>13</v>
      </c>
      <c r="G1176" s="10" t="s">
        <v>12</v>
      </c>
      <c r="H1176" s="10" t="s">
        <v>2108</v>
      </c>
      <c r="I1176" s="10" t="s">
        <v>22</v>
      </c>
    </row>
    <row r="1177" spans="1:9">
      <c r="A1177" t="s">
        <v>2109</v>
      </c>
      <c r="B1177" t="s">
        <v>3268</v>
      </c>
      <c r="C1177" t="s">
        <v>29</v>
      </c>
      <c r="D1177" s="2">
        <v>61000</v>
      </c>
      <c r="E1177">
        <f>VLOOKUP(I1177,Calc!$I$35:$J$39,2,FALSE)</f>
        <v>5</v>
      </c>
      <c r="F1177">
        <v>1.5</v>
      </c>
      <c r="G1177" s="10" t="s">
        <v>30</v>
      </c>
      <c r="H1177" s="10" t="s">
        <v>31</v>
      </c>
      <c r="I1177" s="10" t="s">
        <v>14</v>
      </c>
    </row>
    <row r="1178" spans="1:9" hidden="1">
      <c r="A1178" t="s">
        <v>2110</v>
      </c>
      <c r="B1178" t="s">
        <v>3269</v>
      </c>
      <c r="C1178" t="s">
        <v>19</v>
      </c>
      <c r="D1178" s="2">
        <v>53590.061250287661</v>
      </c>
      <c r="E1178">
        <f>VLOOKUP(I1178,Calc!$I$35:$J$39,2,FALSE)</f>
        <v>8</v>
      </c>
      <c r="F1178">
        <v>10</v>
      </c>
      <c r="G1178" s="10" t="s">
        <v>107</v>
      </c>
      <c r="H1178" s="10" t="s">
        <v>2111</v>
      </c>
      <c r="I1178" s="10" t="s">
        <v>22</v>
      </c>
    </row>
    <row r="1179" spans="1:9" hidden="1">
      <c r="A1179" t="s">
        <v>2112</v>
      </c>
      <c r="B1179" t="s">
        <v>3269</v>
      </c>
      <c r="C1179" t="s">
        <v>19</v>
      </c>
      <c r="D1179" s="2">
        <v>53590.061250287661</v>
      </c>
      <c r="E1179">
        <f>VLOOKUP(I1179,Calc!$I$35:$J$39,2,FALSE)</f>
        <v>8</v>
      </c>
      <c r="F1179">
        <v>10</v>
      </c>
      <c r="G1179" s="10" t="s">
        <v>107</v>
      </c>
      <c r="H1179" s="10" t="s">
        <v>2111</v>
      </c>
      <c r="I1179" s="10" t="s">
        <v>22</v>
      </c>
    </row>
    <row r="1180" spans="1:9" hidden="1">
      <c r="A1180" t="s">
        <v>2113</v>
      </c>
      <c r="B1180" t="s">
        <v>3267</v>
      </c>
      <c r="C1180" t="s">
        <v>11</v>
      </c>
      <c r="D1180" s="2">
        <v>4451.9791718606421</v>
      </c>
      <c r="E1180">
        <f>VLOOKUP(I1180,Calc!$I$35:$J$39,2,FALSE)</f>
        <v>5</v>
      </c>
      <c r="F1180">
        <v>1</v>
      </c>
      <c r="G1180" s="10" t="s">
        <v>12</v>
      </c>
      <c r="H1180" s="10" t="s">
        <v>2114</v>
      </c>
      <c r="I1180" s="10" t="s">
        <v>14</v>
      </c>
    </row>
    <row r="1181" spans="1:9" hidden="1">
      <c r="A1181" t="s">
        <v>2115</v>
      </c>
      <c r="B1181" t="s">
        <v>3267</v>
      </c>
      <c r="C1181" t="s">
        <v>19</v>
      </c>
      <c r="D1181" s="2">
        <v>25407.988779832154</v>
      </c>
      <c r="E1181">
        <f>VLOOKUP(I1181,Calc!$I$35:$J$39,2,FALSE)</f>
        <v>1.5</v>
      </c>
      <c r="F1181">
        <v>12</v>
      </c>
      <c r="G1181" s="10" t="s">
        <v>261</v>
      </c>
      <c r="H1181" s="10" t="s">
        <v>2116</v>
      </c>
      <c r="I1181" s="10" t="s">
        <v>47</v>
      </c>
    </row>
    <row r="1182" spans="1:9" hidden="1">
      <c r="A1182" t="s">
        <v>2117</v>
      </c>
      <c r="B1182" t="s">
        <v>3269</v>
      </c>
      <c r="C1182" t="s">
        <v>48</v>
      </c>
      <c r="D1182" s="2">
        <v>23000</v>
      </c>
      <c r="E1182">
        <f>VLOOKUP(I1182,Calc!$I$35:$J$39,2,FALSE)</f>
        <v>8</v>
      </c>
      <c r="F1182">
        <v>14</v>
      </c>
      <c r="G1182" s="10" t="s">
        <v>201</v>
      </c>
      <c r="H1182" s="10" t="s">
        <v>2118</v>
      </c>
      <c r="I1182" s="10" t="s">
        <v>22</v>
      </c>
    </row>
    <row r="1183" spans="1:9" hidden="1">
      <c r="A1183" t="s">
        <v>2119</v>
      </c>
      <c r="B1183" t="s">
        <v>3267</v>
      </c>
      <c r="C1183" t="s">
        <v>11</v>
      </c>
      <c r="D1183" s="2">
        <v>16027.125018698311</v>
      </c>
      <c r="E1183">
        <f>VLOOKUP(I1183,Calc!$I$35:$J$39,2,FALSE)</f>
        <v>1.5</v>
      </c>
      <c r="F1183">
        <v>13</v>
      </c>
      <c r="G1183" s="10" t="s">
        <v>12</v>
      </c>
      <c r="H1183" s="10" t="s">
        <v>2120</v>
      </c>
      <c r="I1183" s="10" t="s">
        <v>47</v>
      </c>
    </row>
    <row r="1184" spans="1:9" hidden="1">
      <c r="A1184" t="s">
        <v>2121</v>
      </c>
      <c r="B1184" t="s">
        <v>3266</v>
      </c>
      <c r="C1184" t="s">
        <v>29</v>
      </c>
      <c r="D1184" s="2">
        <v>60000</v>
      </c>
      <c r="E1184">
        <f>VLOOKUP(I1184,Calc!$I$35:$J$39,2,FALSE)</f>
        <v>1.5</v>
      </c>
      <c r="F1184">
        <v>6</v>
      </c>
      <c r="G1184" s="10" t="s">
        <v>30</v>
      </c>
      <c r="H1184" s="10" t="s">
        <v>2122</v>
      </c>
      <c r="I1184" s="10" t="s">
        <v>47</v>
      </c>
    </row>
    <row r="1185" spans="1:9" hidden="1">
      <c r="A1185" t="s">
        <v>2123</v>
      </c>
      <c r="B1185" t="s">
        <v>3268</v>
      </c>
      <c r="C1185" t="s">
        <v>11</v>
      </c>
      <c r="D1185" s="2">
        <v>4800</v>
      </c>
      <c r="E1185">
        <f>VLOOKUP(I1185,Calc!$I$35:$J$39,2,FALSE)</f>
        <v>5</v>
      </c>
      <c r="F1185">
        <v>5</v>
      </c>
      <c r="G1185" s="10" t="s">
        <v>12</v>
      </c>
      <c r="H1185" s="10" t="s">
        <v>31</v>
      </c>
      <c r="I1185" s="10" t="s">
        <v>14</v>
      </c>
    </row>
    <row r="1186" spans="1:9" hidden="1">
      <c r="A1186" t="s">
        <v>2124</v>
      </c>
      <c r="B1186" t="s">
        <v>3267</v>
      </c>
      <c r="C1186" t="s">
        <v>19</v>
      </c>
      <c r="D1186" s="2">
        <v>106815.148267971</v>
      </c>
      <c r="E1186">
        <f>VLOOKUP(I1186,Calc!$I$35:$J$39,2,FALSE)</f>
        <v>5</v>
      </c>
      <c r="F1186">
        <v>25</v>
      </c>
      <c r="G1186" s="10" t="s">
        <v>1401</v>
      </c>
      <c r="H1186" s="10" t="s">
        <v>2125</v>
      </c>
      <c r="I1186" s="10" t="s">
        <v>14</v>
      </c>
    </row>
    <row r="1187" spans="1:9" hidden="1">
      <c r="A1187" t="s">
        <v>2126</v>
      </c>
      <c r="B1187" t="s">
        <v>3264</v>
      </c>
      <c r="C1187" t="s">
        <v>11</v>
      </c>
      <c r="D1187" s="2">
        <v>8903.9583437212841</v>
      </c>
      <c r="E1187">
        <f>VLOOKUP(I1187,Calc!$I$35:$J$39,2,FALSE)</f>
        <v>2.5</v>
      </c>
      <c r="F1187">
        <v>3</v>
      </c>
      <c r="G1187" s="10" t="s">
        <v>12</v>
      </c>
      <c r="H1187" s="10" t="s">
        <v>90</v>
      </c>
      <c r="I1187" s="10" t="s">
        <v>36</v>
      </c>
    </row>
    <row r="1188" spans="1:9" hidden="1">
      <c r="A1188" t="s">
        <v>2127</v>
      </c>
      <c r="B1188" t="s">
        <v>3267</v>
      </c>
      <c r="C1188" t="s">
        <v>29</v>
      </c>
      <c r="D1188" s="2">
        <v>60000</v>
      </c>
      <c r="E1188">
        <f>VLOOKUP(I1188,Calc!$I$35:$J$39,2,FALSE)</f>
        <v>5</v>
      </c>
      <c r="F1188">
        <v>12</v>
      </c>
      <c r="G1188" s="10" t="s">
        <v>30</v>
      </c>
      <c r="H1188" s="10" t="s">
        <v>2128</v>
      </c>
      <c r="I1188" s="10" t="s">
        <v>14</v>
      </c>
    </row>
    <row r="1189" spans="1:9" hidden="1">
      <c r="A1189" t="s">
        <v>2129</v>
      </c>
      <c r="B1189" t="s">
        <v>3267</v>
      </c>
      <c r="C1189" t="s">
        <v>11</v>
      </c>
      <c r="D1189" s="2">
        <v>46300.583387350678</v>
      </c>
      <c r="E1189">
        <f>VLOOKUP(I1189,Calc!$I$35:$J$39,2,FALSE)</f>
        <v>5</v>
      </c>
      <c r="F1189">
        <v>4</v>
      </c>
      <c r="G1189" s="10" t="s">
        <v>12</v>
      </c>
      <c r="H1189" s="10" t="s">
        <v>2130</v>
      </c>
      <c r="I1189" s="10" t="s">
        <v>14</v>
      </c>
    </row>
    <row r="1190" spans="1:9" hidden="1">
      <c r="A1190" t="s">
        <v>2131</v>
      </c>
      <c r="B1190" t="s">
        <v>3267</v>
      </c>
      <c r="C1190" t="s">
        <v>11</v>
      </c>
      <c r="D1190" s="2">
        <v>13355.937515581925</v>
      </c>
      <c r="E1190">
        <f>VLOOKUP(I1190,Calc!$I$35:$J$39,2,FALSE)</f>
        <v>2.5</v>
      </c>
      <c r="F1190">
        <v>3</v>
      </c>
      <c r="G1190" s="10" t="s">
        <v>12</v>
      </c>
      <c r="H1190" s="10" t="s">
        <v>1608</v>
      </c>
      <c r="I1190" s="10" t="s">
        <v>36</v>
      </c>
    </row>
    <row r="1191" spans="1:9" hidden="1">
      <c r="A1191" t="s">
        <v>2132</v>
      </c>
      <c r="B1191" t="s">
        <v>3265</v>
      </c>
      <c r="C1191" t="s">
        <v>29</v>
      </c>
      <c r="D1191" s="2">
        <v>74000</v>
      </c>
      <c r="E1191">
        <f>VLOOKUP(I1191,Calc!$I$35:$J$39,2,FALSE)</f>
        <v>5</v>
      </c>
      <c r="F1191">
        <v>10</v>
      </c>
      <c r="G1191" s="10" t="s">
        <v>30</v>
      </c>
      <c r="H1191" s="10" t="s">
        <v>2133</v>
      </c>
      <c r="I1191" s="10" t="s">
        <v>14</v>
      </c>
    </row>
    <row r="1192" spans="1:9">
      <c r="A1192" t="s">
        <v>2134</v>
      </c>
      <c r="B1192" t="s">
        <v>3268</v>
      </c>
      <c r="C1192" t="s">
        <v>29</v>
      </c>
      <c r="D1192" s="2">
        <v>95856</v>
      </c>
      <c r="E1192">
        <f>VLOOKUP(I1192,Calc!$I$35:$J$39,2,FALSE)</f>
        <v>2.5</v>
      </c>
      <c r="F1192">
        <v>13</v>
      </c>
      <c r="G1192" s="10" t="s">
        <v>30</v>
      </c>
      <c r="H1192" s="10" t="s">
        <v>10</v>
      </c>
      <c r="I1192" s="10" t="s">
        <v>36</v>
      </c>
    </row>
    <row r="1193" spans="1:9" hidden="1">
      <c r="A1193" t="s">
        <v>2135</v>
      </c>
      <c r="B1193" t="s">
        <v>3269</v>
      </c>
      <c r="C1193" t="s">
        <v>29</v>
      </c>
      <c r="D1193" s="2">
        <v>40000</v>
      </c>
      <c r="E1193">
        <f>VLOOKUP(I1193,Calc!$I$35:$J$39,2,FALSE)</f>
        <v>2.5</v>
      </c>
      <c r="F1193">
        <v>15</v>
      </c>
      <c r="G1193" s="10" t="s">
        <v>30</v>
      </c>
      <c r="H1193" s="10" t="s">
        <v>2136</v>
      </c>
      <c r="I1193" s="10" t="s">
        <v>36</v>
      </c>
    </row>
    <row r="1194" spans="1:9" hidden="1">
      <c r="A1194" t="s">
        <v>2137</v>
      </c>
      <c r="B1194" t="s">
        <v>3267</v>
      </c>
      <c r="C1194" t="s">
        <v>3248</v>
      </c>
      <c r="D1194" s="2">
        <v>4400</v>
      </c>
      <c r="E1194">
        <f>VLOOKUP(I1194,Calc!$I$35:$J$39,2,FALSE)</f>
        <v>2.5</v>
      </c>
      <c r="F1194">
        <v>5</v>
      </c>
      <c r="G1194" s="10" t="s">
        <v>2138</v>
      </c>
      <c r="H1194" s="10" t="s">
        <v>2139</v>
      </c>
      <c r="I1194" s="10" t="s">
        <v>36</v>
      </c>
    </row>
    <row r="1195" spans="1:9">
      <c r="A1195" t="s">
        <v>2140</v>
      </c>
      <c r="B1195" t="s">
        <v>3268</v>
      </c>
      <c r="C1195" t="s">
        <v>29</v>
      </c>
      <c r="D1195" s="2">
        <v>90000</v>
      </c>
      <c r="E1195">
        <f>VLOOKUP(I1195,Calc!$I$35:$J$39,2,FALSE)</f>
        <v>5</v>
      </c>
      <c r="F1195">
        <v>30</v>
      </c>
      <c r="G1195" s="10" t="s">
        <v>30</v>
      </c>
      <c r="H1195" s="10" t="s">
        <v>162</v>
      </c>
      <c r="I1195" s="10" t="s">
        <v>14</v>
      </c>
    </row>
    <row r="1196" spans="1:9" hidden="1">
      <c r="A1196" t="s">
        <v>2141</v>
      </c>
      <c r="B1196" t="s">
        <v>3267</v>
      </c>
      <c r="C1196" t="s">
        <v>11</v>
      </c>
      <c r="D1196" s="2">
        <v>8013.5625093491553</v>
      </c>
      <c r="E1196">
        <f>VLOOKUP(I1196,Calc!$I$35:$J$39,2,FALSE)</f>
        <v>8</v>
      </c>
      <c r="F1196">
        <v>2</v>
      </c>
      <c r="G1196" s="10" t="s">
        <v>12</v>
      </c>
      <c r="H1196" s="10" t="s">
        <v>2142</v>
      </c>
      <c r="I1196" s="10" t="s">
        <v>22</v>
      </c>
    </row>
    <row r="1197" spans="1:9" hidden="1">
      <c r="A1197" t="s">
        <v>2143</v>
      </c>
      <c r="B1197" t="s">
        <v>3267</v>
      </c>
      <c r="C1197" t="s">
        <v>11</v>
      </c>
      <c r="D1197" s="2">
        <v>17807.916687442568</v>
      </c>
      <c r="E1197">
        <f>VLOOKUP(I1197,Calc!$I$35:$J$39,2,FALSE)</f>
        <v>5</v>
      </c>
      <c r="F1197">
        <v>8.5</v>
      </c>
      <c r="G1197" s="10" t="s">
        <v>12</v>
      </c>
      <c r="H1197" s="10" t="s">
        <v>1606</v>
      </c>
      <c r="I1197" s="10" t="s">
        <v>14</v>
      </c>
    </row>
    <row r="1198" spans="1:9" hidden="1">
      <c r="A1198" t="s">
        <v>2144</v>
      </c>
      <c r="B1198" t="s">
        <v>77</v>
      </c>
      <c r="C1198" t="s">
        <v>11</v>
      </c>
      <c r="D1198" s="2">
        <v>12465.541681209797</v>
      </c>
      <c r="E1198">
        <f>VLOOKUP(I1198,Calc!$I$35:$J$39,2,FALSE)</f>
        <v>5</v>
      </c>
      <c r="F1198">
        <v>6</v>
      </c>
      <c r="G1198" s="10" t="s">
        <v>12</v>
      </c>
      <c r="H1198" s="10" t="s">
        <v>2145</v>
      </c>
      <c r="I1198" s="10" t="s">
        <v>14</v>
      </c>
    </row>
    <row r="1199" spans="1:9" hidden="1">
      <c r="A1199" t="s">
        <v>2146</v>
      </c>
      <c r="B1199" t="s">
        <v>3268</v>
      </c>
      <c r="C1199" t="s">
        <v>11</v>
      </c>
      <c r="D1199" s="2">
        <v>80000</v>
      </c>
      <c r="E1199">
        <f>VLOOKUP(I1199,Calc!$I$35:$J$39,2,FALSE)</f>
        <v>1.5</v>
      </c>
      <c r="F1199">
        <v>6</v>
      </c>
      <c r="G1199" s="10" t="s">
        <v>455</v>
      </c>
      <c r="H1199" s="10" t="s">
        <v>2147</v>
      </c>
      <c r="I1199" s="10" t="s">
        <v>47</v>
      </c>
    </row>
    <row r="1200" spans="1:9" hidden="1">
      <c r="A1200" t="s">
        <v>2148</v>
      </c>
      <c r="B1200" t="s">
        <v>3267</v>
      </c>
      <c r="C1200" t="s">
        <v>29</v>
      </c>
      <c r="D1200" s="2">
        <v>100000</v>
      </c>
      <c r="E1200">
        <f>VLOOKUP(I1200,Calc!$I$35:$J$39,2,FALSE)</f>
        <v>5</v>
      </c>
      <c r="F1200">
        <v>11</v>
      </c>
      <c r="G1200" s="10" t="s">
        <v>30</v>
      </c>
      <c r="H1200" s="10" t="s">
        <v>1031</v>
      </c>
      <c r="I1200" s="10" t="s">
        <v>14</v>
      </c>
    </row>
    <row r="1201" spans="1:9" hidden="1">
      <c r="A1201" t="s">
        <v>2149</v>
      </c>
      <c r="B1201" t="s">
        <v>3269</v>
      </c>
      <c r="C1201" t="s">
        <v>48</v>
      </c>
      <c r="D1201" s="2">
        <v>49200</v>
      </c>
      <c r="E1201">
        <f>VLOOKUP(I1201,Calc!$I$35:$J$39,2,FALSE)</f>
        <v>2.5</v>
      </c>
      <c r="F1201">
        <v>25</v>
      </c>
      <c r="G1201" s="10" t="s">
        <v>1595</v>
      </c>
      <c r="H1201" s="10" t="s">
        <v>2118</v>
      </c>
      <c r="I1201" s="10" t="s">
        <v>36</v>
      </c>
    </row>
    <row r="1202" spans="1:9" hidden="1">
      <c r="A1202" t="s">
        <v>2150</v>
      </c>
      <c r="B1202" t="s">
        <v>3267</v>
      </c>
      <c r="C1202" t="s">
        <v>11</v>
      </c>
      <c r="D1202" s="2">
        <v>9000</v>
      </c>
      <c r="E1202">
        <f>VLOOKUP(I1202,Calc!$I$35:$J$39,2,FALSE)</f>
        <v>5</v>
      </c>
      <c r="F1202">
        <v>1</v>
      </c>
      <c r="G1202" s="10" t="s">
        <v>12</v>
      </c>
      <c r="H1202" s="10" t="s">
        <v>2151</v>
      </c>
      <c r="I1202" s="10" t="s">
        <v>14</v>
      </c>
    </row>
    <row r="1203" spans="1:9" hidden="1">
      <c r="A1203" t="s">
        <v>2152</v>
      </c>
      <c r="B1203" t="s">
        <v>3268</v>
      </c>
      <c r="C1203" t="s">
        <v>11</v>
      </c>
      <c r="D1203" s="2">
        <v>5342.3750062327708</v>
      </c>
      <c r="E1203">
        <f>VLOOKUP(I1203,Calc!$I$35:$J$39,2,FALSE)</f>
        <v>5</v>
      </c>
      <c r="F1203">
        <v>6</v>
      </c>
      <c r="G1203" s="10" t="s">
        <v>12</v>
      </c>
      <c r="H1203" s="10" t="s">
        <v>1682</v>
      </c>
      <c r="I1203" s="10" t="s">
        <v>14</v>
      </c>
    </row>
    <row r="1204" spans="1:9" hidden="1">
      <c r="A1204" t="s">
        <v>2153</v>
      </c>
      <c r="B1204" t="s">
        <v>3267</v>
      </c>
      <c r="C1204" t="s">
        <v>11</v>
      </c>
      <c r="D1204" s="2">
        <v>40000</v>
      </c>
      <c r="E1204">
        <f>VLOOKUP(I1204,Calc!$I$35:$J$39,2,FALSE)</f>
        <v>5</v>
      </c>
      <c r="F1204">
        <v>15</v>
      </c>
      <c r="G1204" s="10" t="s">
        <v>34</v>
      </c>
      <c r="H1204" s="10" t="s">
        <v>2154</v>
      </c>
      <c r="I1204" s="10" t="s">
        <v>14</v>
      </c>
    </row>
    <row r="1205" spans="1:9" hidden="1">
      <c r="A1205" t="s">
        <v>2155</v>
      </c>
      <c r="B1205" t="s">
        <v>3268</v>
      </c>
      <c r="C1205" t="s">
        <v>19</v>
      </c>
      <c r="D1205" s="2">
        <v>40980.635073749385</v>
      </c>
      <c r="E1205">
        <f>VLOOKUP(I1205,Calc!$I$35:$J$39,2,FALSE)</f>
        <v>5</v>
      </c>
      <c r="F1205">
        <v>2</v>
      </c>
      <c r="G1205" s="10" t="s">
        <v>107</v>
      </c>
      <c r="H1205" s="10" t="s">
        <v>320</v>
      </c>
      <c r="I1205" s="10" t="s">
        <v>14</v>
      </c>
    </row>
    <row r="1206" spans="1:9" hidden="1">
      <c r="A1206" t="s">
        <v>2156</v>
      </c>
      <c r="B1206" t="s">
        <v>3269</v>
      </c>
      <c r="C1206" t="s">
        <v>19</v>
      </c>
      <c r="D1206" s="2">
        <v>45709.169889951241</v>
      </c>
      <c r="E1206">
        <f>VLOOKUP(I1206,Calc!$I$35:$J$39,2,FALSE)</f>
        <v>2.5</v>
      </c>
      <c r="F1206">
        <v>8</v>
      </c>
      <c r="G1206" s="10" t="s">
        <v>107</v>
      </c>
      <c r="H1206" s="10" t="s">
        <v>2157</v>
      </c>
      <c r="I1206" s="10" t="s">
        <v>36</v>
      </c>
    </row>
    <row r="1207" spans="1:9" hidden="1">
      <c r="A1207" t="s">
        <v>2158</v>
      </c>
      <c r="B1207" t="s">
        <v>3267</v>
      </c>
      <c r="C1207" t="s">
        <v>11</v>
      </c>
      <c r="D1207" s="2">
        <v>7123.1666749770275</v>
      </c>
      <c r="E1207">
        <f>VLOOKUP(I1207,Calc!$I$35:$J$39,2,FALSE)</f>
        <v>5</v>
      </c>
      <c r="F1207">
        <v>1</v>
      </c>
      <c r="G1207" s="10" t="s">
        <v>12</v>
      </c>
      <c r="H1207" s="10" t="s">
        <v>2159</v>
      </c>
      <c r="I1207" s="10" t="s">
        <v>14</v>
      </c>
    </row>
    <row r="1208" spans="1:9" hidden="1">
      <c r="A1208" t="s">
        <v>2160</v>
      </c>
      <c r="B1208" t="s">
        <v>3263</v>
      </c>
      <c r="C1208" t="s">
        <v>19</v>
      </c>
      <c r="D1208" s="2">
        <v>100000</v>
      </c>
      <c r="E1208">
        <f>VLOOKUP(I1208,Calc!$I$35:$J$39,2,FALSE)</f>
        <v>5</v>
      </c>
      <c r="F1208">
        <v>12</v>
      </c>
      <c r="G1208" s="10" t="s">
        <v>938</v>
      </c>
      <c r="H1208" s="10" t="s">
        <v>18</v>
      </c>
      <c r="I1208" s="10" t="s">
        <v>14</v>
      </c>
    </row>
    <row r="1209" spans="1:9" hidden="1">
      <c r="A1209" t="s">
        <v>2161</v>
      </c>
      <c r="B1209" t="s">
        <v>3268</v>
      </c>
      <c r="C1209" t="s">
        <v>19</v>
      </c>
      <c r="D1209" s="2">
        <v>78764.765217479682</v>
      </c>
      <c r="E1209">
        <f>VLOOKUP(I1209,Calc!$I$35:$J$39,2,FALSE)</f>
        <v>5</v>
      </c>
      <c r="F1209">
        <v>15</v>
      </c>
      <c r="G1209" s="10" t="s">
        <v>143</v>
      </c>
      <c r="H1209" s="10" t="s">
        <v>2162</v>
      </c>
      <c r="I1209" s="10" t="s">
        <v>14</v>
      </c>
    </row>
    <row r="1210" spans="1:9" hidden="1">
      <c r="A1210" t="s">
        <v>2163</v>
      </c>
      <c r="B1210" t="s">
        <v>3268</v>
      </c>
      <c r="C1210" t="s">
        <v>32</v>
      </c>
      <c r="D1210" s="2">
        <v>152986.44846039536</v>
      </c>
      <c r="E1210">
        <f>VLOOKUP(I1210,Calc!$I$35:$J$39,2,FALSE)</f>
        <v>2.5</v>
      </c>
      <c r="F1210">
        <v>10</v>
      </c>
      <c r="G1210" s="10" t="s">
        <v>123</v>
      </c>
      <c r="H1210" s="10" t="s">
        <v>10</v>
      </c>
      <c r="I1210" s="10" t="s">
        <v>36</v>
      </c>
    </row>
    <row r="1211" spans="1:9" hidden="1">
      <c r="A1211" t="s">
        <v>2164</v>
      </c>
      <c r="B1211" t="s">
        <v>3268</v>
      </c>
      <c r="C1211" t="s">
        <v>19</v>
      </c>
      <c r="D1211" s="2">
        <v>44463.980364706273</v>
      </c>
      <c r="E1211">
        <f>VLOOKUP(I1211,Calc!$I$35:$J$39,2,FALSE)</f>
        <v>8</v>
      </c>
      <c r="F1211">
        <v>12</v>
      </c>
      <c r="G1211" s="10" t="s">
        <v>60</v>
      </c>
      <c r="H1211" s="10" t="s">
        <v>320</v>
      </c>
      <c r="I1211" s="10" t="s">
        <v>22</v>
      </c>
    </row>
    <row r="1212" spans="1:9" hidden="1">
      <c r="A1212" t="s">
        <v>2165</v>
      </c>
      <c r="B1212" t="s">
        <v>3264</v>
      </c>
      <c r="C1212" t="s">
        <v>19</v>
      </c>
      <c r="D1212" s="2">
        <v>38111.983169748237</v>
      </c>
      <c r="E1212">
        <f>VLOOKUP(I1212,Calc!$I$35:$J$39,2,FALSE)</f>
        <v>1.5</v>
      </c>
      <c r="F1212">
        <v>8</v>
      </c>
      <c r="G1212" s="10" t="s">
        <v>143</v>
      </c>
      <c r="H1212" s="10" t="s">
        <v>2166</v>
      </c>
      <c r="I1212" s="10" t="s">
        <v>47</v>
      </c>
    </row>
    <row r="1213" spans="1:9" hidden="1">
      <c r="A1213" t="s">
        <v>2167</v>
      </c>
      <c r="B1213" t="s">
        <v>3267</v>
      </c>
      <c r="C1213" t="s">
        <v>19</v>
      </c>
      <c r="D1213" s="2">
        <v>118213.37040504631</v>
      </c>
      <c r="E1213">
        <f>VLOOKUP(I1213,Calc!$I$35:$J$39,2,FALSE)</f>
        <v>5</v>
      </c>
      <c r="F1213">
        <v>20</v>
      </c>
      <c r="G1213" s="10" t="s">
        <v>107</v>
      </c>
      <c r="H1213" s="10" t="s">
        <v>1031</v>
      </c>
      <c r="I1213" s="10" t="s">
        <v>14</v>
      </c>
    </row>
    <row r="1214" spans="1:9" hidden="1">
      <c r="A1214" t="s">
        <v>2168</v>
      </c>
      <c r="B1214" t="s">
        <v>3269</v>
      </c>
      <c r="C1214" t="s">
        <v>19</v>
      </c>
      <c r="D1214" s="2">
        <v>39404.456801682099</v>
      </c>
      <c r="E1214">
        <f>VLOOKUP(I1214,Calc!$I$35:$J$39,2,FALSE)</f>
        <v>2.5</v>
      </c>
      <c r="F1214">
        <v>10</v>
      </c>
      <c r="G1214" s="10" t="s">
        <v>107</v>
      </c>
      <c r="H1214" s="10" t="s">
        <v>2169</v>
      </c>
      <c r="I1214" s="10" t="s">
        <v>36</v>
      </c>
    </row>
    <row r="1215" spans="1:9" hidden="1">
      <c r="A1215" t="s">
        <v>2170</v>
      </c>
      <c r="B1215" t="s">
        <v>3264</v>
      </c>
      <c r="C1215" t="s">
        <v>19</v>
      </c>
      <c r="D1215" s="2">
        <v>90198.36016840415</v>
      </c>
      <c r="E1215">
        <f>VLOOKUP(I1215,Calc!$I$35:$J$39,2,FALSE)</f>
        <v>1.5</v>
      </c>
      <c r="F1215">
        <v>3</v>
      </c>
      <c r="G1215" s="10" t="s">
        <v>45</v>
      </c>
      <c r="H1215" s="10" t="s">
        <v>90</v>
      </c>
      <c r="I1215" s="10" t="s">
        <v>47</v>
      </c>
    </row>
    <row r="1216" spans="1:9" hidden="1">
      <c r="A1216" t="s">
        <v>2171</v>
      </c>
      <c r="B1216" t="s">
        <v>3265</v>
      </c>
      <c r="C1216" t="s">
        <v>19</v>
      </c>
      <c r="D1216" s="2">
        <v>47285.348162018527</v>
      </c>
      <c r="E1216">
        <f>VLOOKUP(I1216,Calc!$I$35:$J$39,2,FALSE)</f>
        <v>5</v>
      </c>
      <c r="F1216">
        <v>14</v>
      </c>
      <c r="G1216" s="10" t="s">
        <v>107</v>
      </c>
      <c r="H1216" s="10" t="s">
        <v>2172</v>
      </c>
      <c r="I1216" s="10" t="s">
        <v>14</v>
      </c>
    </row>
    <row r="1217" spans="1:9" hidden="1">
      <c r="A1217" t="s">
        <v>2173</v>
      </c>
      <c r="B1217" t="s">
        <v>3269</v>
      </c>
      <c r="C1217" t="s">
        <v>29</v>
      </c>
      <c r="D1217" s="2">
        <v>56000</v>
      </c>
      <c r="E1217">
        <f>VLOOKUP(I1217,Calc!$I$35:$J$39,2,FALSE)</f>
        <v>5</v>
      </c>
      <c r="F1217">
        <v>1</v>
      </c>
      <c r="G1217" s="10" t="s">
        <v>30</v>
      </c>
      <c r="H1217" s="10" t="s">
        <v>56</v>
      </c>
      <c r="I1217" s="10" t="s">
        <v>14</v>
      </c>
    </row>
    <row r="1218" spans="1:9" hidden="1">
      <c r="A1218" t="s">
        <v>2174</v>
      </c>
      <c r="B1218" t="s">
        <v>3268</v>
      </c>
      <c r="C1218" t="s">
        <v>11</v>
      </c>
      <c r="D1218" s="2">
        <v>5082.6943786459069</v>
      </c>
      <c r="E1218">
        <f>VLOOKUP(I1218,Calc!$I$35:$J$39,2,FALSE)</f>
        <v>1.5</v>
      </c>
      <c r="F1218">
        <v>2</v>
      </c>
      <c r="G1218" s="10" t="s">
        <v>1177</v>
      </c>
      <c r="H1218" s="10" t="s">
        <v>2175</v>
      </c>
      <c r="I1218" s="10" t="s">
        <v>47</v>
      </c>
    </row>
    <row r="1219" spans="1:9" hidden="1">
      <c r="A1219" t="s">
        <v>2176</v>
      </c>
      <c r="B1219" t="s">
        <v>3269</v>
      </c>
      <c r="C1219" t="s">
        <v>19</v>
      </c>
      <c r="D1219" s="2">
        <v>53590.061250287661</v>
      </c>
      <c r="E1219">
        <f>VLOOKUP(I1219,Calc!$I$35:$J$39,2,FALSE)</f>
        <v>8</v>
      </c>
      <c r="F1219">
        <v>10</v>
      </c>
      <c r="G1219" s="10" t="s">
        <v>107</v>
      </c>
      <c r="H1219" s="10" t="s">
        <v>2177</v>
      </c>
      <c r="I1219" s="10" t="s">
        <v>22</v>
      </c>
    </row>
    <row r="1220" spans="1:9" hidden="1">
      <c r="A1220" t="s">
        <v>2178</v>
      </c>
      <c r="B1220" t="s">
        <v>3249</v>
      </c>
      <c r="C1220" t="s">
        <v>19</v>
      </c>
      <c r="D1220" s="2">
        <v>76906.906752939132</v>
      </c>
      <c r="E1220">
        <f>VLOOKUP(I1220,Calc!$I$35:$J$39,2,FALSE)</f>
        <v>8</v>
      </c>
      <c r="F1220">
        <v>17</v>
      </c>
      <c r="G1220" s="10" t="s">
        <v>1401</v>
      </c>
      <c r="H1220" s="10" t="s">
        <v>2179</v>
      </c>
      <c r="I1220" s="10" t="s">
        <v>22</v>
      </c>
    </row>
    <row r="1221" spans="1:9">
      <c r="A1221" t="s">
        <v>2180</v>
      </c>
      <c r="B1221" t="s">
        <v>3268</v>
      </c>
      <c r="C1221" t="s">
        <v>29</v>
      </c>
      <c r="D1221" s="2">
        <v>85000</v>
      </c>
      <c r="E1221">
        <f>VLOOKUP(I1221,Calc!$I$35:$J$39,2,FALSE)</f>
        <v>5</v>
      </c>
      <c r="F1221">
        <v>5</v>
      </c>
      <c r="G1221" s="10" t="s">
        <v>30</v>
      </c>
      <c r="H1221" s="10" t="s">
        <v>2181</v>
      </c>
      <c r="I1221" s="10" t="s">
        <v>14</v>
      </c>
    </row>
    <row r="1222" spans="1:9" hidden="1">
      <c r="A1222" t="s">
        <v>2182</v>
      </c>
      <c r="B1222" t="s">
        <v>3264</v>
      </c>
      <c r="C1222" t="s">
        <v>32</v>
      </c>
      <c r="D1222" s="2">
        <v>72000</v>
      </c>
      <c r="E1222">
        <f>VLOOKUP(I1222,Calc!$I$35:$J$39,2,FALSE)</f>
        <v>2.5</v>
      </c>
      <c r="F1222">
        <v>10</v>
      </c>
      <c r="G1222" s="10" t="s">
        <v>1023</v>
      </c>
      <c r="H1222" s="10" t="s">
        <v>2183</v>
      </c>
      <c r="I1222" s="10" t="s">
        <v>36</v>
      </c>
    </row>
    <row r="1223" spans="1:9">
      <c r="A1223" t="s">
        <v>2184</v>
      </c>
      <c r="B1223" t="s">
        <v>3268</v>
      </c>
      <c r="C1223" t="s">
        <v>29</v>
      </c>
      <c r="D1223" s="2">
        <v>55000</v>
      </c>
      <c r="E1223">
        <f>VLOOKUP(I1223,Calc!$I$35:$J$39,2,FALSE)</f>
        <v>1.5</v>
      </c>
      <c r="F1223">
        <v>7</v>
      </c>
      <c r="G1223" s="10" t="s">
        <v>30</v>
      </c>
      <c r="H1223" s="10" t="s">
        <v>1952</v>
      </c>
      <c r="I1223" s="10" t="s">
        <v>47</v>
      </c>
    </row>
    <row r="1224" spans="1:9" hidden="1">
      <c r="A1224" t="s">
        <v>2185</v>
      </c>
      <c r="B1224" t="s">
        <v>3263</v>
      </c>
      <c r="C1224" t="s">
        <v>19</v>
      </c>
      <c r="D1224" s="2">
        <v>67775.665698893223</v>
      </c>
      <c r="E1224">
        <f>VLOOKUP(I1224,Calc!$I$35:$J$39,2,FALSE)</f>
        <v>5</v>
      </c>
      <c r="F1224">
        <v>25</v>
      </c>
      <c r="G1224" s="10" t="s">
        <v>107</v>
      </c>
      <c r="H1224" s="10" t="s">
        <v>276</v>
      </c>
      <c r="I1224" s="10" t="s">
        <v>14</v>
      </c>
    </row>
    <row r="1225" spans="1:9" hidden="1">
      <c r="A1225" t="s">
        <v>2186</v>
      </c>
      <c r="B1225" t="s">
        <v>3268</v>
      </c>
      <c r="C1225" t="s">
        <v>19</v>
      </c>
      <c r="D1225" s="2">
        <v>40586.590505732565</v>
      </c>
      <c r="E1225">
        <f>VLOOKUP(I1225,Calc!$I$35:$J$39,2,FALSE)</f>
        <v>5</v>
      </c>
      <c r="F1225">
        <v>1</v>
      </c>
      <c r="G1225" s="10" t="s">
        <v>107</v>
      </c>
      <c r="H1225" s="10" t="s">
        <v>498</v>
      </c>
      <c r="I1225" s="10" t="s">
        <v>14</v>
      </c>
    </row>
    <row r="1226" spans="1:9">
      <c r="A1226" t="s">
        <v>2187</v>
      </c>
      <c r="B1226" t="s">
        <v>3268</v>
      </c>
      <c r="C1226" t="s">
        <v>29</v>
      </c>
      <c r="D1226" s="2">
        <v>50846</v>
      </c>
      <c r="E1226">
        <f>VLOOKUP(I1226,Calc!$I$35:$J$39,2,FALSE)</f>
        <v>5</v>
      </c>
      <c r="F1226">
        <v>25</v>
      </c>
      <c r="G1226" s="10" t="s">
        <v>30</v>
      </c>
      <c r="H1226" s="10" t="s">
        <v>2188</v>
      </c>
      <c r="I1226" s="10" t="s">
        <v>14</v>
      </c>
    </row>
    <row r="1227" spans="1:9" hidden="1">
      <c r="A1227" t="s">
        <v>2189</v>
      </c>
      <c r="B1227" t="s">
        <v>3269</v>
      </c>
      <c r="C1227" t="s">
        <v>29</v>
      </c>
      <c r="D1227" s="2">
        <v>63000</v>
      </c>
      <c r="E1227">
        <f>VLOOKUP(I1227,Calc!$I$35:$J$39,2,FALSE)</f>
        <v>8</v>
      </c>
      <c r="F1227">
        <v>16</v>
      </c>
      <c r="G1227" s="10" t="s">
        <v>30</v>
      </c>
      <c r="H1227" s="10" t="s">
        <v>410</v>
      </c>
      <c r="I1227" s="10" t="s">
        <v>22</v>
      </c>
    </row>
    <row r="1228" spans="1:9" hidden="1">
      <c r="A1228" t="s">
        <v>2190</v>
      </c>
      <c r="B1228" t="s">
        <v>3269</v>
      </c>
      <c r="C1228" t="s">
        <v>32</v>
      </c>
      <c r="D1228" s="2">
        <v>81592.772512210868</v>
      </c>
      <c r="E1228">
        <f>VLOOKUP(I1228,Calc!$I$35:$J$39,2,FALSE)</f>
        <v>5</v>
      </c>
      <c r="F1228">
        <v>5</v>
      </c>
      <c r="G1228" s="10" t="s">
        <v>123</v>
      </c>
      <c r="H1228" s="10" t="s">
        <v>2191</v>
      </c>
      <c r="I1228" s="10" t="s">
        <v>14</v>
      </c>
    </row>
    <row r="1229" spans="1:9" hidden="1">
      <c r="A1229" t="s">
        <v>2192</v>
      </c>
      <c r="B1229" t="s">
        <v>3268</v>
      </c>
      <c r="C1229" t="s">
        <v>3248</v>
      </c>
      <c r="D1229" s="2">
        <v>50700</v>
      </c>
      <c r="E1229">
        <f>VLOOKUP(I1229,Calc!$I$35:$J$39,2,FALSE)</f>
        <v>1.5</v>
      </c>
      <c r="F1229">
        <v>15</v>
      </c>
      <c r="G1229" s="10" t="s">
        <v>216</v>
      </c>
      <c r="H1229" s="10" t="s">
        <v>2193</v>
      </c>
      <c r="I1229" s="10" t="s">
        <v>47</v>
      </c>
    </row>
    <row r="1230" spans="1:9" hidden="1">
      <c r="A1230" t="s">
        <v>2194</v>
      </c>
      <c r="B1230" t="s">
        <v>3268</v>
      </c>
      <c r="C1230" t="s">
        <v>19</v>
      </c>
      <c r="D1230" s="2">
        <v>31523.565441345683</v>
      </c>
      <c r="E1230">
        <f>VLOOKUP(I1230,Calc!$I$35:$J$39,2,FALSE)</f>
        <v>5</v>
      </c>
      <c r="F1230">
        <v>1</v>
      </c>
      <c r="G1230" s="10" t="s">
        <v>107</v>
      </c>
      <c r="H1230" s="10" t="s">
        <v>2195</v>
      </c>
      <c r="I1230" s="10" t="s">
        <v>14</v>
      </c>
    </row>
    <row r="1231" spans="1:9">
      <c r="A1231" t="s">
        <v>2196</v>
      </c>
      <c r="B1231" t="s">
        <v>3268</v>
      </c>
      <c r="C1231" t="s">
        <v>29</v>
      </c>
      <c r="D1231" s="2">
        <v>70000</v>
      </c>
      <c r="E1231">
        <f>VLOOKUP(I1231,Calc!$I$35:$J$39,2,FALSE)</f>
        <v>1.5</v>
      </c>
      <c r="F1231">
        <v>6</v>
      </c>
      <c r="G1231" s="10" t="s">
        <v>30</v>
      </c>
      <c r="H1231" s="10" t="s">
        <v>2197</v>
      </c>
      <c r="I1231" s="10" t="s">
        <v>47</v>
      </c>
    </row>
    <row r="1232" spans="1:9" hidden="1">
      <c r="A1232" t="s">
        <v>2198</v>
      </c>
      <c r="B1232" t="s">
        <v>3267</v>
      </c>
      <c r="C1232" t="s">
        <v>29</v>
      </c>
      <c r="D1232" s="2">
        <v>63918.498996971248</v>
      </c>
      <c r="E1232">
        <f>VLOOKUP(I1232,Calc!$I$35:$J$39,2,FALSE)</f>
        <v>2.5</v>
      </c>
      <c r="F1232">
        <v>15</v>
      </c>
      <c r="G1232" s="10" t="s">
        <v>128</v>
      </c>
      <c r="H1232" s="10" t="s">
        <v>2199</v>
      </c>
      <c r="I1232" s="10" t="s">
        <v>36</v>
      </c>
    </row>
    <row r="1233" spans="1:9" hidden="1">
      <c r="A1233" t="s">
        <v>2200</v>
      </c>
      <c r="B1233" t="s">
        <v>3268</v>
      </c>
      <c r="C1233" t="s">
        <v>11</v>
      </c>
      <c r="D1233" s="2">
        <v>7261.724659606657</v>
      </c>
      <c r="E1233">
        <f>VLOOKUP(I1233,Calc!$I$35:$J$39,2,FALSE)</f>
        <v>8</v>
      </c>
      <c r="F1233">
        <v>2</v>
      </c>
      <c r="G1233" s="10" t="s">
        <v>2201</v>
      </c>
      <c r="H1233" s="10" t="s">
        <v>10</v>
      </c>
      <c r="I1233" s="10" t="s">
        <v>22</v>
      </c>
    </row>
    <row r="1234" spans="1:9" hidden="1">
      <c r="A1234" t="s">
        <v>2202</v>
      </c>
      <c r="B1234" t="s">
        <v>3266</v>
      </c>
      <c r="C1234" t="s">
        <v>11</v>
      </c>
      <c r="D1234" s="2">
        <v>11404.820437438224</v>
      </c>
      <c r="E1234">
        <f>VLOOKUP(I1234,Calc!$I$35:$J$39,2,FALSE)</f>
        <v>5</v>
      </c>
      <c r="F1234">
        <v>2</v>
      </c>
      <c r="G1234" s="10" t="s">
        <v>1763</v>
      </c>
      <c r="H1234" s="10" t="s">
        <v>2203</v>
      </c>
      <c r="I1234" s="10" t="s">
        <v>14</v>
      </c>
    </row>
    <row r="1235" spans="1:9" hidden="1">
      <c r="A1235" t="s">
        <v>2204</v>
      </c>
      <c r="B1235" t="s">
        <v>3264</v>
      </c>
      <c r="C1235" t="s">
        <v>11</v>
      </c>
      <c r="D1235" s="2">
        <v>120000</v>
      </c>
      <c r="E1235">
        <f>VLOOKUP(I1235,Calc!$I$35:$J$39,2,FALSE)</f>
        <v>1.5</v>
      </c>
      <c r="F1235">
        <v>5</v>
      </c>
      <c r="G1235" s="10" t="s">
        <v>455</v>
      </c>
      <c r="H1235" s="10" t="s">
        <v>2205</v>
      </c>
      <c r="I1235" s="10" t="s">
        <v>47</v>
      </c>
    </row>
    <row r="1236" spans="1:9" hidden="1">
      <c r="A1236" t="s">
        <v>2206</v>
      </c>
      <c r="B1236" t="s">
        <v>3268</v>
      </c>
      <c r="C1236" t="s">
        <v>32</v>
      </c>
      <c r="D1236" s="2">
        <v>91791.869076237213</v>
      </c>
      <c r="E1236">
        <f>VLOOKUP(I1236,Calc!$I$35:$J$39,2,FALSE)</f>
        <v>5</v>
      </c>
      <c r="F1236">
        <v>5</v>
      </c>
      <c r="G1236" s="10" t="s">
        <v>123</v>
      </c>
      <c r="H1236" s="10" t="s">
        <v>320</v>
      </c>
      <c r="I1236" s="10" t="s">
        <v>14</v>
      </c>
    </row>
    <row r="1237" spans="1:9" hidden="1">
      <c r="A1237" t="s">
        <v>2207</v>
      </c>
      <c r="B1237" t="s">
        <v>3268</v>
      </c>
      <c r="C1237" t="s">
        <v>32</v>
      </c>
      <c r="D1237" s="2">
        <v>112190.06220428993</v>
      </c>
      <c r="E1237">
        <f>VLOOKUP(I1237,Calc!$I$35:$J$39,2,FALSE)</f>
        <v>2.5</v>
      </c>
      <c r="F1237">
        <v>7</v>
      </c>
      <c r="G1237" s="10" t="s">
        <v>123</v>
      </c>
      <c r="H1237" s="10" t="s">
        <v>10</v>
      </c>
      <c r="I1237" s="10" t="s">
        <v>36</v>
      </c>
    </row>
    <row r="1238" spans="1:9" hidden="1">
      <c r="A1238" t="s">
        <v>2208</v>
      </c>
      <c r="B1238" t="s">
        <v>3267</v>
      </c>
      <c r="C1238" t="s">
        <v>29</v>
      </c>
      <c r="D1238" s="2">
        <v>40000</v>
      </c>
      <c r="E1238">
        <f>VLOOKUP(I1238,Calc!$I$35:$J$39,2,FALSE)</f>
        <v>2.5</v>
      </c>
      <c r="F1238">
        <v>18</v>
      </c>
      <c r="G1238" s="10" t="s">
        <v>30</v>
      </c>
      <c r="H1238" s="10" t="s">
        <v>2209</v>
      </c>
      <c r="I1238" s="10" t="s">
        <v>36</v>
      </c>
    </row>
    <row r="1239" spans="1:9" hidden="1">
      <c r="A1239" t="s">
        <v>2210</v>
      </c>
      <c r="B1239" t="s">
        <v>3269</v>
      </c>
      <c r="C1239" t="s">
        <v>29</v>
      </c>
      <c r="D1239" s="2">
        <v>107000</v>
      </c>
      <c r="E1239">
        <f>VLOOKUP(I1239,Calc!$I$35:$J$39,2,FALSE)</f>
        <v>5</v>
      </c>
      <c r="F1239">
        <v>12</v>
      </c>
      <c r="G1239" s="10" t="s">
        <v>30</v>
      </c>
      <c r="H1239" s="10" t="s">
        <v>2211</v>
      </c>
      <c r="I1239" s="10" t="s">
        <v>14</v>
      </c>
    </row>
    <row r="1240" spans="1:9" hidden="1">
      <c r="A1240" t="s">
        <v>2212</v>
      </c>
      <c r="B1240" t="s">
        <v>3267</v>
      </c>
      <c r="C1240" t="s">
        <v>29</v>
      </c>
      <c r="D1240" s="2">
        <v>82000</v>
      </c>
      <c r="E1240">
        <f>VLOOKUP(I1240,Calc!$I$35:$J$39,2,FALSE)</f>
        <v>5</v>
      </c>
      <c r="F1240">
        <v>10</v>
      </c>
      <c r="G1240" s="10" t="s">
        <v>30</v>
      </c>
      <c r="H1240" s="10" t="s">
        <v>2213</v>
      </c>
      <c r="I1240" s="10" t="s">
        <v>14</v>
      </c>
    </row>
    <row r="1241" spans="1:9" hidden="1">
      <c r="A1241" t="s">
        <v>2214</v>
      </c>
      <c r="B1241" t="s">
        <v>3264</v>
      </c>
      <c r="C1241" t="s">
        <v>32</v>
      </c>
      <c r="D1241" s="2">
        <v>101990.96564026357</v>
      </c>
      <c r="E1241">
        <f>VLOOKUP(I1241,Calc!$I$35:$J$39,2,FALSE)</f>
        <v>5</v>
      </c>
      <c r="F1241">
        <v>15</v>
      </c>
      <c r="G1241" s="10" t="s">
        <v>123</v>
      </c>
      <c r="H1241" s="10" t="s">
        <v>2215</v>
      </c>
      <c r="I1241" s="10" t="s">
        <v>14</v>
      </c>
    </row>
    <row r="1242" spans="1:9" hidden="1">
      <c r="A1242" t="s">
        <v>2216</v>
      </c>
      <c r="B1242" t="s">
        <v>3267</v>
      </c>
      <c r="C1242" t="s">
        <v>32</v>
      </c>
      <c r="D1242" s="2">
        <v>43000</v>
      </c>
      <c r="E1242">
        <f>VLOOKUP(I1242,Calc!$I$35:$J$39,2,FALSE)</f>
        <v>2.5</v>
      </c>
      <c r="F1242">
        <v>4</v>
      </c>
      <c r="G1242" s="10" t="s">
        <v>123</v>
      </c>
      <c r="H1242" s="10" t="s">
        <v>2217</v>
      </c>
      <c r="I1242" s="10" t="s">
        <v>36</v>
      </c>
    </row>
    <row r="1243" spans="1:9" hidden="1">
      <c r="A1243" t="s">
        <v>2218</v>
      </c>
      <c r="B1243" t="s">
        <v>3263</v>
      </c>
      <c r="C1243" t="s">
        <v>29</v>
      </c>
      <c r="D1243" s="2">
        <v>69000</v>
      </c>
      <c r="E1243">
        <f>VLOOKUP(I1243,Calc!$I$35:$J$39,2,FALSE)</f>
        <v>5</v>
      </c>
      <c r="F1243">
        <v>20</v>
      </c>
      <c r="G1243" s="10" t="s">
        <v>30</v>
      </c>
      <c r="H1243" s="10" t="s">
        <v>2219</v>
      </c>
      <c r="I1243" s="10" t="s">
        <v>14</v>
      </c>
    </row>
    <row r="1244" spans="1:9" hidden="1">
      <c r="A1244" t="s">
        <v>2220</v>
      </c>
      <c r="B1244" t="s">
        <v>3267</v>
      </c>
      <c r="C1244" t="s">
        <v>11</v>
      </c>
      <c r="D1244" s="2">
        <v>30000</v>
      </c>
      <c r="E1244">
        <f>VLOOKUP(I1244,Calc!$I$35:$J$39,2,FALSE)</f>
        <v>2.5</v>
      </c>
      <c r="F1244">
        <v>3</v>
      </c>
      <c r="G1244" s="10" t="s">
        <v>12</v>
      </c>
      <c r="H1244" s="10" t="s">
        <v>2221</v>
      </c>
      <c r="I1244" s="10" t="s">
        <v>36</v>
      </c>
    </row>
    <row r="1245" spans="1:9" hidden="1">
      <c r="A1245" t="s">
        <v>2222</v>
      </c>
      <c r="B1245" t="s">
        <v>3268</v>
      </c>
      <c r="C1245" t="s">
        <v>32</v>
      </c>
      <c r="D1245" s="2">
        <v>48955.663507326513</v>
      </c>
      <c r="E1245">
        <f>VLOOKUP(I1245,Calc!$I$35:$J$39,2,FALSE)</f>
        <v>1.5</v>
      </c>
      <c r="F1245">
        <v>2</v>
      </c>
      <c r="G1245" s="10" t="s">
        <v>123</v>
      </c>
      <c r="H1245" s="10" t="s">
        <v>1029</v>
      </c>
      <c r="I1245" s="10" t="s">
        <v>47</v>
      </c>
    </row>
    <row r="1246" spans="1:9" hidden="1">
      <c r="A1246" t="s">
        <v>2223</v>
      </c>
      <c r="B1246" t="s">
        <v>3267</v>
      </c>
      <c r="C1246" t="s">
        <v>29</v>
      </c>
      <c r="D1246" s="2">
        <v>70000</v>
      </c>
      <c r="E1246">
        <f>VLOOKUP(I1246,Calc!$I$35:$J$39,2,FALSE)</f>
        <v>5</v>
      </c>
      <c r="F1246">
        <v>8</v>
      </c>
      <c r="G1246" s="10" t="s">
        <v>30</v>
      </c>
      <c r="H1246" s="10" t="s">
        <v>310</v>
      </c>
      <c r="I1246" s="10" t="s">
        <v>14</v>
      </c>
    </row>
    <row r="1247" spans="1:9">
      <c r="A1247" t="s">
        <v>2224</v>
      </c>
      <c r="B1247" t="s">
        <v>3268</v>
      </c>
      <c r="C1247" t="s">
        <v>29</v>
      </c>
      <c r="D1247" s="2">
        <v>45000</v>
      </c>
      <c r="E1247">
        <f>VLOOKUP(I1247,Calc!$I$35:$J$39,2,FALSE)</f>
        <v>5</v>
      </c>
      <c r="F1247">
        <v>7</v>
      </c>
      <c r="G1247" s="10" t="s">
        <v>30</v>
      </c>
      <c r="H1247" s="10" t="s">
        <v>2225</v>
      </c>
      <c r="I1247" s="10" t="s">
        <v>14</v>
      </c>
    </row>
    <row r="1248" spans="1:9" hidden="1">
      <c r="A1248" t="s">
        <v>2226</v>
      </c>
      <c r="B1248" t="s">
        <v>3249</v>
      </c>
      <c r="C1248" t="s">
        <v>11</v>
      </c>
      <c r="D1248" s="2">
        <v>35000</v>
      </c>
      <c r="E1248">
        <f>VLOOKUP(I1248,Calc!$I$35:$J$39,2,FALSE)</f>
        <v>8</v>
      </c>
      <c r="F1248">
        <v>12</v>
      </c>
      <c r="G1248" s="10" t="s">
        <v>1763</v>
      </c>
      <c r="H1248" s="10" t="s">
        <v>2227</v>
      </c>
      <c r="I1248" s="10" t="s">
        <v>22</v>
      </c>
    </row>
    <row r="1249" spans="1:9" hidden="1">
      <c r="A1249" t="s">
        <v>2228</v>
      </c>
      <c r="B1249" t="s">
        <v>3267</v>
      </c>
      <c r="C1249" t="s">
        <v>11</v>
      </c>
      <c r="D1249" s="2">
        <v>8903.9583437212841</v>
      </c>
      <c r="E1249">
        <f>VLOOKUP(I1249,Calc!$I$35:$J$39,2,FALSE)</f>
        <v>2.5</v>
      </c>
      <c r="F1249">
        <v>29</v>
      </c>
      <c r="G1249" s="10" t="s">
        <v>12</v>
      </c>
      <c r="H1249" s="10" t="s">
        <v>2229</v>
      </c>
      <c r="I1249" s="10" t="s">
        <v>36</v>
      </c>
    </row>
    <row r="1250" spans="1:9" hidden="1">
      <c r="A1250" t="s">
        <v>2230</v>
      </c>
      <c r="B1250" t="s">
        <v>3267</v>
      </c>
      <c r="C1250" t="s">
        <v>11</v>
      </c>
      <c r="D1250" s="2">
        <v>28353.650809742252</v>
      </c>
      <c r="E1250">
        <f>VLOOKUP(I1250,Calc!$I$35:$J$39,2,FALSE)</f>
        <v>2.5</v>
      </c>
      <c r="F1250">
        <v>20</v>
      </c>
      <c r="G1250" s="10" t="s">
        <v>1763</v>
      </c>
      <c r="H1250" s="10" t="s">
        <v>44</v>
      </c>
      <c r="I1250" s="10" t="s">
        <v>36</v>
      </c>
    </row>
    <row r="1251" spans="1:9" hidden="1">
      <c r="A1251" t="s">
        <v>2231</v>
      </c>
      <c r="B1251" t="s">
        <v>3268</v>
      </c>
      <c r="C1251" t="s">
        <v>11</v>
      </c>
      <c r="D1251" s="2">
        <v>11800</v>
      </c>
      <c r="E1251">
        <f>VLOOKUP(I1251,Calc!$I$35:$J$39,2,FALSE)</f>
        <v>5</v>
      </c>
      <c r="F1251">
        <v>10</v>
      </c>
      <c r="G1251" s="10" t="s">
        <v>12</v>
      </c>
      <c r="H1251" s="10" t="s">
        <v>2232</v>
      </c>
      <c r="I1251" s="10" t="s">
        <v>14</v>
      </c>
    </row>
    <row r="1252" spans="1:9" hidden="1">
      <c r="A1252" t="s">
        <v>2233</v>
      </c>
      <c r="B1252" t="s">
        <v>3267</v>
      </c>
      <c r="C1252" t="s">
        <v>11</v>
      </c>
      <c r="D1252" s="2">
        <v>6410.8500074793246</v>
      </c>
      <c r="E1252">
        <f>VLOOKUP(I1252,Calc!$I$35:$J$39,2,FALSE)</f>
        <v>8</v>
      </c>
      <c r="F1252">
        <v>6</v>
      </c>
      <c r="G1252" s="10" t="s">
        <v>12</v>
      </c>
      <c r="H1252" s="10" t="s">
        <v>2234</v>
      </c>
      <c r="I1252" s="10" t="s">
        <v>22</v>
      </c>
    </row>
    <row r="1253" spans="1:9">
      <c r="A1253" t="s">
        <v>2235</v>
      </c>
      <c r="B1253" t="s">
        <v>3268</v>
      </c>
      <c r="C1253" t="s">
        <v>29</v>
      </c>
      <c r="D1253" s="2">
        <v>50000</v>
      </c>
      <c r="E1253">
        <f>VLOOKUP(I1253,Calc!$I$35:$J$39,2,FALSE)</f>
        <v>5</v>
      </c>
      <c r="F1253">
        <v>3</v>
      </c>
      <c r="G1253" s="10" t="s">
        <v>30</v>
      </c>
      <c r="H1253" s="10" t="s">
        <v>233</v>
      </c>
      <c r="I1253" s="10" t="s">
        <v>14</v>
      </c>
    </row>
    <row r="1254" spans="1:9" hidden="1">
      <c r="A1254" t="s">
        <v>2236</v>
      </c>
      <c r="B1254" t="s">
        <v>3267</v>
      </c>
      <c r="C1254" t="s">
        <v>11</v>
      </c>
      <c r="D1254" s="2">
        <v>85000</v>
      </c>
      <c r="E1254">
        <f>VLOOKUP(I1254,Calc!$I$35:$J$39,2,FALSE)</f>
        <v>8</v>
      </c>
      <c r="F1254">
        <v>10</v>
      </c>
      <c r="G1254" s="10" t="s">
        <v>1157</v>
      </c>
      <c r="H1254" s="10" t="s">
        <v>2237</v>
      </c>
      <c r="I1254" s="10" t="s">
        <v>22</v>
      </c>
    </row>
    <row r="1255" spans="1:9" hidden="1">
      <c r="A1255" t="s">
        <v>2238</v>
      </c>
      <c r="B1255" t="s">
        <v>3267</v>
      </c>
      <c r="C1255" t="s">
        <v>11</v>
      </c>
      <c r="D1255" s="2">
        <v>17807.916687442568</v>
      </c>
      <c r="E1255">
        <f>VLOOKUP(I1255,Calc!$I$35:$J$39,2,FALSE)</f>
        <v>2.5</v>
      </c>
      <c r="F1255">
        <v>10</v>
      </c>
      <c r="G1255" s="10" t="s">
        <v>12</v>
      </c>
      <c r="H1255" s="10" t="s">
        <v>44</v>
      </c>
      <c r="I1255" s="10" t="s">
        <v>36</v>
      </c>
    </row>
    <row r="1256" spans="1:9" hidden="1">
      <c r="A1256" t="s">
        <v>2239</v>
      </c>
      <c r="B1256" t="s">
        <v>3263</v>
      </c>
      <c r="C1256" t="s">
        <v>11</v>
      </c>
      <c r="D1256" s="2">
        <v>16027.125018698311</v>
      </c>
      <c r="E1256">
        <f>VLOOKUP(I1256,Calc!$I$35:$J$39,2,FALSE)</f>
        <v>8</v>
      </c>
      <c r="F1256">
        <v>8</v>
      </c>
      <c r="G1256" s="10" t="s">
        <v>12</v>
      </c>
      <c r="H1256" s="10" t="s">
        <v>2240</v>
      </c>
      <c r="I1256" s="10" t="s">
        <v>22</v>
      </c>
    </row>
    <row r="1257" spans="1:9" hidden="1">
      <c r="A1257" t="s">
        <v>2241</v>
      </c>
      <c r="B1257" t="s">
        <v>3249</v>
      </c>
      <c r="C1257" t="s">
        <v>29</v>
      </c>
      <c r="D1257" s="2">
        <v>192000</v>
      </c>
      <c r="E1257">
        <f>VLOOKUP(I1257,Calc!$I$35:$J$39,2,FALSE)</f>
        <v>8</v>
      </c>
      <c r="F1257">
        <v>27</v>
      </c>
      <c r="G1257" s="10" t="s">
        <v>30</v>
      </c>
      <c r="H1257" s="10" t="s">
        <v>2242</v>
      </c>
      <c r="I1257" s="10" t="s">
        <v>22</v>
      </c>
    </row>
    <row r="1258" spans="1:9">
      <c r="A1258" t="s">
        <v>2243</v>
      </c>
      <c r="B1258" t="s">
        <v>3268</v>
      </c>
      <c r="C1258" t="s">
        <v>29</v>
      </c>
      <c r="D1258" s="2">
        <v>54000</v>
      </c>
      <c r="E1258">
        <f>VLOOKUP(I1258,Calc!$I$35:$J$39,2,FALSE)</f>
        <v>8</v>
      </c>
      <c r="F1258">
        <v>6</v>
      </c>
      <c r="G1258" s="10" t="s">
        <v>30</v>
      </c>
      <c r="H1258" s="10" t="s">
        <v>2244</v>
      </c>
      <c r="I1258" s="10" t="s">
        <v>22</v>
      </c>
    </row>
    <row r="1259" spans="1:9" hidden="1">
      <c r="A1259" t="s">
        <v>2245</v>
      </c>
      <c r="B1259" t="s">
        <v>3267</v>
      </c>
      <c r="C1259" t="s">
        <v>11</v>
      </c>
      <c r="D1259" s="2">
        <v>18000</v>
      </c>
      <c r="E1259">
        <f>VLOOKUP(I1259,Calc!$I$35:$J$39,2,FALSE)</f>
        <v>5</v>
      </c>
      <c r="F1259">
        <v>12</v>
      </c>
      <c r="G1259" s="10" t="s">
        <v>12</v>
      </c>
      <c r="H1259" s="10" t="s">
        <v>44</v>
      </c>
      <c r="I1259" s="10" t="s">
        <v>14</v>
      </c>
    </row>
    <row r="1260" spans="1:9" hidden="1">
      <c r="A1260" t="s">
        <v>2246</v>
      </c>
      <c r="B1260" t="s">
        <v>77</v>
      </c>
      <c r="C1260" t="s">
        <v>11</v>
      </c>
      <c r="D1260" s="2">
        <v>5342.3750062327708</v>
      </c>
      <c r="E1260">
        <f>VLOOKUP(I1260,Calc!$I$35:$J$39,2,FALSE)</f>
        <v>2.5</v>
      </c>
      <c r="F1260">
        <v>5</v>
      </c>
      <c r="G1260" s="10" t="s">
        <v>12</v>
      </c>
      <c r="H1260" s="10" t="s">
        <v>2247</v>
      </c>
      <c r="I1260" s="10" t="s">
        <v>36</v>
      </c>
    </row>
    <row r="1261" spans="1:9" hidden="1">
      <c r="A1261" t="s">
        <v>2248</v>
      </c>
      <c r="B1261" t="s">
        <v>3267</v>
      </c>
      <c r="C1261" t="s">
        <v>11</v>
      </c>
      <c r="D1261" s="2">
        <v>7123.1666749770275</v>
      </c>
      <c r="E1261">
        <f>VLOOKUP(I1261,Calc!$I$35:$J$39,2,FALSE)</f>
        <v>8</v>
      </c>
      <c r="F1261">
        <v>3</v>
      </c>
      <c r="G1261" s="10" t="s">
        <v>12</v>
      </c>
      <c r="H1261" s="10" t="s">
        <v>1240</v>
      </c>
      <c r="I1261" s="10" t="s">
        <v>22</v>
      </c>
    </row>
    <row r="1262" spans="1:9" hidden="1">
      <c r="A1262" t="s">
        <v>2249</v>
      </c>
      <c r="B1262" t="s">
        <v>3267</v>
      </c>
      <c r="C1262" t="s">
        <v>11</v>
      </c>
      <c r="D1262" s="2">
        <v>15000</v>
      </c>
      <c r="E1262">
        <f>VLOOKUP(I1262,Calc!$I$35:$J$39,2,FALSE)</f>
        <v>5</v>
      </c>
      <c r="F1262">
        <v>10</v>
      </c>
      <c r="G1262" s="10" t="s">
        <v>2250</v>
      </c>
      <c r="H1262" s="10" t="s">
        <v>2251</v>
      </c>
      <c r="I1262" s="10" t="s">
        <v>14</v>
      </c>
    </row>
    <row r="1263" spans="1:9" hidden="1">
      <c r="A1263" t="s">
        <v>2252</v>
      </c>
      <c r="B1263" t="s">
        <v>3268</v>
      </c>
      <c r="C1263" t="s">
        <v>11</v>
      </c>
      <c r="D1263" s="2">
        <v>14000</v>
      </c>
      <c r="E1263">
        <f>VLOOKUP(I1263,Calc!$I$35:$J$39,2,FALSE)</f>
        <v>5</v>
      </c>
      <c r="F1263">
        <v>12</v>
      </c>
      <c r="G1263" s="10" t="s">
        <v>12</v>
      </c>
      <c r="H1263" s="10" t="s">
        <v>2253</v>
      </c>
      <c r="I1263" s="10" t="s">
        <v>14</v>
      </c>
    </row>
    <row r="1264" spans="1:9" hidden="1">
      <c r="A1264" t="s">
        <v>2254</v>
      </c>
      <c r="B1264" t="s">
        <v>3268</v>
      </c>
      <c r="C1264" t="s">
        <v>11</v>
      </c>
      <c r="D1264" s="2">
        <v>8000</v>
      </c>
      <c r="E1264">
        <f>VLOOKUP(I1264,Calc!$I$35:$J$39,2,FALSE)</f>
        <v>8</v>
      </c>
      <c r="F1264">
        <v>4</v>
      </c>
      <c r="G1264" s="10" t="s">
        <v>12</v>
      </c>
      <c r="H1264" s="10" t="s">
        <v>233</v>
      </c>
      <c r="I1264" s="10" t="s">
        <v>22</v>
      </c>
    </row>
    <row r="1265" spans="1:9" hidden="1">
      <c r="A1265" t="s">
        <v>2255</v>
      </c>
      <c r="B1265" t="s">
        <v>3265</v>
      </c>
      <c r="C1265" t="s">
        <v>11</v>
      </c>
      <c r="D1265" s="2">
        <v>12500</v>
      </c>
      <c r="E1265">
        <f>VLOOKUP(I1265,Calc!$I$35:$J$39,2,FALSE)</f>
        <v>2.5</v>
      </c>
      <c r="F1265">
        <v>7</v>
      </c>
      <c r="G1265" s="10" t="s">
        <v>566</v>
      </c>
      <c r="H1265" s="10" t="s">
        <v>59</v>
      </c>
      <c r="I1265" s="10" t="s">
        <v>36</v>
      </c>
    </row>
    <row r="1266" spans="1:9" hidden="1">
      <c r="A1266" t="s">
        <v>2256</v>
      </c>
      <c r="B1266" t="s">
        <v>3269</v>
      </c>
      <c r="C1266" t="s">
        <v>29</v>
      </c>
      <c r="D1266" s="2">
        <v>140000</v>
      </c>
      <c r="E1266">
        <f>VLOOKUP(I1266,Calc!$I$35:$J$39,2,FALSE)</f>
        <v>5</v>
      </c>
      <c r="F1266">
        <v>12</v>
      </c>
      <c r="G1266" s="10" t="s">
        <v>30</v>
      </c>
      <c r="H1266" s="10" t="s">
        <v>132</v>
      </c>
      <c r="I1266" s="10" t="s">
        <v>14</v>
      </c>
    </row>
    <row r="1267" spans="1:9" hidden="1">
      <c r="A1267" t="s">
        <v>2257</v>
      </c>
      <c r="B1267" t="s">
        <v>3264</v>
      </c>
      <c r="C1267" t="s">
        <v>11</v>
      </c>
      <c r="D1267" s="2">
        <v>12000</v>
      </c>
      <c r="E1267">
        <f>VLOOKUP(I1267,Calc!$I$35:$J$39,2,FALSE)</f>
        <v>5</v>
      </c>
      <c r="F1267">
        <v>1</v>
      </c>
      <c r="G1267" s="10" t="s">
        <v>34</v>
      </c>
      <c r="H1267" s="10" t="s">
        <v>2258</v>
      </c>
      <c r="I1267" s="10" t="s">
        <v>14</v>
      </c>
    </row>
    <row r="1268" spans="1:9" hidden="1">
      <c r="A1268" t="s">
        <v>2259</v>
      </c>
      <c r="B1268" t="s">
        <v>3268</v>
      </c>
      <c r="C1268" t="s">
        <v>19</v>
      </c>
      <c r="D1268" s="2">
        <v>38111.983169748237</v>
      </c>
      <c r="E1268">
        <f>VLOOKUP(I1268,Calc!$I$35:$J$39,2,FALSE)</f>
        <v>2.5</v>
      </c>
      <c r="F1268">
        <v>15</v>
      </c>
      <c r="G1268" s="10" t="s">
        <v>96</v>
      </c>
      <c r="H1268" s="10" t="s">
        <v>2260</v>
      </c>
      <c r="I1268" s="10" t="s">
        <v>36</v>
      </c>
    </row>
    <row r="1269" spans="1:9" hidden="1">
      <c r="A1269" t="s">
        <v>2261</v>
      </c>
      <c r="B1269" t="s">
        <v>3267</v>
      </c>
      <c r="C1269" t="s">
        <v>11</v>
      </c>
      <c r="D1269" s="2">
        <v>10684.750012465542</v>
      </c>
      <c r="E1269">
        <f>VLOOKUP(I1269,Calc!$I$35:$J$39,2,FALSE)</f>
        <v>2.5</v>
      </c>
      <c r="F1269">
        <v>2</v>
      </c>
      <c r="G1269" s="10" t="s">
        <v>12</v>
      </c>
      <c r="H1269" s="10" t="s">
        <v>2262</v>
      </c>
      <c r="I1269" s="10" t="s">
        <v>36</v>
      </c>
    </row>
    <row r="1270" spans="1:9" hidden="1">
      <c r="A1270" t="s">
        <v>2263</v>
      </c>
      <c r="B1270" t="s">
        <v>3268</v>
      </c>
      <c r="C1270" t="s">
        <v>11</v>
      </c>
      <c r="D1270" s="2">
        <v>6232.7708406048987</v>
      </c>
      <c r="E1270">
        <f>VLOOKUP(I1270,Calc!$I$35:$J$39,2,FALSE)</f>
        <v>5</v>
      </c>
      <c r="F1270">
        <v>1.5</v>
      </c>
      <c r="G1270" s="10" t="s">
        <v>12</v>
      </c>
      <c r="H1270" s="10" t="s">
        <v>2264</v>
      </c>
      <c r="I1270" s="10" t="s">
        <v>14</v>
      </c>
    </row>
    <row r="1271" spans="1:9" hidden="1">
      <c r="A1271" t="s">
        <v>2265</v>
      </c>
      <c r="B1271" t="s">
        <v>3268</v>
      </c>
      <c r="C1271" t="s">
        <v>11</v>
      </c>
      <c r="D1271" s="2">
        <v>45000</v>
      </c>
      <c r="E1271">
        <f>VLOOKUP(I1271,Calc!$I$35:$J$39,2,FALSE)</f>
        <v>8</v>
      </c>
      <c r="F1271">
        <v>8</v>
      </c>
      <c r="G1271" s="10" t="s">
        <v>34</v>
      </c>
      <c r="H1271" s="10" t="s">
        <v>2266</v>
      </c>
      <c r="I1271" s="10" t="s">
        <v>22</v>
      </c>
    </row>
    <row r="1272" spans="1:9" hidden="1">
      <c r="A1272" t="s">
        <v>2267</v>
      </c>
      <c r="B1272" t="s">
        <v>3267</v>
      </c>
      <c r="C1272" t="s">
        <v>29</v>
      </c>
      <c r="D1272" s="2">
        <v>80000</v>
      </c>
      <c r="E1272">
        <f>VLOOKUP(I1272,Calc!$I$35:$J$39,2,FALSE)</f>
        <v>1.5</v>
      </c>
      <c r="F1272">
        <v>6</v>
      </c>
      <c r="G1272" s="10" t="s">
        <v>30</v>
      </c>
      <c r="H1272" s="10" t="s">
        <v>44</v>
      </c>
      <c r="I1272" s="10" t="s">
        <v>47</v>
      </c>
    </row>
    <row r="1273" spans="1:9" hidden="1">
      <c r="A1273" t="s">
        <v>2268</v>
      </c>
      <c r="B1273" t="s">
        <v>3268</v>
      </c>
      <c r="C1273" t="s">
        <v>11</v>
      </c>
      <c r="D1273" s="2">
        <v>26711.875031163851</v>
      </c>
      <c r="E1273">
        <f>VLOOKUP(I1273,Calc!$I$35:$J$39,2,FALSE)</f>
        <v>5</v>
      </c>
      <c r="F1273">
        <v>7</v>
      </c>
      <c r="G1273" s="10" t="s">
        <v>12</v>
      </c>
      <c r="H1273" s="10" t="s">
        <v>10</v>
      </c>
      <c r="I1273" s="10" t="s">
        <v>14</v>
      </c>
    </row>
    <row r="1274" spans="1:9" hidden="1">
      <c r="A1274" t="s">
        <v>2269</v>
      </c>
      <c r="B1274" t="s">
        <v>3268</v>
      </c>
      <c r="C1274" t="s">
        <v>42</v>
      </c>
      <c r="D1274" s="2">
        <v>100000</v>
      </c>
      <c r="E1274">
        <f>VLOOKUP(I1274,Calc!$I$35:$J$39,2,FALSE)</f>
        <v>5</v>
      </c>
      <c r="F1274">
        <v>17</v>
      </c>
      <c r="G1274" s="10" t="s">
        <v>2270</v>
      </c>
      <c r="H1274" s="10" t="s">
        <v>320</v>
      </c>
      <c r="I1274" s="10" t="s">
        <v>14</v>
      </c>
    </row>
    <row r="1275" spans="1:9" hidden="1">
      <c r="A1275" t="s">
        <v>2271</v>
      </c>
      <c r="B1275" t="s">
        <v>3267</v>
      </c>
      <c r="C1275" t="s">
        <v>32</v>
      </c>
      <c r="D1275" s="2">
        <v>69353.856635379227</v>
      </c>
      <c r="E1275">
        <f>VLOOKUP(I1275,Calc!$I$35:$J$39,2,FALSE)</f>
        <v>5</v>
      </c>
      <c r="F1275">
        <v>10</v>
      </c>
      <c r="G1275" s="10" t="s">
        <v>123</v>
      </c>
      <c r="H1275" s="10" t="s">
        <v>2272</v>
      </c>
      <c r="I1275" s="10" t="s">
        <v>14</v>
      </c>
    </row>
    <row r="1276" spans="1:9" hidden="1">
      <c r="A1276" t="s">
        <v>2273</v>
      </c>
      <c r="B1276" t="s">
        <v>3263</v>
      </c>
      <c r="C1276" t="s">
        <v>32</v>
      </c>
      <c r="D1276" s="2">
        <v>49975.573163729154</v>
      </c>
      <c r="E1276">
        <f>VLOOKUP(I1276,Calc!$I$35:$J$39,2,FALSE)</f>
        <v>5</v>
      </c>
      <c r="F1276">
        <v>30</v>
      </c>
      <c r="G1276" s="10" t="s">
        <v>123</v>
      </c>
      <c r="H1276" s="10" t="s">
        <v>2274</v>
      </c>
      <c r="I1276" s="10" t="s">
        <v>14</v>
      </c>
    </row>
    <row r="1277" spans="1:9" hidden="1">
      <c r="A1277" t="s">
        <v>2275</v>
      </c>
      <c r="B1277" t="s">
        <v>3267</v>
      </c>
      <c r="C1277" t="s">
        <v>11</v>
      </c>
      <c r="D1277" s="2">
        <v>10239.552095279476</v>
      </c>
      <c r="E1277">
        <f>VLOOKUP(I1277,Calc!$I$35:$J$39,2,FALSE)</f>
        <v>2.5</v>
      </c>
      <c r="F1277">
        <v>5</v>
      </c>
      <c r="G1277" s="10" t="s">
        <v>12</v>
      </c>
      <c r="H1277" s="10" t="s">
        <v>2276</v>
      </c>
      <c r="I1277" s="10" t="s">
        <v>36</v>
      </c>
    </row>
    <row r="1278" spans="1:9" hidden="1">
      <c r="A1278" t="s">
        <v>2277</v>
      </c>
      <c r="B1278" t="s">
        <v>3266</v>
      </c>
      <c r="C1278" t="s">
        <v>11</v>
      </c>
      <c r="D1278" s="2">
        <v>8903.9583437212841</v>
      </c>
      <c r="E1278">
        <f>VLOOKUP(I1278,Calc!$I$35:$J$39,2,FALSE)</f>
        <v>5</v>
      </c>
      <c r="F1278">
        <v>2</v>
      </c>
      <c r="G1278" s="10" t="s">
        <v>12</v>
      </c>
      <c r="H1278" s="10" t="s">
        <v>2278</v>
      </c>
      <c r="I1278" s="10" t="s">
        <v>14</v>
      </c>
    </row>
    <row r="1279" spans="1:9" hidden="1">
      <c r="A1279" t="s">
        <v>2279</v>
      </c>
      <c r="B1279" t="s">
        <v>3268</v>
      </c>
      <c r="C1279" t="s">
        <v>48</v>
      </c>
      <c r="D1279" s="2">
        <v>36000</v>
      </c>
      <c r="E1279">
        <f>VLOOKUP(I1279,Calc!$I$35:$J$39,2,FALSE)</f>
        <v>2.5</v>
      </c>
      <c r="F1279">
        <v>10</v>
      </c>
      <c r="G1279" s="10" t="s">
        <v>1840</v>
      </c>
      <c r="H1279" s="10" t="s">
        <v>420</v>
      </c>
      <c r="I1279" s="10" t="s">
        <v>36</v>
      </c>
    </row>
    <row r="1280" spans="1:9" hidden="1">
      <c r="A1280" t="s">
        <v>2280</v>
      </c>
      <c r="B1280" t="s">
        <v>77</v>
      </c>
      <c r="C1280" t="s">
        <v>11</v>
      </c>
      <c r="D1280" s="2">
        <v>3739.6625043629392</v>
      </c>
      <c r="E1280">
        <f>VLOOKUP(I1280,Calc!$I$35:$J$39,2,FALSE)</f>
        <v>1.5</v>
      </c>
      <c r="F1280">
        <v>4.5</v>
      </c>
      <c r="G1280" s="10" t="s">
        <v>12</v>
      </c>
      <c r="H1280" s="10" t="s">
        <v>2281</v>
      </c>
      <c r="I1280" s="10" t="s">
        <v>47</v>
      </c>
    </row>
    <row r="1281" spans="1:9" hidden="1">
      <c r="A1281" t="s">
        <v>2282</v>
      </c>
      <c r="B1281" t="s">
        <v>3268</v>
      </c>
      <c r="C1281" t="s">
        <v>19</v>
      </c>
      <c r="D1281" s="2">
        <v>61614.372791092981</v>
      </c>
      <c r="E1281">
        <f>VLOOKUP(I1281,Calc!$I$35:$J$39,2,FALSE)</f>
        <v>5</v>
      </c>
      <c r="F1281">
        <v>8</v>
      </c>
      <c r="G1281" s="10" t="s">
        <v>143</v>
      </c>
      <c r="H1281" s="10" t="s">
        <v>2283</v>
      </c>
      <c r="I1281" s="10" t="s">
        <v>14</v>
      </c>
    </row>
    <row r="1282" spans="1:9" hidden="1">
      <c r="A1282" t="s">
        <v>2284</v>
      </c>
      <c r="B1282" t="s">
        <v>77</v>
      </c>
      <c r="C1282" t="s">
        <v>11</v>
      </c>
      <c r="D1282" s="2">
        <v>3561.5833374885137</v>
      </c>
      <c r="E1282">
        <f>VLOOKUP(I1282,Calc!$I$35:$J$39,2,FALSE)</f>
        <v>2.5</v>
      </c>
      <c r="F1282">
        <v>3</v>
      </c>
      <c r="G1282" s="10" t="s">
        <v>12</v>
      </c>
      <c r="H1282" s="10" t="s">
        <v>587</v>
      </c>
      <c r="I1282" s="10" t="s">
        <v>36</v>
      </c>
    </row>
    <row r="1283" spans="1:9" hidden="1">
      <c r="A1283" t="s">
        <v>2285</v>
      </c>
      <c r="B1283" t="s">
        <v>3268</v>
      </c>
      <c r="C1283" t="s">
        <v>11</v>
      </c>
      <c r="D1283" s="2">
        <v>6410.8500074793246</v>
      </c>
      <c r="E1283">
        <f>VLOOKUP(I1283,Calc!$I$35:$J$39,2,FALSE)</f>
        <v>8</v>
      </c>
      <c r="F1283">
        <v>6</v>
      </c>
      <c r="G1283" s="10" t="s">
        <v>12</v>
      </c>
      <c r="H1283" s="10" t="s">
        <v>2286</v>
      </c>
      <c r="I1283" s="10" t="s">
        <v>22</v>
      </c>
    </row>
    <row r="1284" spans="1:9" hidden="1">
      <c r="A1284" t="s">
        <v>2287</v>
      </c>
      <c r="B1284" t="s">
        <v>3268</v>
      </c>
      <c r="C1284" t="s">
        <v>19</v>
      </c>
      <c r="D1284" s="2">
        <v>36206.384011260823</v>
      </c>
      <c r="E1284">
        <f>VLOOKUP(I1284,Calc!$I$35:$J$39,2,FALSE)</f>
        <v>1.5</v>
      </c>
      <c r="F1284">
        <v>5</v>
      </c>
      <c r="G1284" s="10" t="s">
        <v>143</v>
      </c>
      <c r="H1284" s="10" t="s">
        <v>2288</v>
      </c>
      <c r="I1284" s="10" t="s">
        <v>47</v>
      </c>
    </row>
    <row r="1285" spans="1:9" hidden="1">
      <c r="A1285" t="s">
        <v>2289</v>
      </c>
      <c r="B1285" t="s">
        <v>3267</v>
      </c>
      <c r="C1285" t="s">
        <v>11</v>
      </c>
      <c r="D1285" s="2">
        <v>13500</v>
      </c>
      <c r="E1285">
        <f>VLOOKUP(I1285,Calc!$I$35:$J$39,2,FALSE)</f>
        <v>2.5</v>
      </c>
      <c r="F1285">
        <v>20</v>
      </c>
      <c r="G1285" s="10" t="s">
        <v>12</v>
      </c>
      <c r="H1285" s="10" t="s">
        <v>1294</v>
      </c>
      <c r="I1285" s="10" t="s">
        <v>36</v>
      </c>
    </row>
    <row r="1286" spans="1:9" hidden="1">
      <c r="A1286" t="s">
        <v>2290</v>
      </c>
      <c r="B1286" t="s">
        <v>3269</v>
      </c>
      <c r="C1286" t="s">
        <v>11</v>
      </c>
      <c r="D1286" s="2">
        <v>3000</v>
      </c>
      <c r="E1286">
        <f>VLOOKUP(I1286,Calc!$I$35:$J$39,2,FALSE)</f>
        <v>5</v>
      </c>
      <c r="F1286">
        <v>2</v>
      </c>
      <c r="G1286" s="10" t="s">
        <v>1157</v>
      </c>
      <c r="H1286" s="10" t="s">
        <v>2291</v>
      </c>
      <c r="I1286" s="10" t="s">
        <v>14</v>
      </c>
    </row>
    <row r="1287" spans="1:9" hidden="1">
      <c r="A1287" t="s">
        <v>2292</v>
      </c>
      <c r="B1287" t="s">
        <v>3267</v>
      </c>
      <c r="C1287" t="s">
        <v>11</v>
      </c>
      <c r="D1287" s="2">
        <v>21369.500024931083</v>
      </c>
      <c r="E1287">
        <f>VLOOKUP(I1287,Calc!$I$35:$J$39,2,FALSE)</f>
        <v>5</v>
      </c>
      <c r="F1287">
        <v>9</v>
      </c>
      <c r="G1287" s="10" t="s">
        <v>12</v>
      </c>
      <c r="H1287" s="10" t="s">
        <v>2293</v>
      </c>
      <c r="I1287" s="10" t="s">
        <v>14</v>
      </c>
    </row>
    <row r="1288" spans="1:9" hidden="1">
      <c r="A1288" t="s">
        <v>2294</v>
      </c>
      <c r="B1288" t="s">
        <v>3267</v>
      </c>
      <c r="C1288" t="s">
        <v>11</v>
      </c>
      <c r="D1288" s="2">
        <v>10684.750012465542</v>
      </c>
      <c r="E1288">
        <f>VLOOKUP(I1288,Calc!$I$35:$J$39,2,FALSE)</f>
        <v>2.5</v>
      </c>
      <c r="F1288">
        <v>28</v>
      </c>
      <c r="G1288" s="10" t="s">
        <v>12</v>
      </c>
      <c r="H1288" s="10" t="s">
        <v>699</v>
      </c>
      <c r="I1288" s="10" t="s">
        <v>36</v>
      </c>
    </row>
    <row r="1289" spans="1:9" hidden="1">
      <c r="A1289" t="s">
        <v>2295</v>
      </c>
      <c r="B1289" t="s">
        <v>3267</v>
      </c>
      <c r="C1289" t="s">
        <v>19</v>
      </c>
      <c r="D1289" s="2">
        <v>176585.52201983347</v>
      </c>
      <c r="E1289">
        <f>VLOOKUP(I1289,Calc!$I$35:$J$39,2,FALSE)</f>
        <v>1.5</v>
      </c>
      <c r="F1289">
        <v>25</v>
      </c>
      <c r="G1289" s="10" t="s">
        <v>45</v>
      </c>
      <c r="H1289" s="10" t="s">
        <v>2296</v>
      </c>
      <c r="I1289" s="10" t="s">
        <v>47</v>
      </c>
    </row>
    <row r="1290" spans="1:9" hidden="1">
      <c r="A1290" t="s">
        <v>2297</v>
      </c>
      <c r="B1290" t="s">
        <v>3267</v>
      </c>
      <c r="C1290" t="s">
        <v>19</v>
      </c>
      <c r="D1290" s="2">
        <v>54627.175876639136</v>
      </c>
      <c r="E1290">
        <f>VLOOKUP(I1290,Calc!$I$35:$J$39,2,FALSE)</f>
        <v>8</v>
      </c>
      <c r="F1290">
        <v>7</v>
      </c>
      <c r="G1290" s="10" t="s">
        <v>159</v>
      </c>
      <c r="H1290" s="10" t="s">
        <v>2298</v>
      </c>
      <c r="I1290" s="10" t="s">
        <v>22</v>
      </c>
    </row>
    <row r="1291" spans="1:9" hidden="1">
      <c r="A1291" t="s">
        <v>2299</v>
      </c>
      <c r="B1291" t="s">
        <v>3263</v>
      </c>
      <c r="C1291" t="s">
        <v>19</v>
      </c>
      <c r="D1291" s="2">
        <v>30489.586535798586</v>
      </c>
      <c r="E1291">
        <f>VLOOKUP(I1291,Calc!$I$35:$J$39,2,FALSE)</f>
        <v>5</v>
      </c>
      <c r="F1291">
        <v>10</v>
      </c>
      <c r="G1291" s="10" t="s">
        <v>1428</v>
      </c>
      <c r="H1291" s="10" t="s">
        <v>18</v>
      </c>
      <c r="I1291" s="10" t="s">
        <v>14</v>
      </c>
    </row>
    <row r="1292" spans="1:9" hidden="1">
      <c r="A1292" t="s">
        <v>2300</v>
      </c>
      <c r="B1292" t="s">
        <v>3267</v>
      </c>
      <c r="C1292" t="s">
        <v>11</v>
      </c>
      <c r="D1292" s="2">
        <v>5591.6858398569666</v>
      </c>
      <c r="E1292">
        <f>VLOOKUP(I1292,Calc!$I$35:$J$39,2,FALSE)</f>
        <v>1.5</v>
      </c>
      <c r="F1292">
        <v>0.1</v>
      </c>
      <c r="G1292" s="10" t="s">
        <v>12</v>
      </c>
      <c r="H1292" s="10" t="s">
        <v>2301</v>
      </c>
      <c r="I1292" s="10" t="s">
        <v>47</v>
      </c>
    </row>
    <row r="1293" spans="1:9" hidden="1">
      <c r="A1293" t="s">
        <v>2302</v>
      </c>
      <c r="B1293" t="s">
        <v>3264</v>
      </c>
      <c r="C1293" t="s">
        <v>42</v>
      </c>
      <c r="D1293" s="2">
        <v>82000</v>
      </c>
      <c r="E1293">
        <f>VLOOKUP(I1293,Calc!$I$35:$J$39,2,FALSE)</f>
        <v>5</v>
      </c>
      <c r="F1293">
        <v>10</v>
      </c>
      <c r="G1293" s="10" t="s">
        <v>78</v>
      </c>
      <c r="H1293" s="10" t="s">
        <v>90</v>
      </c>
      <c r="I1293" s="10" t="s">
        <v>14</v>
      </c>
    </row>
    <row r="1294" spans="1:9" hidden="1">
      <c r="A1294" t="s">
        <v>2303</v>
      </c>
      <c r="B1294" t="s">
        <v>77</v>
      </c>
      <c r="C1294" t="s">
        <v>11</v>
      </c>
      <c r="D1294" s="2">
        <v>10000</v>
      </c>
      <c r="E1294">
        <f>VLOOKUP(I1294,Calc!$I$35:$J$39,2,FALSE)</f>
        <v>1.5</v>
      </c>
      <c r="F1294">
        <v>0.5</v>
      </c>
      <c r="G1294" s="10" t="s">
        <v>12</v>
      </c>
      <c r="H1294" s="10" t="s">
        <v>587</v>
      </c>
      <c r="I1294" s="10" t="s">
        <v>47</v>
      </c>
    </row>
    <row r="1295" spans="1:9" hidden="1">
      <c r="A1295" t="s">
        <v>2304</v>
      </c>
      <c r="B1295" t="s">
        <v>3268</v>
      </c>
      <c r="C1295" t="s">
        <v>11</v>
      </c>
      <c r="D1295" s="2">
        <v>9000</v>
      </c>
      <c r="E1295">
        <f>VLOOKUP(I1295,Calc!$I$35:$J$39,2,FALSE)</f>
        <v>8</v>
      </c>
      <c r="F1295">
        <v>0.6</v>
      </c>
      <c r="G1295" s="10" t="s">
        <v>12</v>
      </c>
      <c r="H1295" s="10" t="s">
        <v>233</v>
      </c>
      <c r="I1295" s="10" t="s">
        <v>22</v>
      </c>
    </row>
    <row r="1296" spans="1:9" hidden="1">
      <c r="A1296" t="s">
        <v>2305</v>
      </c>
      <c r="B1296" t="s">
        <v>3268</v>
      </c>
      <c r="C1296" t="s">
        <v>11</v>
      </c>
      <c r="D1296" s="2">
        <v>9000</v>
      </c>
      <c r="E1296">
        <f>VLOOKUP(I1296,Calc!$I$35:$J$39,2,FALSE)</f>
        <v>5</v>
      </c>
      <c r="F1296">
        <v>1</v>
      </c>
      <c r="G1296" s="10" t="s">
        <v>12</v>
      </c>
      <c r="H1296" s="10" t="s">
        <v>233</v>
      </c>
      <c r="I1296" s="10" t="s">
        <v>14</v>
      </c>
    </row>
    <row r="1297" spans="1:9" hidden="1">
      <c r="A1297" t="s">
        <v>2306</v>
      </c>
      <c r="B1297" t="s">
        <v>3267</v>
      </c>
      <c r="C1297" t="s">
        <v>11</v>
      </c>
      <c r="D1297" s="2">
        <v>11753.225013712095</v>
      </c>
      <c r="E1297">
        <f>VLOOKUP(I1297,Calc!$I$35:$J$39,2,FALSE)</f>
        <v>8</v>
      </c>
      <c r="F1297">
        <v>7</v>
      </c>
      <c r="G1297" s="10" t="s">
        <v>12</v>
      </c>
      <c r="H1297" s="10" t="s">
        <v>2307</v>
      </c>
      <c r="I1297" s="10" t="s">
        <v>22</v>
      </c>
    </row>
    <row r="1298" spans="1:9" hidden="1">
      <c r="A1298" t="s">
        <v>2308</v>
      </c>
      <c r="B1298" t="s">
        <v>77</v>
      </c>
      <c r="C1298" t="s">
        <v>11</v>
      </c>
      <c r="D1298" s="2">
        <v>3632.815004238284</v>
      </c>
      <c r="E1298">
        <f>VLOOKUP(I1298,Calc!$I$35:$J$39,2,FALSE)</f>
        <v>8</v>
      </c>
      <c r="F1298">
        <v>2</v>
      </c>
      <c r="G1298" s="10" t="s">
        <v>12</v>
      </c>
      <c r="H1298" s="10" t="s">
        <v>2309</v>
      </c>
      <c r="I1298" s="10" t="s">
        <v>22</v>
      </c>
    </row>
    <row r="1299" spans="1:9" hidden="1">
      <c r="A1299" t="s">
        <v>2310</v>
      </c>
      <c r="B1299" t="s">
        <v>3268</v>
      </c>
      <c r="C1299" t="s">
        <v>19</v>
      </c>
      <c r="D1299" s="2">
        <v>95279.957924370581</v>
      </c>
      <c r="E1299">
        <f>VLOOKUP(I1299,Calc!$I$35:$J$39,2,FALSE)</f>
        <v>8</v>
      </c>
      <c r="F1299">
        <v>16</v>
      </c>
      <c r="G1299" s="10" t="s">
        <v>143</v>
      </c>
      <c r="H1299" s="10" t="s">
        <v>31</v>
      </c>
      <c r="I1299" s="10" t="s">
        <v>22</v>
      </c>
    </row>
    <row r="1300" spans="1:9" hidden="1">
      <c r="A1300" t="s">
        <v>2311</v>
      </c>
      <c r="B1300" t="s">
        <v>3264</v>
      </c>
      <c r="C1300" t="s">
        <v>19</v>
      </c>
      <c r="D1300" s="2">
        <v>70928.022243027779</v>
      </c>
      <c r="E1300">
        <f>VLOOKUP(I1300,Calc!$I$35:$J$39,2,FALSE)</f>
        <v>2.5</v>
      </c>
      <c r="F1300">
        <v>4</v>
      </c>
      <c r="G1300" s="10" t="s">
        <v>107</v>
      </c>
      <c r="H1300" s="10" t="s">
        <v>112</v>
      </c>
      <c r="I1300" s="10" t="s">
        <v>36</v>
      </c>
    </row>
    <row r="1301" spans="1:9" hidden="1">
      <c r="A1301" t="s">
        <v>2312</v>
      </c>
      <c r="B1301" t="s">
        <v>3266</v>
      </c>
      <c r="C1301" t="s">
        <v>19</v>
      </c>
      <c r="D1301" s="2">
        <v>52086.37699865592</v>
      </c>
      <c r="E1301">
        <f>VLOOKUP(I1301,Calc!$I$35:$J$39,2,FALSE)</f>
        <v>5</v>
      </c>
      <c r="F1301">
        <v>12</v>
      </c>
      <c r="G1301" s="10" t="s">
        <v>976</v>
      </c>
      <c r="H1301" s="10" t="s">
        <v>842</v>
      </c>
      <c r="I1301" s="10" t="s">
        <v>14</v>
      </c>
    </row>
    <row r="1302" spans="1:9" hidden="1">
      <c r="A1302" t="s">
        <v>2313</v>
      </c>
      <c r="B1302" t="s">
        <v>3267</v>
      </c>
      <c r="C1302" t="s">
        <v>11</v>
      </c>
      <c r="D1302" s="2">
        <v>4897.177089046706</v>
      </c>
      <c r="E1302">
        <f>VLOOKUP(I1302,Calc!$I$35:$J$39,2,FALSE)</f>
        <v>8</v>
      </c>
      <c r="F1302">
        <v>4</v>
      </c>
      <c r="G1302" s="10" t="s">
        <v>12</v>
      </c>
      <c r="H1302" s="10" t="s">
        <v>2314</v>
      </c>
      <c r="I1302" s="10" t="s">
        <v>22</v>
      </c>
    </row>
    <row r="1303" spans="1:9" hidden="1">
      <c r="A1303" t="s">
        <v>2315</v>
      </c>
      <c r="B1303" t="s">
        <v>3269</v>
      </c>
      <c r="C1303" t="s">
        <v>32</v>
      </c>
      <c r="D1303" s="2">
        <v>63807.047488395103</v>
      </c>
      <c r="E1303">
        <f>VLOOKUP(I1303,Calc!$I$35:$J$39,2,FALSE)</f>
        <v>8</v>
      </c>
      <c r="F1303">
        <v>15</v>
      </c>
      <c r="G1303" s="10" t="s">
        <v>1023</v>
      </c>
      <c r="H1303" s="10" t="s">
        <v>1483</v>
      </c>
      <c r="I1303" s="10" t="s">
        <v>22</v>
      </c>
    </row>
    <row r="1304" spans="1:9" hidden="1">
      <c r="A1304" t="s">
        <v>2316</v>
      </c>
      <c r="B1304" t="s">
        <v>3267</v>
      </c>
      <c r="C1304" t="s">
        <v>48</v>
      </c>
      <c r="D1304" s="2">
        <v>24000</v>
      </c>
      <c r="E1304">
        <f>VLOOKUP(I1304,Calc!$I$35:$J$39,2,FALSE)</f>
        <v>5</v>
      </c>
      <c r="F1304">
        <v>5</v>
      </c>
      <c r="G1304" s="10" t="s">
        <v>201</v>
      </c>
      <c r="H1304" s="10" t="s">
        <v>2317</v>
      </c>
      <c r="I1304" s="10" t="s">
        <v>14</v>
      </c>
    </row>
    <row r="1305" spans="1:9" hidden="1">
      <c r="A1305" t="s">
        <v>2318</v>
      </c>
      <c r="B1305" t="s">
        <v>3267</v>
      </c>
      <c r="C1305" t="s">
        <v>19</v>
      </c>
      <c r="D1305" s="2">
        <v>60000</v>
      </c>
      <c r="E1305">
        <f>VLOOKUP(I1305,Calc!$I$35:$J$39,2,FALSE)</f>
        <v>8</v>
      </c>
      <c r="F1305">
        <v>20</v>
      </c>
      <c r="G1305" s="10" t="s">
        <v>2012</v>
      </c>
      <c r="H1305" s="10" t="s">
        <v>2319</v>
      </c>
      <c r="I1305" s="10" t="s">
        <v>22</v>
      </c>
    </row>
    <row r="1306" spans="1:9" hidden="1">
      <c r="A1306" t="s">
        <v>2320</v>
      </c>
      <c r="B1306" t="s">
        <v>3268</v>
      </c>
      <c r="C1306" t="s">
        <v>11</v>
      </c>
      <c r="D1306" s="2">
        <v>5342.3750062327708</v>
      </c>
      <c r="E1306">
        <f>VLOOKUP(I1306,Calc!$I$35:$J$39,2,FALSE)</f>
        <v>8</v>
      </c>
      <c r="F1306">
        <v>3</v>
      </c>
      <c r="G1306" s="10" t="s">
        <v>12</v>
      </c>
      <c r="H1306" s="10" t="s">
        <v>2321</v>
      </c>
      <c r="I1306" s="10" t="s">
        <v>22</v>
      </c>
    </row>
    <row r="1307" spans="1:9" hidden="1">
      <c r="A1307" t="s">
        <v>2322</v>
      </c>
      <c r="B1307" t="s">
        <v>3267</v>
      </c>
      <c r="C1307" t="s">
        <v>11</v>
      </c>
      <c r="D1307" s="2">
        <v>8903.9583437212841</v>
      </c>
      <c r="E1307">
        <f>VLOOKUP(I1307,Calc!$I$35:$J$39,2,FALSE)</f>
        <v>2.5</v>
      </c>
      <c r="F1307">
        <v>5</v>
      </c>
      <c r="G1307" s="10" t="s">
        <v>12</v>
      </c>
      <c r="H1307" s="10" t="s">
        <v>2323</v>
      </c>
      <c r="I1307" s="10" t="s">
        <v>36</v>
      </c>
    </row>
    <row r="1308" spans="1:9" hidden="1">
      <c r="A1308" t="s">
        <v>2324</v>
      </c>
      <c r="B1308" t="s">
        <v>3268</v>
      </c>
      <c r="C1308" t="s">
        <v>19</v>
      </c>
      <c r="D1308" s="2">
        <v>40980.635073749385</v>
      </c>
      <c r="E1308">
        <f>VLOOKUP(I1308,Calc!$I$35:$J$39,2,FALSE)</f>
        <v>5</v>
      </c>
      <c r="F1308">
        <v>2</v>
      </c>
      <c r="G1308" s="10" t="s">
        <v>107</v>
      </c>
      <c r="H1308" s="10" t="s">
        <v>2325</v>
      </c>
      <c r="I1308" s="10" t="s">
        <v>14</v>
      </c>
    </row>
    <row r="1309" spans="1:9" hidden="1">
      <c r="A1309" t="s">
        <v>2326</v>
      </c>
      <c r="B1309" t="s">
        <v>3267</v>
      </c>
      <c r="C1309" t="s">
        <v>11</v>
      </c>
      <c r="D1309" s="2">
        <v>10684.750012465542</v>
      </c>
      <c r="E1309">
        <f>VLOOKUP(I1309,Calc!$I$35:$J$39,2,FALSE)</f>
        <v>1.5</v>
      </c>
      <c r="F1309">
        <v>7</v>
      </c>
      <c r="G1309" s="10" t="s">
        <v>12</v>
      </c>
      <c r="H1309" s="10" t="s">
        <v>1608</v>
      </c>
      <c r="I1309" s="10" t="s">
        <v>47</v>
      </c>
    </row>
    <row r="1310" spans="1:9" hidden="1">
      <c r="A1310" t="s">
        <v>2327</v>
      </c>
      <c r="B1310" t="s">
        <v>3264</v>
      </c>
      <c r="C1310" t="s">
        <v>11</v>
      </c>
      <c r="D1310" s="2">
        <v>21369.500024931083</v>
      </c>
      <c r="E1310">
        <f>VLOOKUP(I1310,Calc!$I$35:$J$39,2,FALSE)</f>
        <v>2.5</v>
      </c>
      <c r="F1310">
        <v>21</v>
      </c>
      <c r="G1310" s="10" t="s">
        <v>12</v>
      </c>
      <c r="H1310" s="10" t="s">
        <v>90</v>
      </c>
      <c r="I1310" s="10" t="s">
        <v>36</v>
      </c>
    </row>
    <row r="1311" spans="1:9" hidden="1">
      <c r="A1311" t="s">
        <v>2328</v>
      </c>
      <c r="B1311" t="s">
        <v>3267</v>
      </c>
      <c r="C1311" t="s">
        <v>42</v>
      </c>
      <c r="D1311" s="2">
        <v>18000</v>
      </c>
      <c r="E1311">
        <f>VLOOKUP(I1311,Calc!$I$35:$J$39,2,FALSE)</f>
        <v>5</v>
      </c>
      <c r="F1311">
        <v>12</v>
      </c>
      <c r="G1311" s="10" t="s">
        <v>2329</v>
      </c>
      <c r="H1311" s="10" t="s">
        <v>2330</v>
      </c>
      <c r="I1311" s="10" t="s">
        <v>14</v>
      </c>
    </row>
    <row r="1312" spans="1:9" hidden="1">
      <c r="A1312" t="s">
        <v>2331</v>
      </c>
      <c r="B1312" t="s">
        <v>3267</v>
      </c>
      <c r="C1312" t="s">
        <v>48</v>
      </c>
      <c r="D1312" s="2">
        <v>41000</v>
      </c>
      <c r="E1312">
        <f>VLOOKUP(I1312,Calc!$I$35:$J$39,2,FALSE)</f>
        <v>2.5</v>
      </c>
      <c r="F1312">
        <v>4</v>
      </c>
      <c r="G1312" s="10" t="s">
        <v>675</v>
      </c>
      <c r="H1312" s="10" t="s">
        <v>2332</v>
      </c>
      <c r="I1312" s="10" t="s">
        <v>36</v>
      </c>
    </row>
    <row r="1313" spans="1:9" hidden="1">
      <c r="A1313" t="s">
        <v>2333</v>
      </c>
      <c r="B1313" t="s">
        <v>3268</v>
      </c>
      <c r="C1313" t="s">
        <v>11</v>
      </c>
      <c r="D1313" s="2">
        <v>28492.66669990811</v>
      </c>
      <c r="E1313">
        <f>VLOOKUP(I1313,Calc!$I$35:$J$39,2,FALSE)</f>
        <v>2.5</v>
      </c>
      <c r="F1313">
        <v>4</v>
      </c>
      <c r="G1313" s="10" t="s">
        <v>12</v>
      </c>
      <c r="H1313" s="10" t="s">
        <v>2334</v>
      </c>
      <c r="I1313" s="10" t="s">
        <v>36</v>
      </c>
    </row>
    <row r="1314" spans="1:9">
      <c r="A1314" t="s">
        <v>2335</v>
      </c>
      <c r="B1314" t="s">
        <v>3268</v>
      </c>
      <c r="C1314" t="s">
        <v>29</v>
      </c>
      <c r="D1314" s="2">
        <v>49500</v>
      </c>
      <c r="E1314">
        <f>VLOOKUP(I1314,Calc!$I$35:$J$39,2,FALSE)</f>
        <v>5</v>
      </c>
      <c r="F1314">
        <v>4.5</v>
      </c>
      <c r="G1314" s="10" t="s">
        <v>30</v>
      </c>
      <c r="H1314" s="10" t="s">
        <v>181</v>
      </c>
      <c r="I1314" s="10" t="s">
        <v>14</v>
      </c>
    </row>
    <row r="1315" spans="1:9" hidden="1">
      <c r="A1315" t="s">
        <v>2336</v>
      </c>
      <c r="B1315" t="s">
        <v>77</v>
      </c>
      <c r="C1315" t="s">
        <v>11</v>
      </c>
      <c r="D1315" s="2">
        <v>6600</v>
      </c>
      <c r="E1315">
        <f>VLOOKUP(I1315,Calc!$I$35:$J$39,2,FALSE)</f>
        <v>2.5</v>
      </c>
      <c r="F1315">
        <v>6.4</v>
      </c>
      <c r="G1315" s="10" t="s">
        <v>12</v>
      </c>
      <c r="H1315" s="10" t="s">
        <v>2337</v>
      </c>
      <c r="I1315" s="10" t="s">
        <v>36</v>
      </c>
    </row>
    <row r="1316" spans="1:9" hidden="1">
      <c r="A1316" t="s">
        <v>2338</v>
      </c>
      <c r="B1316" t="s">
        <v>3264</v>
      </c>
      <c r="C1316" t="s">
        <v>19</v>
      </c>
      <c r="D1316" s="2">
        <v>110332.47904470989</v>
      </c>
      <c r="E1316">
        <f>VLOOKUP(I1316,Calc!$I$35:$J$39,2,FALSE)</f>
        <v>5</v>
      </c>
      <c r="F1316">
        <v>15</v>
      </c>
      <c r="G1316" s="10" t="s">
        <v>107</v>
      </c>
      <c r="H1316" s="10" t="s">
        <v>90</v>
      </c>
      <c r="I1316" s="10" t="s">
        <v>14</v>
      </c>
    </row>
    <row r="1317" spans="1:9" hidden="1">
      <c r="A1317" t="s">
        <v>2339</v>
      </c>
      <c r="B1317" t="s">
        <v>3268</v>
      </c>
      <c r="C1317" t="s">
        <v>19</v>
      </c>
      <c r="D1317" s="2">
        <v>47285.348162018527</v>
      </c>
      <c r="E1317">
        <f>VLOOKUP(I1317,Calc!$I$35:$J$39,2,FALSE)</f>
        <v>8</v>
      </c>
      <c r="F1317">
        <v>6</v>
      </c>
      <c r="G1317" s="10" t="s">
        <v>107</v>
      </c>
      <c r="H1317" s="10" t="s">
        <v>283</v>
      </c>
      <c r="I1317" s="10" t="s">
        <v>22</v>
      </c>
    </row>
    <row r="1318" spans="1:9" hidden="1">
      <c r="A1318" t="s">
        <v>2340</v>
      </c>
      <c r="B1318" t="s">
        <v>3267</v>
      </c>
      <c r="C1318" t="s">
        <v>11</v>
      </c>
      <c r="D1318" s="2">
        <v>5300</v>
      </c>
      <c r="E1318">
        <f>VLOOKUP(I1318,Calc!$I$35:$J$39,2,FALSE)</f>
        <v>5</v>
      </c>
      <c r="F1318">
        <v>5</v>
      </c>
      <c r="G1318" s="10" t="s">
        <v>34</v>
      </c>
      <c r="H1318" s="10" t="s">
        <v>2341</v>
      </c>
      <c r="I1318" s="10" t="s">
        <v>14</v>
      </c>
    </row>
    <row r="1319" spans="1:9" hidden="1">
      <c r="A1319" t="s">
        <v>2342</v>
      </c>
      <c r="B1319" t="s">
        <v>3268</v>
      </c>
      <c r="C1319" t="s">
        <v>19</v>
      </c>
      <c r="D1319" s="2">
        <v>43828.780645210471</v>
      </c>
      <c r="E1319">
        <f>VLOOKUP(I1319,Calc!$I$35:$J$39,2,FALSE)</f>
        <v>5</v>
      </c>
      <c r="F1319">
        <v>15</v>
      </c>
      <c r="G1319" s="10" t="s">
        <v>143</v>
      </c>
      <c r="H1319" s="10" t="s">
        <v>10</v>
      </c>
      <c r="I1319" s="10" t="s">
        <v>14</v>
      </c>
    </row>
    <row r="1320" spans="1:9">
      <c r="A1320" t="s">
        <v>2343</v>
      </c>
      <c r="B1320" t="s">
        <v>3268</v>
      </c>
      <c r="C1320" t="s">
        <v>29</v>
      </c>
      <c r="D1320" s="2">
        <v>80000</v>
      </c>
      <c r="E1320">
        <f>VLOOKUP(I1320,Calc!$I$35:$J$39,2,FALSE)</f>
        <v>1.5</v>
      </c>
      <c r="F1320">
        <v>14</v>
      </c>
      <c r="G1320" s="10" t="s">
        <v>30</v>
      </c>
      <c r="H1320" s="10" t="s">
        <v>1964</v>
      </c>
      <c r="I1320" s="10" t="s">
        <v>47</v>
      </c>
    </row>
    <row r="1321" spans="1:9" hidden="1">
      <c r="A1321" t="s">
        <v>2344</v>
      </c>
      <c r="B1321" t="s">
        <v>3268</v>
      </c>
      <c r="C1321" t="s">
        <v>19</v>
      </c>
      <c r="D1321" s="2">
        <v>11518.711713336908</v>
      </c>
      <c r="E1321">
        <f>VLOOKUP(I1321,Calc!$I$35:$J$39,2,FALSE)</f>
        <v>2.5</v>
      </c>
      <c r="F1321">
        <v>3</v>
      </c>
      <c r="G1321" s="10" t="s">
        <v>63</v>
      </c>
      <c r="H1321" s="10" t="s">
        <v>2345</v>
      </c>
      <c r="I1321" s="10" t="s">
        <v>36</v>
      </c>
    </row>
    <row r="1322" spans="1:9" hidden="1">
      <c r="A1322" t="s">
        <v>2346</v>
      </c>
      <c r="B1322" t="s">
        <v>3268</v>
      </c>
      <c r="C1322" t="s">
        <v>32</v>
      </c>
      <c r="D1322" s="2">
        <v>152986.44846039536</v>
      </c>
      <c r="E1322">
        <f>VLOOKUP(I1322,Calc!$I$35:$J$39,2,FALSE)</f>
        <v>1.5</v>
      </c>
      <c r="F1322">
        <v>5.5</v>
      </c>
      <c r="G1322" s="10" t="s">
        <v>123</v>
      </c>
      <c r="H1322" s="10" t="s">
        <v>2347</v>
      </c>
      <c r="I1322" s="10" t="s">
        <v>47</v>
      </c>
    </row>
    <row r="1323" spans="1:9" hidden="1">
      <c r="A1323" t="s">
        <v>2348</v>
      </c>
      <c r="B1323" t="s">
        <v>3267</v>
      </c>
      <c r="C1323" t="s">
        <v>29</v>
      </c>
      <c r="D1323" s="2">
        <v>125000</v>
      </c>
      <c r="E1323">
        <f>VLOOKUP(I1323,Calc!$I$35:$J$39,2,FALSE)</f>
        <v>5</v>
      </c>
      <c r="F1323">
        <v>2</v>
      </c>
      <c r="G1323" s="10" t="s">
        <v>30</v>
      </c>
      <c r="H1323" s="10" t="s">
        <v>2349</v>
      </c>
      <c r="I1323" s="10" t="s">
        <v>14</v>
      </c>
    </row>
    <row r="1324" spans="1:9" hidden="1">
      <c r="A1324" t="s">
        <v>2350</v>
      </c>
      <c r="B1324" t="s">
        <v>3264</v>
      </c>
      <c r="C1324" t="s">
        <v>32</v>
      </c>
      <c r="D1324" s="2">
        <v>101990.96564026357</v>
      </c>
      <c r="E1324">
        <f>VLOOKUP(I1324,Calc!$I$35:$J$39,2,FALSE)</f>
        <v>1.5</v>
      </c>
      <c r="F1324">
        <v>30</v>
      </c>
      <c r="G1324" s="10" t="s">
        <v>123</v>
      </c>
      <c r="H1324" s="10" t="s">
        <v>2351</v>
      </c>
      <c r="I1324" s="10" t="s">
        <v>47</v>
      </c>
    </row>
    <row r="1325" spans="1:9" hidden="1">
      <c r="A1325" t="s">
        <v>2352</v>
      </c>
      <c r="B1325" t="s">
        <v>3249</v>
      </c>
      <c r="C1325" t="s">
        <v>29</v>
      </c>
      <c r="D1325" s="2">
        <v>105000</v>
      </c>
      <c r="E1325">
        <f>VLOOKUP(I1325,Calc!$I$35:$J$39,2,FALSE)</f>
        <v>1.5</v>
      </c>
      <c r="F1325">
        <v>15</v>
      </c>
      <c r="G1325" s="10" t="s">
        <v>30</v>
      </c>
      <c r="H1325" s="10" t="s">
        <v>2353</v>
      </c>
      <c r="I1325" s="10" t="s">
        <v>47</v>
      </c>
    </row>
    <row r="1326" spans="1:9" hidden="1">
      <c r="A1326" t="s">
        <v>2354</v>
      </c>
      <c r="B1326" t="s">
        <v>3267</v>
      </c>
      <c r="C1326" t="s">
        <v>19</v>
      </c>
      <c r="D1326" s="2">
        <v>50815.977559664309</v>
      </c>
      <c r="E1326">
        <f>VLOOKUP(I1326,Calc!$I$35:$J$39,2,FALSE)</f>
        <v>5</v>
      </c>
      <c r="F1326">
        <v>20</v>
      </c>
      <c r="G1326" s="10" t="s">
        <v>2355</v>
      </c>
      <c r="H1326" s="10" t="s">
        <v>1984</v>
      </c>
      <c r="I1326" s="10" t="s">
        <v>14</v>
      </c>
    </row>
    <row r="1327" spans="1:9">
      <c r="A1327" t="s">
        <v>2356</v>
      </c>
      <c r="B1327" t="s">
        <v>3268</v>
      </c>
      <c r="C1327" t="s">
        <v>29</v>
      </c>
      <c r="D1327" s="2">
        <v>75000</v>
      </c>
      <c r="E1327">
        <f>VLOOKUP(I1327,Calc!$I$35:$J$39,2,FALSE)</f>
        <v>5</v>
      </c>
      <c r="F1327">
        <v>7</v>
      </c>
      <c r="G1327" s="10" t="s">
        <v>30</v>
      </c>
      <c r="H1327" s="10" t="s">
        <v>31</v>
      </c>
      <c r="I1327" s="10" t="s">
        <v>14</v>
      </c>
    </row>
    <row r="1328" spans="1:9" hidden="1">
      <c r="A1328" t="s">
        <v>2357</v>
      </c>
      <c r="B1328" t="s">
        <v>3268</v>
      </c>
      <c r="C1328" t="s">
        <v>11</v>
      </c>
      <c r="D1328" s="2">
        <v>4451.9791718606421</v>
      </c>
      <c r="E1328">
        <f>VLOOKUP(I1328,Calc!$I$35:$J$39,2,FALSE)</f>
        <v>8</v>
      </c>
      <c r="F1328">
        <v>8</v>
      </c>
      <c r="G1328" s="10" t="s">
        <v>12</v>
      </c>
      <c r="H1328" s="10" t="s">
        <v>2358</v>
      </c>
      <c r="I1328" s="10" t="s">
        <v>22</v>
      </c>
    </row>
    <row r="1329" spans="1:9">
      <c r="A1329" t="s">
        <v>2359</v>
      </c>
      <c r="B1329" t="s">
        <v>3268</v>
      </c>
      <c r="C1329" t="s">
        <v>29</v>
      </c>
      <c r="D1329" s="2">
        <v>110000</v>
      </c>
      <c r="E1329">
        <f>VLOOKUP(I1329,Calc!$I$35:$J$39,2,FALSE)</f>
        <v>1.5</v>
      </c>
      <c r="F1329">
        <v>10</v>
      </c>
      <c r="G1329" s="10" t="s">
        <v>30</v>
      </c>
      <c r="H1329" s="10" t="s">
        <v>2360</v>
      </c>
      <c r="I1329" s="10" t="s">
        <v>47</v>
      </c>
    </row>
    <row r="1330" spans="1:9" hidden="1">
      <c r="A1330" t="s">
        <v>2361</v>
      </c>
      <c r="B1330" t="s">
        <v>3266</v>
      </c>
      <c r="C1330" t="s">
        <v>19</v>
      </c>
      <c r="D1330" s="2">
        <v>42556.81334581667</v>
      </c>
      <c r="E1330">
        <f>VLOOKUP(I1330,Calc!$I$35:$J$39,2,FALSE)</f>
        <v>5</v>
      </c>
      <c r="F1330">
        <v>1</v>
      </c>
      <c r="G1330" s="10" t="s">
        <v>107</v>
      </c>
      <c r="H1330" s="10" t="s">
        <v>2362</v>
      </c>
      <c r="I1330" s="10" t="s">
        <v>14</v>
      </c>
    </row>
    <row r="1331" spans="1:9" hidden="1">
      <c r="A1331" t="s">
        <v>2363</v>
      </c>
      <c r="B1331" t="s">
        <v>3266</v>
      </c>
      <c r="C1331" t="s">
        <v>11</v>
      </c>
      <c r="D1331" s="2">
        <v>8013.5625093491553</v>
      </c>
      <c r="E1331">
        <f>VLOOKUP(I1331,Calc!$I$35:$J$39,2,FALSE)</f>
        <v>1.5</v>
      </c>
      <c r="F1331">
        <v>7</v>
      </c>
      <c r="G1331" s="10" t="s">
        <v>12</v>
      </c>
      <c r="H1331" s="10" t="s">
        <v>2364</v>
      </c>
      <c r="I1331" s="10" t="s">
        <v>47</v>
      </c>
    </row>
    <row r="1332" spans="1:9" hidden="1">
      <c r="A1332" t="s">
        <v>2365</v>
      </c>
      <c r="B1332" t="s">
        <v>3267</v>
      </c>
      <c r="C1332" t="s">
        <v>29</v>
      </c>
      <c r="D1332" s="2">
        <v>125000</v>
      </c>
      <c r="E1332">
        <f>VLOOKUP(I1332,Calc!$I$35:$J$39,2,FALSE)</f>
        <v>5</v>
      </c>
      <c r="F1332">
        <v>25</v>
      </c>
      <c r="G1332" s="10" t="s">
        <v>30</v>
      </c>
      <c r="H1332" s="10" t="s">
        <v>1031</v>
      </c>
      <c r="I1332" s="10" t="s">
        <v>14</v>
      </c>
    </row>
    <row r="1333" spans="1:9">
      <c r="A1333" t="s">
        <v>2366</v>
      </c>
      <c r="B1333" t="s">
        <v>3268</v>
      </c>
      <c r="C1333" t="s">
        <v>29</v>
      </c>
      <c r="D1333" s="2">
        <v>60000</v>
      </c>
      <c r="E1333">
        <f>VLOOKUP(I1333,Calc!$I$35:$J$39,2,FALSE)</f>
        <v>8</v>
      </c>
      <c r="F1333">
        <v>12</v>
      </c>
      <c r="G1333" s="10" t="s">
        <v>30</v>
      </c>
      <c r="H1333" s="10" t="s">
        <v>2367</v>
      </c>
      <c r="I1333" s="10" t="s">
        <v>22</v>
      </c>
    </row>
    <row r="1334" spans="1:9" hidden="1">
      <c r="A1334" t="s">
        <v>2368</v>
      </c>
      <c r="B1334" t="s">
        <v>3268</v>
      </c>
      <c r="C1334" t="s">
        <v>11</v>
      </c>
      <c r="D1334" s="2">
        <v>39355.495879248076</v>
      </c>
      <c r="E1334">
        <f>VLOOKUP(I1334,Calc!$I$35:$J$39,2,FALSE)</f>
        <v>1.5</v>
      </c>
      <c r="F1334">
        <v>5.6</v>
      </c>
      <c r="G1334" s="10" t="s">
        <v>12</v>
      </c>
      <c r="H1334" s="10" t="s">
        <v>632</v>
      </c>
      <c r="I1334" s="10" t="s">
        <v>47</v>
      </c>
    </row>
    <row r="1335" spans="1:9" hidden="1">
      <c r="A1335" t="s">
        <v>2369</v>
      </c>
      <c r="B1335" t="s">
        <v>3263</v>
      </c>
      <c r="C1335" t="s">
        <v>19</v>
      </c>
      <c r="D1335" s="2">
        <v>57167.974754622352</v>
      </c>
      <c r="E1335">
        <f>VLOOKUP(I1335,Calc!$I$35:$J$39,2,FALSE)</f>
        <v>5</v>
      </c>
      <c r="F1335">
        <v>12</v>
      </c>
      <c r="G1335" s="10" t="s">
        <v>45</v>
      </c>
      <c r="H1335" s="10" t="s">
        <v>2370</v>
      </c>
      <c r="I1335" s="10" t="s">
        <v>14</v>
      </c>
    </row>
    <row r="1336" spans="1:9" hidden="1">
      <c r="A1336" t="s">
        <v>2371</v>
      </c>
      <c r="B1336" t="s">
        <v>3268</v>
      </c>
      <c r="C1336" t="s">
        <v>11</v>
      </c>
      <c r="D1336" s="2">
        <v>50694.322109187968</v>
      </c>
      <c r="E1336">
        <f>VLOOKUP(I1336,Calc!$I$35:$J$39,2,FALSE)</f>
        <v>5</v>
      </c>
      <c r="F1336">
        <v>8</v>
      </c>
      <c r="G1336" s="10" t="s">
        <v>1055</v>
      </c>
      <c r="H1336" s="10" t="s">
        <v>2372</v>
      </c>
      <c r="I1336" s="10" t="s">
        <v>14</v>
      </c>
    </row>
    <row r="1337" spans="1:9" hidden="1">
      <c r="A1337" t="s">
        <v>2373</v>
      </c>
      <c r="B1337" t="s">
        <v>3267</v>
      </c>
      <c r="C1337" t="s">
        <v>29</v>
      </c>
      <c r="D1337" s="2">
        <v>57500</v>
      </c>
      <c r="E1337">
        <f>VLOOKUP(I1337,Calc!$I$35:$J$39,2,FALSE)</f>
        <v>5</v>
      </c>
      <c r="F1337">
        <v>30</v>
      </c>
      <c r="G1337" s="10" t="s">
        <v>30</v>
      </c>
      <c r="H1337" s="10" t="s">
        <v>2374</v>
      </c>
      <c r="I1337" s="10" t="s">
        <v>14</v>
      </c>
    </row>
    <row r="1338" spans="1:9" hidden="1">
      <c r="A1338" t="s">
        <v>2375</v>
      </c>
      <c r="B1338" t="s">
        <v>3263</v>
      </c>
      <c r="C1338" t="s">
        <v>19</v>
      </c>
      <c r="D1338" s="2">
        <v>78764.765217479682</v>
      </c>
      <c r="E1338">
        <f>VLOOKUP(I1338,Calc!$I$35:$J$39,2,FALSE)</f>
        <v>5</v>
      </c>
      <c r="F1338">
        <v>15</v>
      </c>
      <c r="G1338" s="10" t="s">
        <v>143</v>
      </c>
      <c r="H1338" s="10" t="s">
        <v>18</v>
      </c>
      <c r="I1338" s="10" t="s">
        <v>14</v>
      </c>
    </row>
    <row r="1339" spans="1:9" hidden="1">
      <c r="A1339" t="s">
        <v>2376</v>
      </c>
      <c r="B1339" t="s">
        <v>3267</v>
      </c>
      <c r="C1339" t="s">
        <v>29</v>
      </c>
      <c r="D1339" s="2">
        <v>80000</v>
      </c>
      <c r="E1339">
        <f>VLOOKUP(I1339,Calc!$I$35:$J$39,2,FALSE)</f>
        <v>5</v>
      </c>
      <c r="F1339">
        <v>10</v>
      </c>
      <c r="G1339" s="10" t="s">
        <v>30</v>
      </c>
      <c r="H1339" s="10" t="s">
        <v>2377</v>
      </c>
      <c r="I1339" s="10" t="s">
        <v>14</v>
      </c>
    </row>
    <row r="1340" spans="1:9" hidden="1">
      <c r="A1340" t="s">
        <v>2378</v>
      </c>
      <c r="B1340" t="s">
        <v>3267</v>
      </c>
      <c r="C1340" t="s">
        <v>19</v>
      </c>
      <c r="D1340" s="2">
        <v>70928.022243027779</v>
      </c>
      <c r="E1340">
        <f>VLOOKUP(I1340,Calc!$I$35:$J$39,2,FALSE)</f>
        <v>2.5</v>
      </c>
      <c r="F1340">
        <v>15</v>
      </c>
      <c r="G1340" s="10" t="s">
        <v>107</v>
      </c>
      <c r="H1340" s="10" t="s">
        <v>1247</v>
      </c>
      <c r="I1340" s="10" t="s">
        <v>36</v>
      </c>
    </row>
    <row r="1341" spans="1:9" hidden="1">
      <c r="A1341" t="s">
        <v>2379</v>
      </c>
      <c r="B1341" t="s">
        <v>3263</v>
      </c>
      <c r="C1341" t="s">
        <v>29</v>
      </c>
      <c r="D1341" s="2">
        <v>33000</v>
      </c>
      <c r="E1341">
        <f>VLOOKUP(I1341,Calc!$I$35:$J$39,2,FALSE)</f>
        <v>5</v>
      </c>
      <c r="F1341">
        <v>3</v>
      </c>
      <c r="G1341" s="10" t="s">
        <v>30</v>
      </c>
      <c r="H1341" s="10" t="s">
        <v>2380</v>
      </c>
      <c r="I1341" s="10" t="s">
        <v>14</v>
      </c>
    </row>
    <row r="1342" spans="1:9">
      <c r="A1342" t="s">
        <v>2381</v>
      </c>
      <c r="B1342" t="s">
        <v>3268</v>
      </c>
      <c r="C1342" t="s">
        <v>29</v>
      </c>
      <c r="D1342" s="2">
        <v>100000</v>
      </c>
      <c r="E1342">
        <f>VLOOKUP(I1342,Calc!$I$35:$J$39,2,FALSE)</f>
        <v>5</v>
      </c>
      <c r="F1342">
        <v>1</v>
      </c>
      <c r="G1342" s="10" t="s">
        <v>30</v>
      </c>
      <c r="H1342" s="10" t="s">
        <v>689</v>
      </c>
      <c r="I1342" s="10" t="s">
        <v>14</v>
      </c>
    </row>
    <row r="1343" spans="1:9" hidden="1">
      <c r="A1343" t="s">
        <v>2382</v>
      </c>
      <c r="B1343" t="s">
        <v>3267</v>
      </c>
      <c r="C1343" t="s">
        <v>29</v>
      </c>
      <c r="D1343" s="2">
        <v>60000</v>
      </c>
      <c r="E1343">
        <f>VLOOKUP(I1343,Calc!$I$35:$J$39,2,FALSE)</f>
        <v>2.5</v>
      </c>
      <c r="F1343">
        <v>20</v>
      </c>
      <c r="G1343" s="10" t="s">
        <v>30</v>
      </c>
      <c r="H1343" s="10" t="s">
        <v>316</v>
      </c>
      <c r="I1343" s="10" t="s">
        <v>36</v>
      </c>
    </row>
    <row r="1344" spans="1:9">
      <c r="A1344" t="s">
        <v>2383</v>
      </c>
      <c r="B1344" t="s">
        <v>3268</v>
      </c>
      <c r="C1344" t="s">
        <v>29</v>
      </c>
      <c r="D1344" s="2">
        <v>95000</v>
      </c>
      <c r="E1344">
        <f>VLOOKUP(I1344,Calc!$I$35:$J$39,2,FALSE)</f>
        <v>2.5</v>
      </c>
      <c r="F1344">
        <v>7</v>
      </c>
      <c r="G1344" s="10" t="s">
        <v>30</v>
      </c>
      <c r="H1344" s="10" t="s">
        <v>1052</v>
      </c>
      <c r="I1344" s="10" t="s">
        <v>36</v>
      </c>
    </row>
    <row r="1345" spans="1:9">
      <c r="A1345" t="s">
        <v>2384</v>
      </c>
      <c r="B1345" t="s">
        <v>3268</v>
      </c>
      <c r="C1345" t="s">
        <v>29</v>
      </c>
      <c r="D1345" s="2">
        <v>24000</v>
      </c>
      <c r="E1345">
        <f>VLOOKUP(I1345,Calc!$I$35:$J$39,2,FALSE)</f>
        <v>1.5</v>
      </c>
      <c r="F1345">
        <v>33</v>
      </c>
      <c r="G1345" s="10" t="s">
        <v>30</v>
      </c>
      <c r="H1345" s="10" t="s">
        <v>2385</v>
      </c>
      <c r="I1345" s="10" t="s">
        <v>47</v>
      </c>
    </row>
    <row r="1346" spans="1:9" hidden="1">
      <c r="A1346" t="s">
        <v>2386</v>
      </c>
      <c r="B1346" t="s">
        <v>3266</v>
      </c>
      <c r="C1346" t="s">
        <v>29</v>
      </c>
      <c r="D1346" s="2">
        <v>50000</v>
      </c>
      <c r="E1346">
        <f>VLOOKUP(I1346,Calc!$I$35:$J$39,2,FALSE)</f>
        <v>5</v>
      </c>
      <c r="F1346">
        <v>0.5</v>
      </c>
      <c r="G1346" s="10" t="s">
        <v>30</v>
      </c>
      <c r="H1346" s="10" t="s">
        <v>2387</v>
      </c>
      <c r="I1346" s="10" t="s">
        <v>14</v>
      </c>
    </row>
    <row r="1347" spans="1:9" hidden="1">
      <c r="A1347" t="s">
        <v>2388</v>
      </c>
      <c r="B1347" t="s">
        <v>3263</v>
      </c>
      <c r="C1347" t="s">
        <v>29</v>
      </c>
      <c r="D1347" s="2">
        <v>103000</v>
      </c>
      <c r="E1347">
        <f>VLOOKUP(I1347,Calc!$I$35:$J$39,2,FALSE)</f>
        <v>5</v>
      </c>
      <c r="F1347">
        <v>22</v>
      </c>
      <c r="G1347" s="10" t="s">
        <v>30</v>
      </c>
      <c r="H1347" s="10" t="s">
        <v>18</v>
      </c>
      <c r="I1347" s="10" t="s">
        <v>14</v>
      </c>
    </row>
    <row r="1348" spans="1:9" hidden="1">
      <c r="A1348" t="s">
        <v>2389</v>
      </c>
      <c r="B1348" t="s">
        <v>3265</v>
      </c>
      <c r="C1348" t="s">
        <v>29</v>
      </c>
      <c r="D1348" s="2">
        <v>36000</v>
      </c>
      <c r="E1348">
        <f>VLOOKUP(I1348,Calc!$I$35:$J$39,2,FALSE)</f>
        <v>8</v>
      </c>
      <c r="F1348">
        <v>8</v>
      </c>
      <c r="G1348" s="10" t="s">
        <v>30</v>
      </c>
      <c r="H1348" s="10" t="s">
        <v>1800</v>
      </c>
      <c r="I1348" s="10" t="s">
        <v>22</v>
      </c>
    </row>
    <row r="1349" spans="1:9">
      <c r="A1349" t="s">
        <v>2390</v>
      </c>
      <c r="B1349" t="s">
        <v>3268</v>
      </c>
      <c r="C1349" t="s">
        <v>29</v>
      </c>
      <c r="D1349" s="2">
        <v>85000</v>
      </c>
      <c r="E1349">
        <f>VLOOKUP(I1349,Calc!$I$35:$J$39,2,FALSE)</f>
        <v>5</v>
      </c>
      <c r="F1349">
        <v>17</v>
      </c>
      <c r="G1349" s="10" t="s">
        <v>30</v>
      </c>
      <c r="H1349" s="10" t="s">
        <v>162</v>
      </c>
      <c r="I1349" s="10" t="s">
        <v>14</v>
      </c>
    </row>
    <row r="1350" spans="1:9" hidden="1">
      <c r="A1350" t="s">
        <v>2391</v>
      </c>
      <c r="B1350" t="s">
        <v>3249</v>
      </c>
      <c r="C1350" t="s">
        <v>19</v>
      </c>
      <c r="D1350" s="2">
        <v>100000</v>
      </c>
      <c r="E1350">
        <f>VLOOKUP(I1350,Calc!$I$35:$J$39,2,FALSE)</f>
        <v>2.5</v>
      </c>
      <c r="F1350">
        <v>20</v>
      </c>
      <c r="G1350" s="10" t="s">
        <v>721</v>
      </c>
      <c r="H1350" s="10" t="s">
        <v>2392</v>
      </c>
      <c r="I1350" s="10" t="s">
        <v>36</v>
      </c>
    </row>
    <row r="1351" spans="1:9">
      <c r="A1351" t="s">
        <v>2393</v>
      </c>
      <c r="B1351" t="s">
        <v>3268</v>
      </c>
      <c r="C1351" t="s">
        <v>29</v>
      </c>
      <c r="D1351" s="2">
        <v>83000</v>
      </c>
      <c r="E1351">
        <f>VLOOKUP(I1351,Calc!$I$35:$J$39,2,FALSE)</f>
        <v>5</v>
      </c>
      <c r="F1351">
        <v>12</v>
      </c>
      <c r="G1351" s="10" t="s">
        <v>128</v>
      </c>
      <c r="H1351" s="10" t="s">
        <v>2394</v>
      </c>
      <c r="I1351" s="10" t="s">
        <v>14</v>
      </c>
    </row>
    <row r="1352" spans="1:9" hidden="1">
      <c r="A1352" t="s">
        <v>2395</v>
      </c>
      <c r="B1352" t="s">
        <v>3266</v>
      </c>
      <c r="C1352" t="s">
        <v>29</v>
      </c>
      <c r="D1352" s="2">
        <v>85000</v>
      </c>
      <c r="E1352">
        <f>VLOOKUP(I1352,Calc!$I$35:$J$39,2,FALSE)</f>
        <v>2.5</v>
      </c>
      <c r="F1352">
        <v>25</v>
      </c>
      <c r="G1352" s="10" t="s">
        <v>30</v>
      </c>
      <c r="H1352" s="10" t="s">
        <v>2396</v>
      </c>
      <c r="I1352" s="10" t="s">
        <v>36</v>
      </c>
    </row>
    <row r="1353" spans="1:9" hidden="1">
      <c r="A1353" t="s">
        <v>2397</v>
      </c>
      <c r="B1353" t="s">
        <v>3267</v>
      </c>
      <c r="C1353" t="s">
        <v>29</v>
      </c>
      <c r="D1353" s="2">
        <v>120000</v>
      </c>
      <c r="E1353">
        <f>VLOOKUP(I1353,Calc!$I$35:$J$39,2,FALSE)</f>
        <v>2.5</v>
      </c>
      <c r="F1353">
        <v>5</v>
      </c>
      <c r="G1353" s="10" t="s">
        <v>30</v>
      </c>
      <c r="H1353" s="10" t="s">
        <v>1031</v>
      </c>
      <c r="I1353" s="10" t="s">
        <v>36</v>
      </c>
    </row>
    <row r="1354" spans="1:9" hidden="1">
      <c r="A1354" t="s">
        <v>2398</v>
      </c>
      <c r="B1354" t="s">
        <v>3266</v>
      </c>
      <c r="C1354" t="s">
        <v>29</v>
      </c>
      <c r="D1354" s="2">
        <v>69960</v>
      </c>
      <c r="E1354">
        <f>VLOOKUP(I1354,Calc!$I$35:$J$39,2,FALSE)</f>
        <v>2.5</v>
      </c>
      <c r="F1354">
        <v>22</v>
      </c>
      <c r="G1354" s="10" t="s">
        <v>30</v>
      </c>
      <c r="H1354" s="10" t="s">
        <v>2399</v>
      </c>
      <c r="I1354" s="10" t="s">
        <v>36</v>
      </c>
    </row>
    <row r="1355" spans="1:9" hidden="1">
      <c r="A1355" t="s">
        <v>2400</v>
      </c>
      <c r="B1355" t="s">
        <v>3267</v>
      </c>
      <c r="C1355" t="s">
        <v>29</v>
      </c>
      <c r="D1355" s="2">
        <v>97000</v>
      </c>
      <c r="E1355">
        <f>VLOOKUP(I1355,Calc!$I$35:$J$39,2,FALSE)</f>
        <v>5</v>
      </c>
      <c r="F1355">
        <v>14</v>
      </c>
      <c r="G1355" s="10" t="s">
        <v>30</v>
      </c>
      <c r="H1355" s="10" t="s">
        <v>2401</v>
      </c>
      <c r="I1355" s="10" t="s">
        <v>14</v>
      </c>
    </row>
    <row r="1356" spans="1:9" hidden="1">
      <c r="A1356" t="s">
        <v>2402</v>
      </c>
      <c r="B1356" t="s">
        <v>3268</v>
      </c>
      <c r="C1356" t="s">
        <v>19</v>
      </c>
      <c r="D1356" s="2">
        <v>94570.696324037053</v>
      </c>
      <c r="E1356">
        <f>VLOOKUP(I1356,Calc!$I$35:$J$39,2,FALSE)</f>
        <v>5</v>
      </c>
      <c r="F1356">
        <v>7</v>
      </c>
      <c r="G1356" s="10" t="s">
        <v>107</v>
      </c>
      <c r="H1356" s="10" t="s">
        <v>10</v>
      </c>
      <c r="I1356" s="10" t="s">
        <v>14</v>
      </c>
    </row>
    <row r="1357" spans="1:9" hidden="1">
      <c r="A1357" t="s">
        <v>2403</v>
      </c>
      <c r="B1357" t="s">
        <v>3267</v>
      </c>
      <c r="C1357" t="s">
        <v>42</v>
      </c>
      <c r="D1357" s="2">
        <v>39000</v>
      </c>
      <c r="E1357">
        <f>VLOOKUP(I1357,Calc!$I$35:$J$39,2,FALSE)</f>
        <v>8</v>
      </c>
      <c r="F1357">
        <v>6</v>
      </c>
      <c r="G1357" s="10" t="s">
        <v>78</v>
      </c>
      <c r="H1357" s="10" t="s">
        <v>2404</v>
      </c>
      <c r="I1357" s="10" t="s">
        <v>22</v>
      </c>
    </row>
    <row r="1358" spans="1:9" hidden="1">
      <c r="A1358" t="s">
        <v>2405</v>
      </c>
      <c r="B1358" t="s">
        <v>3267</v>
      </c>
      <c r="C1358" t="s">
        <v>11</v>
      </c>
      <c r="D1358" s="2">
        <v>4451.9791718606421</v>
      </c>
      <c r="E1358">
        <f>VLOOKUP(I1358,Calc!$I$35:$J$39,2,FALSE)</f>
        <v>1.5</v>
      </c>
      <c r="F1358">
        <v>15</v>
      </c>
      <c r="G1358" s="10" t="s">
        <v>12</v>
      </c>
      <c r="H1358" s="10" t="s">
        <v>44</v>
      </c>
      <c r="I1358" s="10" t="s">
        <v>47</v>
      </c>
    </row>
    <row r="1359" spans="1:9" hidden="1">
      <c r="A1359" t="s">
        <v>2406</v>
      </c>
      <c r="B1359" t="s">
        <v>3265</v>
      </c>
      <c r="C1359" t="s">
        <v>29</v>
      </c>
      <c r="D1359" s="2">
        <v>62000</v>
      </c>
      <c r="E1359">
        <f>VLOOKUP(I1359,Calc!$I$35:$J$39,2,FALSE)</f>
        <v>8</v>
      </c>
      <c r="F1359">
        <v>25</v>
      </c>
      <c r="G1359" s="10" t="s">
        <v>30</v>
      </c>
      <c r="H1359" s="10" t="s">
        <v>2407</v>
      </c>
      <c r="I1359" s="10" t="s">
        <v>22</v>
      </c>
    </row>
    <row r="1360" spans="1:9" hidden="1">
      <c r="A1360" t="s">
        <v>2408</v>
      </c>
      <c r="B1360" t="s">
        <v>3266</v>
      </c>
      <c r="C1360" t="s">
        <v>29</v>
      </c>
      <c r="D1360" s="2">
        <v>44000</v>
      </c>
      <c r="E1360">
        <f>VLOOKUP(I1360,Calc!$I$35:$J$39,2,FALSE)</f>
        <v>5</v>
      </c>
      <c r="F1360">
        <v>15</v>
      </c>
      <c r="G1360" s="10" t="s">
        <v>30</v>
      </c>
      <c r="H1360" s="10" t="s">
        <v>2409</v>
      </c>
      <c r="I1360" s="10" t="s">
        <v>14</v>
      </c>
    </row>
    <row r="1361" spans="1:9" hidden="1">
      <c r="A1361" t="s">
        <v>2410</v>
      </c>
      <c r="B1361" t="s">
        <v>3267</v>
      </c>
      <c r="C1361" t="s">
        <v>29</v>
      </c>
      <c r="D1361" s="2">
        <v>150000</v>
      </c>
      <c r="E1361">
        <f>VLOOKUP(I1361,Calc!$I$35:$J$39,2,FALSE)</f>
        <v>2.5</v>
      </c>
      <c r="F1361">
        <v>30</v>
      </c>
      <c r="G1361" s="10" t="s">
        <v>30</v>
      </c>
      <c r="H1361" s="10" t="s">
        <v>2411</v>
      </c>
      <c r="I1361" s="10" t="s">
        <v>36</v>
      </c>
    </row>
    <row r="1362" spans="1:9" hidden="1">
      <c r="A1362" t="s">
        <v>2412</v>
      </c>
      <c r="B1362" t="s">
        <v>3263</v>
      </c>
      <c r="C1362" t="s">
        <v>19</v>
      </c>
      <c r="D1362" s="2">
        <v>228671.89901848941</v>
      </c>
      <c r="E1362">
        <f>VLOOKUP(I1362,Calc!$I$35:$J$39,2,FALSE)</f>
        <v>5</v>
      </c>
      <c r="F1362">
        <v>15</v>
      </c>
      <c r="G1362" s="10" t="s">
        <v>19</v>
      </c>
      <c r="H1362" s="10" t="s">
        <v>2413</v>
      </c>
      <c r="I1362" s="10" t="s">
        <v>14</v>
      </c>
    </row>
    <row r="1363" spans="1:9">
      <c r="A1363" t="s">
        <v>2414</v>
      </c>
      <c r="B1363" t="s">
        <v>3268</v>
      </c>
      <c r="C1363" t="s">
        <v>29</v>
      </c>
      <c r="D1363" s="2">
        <v>73500</v>
      </c>
      <c r="E1363">
        <f>VLOOKUP(I1363,Calc!$I$35:$J$39,2,FALSE)</f>
        <v>8</v>
      </c>
      <c r="F1363">
        <v>6</v>
      </c>
      <c r="G1363" s="10" t="s">
        <v>30</v>
      </c>
      <c r="H1363" s="10" t="s">
        <v>2415</v>
      </c>
      <c r="I1363" s="10" t="s">
        <v>22</v>
      </c>
    </row>
    <row r="1364" spans="1:9">
      <c r="A1364" t="s">
        <v>2416</v>
      </c>
      <c r="B1364" t="s">
        <v>3268</v>
      </c>
      <c r="C1364" t="s">
        <v>29</v>
      </c>
      <c r="D1364" s="2">
        <v>77500</v>
      </c>
      <c r="E1364">
        <f>VLOOKUP(I1364,Calc!$I$35:$J$39,2,FALSE)</f>
        <v>5</v>
      </c>
      <c r="F1364">
        <v>7</v>
      </c>
      <c r="G1364" s="10" t="s">
        <v>30</v>
      </c>
      <c r="H1364" s="10" t="s">
        <v>427</v>
      </c>
      <c r="I1364" s="10" t="s">
        <v>14</v>
      </c>
    </row>
    <row r="1365" spans="1:9">
      <c r="A1365" t="s">
        <v>2417</v>
      </c>
      <c r="B1365" t="s">
        <v>3268</v>
      </c>
      <c r="C1365" t="s">
        <v>29</v>
      </c>
      <c r="D1365" s="2">
        <v>60800</v>
      </c>
      <c r="E1365">
        <f>VLOOKUP(I1365,Calc!$I$35:$J$39,2,FALSE)</f>
        <v>8</v>
      </c>
      <c r="F1365">
        <v>10</v>
      </c>
      <c r="G1365" s="10" t="s">
        <v>30</v>
      </c>
      <c r="H1365" s="10" t="s">
        <v>2418</v>
      </c>
      <c r="I1365" s="10" t="s">
        <v>22</v>
      </c>
    </row>
    <row r="1366" spans="1:9" hidden="1">
      <c r="A1366" t="s">
        <v>2419</v>
      </c>
      <c r="B1366" t="s">
        <v>3267</v>
      </c>
      <c r="C1366" t="s">
        <v>29</v>
      </c>
      <c r="D1366" s="2">
        <v>136000</v>
      </c>
      <c r="E1366">
        <f>VLOOKUP(I1366,Calc!$I$35:$J$39,2,FALSE)</f>
        <v>5</v>
      </c>
      <c r="F1366">
        <v>10</v>
      </c>
      <c r="G1366" s="10" t="s">
        <v>30</v>
      </c>
      <c r="H1366" s="10" t="s">
        <v>2420</v>
      </c>
      <c r="I1366" s="10" t="s">
        <v>14</v>
      </c>
    </row>
    <row r="1367" spans="1:9" hidden="1">
      <c r="A1367" t="s">
        <v>2421</v>
      </c>
      <c r="B1367" t="s">
        <v>3265</v>
      </c>
      <c r="C1367" t="s">
        <v>11</v>
      </c>
      <c r="D1367" s="2">
        <v>20000</v>
      </c>
      <c r="E1367">
        <f>VLOOKUP(I1367,Calc!$I$35:$J$39,2,FALSE)</f>
        <v>5</v>
      </c>
      <c r="F1367">
        <v>6</v>
      </c>
      <c r="G1367" s="10" t="s">
        <v>12</v>
      </c>
      <c r="H1367" s="10" t="s">
        <v>2422</v>
      </c>
      <c r="I1367" s="10" t="s">
        <v>14</v>
      </c>
    </row>
    <row r="1368" spans="1:9" hidden="1">
      <c r="A1368" t="s">
        <v>2423</v>
      </c>
      <c r="B1368" t="s">
        <v>3266</v>
      </c>
      <c r="C1368" t="s">
        <v>29</v>
      </c>
      <c r="D1368" s="2">
        <v>95000</v>
      </c>
      <c r="E1368">
        <f>VLOOKUP(I1368,Calc!$I$35:$J$39,2,FALSE)</f>
        <v>5</v>
      </c>
      <c r="F1368">
        <v>14</v>
      </c>
      <c r="G1368" s="10" t="s">
        <v>30</v>
      </c>
      <c r="H1368" s="10" t="s">
        <v>2424</v>
      </c>
      <c r="I1368" s="10" t="s">
        <v>14</v>
      </c>
    </row>
    <row r="1369" spans="1:9" hidden="1">
      <c r="A1369" t="s">
        <v>2425</v>
      </c>
      <c r="B1369" t="s">
        <v>3267</v>
      </c>
      <c r="C1369" t="s">
        <v>29</v>
      </c>
      <c r="D1369" s="2">
        <v>130000</v>
      </c>
      <c r="E1369">
        <f>VLOOKUP(I1369,Calc!$I$35:$J$39,2,FALSE)</f>
        <v>1.5</v>
      </c>
      <c r="F1369">
        <v>25</v>
      </c>
      <c r="G1369" s="10" t="s">
        <v>30</v>
      </c>
      <c r="H1369" s="10" t="s">
        <v>44</v>
      </c>
      <c r="I1369" s="10" t="s">
        <v>47</v>
      </c>
    </row>
    <row r="1370" spans="1:9">
      <c r="A1370" t="s">
        <v>2426</v>
      </c>
      <c r="B1370" t="s">
        <v>3268</v>
      </c>
      <c r="C1370" t="s">
        <v>29</v>
      </c>
      <c r="D1370" s="2">
        <v>65000</v>
      </c>
      <c r="E1370">
        <f>VLOOKUP(I1370,Calc!$I$35:$J$39,2,FALSE)</f>
        <v>2.5</v>
      </c>
      <c r="F1370">
        <v>10</v>
      </c>
      <c r="G1370" s="10" t="s">
        <v>30</v>
      </c>
      <c r="H1370" s="10" t="s">
        <v>2427</v>
      </c>
      <c r="I1370" s="10" t="s">
        <v>36</v>
      </c>
    </row>
    <row r="1371" spans="1:9" hidden="1">
      <c r="A1371" t="s">
        <v>2428</v>
      </c>
      <c r="B1371" t="s">
        <v>3264</v>
      </c>
      <c r="C1371" t="s">
        <v>29</v>
      </c>
      <c r="D1371" s="2">
        <v>80000</v>
      </c>
      <c r="E1371">
        <f>VLOOKUP(I1371,Calc!$I$35:$J$39,2,FALSE)</f>
        <v>2.5</v>
      </c>
      <c r="F1371">
        <v>8</v>
      </c>
      <c r="G1371" s="10" t="s">
        <v>30</v>
      </c>
      <c r="H1371" s="10" t="s">
        <v>2429</v>
      </c>
      <c r="I1371" s="10" t="s">
        <v>36</v>
      </c>
    </row>
    <row r="1372" spans="1:9" hidden="1">
      <c r="A1372" t="s">
        <v>2430</v>
      </c>
      <c r="B1372" t="s">
        <v>77</v>
      </c>
      <c r="C1372" t="s">
        <v>29</v>
      </c>
      <c r="D1372" s="2">
        <v>37000</v>
      </c>
      <c r="E1372">
        <f>VLOOKUP(I1372,Calc!$I$35:$J$39,2,FALSE)</f>
        <v>2.5</v>
      </c>
      <c r="F1372">
        <v>30</v>
      </c>
      <c r="G1372" s="10" t="s">
        <v>30</v>
      </c>
      <c r="H1372" s="10" t="s">
        <v>2431</v>
      </c>
      <c r="I1372" s="10" t="s">
        <v>36</v>
      </c>
    </row>
    <row r="1373" spans="1:9" hidden="1">
      <c r="A1373" t="s">
        <v>2432</v>
      </c>
      <c r="B1373" t="s">
        <v>3267</v>
      </c>
      <c r="C1373" t="s">
        <v>29</v>
      </c>
      <c r="D1373" s="2">
        <v>40000</v>
      </c>
      <c r="E1373">
        <f>VLOOKUP(I1373,Calc!$I$35:$J$39,2,FALSE)</f>
        <v>1.5</v>
      </c>
      <c r="F1373">
        <v>8</v>
      </c>
      <c r="G1373" s="10" t="s">
        <v>30</v>
      </c>
      <c r="H1373" s="10" t="s">
        <v>2433</v>
      </c>
      <c r="I1373" s="10" t="s">
        <v>47</v>
      </c>
    </row>
    <row r="1374" spans="1:9">
      <c r="A1374" t="s">
        <v>2434</v>
      </c>
      <c r="B1374" t="s">
        <v>3268</v>
      </c>
      <c r="C1374" t="s">
        <v>29</v>
      </c>
      <c r="D1374" s="2">
        <v>49000</v>
      </c>
      <c r="E1374">
        <f>VLOOKUP(I1374,Calc!$I$35:$J$39,2,FALSE)</f>
        <v>5</v>
      </c>
      <c r="F1374">
        <v>10</v>
      </c>
      <c r="G1374" s="10" t="s">
        <v>30</v>
      </c>
      <c r="H1374" s="10" t="s">
        <v>308</v>
      </c>
      <c r="I1374" s="10" t="s">
        <v>14</v>
      </c>
    </row>
    <row r="1375" spans="1:9">
      <c r="A1375" t="s">
        <v>2435</v>
      </c>
      <c r="B1375" t="s">
        <v>3268</v>
      </c>
      <c r="C1375" t="s">
        <v>29</v>
      </c>
      <c r="D1375" s="2">
        <v>65000</v>
      </c>
      <c r="E1375">
        <f>VLOOKUP(I1375,Calc!$I$35:$J$39,2,FALSE)</f>
        <v>8</v>
      </c>
      <c r="F1375">
        <v>14</v>
      </c>
      <c r="G1375" s="10" t="s">
        <v>30</v>
      </c>
      <c r="H1375" s="10" t="s">
        <v>233</v>
      </c>
      <c r="I1375" s="10" t="s">
        <v>22</v>
      </c>
    </row>
    <row r="1376" spans="1:9">
      <c r="A1376" t="s">
        <v>2436</v>
      </c>
      <c r="B1376" t="s">
        <v>3268</v>
      </c>
      <c r="C1376" t="s">
        <v>29</v>
      </c>
      <c r="D1376" s="2">
        <v>55000</v>
      </c>
      <c r="E1376">
        <f>VLOOKUP(I1376,Calc!$I$35:$J$39,2,FALSE)</f>
        <v>8</v>
      </c>
      <c r="F1376">
        <v>1</v>
      </c>
      <c r="G1376" s="10" t="s">
        <v>30</v>
      </c>
      <c r="H1376" s="10" t="s">
        <v>2437</v>
      </c>
      <c r="I1376" s="10" t="s">
        <v>22</v>
      </c>
    </row>
    <row r="1377" spans="1:9" hidden="1">
      <c r="A1377" t="s">
        <v>2438</v>
      </c>
      <c r="B1377" t="s">
        <v>3267</v>
      </c>
      <c r="C1377" t="s">
        <v>29</v>
      </c>
      <c r="D1377" s="2">
        <v>40000</v>
      </c>
      <c r="E1377">
        <f>VLOOKUP(I1377,Calc!$I$35:$J$39,2,FALSE)</f>
        <v>5</v>
      </c>
      <c r="F1377">
        <v>1</v>
      </c>
      <c r="G1377" s="10" t="s">
        <v>30</v>
      </c>
      <c r="H1377" s="10" t="s">
        <v>2439</v>
      </c>
      <c r="I1377" s="10" t="s">
        <v>14</v>
      </c>
    </row>
    <row r="1378" spans="1:9">
      <c r="A1378" t="s">
        <v>2440</v>
      </c>
      <c r="B1378" t="s">
        <v>3268</v>
      </c>
      <c r="C1378" t="s">
        <v>29</v>
      </c>
      <c r="D1378" s="2">
        <v>60000</v>
      </c>
      <c r="E1378">
        <f>VLOOKUP(I1378,Calc!$I$35:$J$39,2,FALSE)</f>
        <v>5</v>
      </c>
      <c r="F1378">
        <v>15</v>
      </c>
      <c r="G1378" s="10" t="s">
        <v>30</v>
      </c>
      <c r="H1378" s="10" t="s">
        <v>68</v>
      </c>
      <c r="I1378" s="10" t="s">
        <v>14</v>
      </c>
    </row>
    <row r="1379" spans="1:9" hidden="1">
      <c r="A1379" t="s">
        <v>2441</v>
      </c>
      <c r="B1379" t="s">
        <v>3268</v>
      </c>
      <c r="C1379" t="s">
        <v>19</v>
      </c>
      <c r="D1379" s="2">
        <v>45734.379803697877</v>
      </c>
      <c r="E1379">
        <f>VLOOKUP(I1379,Calc!$I$35:$J$39,2,FALSE)</f>
        <v>2.5</v>
      </c>
      <c r="F1379">
        <v>4</v>
      </c>
      <c r="G1379" s="10" t="s">
        <v>60</v>
      </c>
      <c r="H1379" s="10" t="s">
        <v>2442</v>
      </c>
      <c r="I1379" s="10" t="s">
        <v>36</v>
      </c>
    </row>
    <row r="1380" spans="1:9">
      <c r="A1380" t="s">
        <v>2443</v>
      </c>
      <c r="B1380" t="s">
        <v>3268</v>
      </c>
      <c r="C1380" t="s">
        <v>29</v>
      </c>
      <c r="D1380" s="2">
        <v>150000</v>
      </c>
      <c r="E1380">
        <f>VLOOKUP(I1380,Calc!$I$35:$J$39,2,FALSE)</f>
        <v>2.5</v>
      </c>
      <c r="F1380">
        <v>30</v>
      </c>
      <c r="G1380" s="10" t="s">
        <v>30</v>
      </c>
      <c r="H1380" s="10" t="s">
        <v>162</v>
      </c>
      <c r="I1380" s="10" t="s">
        <v>36</v>
      </c>
    </row>
    <row r="1381" spans="1:9" hidden="1">
      <c r="A1381" t="s">
        <v>2444</v>
      </c>
      <c r="B1381" t="s">
        <v>3267</v>
      </c>
      <c r="C1381" t="s">
        <v>29</v>
      </c>
      <c r="D1381" s="2">
        <v>88000</v>
      </c>
      <c r="E1381">
        <f>VLOOKUP(I1381,Calc!$I$35:$J$39,2,FALSE)</f>
        <v>5</v>
      </c>
      <c r="F1381">
        <v>21</v>
      </c>
      <c r="G1381" s="10" t="s">
        <v>30</v>
      </c>
      <c r="H1381" s="10" t="s">
        <v>2445</v>
      </c>
      <c r="I1381" s="10" t="s">
        <v>14</v>
      </c>
    </row>
    <row r="1382" spans="1:9">
      <c r="A1382" t="s">
        <v>2446</v>
      </c>
      <c r="B1382" t="s">
        <v>3268</v>
      </c>
      <c r="C1382" t="s">
        <v>29</v>
      </c>
      <c r="D1382" s="2">
        <v>64500</v>
      </c>
      <c r="E1382">
        <f>VLOOKUP(I1382,Calc!$I$35:$J$39,2,FALSE)</f>
        <v>5</v>
      </c>
      <c r="F1382">
        <v>13</v>
      </c>
      <c r="G1382" s="10" t="s">
        <v>30</v>
      </c>
      <c r="H1382" s="10" t="s">
        <v>2447</v>
      </c>
      <c r="I1382" s="10" t="s">
        <v>14</v>
      </c>
    </row>
    <row r="1383" spans="1:9" hidden="1">
      <c r="A1383" t="s">
        <v>2448</v>
      </c>
      <c r="B1383" t="s">
        <v>3266</v>
      </c>
      <c r="C1383" t="s">
        <v>48</v>
      </c>
      <c r="D1383" s="2">
        <v>57600</v>
      </c>
      <c r="E1383">
        <f>VLOOKUP(I1383,Calc!$I$35:$J$39,2,FALSE)</f>
        <v>5</v>
      </c>
      <c r="F1383">
        <v>20</v>
      </c>
      <c r="G1383" s="10" t="s">
        <v>201</v>
      </c>
      <c r="H1383" s="10" t="s">
        <v>2449</v>
      </c>
      <c r="I1383" s="10" t="s">
        <v>14</v>
      </c>
    </row>
    <row r="1384" spans="1:9" hidden="1">
      <c r="A1384" t="s">
        <v>2450</v>
      </c>
      <c r="B1384" t="s">
        <v>3269</v>
      </c>
      <c r="C1384" t="s">
        <v>29</v>
      </c>
      <c r="D1384" s="2">
        <v>50000</v>
      </c>
      <c r="E1384">
        <f>VLOOKUP(I1384,Calc!$I$35:$J$39,2,FALSE)</f>
        <v>5</v>
      </c>
      <c r="F1384">
        <v>15</v>
      </c>
      <c r="G1384" s="10" t="s">
        <v>30</v>
      </c>
      <c r="H1384" s="10" t="s">
        <v>2451</v>
      </c>
      <c r="I1384" s="10" t="s">
        <v>14</v>
      </c>
    </row>
    <row r="1385" spans="1:9" hidden="1">
      <c r="A1385" t="s">
        <v>2452</v>
      </c>
      <c r="B1385" t="s">
        <v>3267</v>
      </c>
      <c r="C1385" t="s">
        <v>29</v>
      </c>
      <c r="D1385" s="2">
        <v>120000</v>
      </c>
      <c r="E1385">
        <f>VLOOKUP(I1385,Calc!$I$35:$J$39,2,FALSE)</f>
        <v>2.5</v>
      </c>
      <c r="F1385">
        <v>10</v>
      </c>
      <c r="G1385" s="10" t="s">
        <v>30</v>
      </c>
      <c r="H1385" s="10" t="s">
        <v>1031</v>
      </c>
      <c r="I1385" s="10" t="s">
        <v>36</v>
      </c>
    </row>
    <row r="1386" spans="1:9" hidden="1">
      <c r="A1386" t="s">
        <v>2453</v>
      </c>
      <c r="B1386" t="s">
        <v>3267</v>
      </c>
      <c r="C1386" t="s">
        <v>29</v>
      </c>
      <c r="D1386" s="2">
        <v>107000</v>
      </c>
      <c r="E1386">
        <f>VLOOKUP(I1386,Calc!$I$35:$J$39,2,FALSE)</f>
        <v>8</v>
      </c>
      <c r="F1386">
        <v>29</v>
      </c>
      <c r="G1386" s="10" t="s">
        <v>30</v>
      </c>
      <c r="H1386" s="10" t="s">
        <v>2454</v>
      </c>
      <c r="I1386" s="10" t="s">
        <v>22</v>
      </c>
    </row>
    <row r="1387" spans="1:9">
      <c r="A1387" t="s">
        <v>2455</v>
      </c>
      <c r="B1387" t="s">
        <v>3268</v>
      </c>
      <c r="C1387" t="s">
        <v>29</v>
      </c>
      <c r="D1387" s="2">
        <v>40000</v>
      </c>
      <c r="E1387">
        <f>VLOOKUP(I1387,Calc!$I$35:$J$39,2,FALSE)</f>
        <v>2.5</v>
      </c>
      <c r="F1387">
        <v>6</v>
      </c>
      <c r="G1387" s="10" t="s">
        <v>30</v>
      </c>
      <c r="H1387" s="10" t="s">
        <v>997</v>
      </c>
      <c r="I1387" s="10" t="s">
        <v>36</v>
      </c>
    </row>
    <row r="1388" spans="1:9" hidden="1">
      <c r="A1388" t="s">
        <v>2456</v>
      </c>
      <c r="B1388" t="s">
        <v>3267</v>
      </c>
      <c r="C1388" t="s">
        <v>29</v>
      </c>
      <c r="D1388" s="2">
        <v>81000</v>
      </c>
      <c r="E1388">
        <f>VLOOKUP(I1388,Calc!$I$35:$J$39,2,FALSE)</f>
        <v>1.5</v>
      </c>
      <c r="F1388">
        <v>12</v>
      </c>
      <c r="G1388" s="10" t="s">
        <v>30</v>
      </c>
      <c r="H1388" s="10" t="s">
        <v>2457</v>
      </c>
      <c r="I1388" s="10" t="s">
        <v>47</v>
      </c>
    </row>
    <row r="1389" spans="1:9" hidden="1">
      <c r="A1389" t="s">
        <v>2458</v>
      </c>
      <c r="B1389" t="s">
        <v>3265</v>
      </c>
      <c r="C1389" t="s">
        <v>29</v>
      </c>
      <c r="D1389" s="2">
        <v>45000</v>
      </c>
      <c r="E1389">
        <f>VLOOKUP(I1389,Calc!$I$35:$J$39,2,FALSE)</f>
        <v>5</v>
      </c>
      <c r="F1389">
        <v>20</v>
      </c>
      <c r="G1389" s="10" t="s">
        <v>30</v>
      </c>
      <c r="H1389" s="10" t="s">
        <v>2459</v>
      </c>
      <c r="I1389" s="10" t="s">
        <v>14</v>
      </c>
    </row>
    <row r="1390" spans="1:9" hidden="1">
      <c r="A1390" t="s">
        <v>2460</v>
      </c>
      <c r="B1390" t="s">
        <v>3265</v>
      </c>
      <c r="C1390" t="s">
        <v>29</v>
      </c>
      <c r="D1390" s="2">
        <v>49000</v>
      </c>
      <c r="E1390">
        <f>VLOOKUP(I1390,Calc!$I$35:$J$39,2,FALSE)</f>
        <v>5</v>
      </c>
      <c r="F1390">
        <v>5</v>
      </c>
      <c r="G1390" s="10" t="s">
        <v>30</v>
      </c>
      <c r="H1390" s="10" t="s">
        <v>2461</v>
      </c>
      <c r="I1390" s="10" t="s">
        <v>14</v>
      </c>
    </row>
    <row r="1391" spans="1:9" hidden="1">
      <c r="A1391" t="s">
        <v>2462</v>
      </c>
      <c r="B1391" t="s">
        <v>3249</v>
      </c>
      <c r="C1391" t="s">
        <v>11</v>
      </c>
      <c r="D1391" s="2">
        <v>13355.937515581925</v>
      </c>
      <c r="E1391">
        <f>VLOOKUP(I1391,Calc!$I$35:$J$39,2,FALSE)</f>
        <v>1.5</v>
      </c>
      <c r="F1391">
        <v>1</v>
      </c>
      <c r="G1391" s="10" t="s">
        <v>12</v>
      </c>
      <c r="H1391" s="10" t="s">
        <v>2463</v>
      </c>
      <c r="I1391" s="10" t="s">
        <v>47</v>
      </c>
    </row>
    <row r="1392" spans="1:9" hidden="1">
      <c r="A1392" t="s">
        <v>2464</v>
      </c>
      <c r="B1392" t="s">
        <v>3267</v>
      </c>
      <c r="C1392" t="s">
        <v>29</v>
      </c>
      <c r="D1392" s="2">
        <v>72000</v>
      </c>
      <c r="E1392">
        <f>VLOOKUP(I1392,Calc!$I$35:$J$39,2,FALSE)</f>
        <v>1.5</v>
      </c>
      <c r="F1392">
        <v>20</v>
      </c>
      <c r="G1392" s="10" t="s">
        <v>30</v>
      </c>
      <c r="H1392" s="10" t="s">
        <v>44</v>
      </c>
      <c r="I1392" s="10" t="s">
        <v>47</v>
      </c>
    </row>
    <row r="1393" spans="1:9">
      <c r="A1393" t="s">
        <v>2465</v>
      </c>
      <c r="B1393" t="s">
        <v>3268</v>
      </c>
      <c r="C1393" t="s">
        <v>29</v>
      </c>
      <c r="D1393" s="2">
        <v>50000</v>
      </c>
      <c r="E1393">
        <f>VLOOKUP(I1393,Calc!$I$35:$J$39,2,FALSE)</f>
        <v>5</v>
      </c>
      <c r="F1393">
        <v>7</v>
      </c>
      <c r="G1393" s="10" t="s">
        <v>30</v>
      </c>
      <c r="H1393" s="10" t="s">
        <v>2466</v>
      </c>
      <c r="I1393" s="10" t="s">
        <v>14</v>
      </c>
    </row>
    <row r="1394" spans="1:9">
      <c r="A1394" t="s">
        <v>2467</v>
      </c>
      <c r="B1394" t="s">
        <v>3268</v>
      </c>
      <c r="C1394" t="s">
        <v>29</v>
      </c>
      <c r="D1394" s="2">
        <v>57678</v>
      </c>
      <c r="E1394">
        <f>VLOOKUP(I1394,Calc!$I$35:$J$39,2,FALSE)</f>
        <v>5</v>
      </c>
      <c r="F1394">
        <v>2</v>
      </c>
      <c r="G1394" s="10" t="s">
        <v>30</v>
      </c>
      <c r="H1394" s="10" t="s">
        <v>31</v>
      </c>
      <c r="I1394" s="10" t="s">
        <v>14</v>
      </c>
    </row>
    <row r="1395" spans="1:9">
      <c r="A1395" t="s">
        <v>2468</v>
      </c>
      <c r="B1395" t="s">
        <v>3268</v>
      </c>
      <c r="C1395" t="s">
        <v>29</v>
      </c>
      <c r="D1395" s="2">
        <v>80442</v>
      </c>
      <c r="E1395">
        <f>VLOOKUP(I1395,Calc!$I$35:$J$39,2,FALSE)</f>
        <v>5</v>
      </c>
      <c r="F1395">
        <v>16</v>
      </c>
      <c r="G1395" s="10" t="s">
        <v>30</v>
      </c>
      <c r="H1395" s="10" t="s">
        <v>2469</v>
      </c>
      <c r="I1395" s="10" t="s">
        <v>14</v>
      </c>
    </row>
    <row r="1396" spans="1:9" hidden="1">
      <c r="A1396" t="s">
        <v>2470</v>
      </c>
      <c r="B1396" t="s">
        <v>3267</v>
      </c>
      <c r="C1396" t="s">
        <v>29</v>
      </c>
      <c r="D1396" s="2">
        <v>75000</v>
      </c>
      <c r="E1396">
        <f>VLOOKUP(I1396,Calc!$I$35:$J$39,2,FALSE)</f>
        <v>1.5</v>
      </c>
      <c r="F1396">
        <v>9</v>
      </c>
      <c r="G1396" s="10" t="s">
        <v>30</v>
      </c>
      <c r="H1396" s="10" t="s">
        <v>2471</v>
      </c>
      <c r="I1396" s="10" t="s">
        <v>47</v>
      </c>
    </row>
    <row r="1397" spans="1:9">
      <c r="A1397" t="s">
        <v>2472</v>
      </c>
      <c r="B1397" t="s">
        <v>3268</v>
      </c>
      <c r="C1397" t="s">
        <v>29</v>
      </c>
      <c r="D1397" s="2">
        <v>61000</v>
      </c>
      <c r="E1397">
        <f>VLOOKUP(I1397,Calc!$I$35:$J$39,2,FALSE)</f>
        <v>5</v>
      </c>
      <c r="F1397">
        <v>12</v>
      </c>
      <c r="G1397" s="10" t="s">
        <v>30</v>
      </c>
      <c r="H1397" s="10" t="s">
        <v>2473</v>
      </c>
      <c r="I1397" s="10" t="s">
        <v>14</v>
      </c>
    </row>
    <row r="1398" spans="1:9" hidden="1">
      <c r="A1398" t="s">
        <v>2474</v>
      </c>
      <c r="B1398" t="s">
        <v>3266</v>
      </c>
      <c r="C1398" t="s">
        <v>29</v>
      </c>
      <c r="D1398" s="2">
        <v>77000</v>
      </c>
      <c r="E1398">
        <f>VLOOKUP(I1398,Calc!$I$35:$J$39,2,FALSE)</f>
        <v>5</v>
      </c>
      <c r="F1398">
        <v>10</v>
      </c>
      <c r="G1398" s="10" t="s">
        <v>30</v>
      </c>
      <c r="H1398" s="10" t="s">
        <v>2475</v>
      </c>
      <c r="I1398" s="10" t="s">
        <v>14</v>
      </c>
    </row>
    <row r="1399" spans="1:9" hidden="1">
      <c r="A1399" t="s">
        <v>2476</v>
      </c>
      <c r="B1399" t="s">
        <v>3263</v>
      </c>
      <c r="C1399" t="s">
        <v>29</v>
      </c>
      <c r="D1399" s="2">
        <v>92000</v>
      </c>
      <c r="E1399">
        <f>VLOOKUP(I1399,Calc!$I$35:$J$39,2,FALSE)</f>
        <v>2.5</v>
      </c>
      <c r="F1399">
        <v>9</v>
      </c>
      <c r="G1399" s="10" t="s">
        <v>30</v>
      </c>
      <c r="H1399" s="10" t="s">
        <v>18</v>
      </c>
      <c r="I1399" s="10" t="s">
        <v>36</v>
      </c>
    </row>
    <row r="1400" spans="1:9">
      <c r="A1400" t="s">
        <v>2477</v>
      </c>
      <c r="B1400" t="s">
        <v>3268</v>
      </c>
      <c r="C1400" t="s">
        <v>29</v>
      </c>
      <c r="D1400" s="2">
        <v>72000</v>
      </c>
      <c r="E1400">
        <f>VLOOKUP(I1400,Calc!$I$35:$J$39,2,FALSE)</f>
        <v>8</v>
      </c>
      <c r="F1400">
        <v>10</v>
      </c>
      <c r="G1400" s="10" t="s">
        <v>30</v>
      </c>
      <c r="H1400" s="10" t="s">
        <v>2478</v>
      </c>
      <c r="I1400" s="10" t="s">
        <v>22</v>
      </c>
    </row>
    <row r="1401" spans="1:9" hidden="1">
      <c r="A1401" t="s">
        <v>2479</v>
      </c>
      <c r="B1401" t="s">
        <v>3264</v>
      </c>
      <c r="C1401" t="s">
        <v>11</v>
      </c>
      <c r="D1401" s="2">
        <v>14000</v>
      </c>
      <c r="E1401">
        <f>VLOOKUP(I1401,Calc!$I$35:$J$39,2,FALSE)</f>
        <v>5</v>
      </c>
      <c r="F1401">
        <v>3</v>
      </c>
      <c r="G1401" s="10" t="s">
        <v>12</v>
      </c>
      <c r="H1401" s="10" t="s">
        <v>90</v>
      </c>
      <c r="I1401" s="10" t="s">
        <v>14</v>
      </c>
    </row>
    <row r="1402" spans="1:9" hidden="1">
      <c r="A1402" t="s">
        <v>2480</v>
      </c>
      <c r="B1402" t="s">
        <v>3267</v>
      </c>
      <c r="C1402" t="s">
        <v>29</v>
      </c>
      <c r="D1402" s="2">
        <v>111000</v>
      </c>
      <c r="E1402">
        <f>VLOOKUP(I1402,Calc!$I$35:$J$39,2,FALSE)</f>
        <v>2.5</v>
      </c>
      <c r="F1402">
        <v>10</v>
      </c>
      <c r="G1402" s="10" t="s">
        <v>30</v>
      </c>
      <c r="H1402" s="10" t="s">
        <v>2481</v>
      </c>
      <c r="I1402" s="10" t="s">
        <v>36</v>
      </c>
    </row>
    <row r="1403" spans="1:9">
      <c r="A1403" t="s">
        <v>2482</v>
      </c>
      <c r="B1403" t="s">
        <v>3268</v>
      </c>
      <c r="C1403" t="s">
        <v>29</v>
      </c>
      <c r="D1403" s="2">
        <v>80000</v>
      </c>
      <c r="E1403">
        <f>VLOOKUP(I1403,Calc!$I$35:$J$39,2,FALSE)</f>
        <v>5</v>
      </c>
      <c r="F1403">
        <v>20</v>
      </c>
      <c r="G1403" s="10" t="s">
        <v>30</v>
      </c>
      <c r="H1403" s="10" t="s">
        <v>2483</v>
      </c>
      <c r="I1403" s="10" t="s">
        <v>14</v>
      </c>
    </row>
    <row r="1404" spans="1:9" hidden="1">
      <c r="A1404" t="s">
        <v>2484</v>
      </c>
      <c r="B1404" t="s">
        <v>3268</v>
      </c>
      <c r="C1404" t="s">
        <v>11</v>
      </c>
      <c r="D1404" s="2">
        <v>57875.729234188344</v>
      </c>
      <c r="E1404">
        <f>VLOOKUP(I1404,Calc!$I$35:$J$39,2,FALSE)</f>
        <v>5</v>
      </c>
      <c r="F1404">
        <v>5.5</v>
      </c>
      <c r="G1404" s="10" t="s">
        <v>12</v>
      </c>
      <c r="H1404" s="10" t="s">
        <v>2485</v>
      </c>
      <c r="I1404" s="10" t="s">
        <v>14</v>
      </c>
    </row>
    <row r="1405" spans="1:9" hidden="1">
      <c r="A1405" t="s">
        <v>2486</v>
      </c>
      <c r="B1405" t="s">
        <v>3269</v>
      </c>
      <c r="C1405" t="s">
        <v>11</v>
      </c>
      <c r="D1405" s="2">
        <v>25000</v>
      </c>
      <c r="E1405">
        <f>VLOOKUP(I1405,Calc!$I$35:$J$39,2,FALSE)</f>
        <v>2.5</v>
      </c>
      <c r="F1405">
        <v>8</v>
      </c>
      <c r="G1405" s="10" t="s">
        <v>12</v>
      </c>
      <c r="H1405" s="10" t="s">
        <v>56</v>
      </c>
      <c r="I1405" s="10" t="s">
        <v>36</v>
      </c>
    </row>
    <row r="1406" spans="1:9" hidden="1">
      <c r="A1406" t="s">
        <v>2487</v>
      </c>
      <c r="B1406" t="s">
        <v>3263</v>
      </c>
      <c r="C1406" t="s">
        <v>29</v>
      </c>
      <c r="D1406" s="2">
        <v>24000</v>
      </c>
      <c r="E1406">
        <f>VLOOKUP(I1406,Calc!$I$35:$J$39,2,FALSE)</f>
        <v>1.5</v>
      </c>
      <c r="F1406">
        <v>2</v>
      </c>
      <c r="G1406" s="10" t="s">
        <v>30</v>
      </c>
      <c r="H1406" s="10" t="s">
        <v>2488</v>
      </c>
      <c r="I1406" s="10" t="s">
        <v>47</v>
      </c>
    </row>
    <row r="1407" spans="1:9" hidden="1">
      <c r="A1407" t="s">
        <v>2489</v>
      </c>
      <c r="B1407" t="s">
        <v>3267</v>
      </c>
      <c r="C1407" t="s">
        <v>29</v>
      </c>
      <c r="D1407" s="2">
        <v>61000</v>
      </c>
      <c r="E1407">
        <f>VLOOKUP(I1407,Calc!$I$35:$J$39,2,FALSE)</f>
        <v>2.5</v>
      </c>
      <c r="F1407">
        <v>25</v>
      </c>
      <c r="G1407" s="10" t="s">
        <v>30</v>
      </c>
      <c r="H1407" s="10" t="s">
        <v>2490</v>
      </c>
      <c r="I1407" s="10" t="s">
        <v>36</v>
      </c>
    </row>
    <row r="1408" spans="1:9" hidden="1">
      <c r="A1408" t="s">
        <v>2491</v>
      </c>
      <c r="B1408" t="s">
        <v>3268</v>
      </c>
      <c r="C1408" t="s">
        <v>32</v>
      </c>
      <c r="D1408" s="2">
        <v>56095.031102144967</v>
      </c>
      <c r="E1408">
        <f>VLOOKUP(I1408,Calc!$I$35:$J$39,2,FALSE)</f>
        <v>2.5</v>
      </c>
      <c r="F1408">
        <v>11</v>
      </c>
      <c r="G1408" s="10" t="s">
        <v>123</v>
      </c>
      <c r="H1408" s="10" t="s">
        <v>2492</v>
      </c>
      <c r="I1408" s="10" t="s">
        <v>36</v>
      </c>
    </row>
    <row r="1409" spans="1:9" hidden="1">
      <c r="A1409" t="s">
        <v>2493</v>
      </c>
      <c r="B1409" t="s">
        <v>3269</v>
      </c>
      <c r="C1409" t="s">
        <v>32</v>
      </c>
      <c r="D1409" s="2">
        <v>71393.675948184507</v>
      </c>
      <c r="E1409">
        <f>VLOOKUP(I1409,Calc!$I$35:$J$39,2,FALSE)</f>
        <v>2.5</v>
      </c>
      <c r="F1409">
        <v>5</v>
      </c>
      <c r="G1409" s="10" t="s">
        <v>123</v>
      </c>
      <c r="H1409" s="10" t="s">
        <v>2021</v>
      </c>
      <c r="I1409" s="10" t="s">
        <v>36</v>
      </c>
    </row>
    <row r="1410" spans="1:9" hidden="1">
      <c r="A1410" t="s">
        <v>2494</v>
      </c>
      <c r="B1410" t="s">
        <v>3267</v>
      </c>
      <c r="C1410" t="s">
        <v>29</v>
      </c>
      <c r="D1410" s="2">
        <v>96230</v>
      </c>
      <c r="E1410">
        <f>VLOOKUP(I1410,Calc!$I$35:$J$39,2,FALSE)</f>
        <v>5</v>
      </c>
      <c r="F1410">
        <v>18</v>
      </c>
      <c r="G1410" s="10" t="s">
        <v>30</v>
      </c>
      <c r="H1410" s="10" t="s">
        <v>2495</v>
      </c>
      <c r="I1410" s="10" t="s">
        <v>14</v>
      </c>
    </row>
    <row r="1411" spans="1:9">
      <c r="A1411" t="s">
        <v>2496</v>
      </c>
      <c r="B1411" t="s">
        <v>3268</v>
      </c>
      <c r="C1411" t="s">
        <v>29</v>
      </c>
      <c r="D1411" s="2">
        <v>75000</v>
      </c>
      <c r="E1411">
        <f>VLOOKUP(I1411,Calc!$I$35:$J$39,2,FALSE)</f>
        <v>2.5</v>
      </c>
      <c r="F1411">
        <v>1.5</v>
      </c>
      <c r="G1411" s="10" t="s">
        <v>30</v>
      </c>
      <c r="H1411" s="10" t="s">
        <v>320</v>
      </c>
      <c r="I1411" s="10" t="s">
        <v>36</v>
      </c>
    </row>
    <row r="1412" spans="1:9">
      <c r="A1412" t="s">
        <v>2497</v>
      </c>
      <c r="B1412" t="s">
        <v>3268</v>
      </c>
      <c r="C1412" t="s">
        <v>29</v>
      </c>
      <c r="D1412" s="2">
        <v>102000</v>
      </c>
      <c r="E1412">
        <f>VLOOKUP(I1412,Calc!$I$35:$J$39,2,FALSE)</f>
        <v>5</v>
      </c>
      <c r="F1412">
        <v>5</v>
      </c>
      <c r="G1412" s="10" t="s">
        <v>30</v>
      </c>
      <c r="H1412" s="10" t="s">
        <v>167</v>
      </c>
      <c r="I1412" s="10" t="s">
        <v>14</v>
      </c>
    </row>
    <row r="1413" spans="1:9" hidden="1">
      <c r="A1413" t="s">
        <v>2498</v>
      </c>
      <c r="B1413" t="s">
        <v>3267</v>
      </c>
      <c r="C1413" t="s">
        <v>11</v>
      </c>
      <c r="D1413" s="2">
        <v>19008.034062397041</v>
      </c>
      <c r="E1413">
        <f>VLOOKUP(I1413,Calc!$I$35:$J$39,2,FALSE)</f>
        <v>5</v>
      </c>
      <c r="F1413">
        <v>3</v>
      </c>
      <c r="G1413" s="10" t="s">
        <v>1763</v>
      </c>
      <c r="H1413" s="10" t="s">
        <v>2499</v>
      </c>
      <c r="I1413" s="10" t="s">
        <v>14</v>
      </c>
    </row>
    <row r="1414" spans="1:9" hidden="1">
      <c r="A1414" t="s">
        <v>2500</v>
      </c>
      <c r="B1414" t="s">
        <v>3268</v>
      </c>
      <c r="C1414" t="s">
        <v>11</v>
      </c>
      <c r="D1414" s="2">
        <v>4356</v>
      </c>
      <c r="E1414">
        <f>VLOOKUP(I1414,Calc!$I$35:$J$39,2,FALSE)</f>
        <v>5</v>
      </c>
      <c r="F1414">
        <v>5</v>
      </c>
      <c r="G1414" s="10" t="s">
        <v>12</v>
      </c>
      <c r="H1414" s="10" t="s">
        <v>320</v>
      </c>
      <c r="I1414" s="10" t="s">
        <v>14</v>
      </c>
    </row>
    <row r="1415" spans="1:9" hidden="1">
      <c r="A1415" t="s">
        <v>2501</v>
      </c>
      <c r="B1415" t="s">
        <v>3269</v>
      </c>
      <c r="C1415" t="s">
        <v>11</v>
      </c>
      <c r="D1415" s="2">
        <v>5342.3750062327708</v>
      </c>
      <c r="E1415">
        <f>VLOOKUP(I1415,Calc!$I$35:$J$39,2,FALSE)</f>
        <v>5</v>
      </c>
      <c r="F1415">
        <v>4</v>
      </c>
      <c r="G1415" s="10" t="s">
        <v>12</v>
      </c>
      <c r="H1415" s="10" t="s">
        <v>1483</v>
      </c>
      <c r="I1415" s="10" t="s">
        <v>14</v>
      </c>
    </row>
    <row r="1416" spans="1:9" hidden="1">
      <c r="A1416" t="s">
        <v>2502</v>
      </c>
      <c r="B1416" t="s">
        <v>3267</v>
      </c>
      <c r="C1416" t="s">
        <v>29</v>
      </c>
      <c r="D1416" s="2">
        <v>67000</v>
      </c>
      <c r="E1416">
        <f>VLOOKUP(I1416,Calc!$I$35:$J$39,2,FALSE)</f>
        <v>2.5</v>
      </c>
      <c r="F1416">
        <v>20</v>
      </c>
      <c r="G1416" s="10" t="s">
        <v>30</v>
      </c>
      <c r="H1416" s="10" t="s">
        <v>2503</v>
      </c>
      <c r="I1416" s="10" t="s">
        <v>36</v>
      </c>
    </row>
    <row r="1417" spans="1:9" hidden="1">
      <c r="A1417" t="s">
        <v>2504</v>
      </c>
      <c r="B1417" t="s">
        <v>3268</v>
      </c>
      <c r="C1417" t="s">
        <v>11</v>
      </c>
      <c r="D1417" s="2">
        <v>8547.8000099724322</v>
      </c>
      <c r="E1417">
        <f>VLOOKUP(I1417,Calc!$I$35:$J$39,2,FALSE)</f>
        <v>5</v>
      </c>
      <c r="F1417">
        <v>7</v>
      </c>
      <c r="G1417" s="10" t="s">
        <v>12</v>
      </c>
      <c r="H1417" s="10" t="s">
        <v>2071</v>
      </c>
      <c r="I1417" s="10" t="s">
        <v>14</v>
      </c>
    </row>
    <row r="1418" spans="1:9" hidden="1">
      <c r="A1418" t="s">
        <v>2505</v>
      </c>
      <c r="B1418" t="s">
        <v>3268</v>
      </c>
      <c r="C1418" t="s">
        <v>11</v>
      </c>
      <c r="D1418" s="2">
        <v>16027.125018698311</v>
      </c>
      <c r="E1418">
        <f>VLOOKUP(I1418,Calc!$I$35:$J$39,2,FALSE)</f>
        <v>5</v>
      </c>
      <c r="F1418">
        <v>4</v>
      </c>
      <c r="G1418" s="10" t="s">
        <v>12</v>
      </c>
      <c r="H1418" s="10" t="s">
        <v>233</v>
      </c>
      <c r="I1418" s="10" t="s">
        <v>14</v>
      </c>
    </row>
    <row r="1419" spans="1:9" hidden="1">
      <c r="A1419" t="s">
        <v>2506</v>
      </c>
      <c r="B1419" t="s">
        <v>3264</v>
      </c>
      <c r="C1419" t="s">
        <v>11</v>
      </c>
      <c r="D1419" s="2">
        <v>10684.750012465542</v>
      </c>
      <c r="E1419">
        <f>VLOOKUP(I1419,Calc!$I$35:$J$39,2,FALSE)</f>
        <v>2.5</v>
      </c>
      <c r="F1419">
        <v>36</v>
      </c>
      <c r="G1419" s="10" t="s">
        <v>12</v>
      </c>
      <c r="H1419" s="10" t="s">
        <v>124</v>
      </c>
      <c r="I1419" s="10" t="s">
        <v>36</v>
      </c>
    </row>
    <row r="1420" spans="1:9" hidden="1">
      <c r="A1420" t="s">
        <v>2507</v>
      </c>
      <c r="B1420" t="s">
        <v>3269</v>
      </c>
      <c r="C1420" t="s">
        <v>48</v>
      </c>
      <c r="D1420" s="2">
        <v>30000</v>
      </c>
      <c r="E1420">
        <f>VLOOKUP(I1420,Calc!$I$35:$J$39,2,FALSE)</f>
        <v>5</v>
      </c>
      <c r="F1420">
        <v>8</v>
      </c>
      <c r="G1420" s="10" t="s">
        <v>191</v>
      </c>
      <c r="H1420" s="10" t="s">
        <v>2508</v>
      </c>
      <c r="I1420" s="10" t="s">
        <v>14</v>
      </c>
    </row>
    <row r="1421" spans="1:9" hidden="1">
      <c r="A1421" t="s">
        <v>2509</v>
      </c>
      <c r="B1421" t="s">
        <v>3267</v>
      </c>
      <c r="C1421" t="s">
        <v>11</v>
      </c>
      <c r="D1421" s="2">
        <v>8903.9583437212841</v>
      </c>
      <c r="E1421">
        <f>VLOOKUP(I1421,Calc!$I$35:$J$39,2,FALSE)</f>
        <v>2.5</v>
      </c>
      <c r="F1421">
        <v>0</v>
      </c>
      <c r="G1421" s="10" t="s">
        <v>12</v>
      </c>
      <c r="H1421" s="10" t="s">
        <v>2510</v>
      </c>
      <c r="I1421" s="10" t="s">
        <v>36</v>
      </c>
    </row>
    <row r="1422" spans="1:9" hidden="1">
      <c r="A1422" t="s">
        <v>2511</v>
      </c>
      <c r="B1422" t="s">
        <v>3267</v>
      </c>
      <c r="C1422" t="s">
        <v>11</v>
      </c>
      <c r="D1422" s="2">
        <v>20000</v>
      </c>
      <c r="E1422">
        <f>VLOOKUP(I1422,Calc!$I$35:$J$39,2,FALSE)</f>
        <v>0</v>
      </c>
      <c r="F1422">
        <v>10</v>
      </c>
      <c r="G1422" s="10" t="s">
        <v>12</v>
      </c>
      <c r="H1422" s="10" t="s">
        <v>1024</v>
      </c>
      <c r="I1422" s="10" t="s">
        <v>119</v>
      </c>
    </row>
    <row r="1423" spans="1:9" hidden="1">
      <c r="A1423" t="s">
        <v>2512</v>
      </c>
      <c r="B1423" t="s">
        <v>3268</v>
      </c>
      <c r="C1423" t="s">
        <v>32</v>
      </c>
      <c r="D1423" s="2">
        <v>87712.230450626681</v>
      </c>
      <c r="E1423">
        <f>VLOOKUP(I1423,Calc!$I$35:$J$39,2,FALSE)</f>
        <v>5</v>
      </c>
      <c r="F1423">
        <v>10</v>
      </c>
      <c r="G1423" s="10" t="s">
        <v>123</v>
      </c>
      <c r="H1423" s="10" t="s">
        <v>331</v>
      </c>
      <c r="I1423" s="10" t="s">
        <v>14</v>
      </c>
    </row>
    <row r="1424" spans="1:9" hidden="1">
      <c r="A1424" t="s">
        <v>2513</v>
      </c>
      <c r="B1424" t="s">
        <v>3267</v>
      </c>
      <c r="C1424" t="s">
        <v>11</v>
      </c>
      <c r="D1424" s="2">
        <v>17807.916687442568</v>
      </c>
      <c r="E1424">
        <f>VLOOKUP(I1424,Calc!$I$35:$J$39,2,FALSE)</f>
        <v>8</v>
      </c>
      <c r="F1424">
        <v>6</v>
      </c>
      <c r="G1424" s="10" t="s">
        <v>12</v>
      </c>
      <c r="H1424" s="10" t="s">
        <v>2514</v>
      </c>
      <c r="I1424" s="10" t="s">
        <v>22</v>
      </c>
    </row>
    <row r="1425" spans="1:9" hidden="1">
      <c r="A1425" t="s">
        <v>2515</v>
      </c>
      <c r="B1425" t="s">
        <v>3268</v>
      </c>
      <c r="C1425" t="s">
        <v>11</v>
      </c>
      <c r="D1425" s="2">
        <v>41000</v>
      </c>
      <c r="E1425">
        <f>VLOOKUP(I1425,Calc!$I$35:$J$39,2,FALSE)</f>
        <v>2.5</v>
      </c>
      <c r="F1425">
        <v>2</v>
      </c>
      <c r="G1425" s="10" t="s">
        <v>1055</v>
      </c>
      <c r="H1425" s="10" t="s">
        <v>207</v>
      </c>
      <c r="I1425" s="10" t="s">
        <v>36</v>
      </c>
    </row>
    <row r="1426" spans="1:9" hidden="1">
      <c r="A1426" t="s">
        <v>2516</v>
      </c>
      <c r="B1426" t="s">
        <v>3267</v>
      </c>
      <c r="C1426" t="s">
        <v>29</v>
      </c>
      <c r="D1426" s="2">
        <v>60000</v>
      </c>
      <c r="E1426">
        <f>VLOOKUP(I1426,Calc!$I$35:$J$39,2,FALSE)</f>
        <v>2.5</v>
      </c>
      <c r="F1426">
        <v>4</v>
      </c>
      <c r="G1426" s="10" t="s">
        <v>30</v>
      </c>
      <c r="H1426" s="10" t="s">
        <v>2517</v>
      </c>
      <c r="I1426" s="10" t="s">
        <v>36</v>
      </c>
    </row>
    <row r="1427" spans="1:9" hidden="1">
      <c r="A1427" t="s">
        <v>2518</v>
      </c>
      <c r="B1427" t="s">
        <v>3268</v>
      </c>
      <c r="C1427" t="s">
        <v>42</v>
      </c>
      <c r="D1427" s="2">
        <v>32187.34988380854</v>
      </c>
      <c r="E1427">
        <f>VLOOKUP(I1427,Calc!$I$35:$J$39,2,FALSE)</f>
        <v>8</v>
      </c>
      <c r="F1427">
        <v>2</v>
      </c>
      <c r="G1427" s="10" t="s">
        <v>78</v>
      </c>
      <c r="H1427" s="10" t="s">
        <v>10</v>
      </c>
      <c r="I1427" s="10" t="s">
        <v>22</v>
      </c>
    </row>
    <row r="1428" spans="1:9" hidden="1">
      <c r="A1428" t="s">
        <v>2519</v>
      </c>
      <c r="B1428" t="s">
        <v>3266</v>
      </c>
      <c r="C1428" t="s">
        <v>32</v>
      </c>
      <c r="D1428" s="2">
        <v>39879.404680246938</v>
      </c>
      <c r="E1428">
        <f>VLOOKUP(I1428,Calc!$I$35:$J$39,2,FALSE)</f>
        <v>5</v>
      </c>
      <c r="F1428">
        <v>5</v>
      </c>
      <c r="G1428" s="10" t="s">
        <v>1023</v>
      </c>
      <c r="H1428" s="10" t="s">
        <v>2520</v>
      </c>
      <c r="I1428" s="10" t="s">
        <v>14</v>
      </c>
    </row>
    <row r="1429" spans="1:9" hidden="1">
      <c r="A1429" t="s">
        <v>2521</v>
      </c>
      <c r="B1429" t="s">
        <v>3268</v>
      </c>
      <c r="C1429" t="s">
        <v>11</v>
      </c>
      <c r="D1429" s="2">
        <v>5698.5333399816218</v>
      </c>
      <c r="E1429">
        <f>VLOOKUP(I1429,Calc!$I$35:$J$39,2,FALSE)</f>
        <v>2.5</v>
      </c>
      <c r="F1429">
        <v>2</v>
      </c>
      <c r="G1429" s="10" t="s">
        <v>12</v>
      </c>
      <c r="H1429" s="10" t="s">
        <v>10</v>
      </c>
      <c r="I1429" s="10" t="s">
        <v>36</v>
      </c>
    </row>
    <row r="1430" spans="1:9" hidden="1">
      <c r="A1430" t="s">
        <v>2522</v>
      </c>
      <c r="B1430" t="s">
        <v>3267</v>
      </c>
      <c r="C1430" t="s">
        <v>11</v>
      </c>
      <c r="D1430" s="2">
        <v>7123.1666749770275</v>
      </c>
      <c r="E1430">
        <f>VLOOKUP(I1430,Calc!$I$35:$J$39,2,FALSE)</f>
        <v>5</v>
      </c>
      <c r="F1430">
        <v>6</v>
      </c>
      <c r="G1430" s="10" t="s">
        <v>12</v>
      </c>
      <c r="H1430" s="10" t="s">
        <v>1552</v>
      </c>
      <c r="I1430" s="10" t="s">
        <v>14</v>
      </c>
    </row>
    <row r="1431" spans="1:9" hidden="1">
      <c r="A1431" t="s">
        <v>2523</v>
      </c>
      <c r="B1431" t="s">
        <v>3267</v>
      </c>
      <c r="C1431" t="s">
        <v>11</v>
      </c>
      <c r="D1431" s="2">
        <v>4451.9791718606421</v>
      </c>
      <c r="E1431">
        <f>VLOOKUP(I1431,Calc!$I$35:$J$39,2,FALSE)</f>
        <v>2.5</v>
      </c>
      <c r="F1431">
        <v>15</v>
      </c>
      <c r="G1431" s="10" t="s">
        <v>12</v>
      </c>
      <c r="H1431" s="10" t="s">
        <v>2524</v>
      </c>
      <c r="I1431" s="10" t="s">
        <v>36</v>
      </c>
    </row>
    <row r="1432" spans="1:9" hidden="1">
      <c r="A1432" t="s">
        <v>2525</v>
      </c>
      <c r="B1432" t="s">
        <v>3268</v>
      </c>
      <c r="C1432" t="s">
        <v>11</v>
      </c>
      <c r="D1432" s="2">
        <v>6410.8500074793246</v>
      </c>
      <c r="E1432">
        <f>VLOOKUP(I1432,Calc!$I$35:$J$39,2,FALSE)</f>
        <v>2.5</v>
      </c>
      <c r="F1432">
        <v>6</v>
      </c>
      <c r="G1432" s="10" t="s">
        <v>12</v>
      </c>
      <c r="H1432" s="10" t="s">
        <v>408</v>
      </c>
      <c r="I1432" s="10" t="s">
        <v>36</v>
      </c>
    </row>
    <row r="1433" spans="1:9" hidden="1">
      <c r="A1433" t="s">
        <v>2526</v>
      </c>
      <c r="B1433" t="s">
        <v>3267</v>
      </c>
      <c r="C1433" t="s">
        <v>11</v>
      </c>
      <c r="D1433" s="2">
        <v>20479.104190558952</v>
      </c>
      <c r="E1433">
        <f>VLOOKUP(I1433,Calc!$I$35:$J$39,2,FALSE)</f>
        <v>8</v>
      </c>
      <c r="F1433">
        <v>12</v>
      </c>
      <c r="G1433" s="10" t="s">
        <v>12</v>
      </c>
      <c r="H1433" s="10" t="s">
        <v>310</v>
      </c>
      <c r="I1433" s="10" t="s">
        <v>22</v>
      </c>
    </row>
    <row r="1434" spans="1:9" hidden="1">
      <c r="A1434" t="s">
        <v>2527</v>
      </c>
      <c r="B1434" t="s">
        <v>3268</v>
      </c>
      <c r="C1434" t="s">
        <v>11</v>
      </c>
      <c r="D1434" s="2">
        <v>11040.908346214392</v>
      </c>
      <c r="E1434">
        <f>VLOOKUP(I1434,Calc!$I$35:$J$39,2,FALSE)</f>
        <v>1.5</v>
      </c>
      <c r="F1434">
        <v>5</v>
      </c>
      <c r="G1434" s="10" t="s">
        <v>12</v>
      </c>
      <c r="H1434" s="10" t="s">
        <v>2528</v>
      </c>
      <c r="I1434" s="10" t="s">
        <v>47</v>
      </c>
    </row>
    <row r="1435" spans="1:9" hidden="1">
      <c r="A1435" t="s">
        <v>2529</v>
      </c>
      <c r="B1435" t="s">
        <v>3265</v>
      </c>
      <c r="C1435" t="s">
        <v>11</v>
      </c>
      <c r="D1435" s="2">
        <v>17807.916687442568</v>
      </c>
      <c r="E1435">
        <f>VLOOKUP(I1435,Calc!$I$35:$J$39,2,FALSE)</f>
        <v>2.5</v>
      </c>
      <c r="F1435">
        <v>7</v>
      </c>
      <c r="G1435" s="10" t="s">
        <v>12</v>
      </c>
      <c r="H1435" s="10" t="s">
        <v>1062</v>
      </c>
      <c r="I1435" s="10" t="s">
        <v>36</v>
      </c>
    </row>
    <row r="1436" spans="1:9" hidden="1">
      <c r="A1436" t="s">
        <v>2530</v>
      </c>
      <c r="B1436" t="s">
        <v>3268</v>
      </c>
      <c r="C1436" t="s">
        <v>11</v>
      </c>
      <c r="D1436" s="2">
        <v>3561.5833374885137</v>
      </c>
      <c r="E1436">
        <f>VLOOKUP(I1436,Calc!$I$35:$J$39,2,FALSE)</f>
        <v>5</v>
      </c>
      <c r="F1436">
        <v>11</v>
      </c>
      <c r="G1436" s="10" t="s">
        <v>12</v>
      </c>
      <c r="H1436" s="10" t="s">
        <v>1212</v>
      </c>
      <c r="I1436" s="10" t="s">
        <v>14</v>
      </c>
    </row>
    <row r="1437" spans="1:9" hidden="1">
      <c r="A1437" t="s">
        <v>2531</v>
      </c>
      <c r="B1437" t="s">
        <v>3268</v>
      </c>
      <c r="C1437" t="s">
        <v>19</v>
      </c>
      <c r="D1437" s="2">
        <v>26795.030625143831</v>
      </c>
      <c r="E1437">
        <f>VLOOKUP(I1437,Calc!$I$35:$J$39,2,FALSE)</f>
        <v>2.5</v>
      </c>
      <c r="F1437">
        <v>5</v>
      </c>
      <c r="G1437" s="10" t="s">
        <v>107</v>
      </c>
      <c r="H1437" s="10" t="s">
        <v>2532</v>
      </c>
      <c r="I1437" s="10" t="s">
        <v>36</v>
      </c>
    </row>
    <row r="1438" spans="1:9" hidden="1">
      <c r="A1438" t="s">
        <v>2533</v>
      </c>
      <c r="B1438" t="s">
        <v>3267</v>
      </c>
      <c r="C1438" t="s">
        <v>11</v>
      </c>
      <c r="D1438" s="2">
        <v>20400</v>
      </c>
      <c r="E1438">
        <f>VLOOKUP(I1438,Calc!$I$35:$J$39,2,FALSE)</f>
        <v>1.5</v>
      </c>
      <c r="F1438">
        <v>10</v>
      </c>
      <c r="G1438" s="10" t="s">
        <v>2250</v>
      </c>
      <c r="H1438" s="10" t="s">
        <v>2534</v>
      </c>
      <c r="I1438" s="10" t="s">
        <v>47</v>
      </c>
    </row>
    <row r="1439" spans="1:9" hidden="1">
      <c r="A1439" t="s">
        <v>2535</v>
      </c>
      <c r="B1439" t="s">
        <v>3269</v>
      </c>
      <c r="C1439" t="s">
        <v>19</v>
      </c>
      <c r="D1439" s="2">
        <v>39404.456801682099</v>
      </c>
      <c r="E1439">
        <f>VLOOKUP(I1439,Calc!$I$35:$J$39,2,FALSE)</f>
        <v>5</v>
      </c>
      <c r="F1439">
        <v>35</v>
      </c>
      <c r="G1439" s="10" t="s">
        <v>107</v>
      </c>
      <c r="H1439" s="10" t="s">
        <v>2536</v>
      </c>
      <c r="I1439" s="10" t="s">
        <v>14</v>
      </c>
    </row>
    <row r="1440" spans="1:9" hidden="1">
      <c r="A1440" t="s">
        <v>2537</v>
      </c>
      <c r="B1440" t="s">
        <v>3268</v>
      </c>
      <c r="C1440" t="s">
        <v>19</v>
      </c>
      <c r="D1440" s="2">
        <v>149907.13380100971</v>
      </c>
      <c r="E1440">
        <f>VLOOKUP(I1440,Calc!$I$35:$J$39,2,FALSE)</f>
        <v>5</v>
      </c>
      <c r="F1440">
        <v>7</v>
      </c>
      <c r="G1440" s="10" t="s">
        <v>19</v>
      </c>
      <c r="H1440" s="10" t="s">
        <v>2538</v>
      </c>
      <c r="I1440" s="10" t="s">
        <v>14</v>
      </c>
    </row>
    <row r="1441" spans="1:9" hidden="1">
      <c r="A1441" t="s">
        <v>2539</v>
      </c>
      <c r="B1441" t="s">
        <v>3268</v>
      </c>
      <c r="C1441" t="s">
        <v>11</v>
      </c>
      <c r="D1441" s="2">
        <v>4095.8208381117906</v>
      </c>
      <c r="E1441">
        <f>VLOOKUP(I1441,Calc!$I$35:$J$39,2,FALSE)</f>
        <v>5</v>
      </c>
      <c r="F1441">
        <v>1.6</v>
      </c>
      <c r="G1441" s="10" t="s">
        <v>12</v>
      </c>
      <c r="H1441" s="10" t="s">
        <v>2540</v>
      </c>
      <c r="I1441" s="10" t="s">
        <v>14</v>
      </c>
    </row>
    <row r="1442" spans="1:9" hidden="1">
      <c r="A1442" t="s">
        <v>2541</v>
      </c>
      <c r="B1442" t="s">
        <v>3269</v>
      </c>
      <c r="C1442" t="s">
        <v>32</v>
      </c>
      <c r="D1442" s="2">
        <v>127488.70705032947</v>
      </c>
      <c r="E1442">
        <f>VLOOKUP(I1442,Calc!$I$35:$J$39,2,FALSE)</f>
        <v>5</v>
      </c>
      <c r="F1442">
        <v>7</v>
      </c>
      <c r="G1442" s="10" t="s">
        <v>123</v>
      </c>
      <c r="H1442" s="10" t="s">
        <v>2542</v>
      </c>
      <c r="I1442" s="10" t="s">
        <v>14</v>
      </c>
    </row>
    <row r="1443" spans="1:9" hidden="1">
      <c r="A1443" t="s">
        <v>2543</v>
      </c>
      <c r="B1443" t="s">
        <v>3267</v>
      </c>
      <c r="C1443" t="s">
        <v>19</v>
      </c>
      <c r="D1443" s="2">
        <v>58318.59606648951</v>
      </c>
      <c r="E1443">
        <f>VLOOKUP(I1443,Calc!$I$35:$J$39,2,FALSE)</f>
        <v>8</v>
      </c>
      <c r="F1443">
        <v>20</v>
      </c>
      <c r="G1443" s="10" t="s">
        <v>107</v>
      </c>
      <c r="H1443" s="10" t="s">
        <v>2544</v>
      </c>
      <c r="I1443" s="10" t="s">
        <v>22</v>
      </c>
    </row>
    <row r="1444" spans="1:9" hidden="1">
      <c r="A1444" t="s">
        <v>2545</v>
      </c>
      <c r="B1444" t="s">
        <v>3263</v>
      </c>
      <c r="C1444" t="s">
        <v>42</v>
      </c>
      <c r="D1444" s="2">
        <v>9509.8988293070688</v>
      </c>
      <c r="E1444">
        <f>VLOOKUP(I1444,Calc!$I$35:$J$39,2,FALSE)</f>
        <v>5</v>
      </c>
      <c r="F1444">
        <v>2</v>
      </c>
      <c r="G1444" s="10" t="s">
        <v>78</v>
      </c>
      <c r="H1444" s="10" t="s">
        <v>2546</v>
      </c>
      <c r="I1444" s="10" t="s">
        <v>14</v>
      </c>
    </row>
    <row r="1445" spans="1:9" hidden="1">
      <c r="A1445" t="s">
        <v>2547</v>
      </c>
      <c r="B1445" t="s">
        <v>3268</v>
      </c>
      <c r="C1445" t="s">
        <v>11</v>
      </c>
      <c r="D1445" s="2">
        <v>12821.700014958649</v>
      </c>
      <c r="E1445">
        <f>VLOOKUP(I1445,Calc!$I$35:$J$39,2,FALSE)</f>
        <v>5</v>
      </c>
      <c r="F1445">
        <v>3</v>
      </c>
      <c r="G1445" s="10" t="s">
        <v>12</v>
      </c>
      <c r="H1445" s="10" t="s">
        <v>2548</v>
      </c>
      <c r="I1445" s="10" t="s">
        <v>14</v>
      </c>
    </row>
    <row r="1446" spans="1:9" hidden="1">
      <c r="A1446" t="s">
        <v>2549</v>
      </c>
      <c r="B1446" t="s">
        <v>3268</v>
      </c>
      <c r="C1446" t="s">
        <v>11</v>
      </c>
      <c r="D1446" s="2">
        <v>4000</v>
      </c>
      <c r="E1446">
        <f>VLOOKUP(I1446,Calc!$I$35:$J$39,2,FALSE)</f>
        <v>8</v>
      </c>
      <c r="F1446">
        <v>6</v>
      </c>
      <c r="G1446" s="10" t="s">
        <v>12</v>
      </c>
      <c r="H1446" s="10" t="s">
        <v>2550</v>
      </c>
      <c r="I1446" s="10" t="s">
        <v>22</v>
      </c>
    </row>
    <row r="1447" spans="1:9">
      <c r="A1447" t="s">
        <v>2551</v>
      </c>
      <c r="B1447" t="s">
        <v>3268</v>
      </c>
      <c r="C1447" t="s">
        <v>29</v>
      </c>
      <c r="D1447" s="2">
        <v>42000</v>
      </c>
      <c r="E1447">
        <f>VLOOKUP(I1447,Calc!$I$35:$J$39,2,FALSE)</f>
        <v>8</v>
      </c>
      <c r="F1447">
        <v>2</v>
      </c>
      <c r="G1447" s="10" t="s">
        <v>30</v>
      </c>
      <c r="H1447" s="10" t="s">
        <v>2552</v>
      </c>
      <c r="I1447" s="10" t="s">
        <v>22</v>
      </c>
    </row>
    <row r="1448" spans="1:9" hidden="1">
      <c r="A1448" t="s">
        <v>2553</v>
      </c>
      <c r="B1448" t="s">
        <v>3267</v>
      </c>
      <c r="C1448" t="s">
        <v>11</v>
      </c>
      <c r="D1448" s="2">
        <v>3200</v>
      </c>
      <c r="E1448">
        <f>VLOOKUP(I1448,Calc!$I$35:$J$39,2,FALSE)</f>
        <v>8</v>
      </c>
      <c r="F1448">
        <v>19</v>
      </c>
      <c r="G1448" s="10" t="s">
        <v>12</v>
      </c>
      <c r="H1448" s="10" t="s">
        <v>2554</v>
      </c>
      <c r="I1448" s="10" t="s">
        <v>22</v>
      </c>
    </row>
    <row r="1449" spans="1:9" hidden="1">
      <c r="A1449" t="s">
        <v>2555</v>
      </c>
      <c r="B1449" t="s">
        <v>3268</v>
      </c>
      <c r="C1449" t="s">
        <v>19</v>
      </c>
      <c r="D1449" s="2">
        <v>60000</v>
      </c>
      <c r="E1449">
        <f>VLOOKUP(I1449,Calc!$I$35:$J$39,2,FALSE)</f>
        <v>2.5</v>
      </c>
      <c r="F1449">
        <v>10</v>
      </c>
      <c r="G1449" s="10" t="s">
        <v>300</v>
      </c>
      <c r="H1449" s="10" t="s">
        <v>2556</v>
      </c>
      <c r="I1449" s="10" t="s">
        <v>36</v>
      </c>
    </row>
    <row r="1450" spans="1:9">
      <c r="A1450" t="s">
        <v>2557</v>
      </c>
      <c r="B1450" t="s">
        <v>3268</v>
      </c>
      <c r="C1450" t="s">
        <v>29</v>
      </c>
      <c r="D1450" s="2">
        <v>85000</v>
      </c>
      <c r="E1450">
        <f>VLOOKUP(I1450,Calc!$I$35:$J$39,2,FALSE)</f>
        <v>5</v>
      </c>
      <c r="F1450">
        <v>9</v>
      </c>
      <c r="G1450" s="10" t="s">
        <v>30</v>
      </c>
      <c r="H1450" s="10" t="s">
        <v>2558</v>
      </c>
      <c r="I1450" s="10" t="s">
        <v>14</v>
      </c>
    </row>
    <row r="1451" spans="1:9" hidden="1">
      <c r="A1451" t="s">
        <v>2559</v>
      </c>
      <c r="B1451" t="s">
        <v>3267</v>
      </c>
      <c r="C1451" t="s">
        <v>29</v>
      </c>
      <c r="D1451" s="2">
        <v>109000</v>
      </c>
      <c r="E1451">
        <f>VLOOKUP(I1451,Calc!$I$35:$J$39,2,FALSE)</f>
        <v>5</v>
      </c>
      <c r="F1451">
        <v>15</v>
      </c>
      <c r="G1451" s="10" t="s">
        <v>30</v>
      </c>
      <c r="H1451" s="10" t="s">
        <v>2560</v>
      </c>
      <c r="I1451" s="10" t="s">
        <v>14</v>
      </c>
    </row>
    <row r="1452" spans="1:9" hidden="1">
      <c r="A1452" t="s">
        <v>2561</v>
      </c>
      <c r="B1452" t="s">
        <v>3268</v>
      </c>
      <c r="C1452" t="s">
        <v>19</v>
      </c>
      <c r="D1452" s="2">
        <v>76223.966339496474</v>
      </c>
      <c r="E1452">
        <f>VLOOKUP(I1452,Calc!$I$35:$J$39,2,FALSE)</f>
        <v>8</v>
      </c>
      <c r="F1452">
        <v>14</v>
      </c>
      <c r="G1452" s="10" t="s">
        <v>1428</v>
      </c>
      <c r="H1452" s="10" t="s">
        <v>167</v>
      </c>
      <c r="I1452" s="10" t="s">
        <v>22</v>
      </c>
    </row>
    <row r="1453" spans="1:9" hidden="1">
      <c r="A1453" t="s">
        <v>2562</v>
      </c>
      <c r="B1453" t="s">
        <v>3266</v>
      </c>
      <c r="C1453" t="s">
        <v>29</v>
      </c>
      <c r="D1453" s="2">
        <v>77000</v>
      </c>
      <c r="E1453">
        <f>VLOOKUP(I1453,Calc!$I$35:$J$39,2,FALSE)</f>
        <v>2.5</v>
      </c>
      <c r="F1453">
        <v>13</v>
      </c>
      <c r="G1453" s="10" t="s">
        <v>30</v>
      </c>
      <c r="H1453" s="10" t="s">
        <v>2563</v>
      </c>
      <c r="I1453" s="10" t="s">
        <v>36</v>
      </c>
    </row>
    <row r="1454" spans="1:9" hidden="1">
      <c r="A1454" t="s">
        <v>2564</v>
      </c>
      <c r="B1454" t="s">
        <v>3268</v>
      </c>
      <c r="C1454" t="s">
        <v>11</v>
      </c>
      <c r="D1454" s="2">
        <v>25000</v>
      </c>
      <c r="E1454">
        <f>VLOOKUP(I1454,Calc!$I$35:$J$39,2,FALSE)</f>
        <v>8</v>
      </c>
      <c r="F1454">
        <v>4</v>
      </c>
      <c r="G1454" s="10" t="s">
        <v>12</v>
      </c>
      <c r="H1454" s="10" t="s">
        <v>331</v>
      </c>
      <c r="I1454" s="10" t="s">
        <v>22</v>
      </c>
    </row>
    <row r="1455" spans="1:9" hidden="1">
      <c r="A1455" t="s">
        <v>2565</v>
      </c>
      <c r="B1455" t="s">
        <v>3267</v>
      </c>
      <c r="C1455" t="s">
        <v>29</v>
      </c>
      <c r="D1455" s="2">
        <v>64000</v>
      </c>
      <c r="E1455">
        <f>VLOOKUP(I1455,Calc!$I$35:$J$39,2,FALSE)</f>
        <v>2.5</v>
      </c>
      <c r="F1455">
        <v>12</v>
      </c>
      <c r="G1455" s="10" t="s">
        <v>30</v>
      </c>
      <c r="H1455" s="10" t="s">
        <v>907</v>
      </c>
      <c r="I1455" s="10" t="s">
        <v>36</v>
      </c>
    </row>
    <row r="1456" spans="1:9" hidden="1">
      <c r="A1456" t="s">
        <v>2566</v>
      </c>
      <c r="B1456" t="s">
        <v>3266</v>
      </c>
      <c r="C1456" t="s">
        <v>19</v>
      </c>
      <c r="D1456" s="2">
        <v>231119.74856804207</v>
      </c>
      <c r="E1456">
        <f>VLOOKUP(I1456,Calc!$I$35:$J$39,2,FALSE)</f>
        <v>2.5</v>
      </c>
      <c r="F1456">
        <v>10</v>
      </c>
      <c r="G1456" s="10" t="s">
        <v>107</v>
      </c>
      <c r="H1456" s="10" t="s">
        <v>2567</v>
      </c>
      <c r="I1456" s="10" t="s">
        <v>36</v>
      </c>
    </row>
    <row r="1457" spans="1:9">
      <c r="A1457" t="s">
        <v>2568</v>
      </c>
      <c r="B1457" t="s">
        <v>3268</v>
      </c>
      <c r="C1457" t="s">
        <v>29</v>
      </c>
      <c r="D1457" s="2">
        <v>76000</v>
      </c>
      <c r="E1457">
        <f>VLOOKUP(I1457,Calc!$I$35:$J$39,2,FALSE)</f>
        <v>8</v>
      </c>
      <c r="F1457">
        <v>10</v>
      </c>
      <c r="G1457" s="10" t="s">
        <v>30</v>
      </c>
      <c r="H1457" s="10" t="s">
        <v>1116</v>
      </c>
      <c r="I1457" s="10" t="s">
        <v>22</v>
      </c>
    </row>
    <row r="1458" spans="1:9" hidden="1">
      <c r="A1458" t="s">
        <v>2569</v>
      </c>
      <c r="B1458" t="s">
        <v>3268</v>
      </c>
      <c r="C1458" t="s">
        <v>19</v>
      </c>
      <c r="D1458" s="2">
        <v>15761.782720672842</v>
      </c>
      <c r="E1458">
        <f>VLOOKUP(I1458,Calc!$I$35:$J$39,2,FALSE)</f>
        <v>2.5</v>
      </c>
      <c r="F1458">
        <v>8</v>
      </c>
      <c r="G1458" s="10" t="s">
        <v>107</v>
      </c>
      <c r="H1458" s="10" t="s">
        <v>10</v>
      </c>
      <c r="I1458" s="10" t="s">
        <v>36</v>
      </c>
    </row>
    <row r="1459" spans="1:9" hidden="1">
      <c r="A1459" t="s">
        <v>2570</v>
      </c>
      <c r="B1459" t="s">
        <v>3266</v>
      </c>
      <c r="C1459" t="s">
        <v>32</v>
      </c>
      <c r="D1459" s="2">
        <v>168285.09330643489</v>
      </c>
      <c r="E1459">
        <f>VLOOKUP(I1459,Calc!$I$35:$J$39,2,FALSE)</f>
        <v>2.5</v>
      </c>
      <c r="F1459">
        <v>17</v>
      </c>
      <c r="G1459" s="10" t="s">
        <v>123</v>
      </c>
      <c r="H1459" s="10" t="s">
        <v>38</v>
      </c>
      <c r="I1459" s="10" t="s">
        <v>36</v>
      </c>
    </row>
    <row r="1460" spans="1:9" hidden="1">
      <c r="A1460" t="s">
        <v>2571</v>
      </c>
      <c r="B1460" t="s">
        <v>3268</v>
      </c>
      <c r="C1460" t="s">
        <v>48</v>
      </c>
      <c r="D1460" s="2">
        <v>50000</v>
      </c>
      <c r="E1460">
        <f>VLOOKUP(I1460,Calc!$I$35:$J$39,2,FALSE)</f>
        <v>5</v>
      </c>
      <c r="F1460">
        <v>13</v>
      </c>
      <c r="G1460" s="10" t="s">
        <v>1840</v>
      </c>
      <c r="H1460" s="10" t="s">
        <v>447</v>
      </c>
      <c r="I1460" s="10" t="s">
        <v>14</v>
      </c>
    </row>
    <row r="1461" spans="1:9" hidden="1">
      <c r="A1461" t="s">
        <v>2572</v>
      </c>
      <c r="B1461" t="s">
        <v>3263</v>
      </c>
      <c r="C1461" t="s">
        <v>3248</v>
      </c>
      <c r="D1461" s="2">
        <v>7200</v>
      </c>
      <c r="E1461">
        <f>VLOOKUP(I1461,Calc!$I$35:$J$39,2,FALSE)</f>
        <v>5</v>
      </c>
      <c r="F1461">
        <v>8</v>
      </c>
      <c r="G1461" s="10" t="s">
        <v>280</v>
      </c>
      <c r="H1461" s="10" t="s">
        <v>2573</v>
      </c>
      <c r="I1461" s="10" t="s">
        <v>14</v>
      </c>
    </row>
    <row r="1462" spans="1:9" hidden="1">
      <c r="A1462" t="s">
        <v>2574</v>
      </c>
      <c r="B1462" t="s">
        <v>3264</v>
      </c>
      <c r="C1462" t="s">
        <v>19</v>
      </c>
      <c r="D1462" s="2">
        <v>53356.776437647524</v>
      </c>
      <c r="E1462">
        <f>VLOOKUP(I1462,Calc!$I$35:$J$39,2,FALSE)</f>
        <v>8</v>
      </c>
      <c r="F1462">
        <v>7</v>
      </c>
      <c r="G1462" s="10" t="s">
        <v>45</v>
      </c>
      <c r="H1462" s="10" t="s">
        <v>2575</v>
      </c>
      <c r="I1462" s="10" t="s">
        <v>22</v>
      </c>
    </row>
    <row r="1463" spans="1:9" hidden="1">
      <c r="A1463" t="s">
        <v>2576</v>
      </c>
      <c r="B1463" t="s">
        <v>3265</v>
      </c>
      <c r="C1463" t="s">
        <v>29</v>
      </c>
      <c r="D1463" s="2">
        <v>45000</v>
      </c>
      <c r="E1463">
        <f>VLOOKUP(I1463,Calc!$I$35:$J$39,2,FALSE)</f>
        <v>2.5</v>
      </c>
      <c r="F1463">
        <v>10</v>
      </c>
      <c r="G1463" s="10" t="s">
        <v>30</v>
      </c>
      <c r="H1463" s="10" t="s">
        <v>1800</v>
      </c>
      <c r="I1463" s="10" t="s">
        <v>36</v>
      </c>
    </row>
    <row r="1464" spans="1:9" hidden="1">
      <c r="A1464" t="s">
        <v>2577</v>
      </c>
      <c r="B1464" t="s">
        <v>3267</v>
      </c>
      <c r="C1464" t="s">
        <v>11</v>
      </c>
      <c r="D1464" s="2">
        <v>5000</v>
      </c>
      <c r="E1464">
        <f>VLOOKUP(I1464,Calc!$I$35:$J$39,2,FALSE)</f>
        <v>8</v>
      </c>
      <c r="F1464">
        <v>4</v>
      </c>
      <c r="G1464" s="10" t="s">
        <v>12</v>
      </c>
      <c r="H1464" s="10" t="s">
        <v>2578</v>
      </c>
      <c r="I1464" s="10" t="s">
        <v>22</v>
      </c>
    </row>
    <row r="1465" spans="1:9" hidden="1">
      <c r="A1465" t="s">
        <v>2579</v>
      </c>
      <c r="B1465" t="s">
        <v>3268</v>
      </c>
      <c r="C1465" t="s">
        <v>32</v>
      </c>
      <c r="D1465" s="2">
        <v>75473.31457379504</v>
      </c>
      <c r="E1465">
        <f>VLOOKUP(I1465,Calc!$I$35:$J$39,2,FALSE)</f>
        <v>8</v>
      </c>
      <c r="F1465">
        <v>20</v>
      </c>
      <c r="G1465" s="10" t="s">
        <v>123</v>
      </c>
      <c r="H1465" s="10" t="s">
        <v>2580</v>
      </c>
      <c r="I1465" s="10" t="s">
        <v>22</v>
      </c>
    </row>
    <row r="1466" spans="1:9" hidden="1">
      <c r="A1466" t="s">
        <v>2581</v>
      </c>
      <c r="B1466" t="s">
        <v>3267</v>
      </c>
      <c r="C1466" t="s">
        <v>19</v>
      </c>
      <c r="D1466" s="2">
        <v>15000</v>
      </c>
      <c r="E1466">
        <f>VLOOKUP(I1466,Calc!$I$35:$J$39,2,FALSE)</f>
        <v>2.5</v>
      </c>
      <c r="F1466">
        <v>5</v>
      </c>
      <c r="G1466" s="10" t="s">
        <v>805</v>
      </c>
      <c r="H1466" s="10" t="s">
        <v>44</v>
      </c>
      <c r="I1466" s="10" t="s">
        <v>36</v>
      </c>
    </row>
    <row r="1467" spans="1:9" hidden="1">
      <c r="A1467" t="s">
        <v>2582</v>
      </c>
      <c r="B1467" t="s">
        <v>3263</v>
      </c>
      <c r="C1467" t="s">
        <v>19</v>
      </c>
      <c r="D1467" s="2">
        <v>42558.381206218859</v>
      </c>
      <c r="E1467">
        <f>VLOOKUP(I1467,Calc!$I$35:$J$39,2,FALSE)</f>
        <v>8</v>
      </c>
      <c r="F1467">
        <v>8</v>
      </c>
      <c r="G1467" s="10" t="s">
        <v>45</v>
      </c>
      <c r="H1467" s="10" t="s">
        <v>2583</v>
      </c>
      <c r="I1467" s="10" t="s">
        <v>22</v>
      </c>
    </row>
    <row r="1468" spans="1:9">
      <c r="A1468" t="s">
        <v>2584</v>
      </c>
      <c r="B1468" t="s">
        <v>3268</v>
      </c>
      <c r="C1468" t="s">
        <v>29</v>
      </c>
      <c r="D1468" s="2">
        <v>61000</v>
      </c>
      <c r="E1468">
        <f>VLOOKUP(I1468,Calc!$I$35:$J$39,2,FALSE)</f>
        <v>5</v>
      </c>
      <c r="F1468">
        <v>5</v>
      </c>
      <c r="G1468" s="10" t="s">
        <v>30</v>
      </c>
      <c r="H1468" s="10" t="s">
        <v>31</v>
      </c>
      <c r="I1468" s="10" t="s">
        <v>14</v>
      </c>
    </row>
    <row r="1469" spans="1:9">
      <c r="A1469" t="s">
        <v>2585</v>
      </c>
      <c r="B1469" t="s">
        <v>3268</v>
      </c>
      <c r="C1469" t="s">
        <v>29</v>
      </c>
      <c r="D1469" s="2">
        <v>66000</v>
      </c>
      <c r="E1469">
        <f>VLOOKUP(I1469,Calc!$I$35:$J$39,2,FALSE)</f>
        <v>5</v>
      </c>
      <c r="F1469">
        <v>2</v>
      </c>
      <c r="G1469" s="10" t="s">
        <v>30</v>
      </c>
      <c r="H1469" s="10" t="s">
        <v>2586</v>
      </c>
      <c r="I1469" s="10" t="s">
        <v>14</v>
      </c>
    </row>
    <row r="1470" spans="1:9" hidden="1">
      <c r="A1470" t="s">
        <v>2587</v>
      </c>
      <c r="B1470" t="s">
        <v>77</v>
      </c>
      <c r="C1470" t="s">
        <v>11</v>
      </c>
      <c r="D1470" s="2">
        <v>4950.6008391090336</v>
      </c>
      <c r="E1470">
        <f>VLOOKUP(I1470,Calc!$I$35:$J$39,2,FALSE)</f>
        <v>8</v>
      </c>
      <c r="F1470">
        <v>8</v>
      </c>
      <c r="G1470" s="10" t="s">
        <v>12</v>
      </c>
      <c r="H1470" s="10" t="s">
        <v>1167</v>
      </c>
      <c r="I1470" s="10" t="s">
        <v>22</v>
      </c>
    </row>
    <row r="1471" spans="1:9" hidden="1">
      <c r="A1471" t="s">
        <v>2588</v>
      </c>
      <c r="B1471" t="s">
        <v>3267</v>
      </c>
      <c r="C1471" t="s">
        <v>29</v>
      </c>
      <c r="D1471" s="2">
        <v>55000</v>
      </c>
      <c r="E1471">
        <f>VLOOKUP(I1471,Calc!$I$35:$J$39,2,FALSE)</f>
        <v>2.5</v>
      </c>
      <c r="F1471">
        <v>14</v>
      </c>
      <c r="G1471" s="10" t="s">
        <v>30</v>
      </c>
      <c r="H1471" s="10" t="s">
        <v>2589</v>
      </c>
      <c r="I1471" s="10" t="s">
        <v>36</v>
      </c>
    </row>
    <row r="1472" spans="1:9" hidden="1">
      <c r="A1472" t="s">
        <v>2590</v>
      </c>
      <c r="B1472" t="s">
        <v>77</v>
      </c>
      <c r="C1472" t="s">
        <v>29</v>
      </c>
      <c r="D1472" s="2">
        <v>32000</v>
      </c>
      <c r="E1472">
        <f>VLOOKUP(I1472,Calc!$I$35:$J$39,2,FALSE)</f>
        <v>5</v>
      </c>
      <c r="F1472">
        <v>10</v>
      </c>
      <c r="G1472" s="10" t="s">
        <v>30</v>
      </c>
      <c r="H1472" s="10" t="s">
        <v>2591</v>
      </c>
      <c r="I1472" s="10" t="s">
        <v>14</v>
      </c>
    </row>
    <row r="1473" spans="1:9" hidden="1">
      <c r="A1473" t="s">
        <v>2592</v>
      </c>
      <c r="B1473" t="s">
        <v>3268</v>
      </c>
      <c r="C1473" t="s">
        <v>11</v>
      </c>
      <c r="D1473" s="2">
        <v>18000</v>
      </c>
      <c r="E1473">
        <f>VLOOKUP(I1473,Calc!$I$35:$J$39,2,FALSE)</f>
        <v>8</v>
      </c>
      <c r="F1473">
        <v>6</v>
      </c>
      <c r="G1473" s="10" t="s">
        <v>12</v>
      </c>
      <c r="H1473" s="10" t="s">
        <v>2593</v>
      </c>
      <c r="I1473" s="10" t="s">
        <v>22</v>
      </c>
    </row>
    <row r="1474" spans="1:9" hidden="1">
      <c r="A1474" t="s">
        <v>2594</v>
      </c>
      <c r="B1474" t="s">
        <v>3268</v>
      </c>
      <c r="C1474" t="s">
        <v>11</v>
      </c>
      <c r="D1474" s="2">
        <v>11575.14584683767</v>
      </c>
      <c r="E1474">
        <f>VLOOKUP(I1474,Calc!$I$35:$J$39,2,FALSE)</f>
        <v>5</v>
      </c>
      <c r="F1474">
        <v>21</v>
      </c>
      <c r="G1474" s="10" t="s">
        <v>12</v>
      </c>
      <c r="H1474" s="10" t="s">
        <v>2595</v>
      </c>
      <c r="I1474" s="10" t="s">
        <v>14</v>
      </c>
    </row>
    <row r="1475" spans="1:9" hidden="1">
      <c r="A1475" t="s">
        <v>2596</v>
      </c>
      <c r="B1475" t="s">
        <v>3269</v>
      </c>
      <c r="C1475" t="s">
        <v>19</v>
      </c>
      <c r="D1475" s="2">
        <v>63519.971949580387</v>
      </c>
      <c r="E1475">
        <f>VLOOKUP(I1475,Calc!$I$35:$J$39,2,FALSE)</f>
        <v>8</v>
      </c>
      <c r="F1475">
        <v>15</v>
      </c>
      <c r="G1475" s="10" t="s">
        <v>1428</v>
      </c>
      <c r="H1475" s="10" t="s">
        <v>1483</v>
      </c>
      <c r="I1475" s="10" t="s">
        <v>22</v>
      </c>
    </row>
    <row r="1476" spans="1:9" hidden="1">
      <c r="A1476" t="s">
        <v>2597</v>
      </c>
      <c r="B1476" t="s">
        <v>3265</v>
      </c>
      <c r="C1476" t="s">
        <v>11</v>
      </c>
      <c r="D1476" s="2">
        <v>71231.666749770273</v>
      </c>
      <c r="E1476">
        <f>VLOOKUP(I1476,Calc!$I$35:$J$39,2,FALSE)</f>
        <v>8</v>
      </c>
      <c r="F1476">
        <v>5</v>
      </c>
      <c r="G1476" s="10" t="s">
        <v>12</v>
      </c>
      <c r="H1476" s="10" t="s">
        <v>2598</v>
      </c>
      <c r="I1476" s="10" t="s">
        <v>22</v>
      </c>
    </row>
    <row r="1477" spans="1:9" hidden="1">
      <c r="A1477" t="s">
        <v>2599</v>
      </c>
      <c r="B1477" t="s">
        <v>3268</v>
      </c>
      <c r="C1477" t="s">
        <v>3248</v>
      </c>
      <c r="D1477" s="2">
        <v>10000</v>
      </c>
      <c r="E1477">
        <f>VLOOKUP(I1477,Calc!$I$35:$J$39,2,FALSE)</f>
        <v>5</v>
      </c>
      <c r="F1477">
        <v>1</v>
      </c>
      <c r="G1477" s="10" t="s">
        <v>216</v>
      </c>
      <c r="H1477" s="10" t="s">
        <v>2600</v>
      </c>
      <c r="I1477" s="10" t="s">
        <v>14</v>
      </c>
    </row>
    <row r="1478" spans="1:9">
      <c r="A1478" t="s">
        <v>2601</v>
      </c>
      <c r="B1478" t="s">
        <v>3268</v>
      </c>
      <c r="C1478" t="s">
        <v>29</v>
      </c>
      <c r="D1478" s="2">
        <v>74300</v>
      </c>
      <c r="E1478">
        <f>VLOOKUP(I1478,Calc!$I$35:$J$39,2,FALSE)</f>
        <v>5</v>
      </c>
      <c r="F1478">
        <v>3</v>
      </c>
      <c r="G1478" s="10" t="s">
        <v>30</v>
      </c>
      <c r="H1478" s="10" t="s">
        <v>2602</v>
      </c>
      <c r="I1478" s="10" t="s">
        <v>14</v>
      </c>
    </row>
    <row r="1479" spans="1:9" hidden="1">
      <c r="A1479" t="s">
        <v>2603</v>
      </c>
      <c r="B1479" t="s">
        <v>3264</v>
      </c>
      <c r="C1479" t="s">
        <v>11</v>
      </c>
      <c r="D1479" s="2">
        <v>26711.875031163851</v>
      </c>
      <c r="E1479">
        <f>VLOOKUP(I1479,Calc!$I$35:$J$39,2,FALSE)</f>
        <v>5</v>
      </c>
      <c r="F1479">
        <v>10</v>
      </c>
      <c r="G1479" s="10" t="s">
        <v>12</v>
      </c>
      <c r="H1479" s="10" t="s">
        <v>2604</v>
      </c>
      <c r="I1479" s="10" t="s">
        <v>14</v>
      </c>
    </row>
    <row r="1480" spans="1:9" hidden="1">
      <c r="A1480" t="s">
        <v>2605</v>
      </c>
      <c r="B1480" t="s">
        <v>3267</v>
      </c>
      <c r="C1480" t="s">
        <v>11</v>
      </c>
      <c r="D1480" s="2">
        <v>9545.0433444692171</v>
      </c>
      <c r="E1480">
        <f>VLOOKUP(I1480,Calc!$I$35:$J$39,2,FALSE)</f>
        <v>5</v>
      </c>
      <c r="F1480">
        <v>4</v>
      </c>
      <c r="G1480" s="10" t="s">
        <v>12</v>
      </c>
      <c r="H1480" s="10" t="s">
        <v>137</v>
      </c>
      <c r="I1480" s="10" t="s">
        <v>14</v>
      </c>
    </row>
    <row r="1481" spans="1:9">
      <c r="A1481" t="s">
        <v>2606</v>
      </c>
      <c r="B1481" t="s">
        <v>3268</v>
      </c>
      <c r="C1481" t="s">
        <v>29</v>
      </c>
      <c r="D1481" s="2">
        <v>95000</v>
      </c>
      <c r="E1481">
        <f>VLOOKUP(I1481,Calc!$I$35:$J$39,2,FALSE)</f>
        <v>5</v>
      </c>
      <c r="F1481">
        <v>15</v>
      </c>
      <c r="G1481" s="10" t="s">
        <v>30</v>
      </c>
      <c r="H1481" s="10" t="s">
        <v>427</v>
      </c>
      <c r="I1481" s="10" t="s">
        <v>14</v>
      </c>
    </row>
    <row r="1482" spans="1:9" hidden="1">
      <c r="A1482" t="s">
        <v>2607</v>
      </c>
      <c r="B1482" t="s">
        <v>3269</v>
      </c>
      <c r="C1482" t="s">
        <v>29</v>
      </c>
      <c r="D1482" s="2">
        <v>64300</v>
      </c>
      <c r="E1482">
        <f>VLOOKUP(I1482,Calc!$I$35:$J$39,2,FALSE)</f>
        <v>5</v>
      </c>
      <c r="F1482">
        <v>15</v>
      </c>
      <c r="G1482" s="10" t="s">
        <v>30</v>
      </c>
      <c r="H1482" s="10" t="s">
        <v>2608</v>
      </c>
      <c r="I1482" s="10" t="s">
        <v>14</v>
      </c>
    </row>
    <row r="1483" spans="1:9" hidden="1">
      <c r="A1483" t="s">
        <v>2609</v>
      </c>
      <c r="B1483" t="s">
        <v>3264</v>
      </c>
      <c r="C1483" t="s">
        <v>29</v>
      </c>
      <c r="D1483" s="2">
        <v>250000</v>
      </c>
      <c r="E1483">
        <f>VLOOKUP(I1483,Calc!$I$35:$J$39,2,FALSE)</f>
        <v>8</v>
      </c>
      <c r="F1483">
        <v>20</v>
      </c>
      <c r="G1483" s="10" t="s">
        <v>30</v>
      </c>
      <c r="H1483" s="10" t="s">
        <v>124</v>
      </c>
      <c r="I1483" s="10" t="s">
        <v>22</v>
      </c>
    </row>
    <row r="1484" spans="1:9" hidden="1">
      <c r="A1484" t="s">
        <v>2610</v>
      </c>
      <c r="B1484" t="s">
        <v>3267</v>
      </c>
      <c r="C1484" t="s">
        <v>29</v>
      </c>
      <c r="D1484" s="2">
        <v>89000</v>
      </c>
      <c r="E1484">
        <f>VLOOKUP(I1484,Calc!$I$35:$J$39,2,FALSE)</f>
        <v>2.5</v>
      </c>
      <c r="F1484">
        <v>10</v>
      </c>
      <c r="G1484" s="10" t="s">
        <v>30</v>
      </c>
      <c r="H1484" s="10" t="s">
        <v>1031</v>
      </c>
      <c r="I1484" s="10" t="s">
        <v>36</v>
      </c>
    </row>
    <row r="1485" spans="1:9">
      <c r="A1485" t="s">
        <v>2611</v>
      </c>
      <c r="B1485" t="s">
        <v>3268</v>
      </c>
      <c r="C1485" t="s">
        <v>29</v>
      </c>
      <c r="D1485" s="2">
        <v>75000</v>
      </c>
      <c r="E1485">
        <f>VLOOKUP(I1485,Calc!$I$35:$J$39,2,FALSE)</f>
        <v>8</v>
      </c>
      <c r="F1485">
        <v>1.5</v>
      </c>
      <c r="G1485" s="10" t="s">
        <v>30</v>
      </c>
      <c r="H1485" s="10" t="s">
        <v>31</v>
      </c>
      <c r="I1485" s="10" t="s">
        <v>22</v>
      </c>
    </row>
    <row r="1486" spans="1:9">
      <c r="A1486" t="s">
        <v>2612</v>
      </c>
      <c r="B1486" t="s">
        <v>3268</v>
      </c>
      <c r="C1486" t="s">
        <v>29</v>
      </c>
      <c r="D1486" s="2">
        <v>45000</v>
      </c>
      <c r="E1486">
        <f>VLOOKUP(I1486,Calc!$I$35:$J$39,2,FALSE)</f>
        <v>8</v>
      </c>
      <c r="F1486">
        <v>5</v>
      </c>
      <c r="G1486" s="10" t="s">
        <v>30</v>
      </c>
      <c r="H1486" s="10" t="s">
        <v>2613</v>
      </c>
      <c r="I1486" s="10" t="s">
        <v>22</v>
      </c>
    </row>
    <row r="1487" spans="1:9" hidden="1">
      <c r="A1487" t="s">
        <v>2614</v>
      </c>
      <c r="B1487" t="s">
        <v>3249</v>
      </c>
      <c r="C1487" t="s">
        <v>29</v>
      </c>
      <c r="D1487" s="2">
        <v>127500</v>
      </c>
      <c r="E1487">
        <f>VLOOKUP(I1487,Calc!$I$35:$J$39,2,FALSE)</f>
        <v>8</v>
      </c>
      <c r="F1487">
        <v>22</v>
      </c>
      <c r="G1487" s="10" t="s">
        <v>30</v>
      </c>
      <c r="H1487" s="10" t="s">
        <v>2615</v>
      </c>
      <c r="I1487" s="10" t="s">
        <v>22</v>
      </c>
    </row>
    <row r="1488" spans="1:9" hidden="1">
      <c r="A1488" t="s">
        <v>2616</v>
      </c>
      <c r="B1488" t="s">
        <v>3249</v>
      </c>
      <c r="C1488" t="s">
        <v>29</v>
      </c>
      <c r="D1488" s="2">
        <v>170000</v>
      </c>
      <c r="E1488">
        <f>VLOOKUP(I1488,Calc!$I$35:$J$39,2,FALSE)</f>
        <v>2.5</v>
      </c>
      <c r="F1488">
        <v>18</v>
      </c>
      <c r="G1488" s="10" t="s">
        <v>30</v>
      </c>
      <c r="H1488" s="10" t="s">
        <v>54</v>
      </c>
      <c r="I1488" s="10" t="s">
        <v>36</v>
      </c>
    </row>
    <row r="1489" spans="1:9" hidden="1">
      <c r="A1489" t="s">
        <v>2617</v>
      </c>
      <c r="B1489" t="s">
        <v>3268</v>
      </c>
      <c r="C1489" t="s">
        <v>3248</v>
      </c>
      <c r="D1489" s="2">
        <v>9600</v>
      </c>
      <c r="E1489">
        <f>VLOOKUP(I1489,Calc!$I$35:$J$39,2,FALSE)</f>
        <v>8</v>
      </c>
      <c r="F1489">
        <v>2</v>
      </c>
      <c r="G1489" s="10" t="s">
        <v>2618</v>
      </c>
      <c r="H1489" s="10" t="s">
        <v>1370</v>
      </c>
      <c r="I1489" s="10" t="s">
        <v>22</v>
      </c>
    </row>
    <row r="1490" spans="1:9">
      <c r="A1490" t="s">
        <v>2619</v>
      </c>
      <c r="B1490" t="s">
        <v>3268</v>
      </c>
      <c r="C1490" t="s">
        <v>29</v>
      </c>
      <c r="D1490" s="2">
        <v>62000</v>
      </c>
      <c r="E1490">
        <f>VLOOKUP(I1490,Calc!$I$35:$J$39,2,FALSE)</f>
        <v>8</v>
      </c>
      <c r="F1490">
        <v>27</v>
      </c>
      <c r="G1490" s="10" t="s">
        <v>30</v>
      </c>
      <c r="H1490" s="10" t="s">
        <v>2620</v>
      </c>
      <c r="I1490" s="10" t="s">
        <v>22</v>
      </c>
    </row>
    <row r="1491" spans="1:9" hidden="1">
      <c r="A1491" t="s">
        <v>2621</v>
      </c>
      <c r="B1491" t="s">
        <v>3267</v>
      </c>
      <c r="C1491" t="s">
        <v>29</v>
      </c>
      <c r="D1491" s="2">
        <v>22000</v>
      </c>
      <c r="E1491">
        <f>VLOOKUP(I1491,Calc!$I$35:$J$39,2,FALSE)</f>
        <v>5</v>
      </c>
      <c r="F1491">
        <v>3</v>
      </c>
      <c r="G1491" s="10" t="s">
        <v>30</v>
      </c>
      <c r="H1491" s="10" t="s">
        <v>2622</v>
      </c>
      <c r="I1491" s="10" t="s">
        <v>14</v>
      </c>
    </row>
    <row r="1492" spans="1:9">
      <c r="A1492" t="s">
        <v>2623</v>
      </c>
      <c r="B1492" t="s">
        <v>3268</v>
      </c>
      <c r="C1492" t="s">
        <v>29</v>
      </c>
      <c r="D1492" s="2">
        <v>45000</v>
      </c>
      <c r="E1492">
        <f>VLOOKUP(I1492,Calc!$I$35:$J$39,2,FALSE)</f>
        <v>5</v>
      </c>
      <c r="F1492">
        <v>8</v>
      </c>
      <c r="G1492" s="10" t="s">
        <v>30</v>
      </c>
      <c r="H1492" s="10" t="s">
        <v>320</v>
      </c>
      <c r="I1492" s="10" t="s">
        <v>14</v>
      </c>
    </row>
    <row r="1493" spans="1:9">
      <c r="A1493" t="s">
        <v>2624</v>
      </c>
      <c r="B1493" t="s">
        <v>3268</v>
      </c>
      <c r="C1493" t="s">
        <v>29</v>
      </c>
      <c r="D1493" s="2">
        <v>145000</v>
      </c>
      <c r="E1493">
        <f>VLOOKUP(I1493,Calc!$I$35:$J$39,2,FALSE)</f>
        <v>5</v>
      </c>
      <c r="F1493">
        <v>6</v>
      </c>
      <c r="G1493" s="10" t="s">
        <v>30</v>
      </c>
      <c r="H1493" s="10" t="s">
        <v>989</v>
      </c>
      <c r="I1493" s="10" t="s">
        <v>14</v>
      </c>
    </row>
    <row r="1494" spans="1:9">
      <c r="A1494" t="s">
        <v>2625</v>
      </c>
      <c r="B1494" t="s">
        <v>3268</v>
      </c>
      <c r="C1494" t="s">
        <v>29</v>
      </c>
      <c r="D1494" s="2">
        <v>89000</v>
      </c>
      <c r="E1494">
        <f>VLOOKUP(I1494,Calc!$I$35:$J$39,2,FALSE)</f>
        <v>8</v>
      </c>
      <c r="F1494">
        <v>14</v>
      </c>
      <c r="G1494" s="10" t="s">
        <v>30</v>
      </c>
      <c r="H1494" s="10" t="s">
        <v>2023</v>
      </c>
      <c r="I1494" s="10" t="s">
        <v>22</v>
      </c>
    </row>
    <row r="1495" spans="1:9" hidden="1">
      <c r="A1495" t="s">
        <v>2626</v>
      </c>
      <c r="B1495" t="s">
        <v>3269</v>
      </c>
      <c r="C1495" t="s">
        <v>29</v>
      </c>
      <c r="D1495" s="2">
        <v>38000</v>
      </c>
      <c r="E1495">
        <f>VLOOKUP(I1495,Calc!$I$35:$J$39,2,FALSE)</f>
        <v>5</v>
      </c>
      <c r="F1495">
        <v>11</v>
      </c>
      <c r="G1495" s="10" t="s">
        <v>30</v>
      </c>
      <c r="H1495" s="10" t="s">
        <v>56</v>
      </c>
      <c r="I1495" s="10" t="s">
        <v>14</v>
      </c>
    </row>
    <row r="1496" spans="1:9">
      <c r="A1496" t="s">
        <v>2627</v>
      </c>
      <c r="B1496" t="s">
        <v>3268</v>
      </c>
      <c r="C1496" t="s">
        <v>29</v>
      </c>
      <c r="D1496" s="2">
        <v>49168.076151516347</v>
      </c>
      <c r="E1496">
        <f>VLOOKUP(I1496,Calc!$I$35:$J$39,2,FALSE)</f>
        <v>5</v>
      </c>
      <c r="F1496">
        <v>3</v>
      </c>
      <c r="G1496" s="10" t="s">
        <v>128</v>
      </c>
      <c r="H1496" s="10" t="s">
        <v>320</v>
      </c>
      <c r="I1496" s="10" t="s">
        <v>14</v>
      </c>
    </row>
    <row r="1497" spans="1:9" hidden="1">
      <c r="A1497" t="s">
        <v>2628</v>
      </c>
      <c r="B1497" t="s">
        <v>3268</v>
      </c>
      <c r="C1497" t="s">
        <v>11</v>
      </c>
      <c r="D1497" s="2">
        <v>8903.9583437212841</v>
      </c>
      <c r="E1497">
        <f>VLOOKUP(I1497,Calc!$I$35:$J$39,2,FALSE)</f>
        <v>5</v>
      </c>
      <c r="F1497">
        <v>8</v>
      </c>
      <c r="G1497" s="10" t="s">
        <v>12</v>
      </c>
      <c r="H1497" s="10" t="s">
        <v>1964</v>
      </c>
      <c r="I1497" s="10" t="s">
        <v>14</v>
      </c>
    </row>
    <row r="1498" spans="1:9" hidden="1">
      <c r="A1498" t="s">
        <v>2629</v>
      </c>
      <c r="B1498" t="s">
        <v>3267</v>
      </c>
      <c r="C1498" t="s">
        <v>11</v>
      </c>
      <c r="D1498" s="2">
        <v>10000</v>
      </c>
      <c r="E1498">
        <f>VLOOKUP(I1498,Calc!$I$35:$J$39,2,FALSE)</f>
        <v>2.5</v>
      </c>
      <c r="F1498">
        <v>8</v>
      </c>
      <c r="G1498" s="10" t="s">
        <v>1614</v>
      </c>
      <c r="H1498" s="10" t="s">
        <v>2630</v>
      </c>
      <c r="I1498" s="10" t="s">
        <v>36</v>
      </c>
    </row>
    <row r="1499" spans="1:9" hidden="1">
      <c r="A1499" t="s">
        <v>2631</v>
      </c>
      <c r="B1499" t="s">
        <v>3267</v>
      </c>
      <c r="C1499" t="s">
        <v>29</v>
      </c>
      <c r="D1499" s="2">
        <v>105000</v>
      </c>
      <c r="E1499">
        <f>VLOOKUP(I1499,Calc!$I$35:$J$39,2,FALSE)</f>
        <v>1.5</v>
      </c>
      <c r="F1499">
        <v>30</v>
      </c>
      <c r="G1499" s="10" t="s">
        <v>30</v>
      </c>
      <c r="H1499" s="10" t="s">
        <v>2632</v>
      </c>
      <c r="I1499" s="10" t="s">
        <v>47</v>
      </c>
    </row>
    <row r="1500" spans="1:9" hidden="1">
      <c r="A1500" t="s">
        <v>2633</v>
      </c>
      <c r="B1500" t="s">
        <v>3268</v>
      </c>
      <c r="C1500" t="s">
        <v>11</v>
      </c>
      <c r="D1500" s="2">
        <v>12000</v>
      </c>
      <c r="E1500">
        <f>VLOOKUP(I1500,Calc!$I$35:$J$39,2,FALSE)</f>
        <v>2.5</v>
      </c>
      <c r="F1500">
        <v>0</v>
      </c>
      <c r="G1500" s="10" t="s">
        <v>2634</v>
      </c>
      <c r="H1500" s="10" t="s">
        <v>2635</v>
      </c>
      <c r="I1500" s="10" t="s">
        <v>36</v>
      </c>
    </row>
    <row r="1501" spans="1:9" hidden="1">
      <c r="A1501" t="s">
        <v>2636</v>
      </c>
      <c r="B1501" t="s">
        <v>3269</v>
      </c>
      <c r="C1501" t="s">
        <v>11</v>
      </c>
      <c r="D1501" s="2">
        <v>3561.5833374885137</v>
      </c>
      <c r="E1501">
        <f>VLOOKUP(I1501,Calc!$I$35:$J$39,2,FALSE)</f>
        <v>8</v>
      </c>
      <c r="F1501">
        <v>3</v>
      </c>
      <c r="G1501" s="10" t="s">
        <v>12</v>
      </c>
      <c r="H1501" s="10" t="s">
        <v>2637</v>
      </c>
      <c r="I1501" s="10" t="s">
        <v>22</v>
      </c>
    </row>
    <row r="1502" spans="1:9" hidden="1">
      <c r="A1502" t="s">
        <v>2638</v>
      </c>
      <c r="B1502" t="s">
        <v>3268</v>
      </c>
      <c r="C1502" t="s">
        <v>32</v>
      </c>
      <c r="D1502" s="2">
        <v>86692.320794224041</v>
      </c>
      <c r="E1502">
        <f>VLOOKUP(I1502,Calc!$I$35:$J$39,2,FALSE)</f>
        <v>1.5</v>
      </c>
      <c r="F1502">
        <v>5</v>
      </c>
      <c r="G1502" s="10" t="s">
        <v>123</v>
      </c>
      <c r="H1502" s="10" t="s">
        <v>2639</v>
      </c>
      <c r="I1502" s="10" t="s">
        <v>47</v>
      </c>
    </row>
    <row r="1503" spans="1:9" hidden="1">
      <c r="A1503" t="s">
        <v>2640</v>
      </c>
      <c r="B1503" t="s">
        <v>3249</v>
      </c>
      <c r="C1503" t="s">
        <v>11</v>
      </c>
      <c r="D1503" s="2">
        <v>8000</v>
      </c>
      <c r="E1503">
        <f>VLOOKUP(I1503,Calc!$I$35:$J$39,2,FALSE)</f>
        <v>5</v>
      </c>
      <c r="F1503">
        <v>18</v>
      </c>
      <c r="G1503" s="10" t="s">
        <v>12</v>
      </c>
      <c r="H1503" s="10" t="s">
        <v>743</v>
      </c>
      <c r="I1503" s="10" t="s">
        <v>14</v>
      </c>
    </row>
    <row r="1504" spans="1:9" hidden="1">
      <c r="A1504" t="s">
        <v>2641</v>
      </c>
      <c r="B1504" t="s">
        <v>3268</v>
      </c>
      <c r="C1504" t="s">
        <v>11</v>
      </c>
      <c r="D1504" s="2">
        <v>6767.0083412281756</v>
      </c>
      <c r="E1504">
        <f>VLOOKUP(I1504,Calc!$I$35:$J$39,2,FALSE)</f>
        <v>2.5</v>
      </c>
      <c r="F1504">
        <v>6</v>
      </c>
      <c r="G1504" s="10" t="s">
        <v>12</v>
      </c>
      <c r="H1504" s="10" t="s">
        <v>2642</v>
      </c>
      <c r="I1504" s="10" t="s">
        <v>36</v>
      </c>
    </row>
    <row r="1505" spans="1:9" hidden="1">
      <c r="A1505" t="s">
        <v>2643</v>
      </c>
      <c r="B1505" t="s">
        <v>3264</v>
      </c>
      <c r="C1505" t="s">
        <v>19</v>
      </c>
      <c r="D1505" s="2">
        <v>48073.437298052166</v>
      </c>
      <c r="E1505">
        <f>VLOOKUP(I1505,Calc!$I$35:$J$39,2,FALSE)</f>
        <v>5</v>
      </c>
      <c r="F1505">
        <v>14</v>
      </c>
      <c r="G1505" s="10" t="s">
        <v>107</v>
      </c>
      <c r="H1505" s="10" t="s">
        <v>2644</v>
      </c>
      <c r="I1505" s="10" t="s">
        <v>14</v>
      </c>
    </row>
    <row r="1506" spans="1:9" hidden="1">
      <c r="A1506" t="s">
        <v>2645</v>
      </c>
      <c r="B1506" t="s">
        <v>3267</v>
      </c>
      <c r="C1506" t="s">
        <v>19</v>
      </c>
      <c r="D1506" s="2">
        <v>76223.966339496474</v>
      </c>
      <c r="E1506">
        <f>VLOOKUP(I1506,Calc!$I$35:$J$39,2,FALSE)</f>
        <v>2.5</v>
      </c>
      <c r="F1506">
        <v>15</v>
      </c>
      <c r="G1506" s="10" t="s">
        <v>143</v>
      </c>
      <c r="H1506" s="10" t="s">
        <v>2646</v>
      </c>
      <c r="I1506" s="10" t="s">
        <v>36</v>
      </c>
    </row>
    <row r="1507" spans="1:9" hidden="1">
      <c r="A1507" t="s">
        <v>2647</v>
      </c>
      <c r="B1507" t="s">
        <v>3267</v>
      </c>
      <c r="C1507" t="s">
        <v>48</v>
      </c>
      <c r="D1507" s="2">
        <v>85333.333333333328</v>
      </c>
      <c r="E1507">
        <f>VLOOKUP(I1507,Calc!$I$35:$J$39,2,FALSE)</f>
        <v>2.5</v>
      </c>
      <c r="F1507">
        <v>15</v>
      </c>
      <c r="G1507" s="10" t="s">
        <v>201</v>
      </c>
      <c r="H1507" s="10" t="s">
        <v>2648</v>
      </c>
      <c r="I1507" s="10" t="s">
        <v>36</v>
      </c>
    </row>
    <row r="1508" spans="1:9" hidden="1">
      <c r="A1508" t="s">
        <v>2649</v>
      </c>
      <c r="B1508" t="s">
        <v>3267</v>
      </c>
      <c r="C1508" t="s">
        <v>19</v>
      </c>
      <c r="D1508" s="2">
        <v>76223.981237173866</v>
      </c>
      <c r="E1508">
        <f>VLOOKUP(I1508,Calc!$I$35:$J$39,2,FALSE)</f>
        <v>8</v>
      </c>
      <c r="F1508">
        <v>8</v>
      </c>
      <c r="G1508" s="10" t="s">
        <v>107</v>
      </c>
      <c r="H1508" s="10" t="s">
        <v>2650</v>
      </c>
      <c r="I1508" s="10" t="s">
        <v>22</v>
      </c>
    </row>
    <row r="1509" spans="1:9" hidden="1">
      <c r="A1509" t="s">
        <v>2651</v>
      </c>
      <c r="B1509" t="s">
        <v>3267</v>
      </c>
      <c r="C1509" t="s">
        <v>11</v>
      </c>
      <c r="D1509" s="2">
        <v>30000</v>
      </c>
      <c r="E1509">
        <f>VLOOKUP(I1509,Calc!$I$35:$J$39,2,FALSE)</f>
        <v>5</v>
      </c>
      <c r="F1509">
        <v>5</v>
      </c>
      <c r="G1509" s="10" t="s">
        <v>34</v>
      </c>
      <c r="H1509" s="10" t="s">
        <v>2652</v>
      </c>
      <c r="I1509" s="10" t="s">
        <v>14</v>
      </c>
    </row>
    <row r="1510" spans="1:9" hidden="1">
      <c r="A1510" t="s">
        <v>2653</v>
      </c>
      <c r="B1510" t="s">
        <v>3268</v>
      </c>
      <c r="C1510" t="s">
        <v>11</v>
      </c>
      <c r="D1510" s="2">
        <v>34000</v>
      </c>
      <c r="E1510">
        <f>VLOOKUP(I1510,Calc!$I$35:$J$39,2,FALSE)</f>
        <v>8</v>
      </c>
      <c r="F1510">
        <v>4</v>
      </c>
      <c r="G1510" s="10" t="s">
        <v>12</v>
      </c>
      <c r="H1510" s="10" t="s">
        <v>2654</v>
      </c>
      <c r="I1510" s="10" t="s">
        <v>22</v>
      </c>
    </row>
    <row r="1511" spans="1:9" hidden="1">
      <c r="A1511" t="s">
        <v>2655</v>
      </c>
      <c r="B1511" t="s">
        <v>3267</v>
      </c>
      <c r="C1511" t="s">
        <v>11</v>
      </c>
      <c r="D1511" s="2">
        <v>3205.4250037396623</v>
      </c>
      <c r="E1511">
        <f>VLOOKUP(I1511,Calc!$I$35:$J$39,2,FALSE)</f>
        <v>5</v>
      </c>
      <c r="F1511">
        <v>5</v>
      </c>
      <c r="G1511" s="10" t="s">
        <v>12</v>
      </c>
      <c r="H1511" s="10" t="s">
        <v>2656</v>
      </c>
      <c r="I1511" s="10" t="s">
        <v>14</v>
      </c>
    </row>
    <row r="1512" spans="1:9" hidden="1">
      <c r="A1512" t="s">
        <v>2657</v>
      </c>
      <c r="B1512" t="s">
        <v>3267</v>
      </c>
      <c r="C1512" t="s">
        <v>19</v>
      </c>
      <c r="D1512" s="2">
        <v>45000</v>
      </c>
      <c r="E1512">
        <f>VLOOKUP(I1512,Calc!$I$35:$J$39,2,FALSE)</f>
        <v>2.5</v>
      </c>
      <c r="F1512">
        <v>5</v>
      </c>
      <c r="G1512" s="10" t="s">
        <v>45</v>
      </c>
      <c r="H1512" s="10" t="s">
        <v>2658</v>
      </c>
      <c r="I1512" s="10" t="s">
        <v>36</v>
      </c>
    </row>
    <row r="1513" spans="1:9" hidden="1">
      <c r="A1513" t="s">
        <v>2659</v>
      </c>
      <c r="B1513" t="s">
        <v>3267</v>
      </c>
      <c r="C1513" t="s">
        <v>42</v>
      </c>
      <c r="D1513" s="2">
        <v>24864</v>
      </c>
      <c r="E1513">
        <f>VLOOKUP(I1513,Calc!$I$35:$J$39,2,FALSE)</f>
        <v>8</v>
      </c>
      <c r="F1513">
        <v>8</v>
      </c>
      <c r="G1513" s="10" t="s">
        <v>2660</v>
      </c>
      <c r="H1513" s="10" t="s">
        <v>2661</v>
      </c>
      <c r="I1513" s="10" t="s">
        <v>22</v>
      </c>
    </row>
    <row r="1514" spans="1:9" hidden="1">
      <c r="A1514" t="s">
        <v>2662</v>
      </c>
      <c r="B1514" t="s">
        <v>3268</v>
      </c>
      <c r="C1514" t="s">
        <v>19</v>
      </c>
      <c r="D1514" s="2">
        <v>47285.348162018527</v>
      </c>
      <c r="E1514">
        <f>VLOOKUP(I1514,Calc!$I$35:$J$39,2,FALSE)</f>
        <v>5</v>
      </c>
      <c r="F1514">
        <v>7</v>
      </c>
      <c r="G1514" s="10" t="s">
        <v>107</v>
      </c>
      <c r="H1514" s="10" t="s">
        <v>1052</v>
      </c>
      <c r="I1514" s="10" t="s">
        <v>14</v>
      </c>
    </row>
    <row r="1515" spans="1:9" hidden="1">
      <c r="A1515" t="s">
        <v>2663</v>
      </c>
      <c r="B1515" t="s">
        <v>3268</v>
      </c>
      <c r="C1515" t="s">
        <v>11</v>
      </c>
      <c r="D1515" s="2">
        <v>17807.916687442568</v>
      </c>
      <c r="E1515">
        <f>VLOOKUP(I1515,Calc!$I$35:$J$39,2,FALSE)</f>
        <v>8</v>
      </c>
      <c r="F1515">
        <v>10</v>
      </c>
      <c r="G1515" s="10" t="s">
        <v>12</v>
      </c>
      <c r="H1515" s="10" t="s">
        <v>756</v>
      </c>
      <c r="I1515" s="10" t="s">
        <v>22</v>
      </c>
    </row>
    <row r="1516" spans="1:9" hidden="1">
      <c r="A1516" t="s">
        <v>2664</v>
      </c>
      <c r="B1516" t="s">
        <v>3268</v>
      </c>
      <c r="C1516" t="s">
        <v>19</v>
      </c>
      <c r="D1516" s="2">
        <v>55166.239522354947</v>
      </c>
      <c r="E1516">
        <f>VLOOKUP(I1516,Calc!$I$35:$J$39,2,FALSE)</f>
        <v>5</v>
      </c>
      <c r="F1516">
        <v>3</v>
      </c>
      <c r="G1516" s="10" t="s">
        <v>107</v>
      </c>
      <c r="H1516" s="10" t="s">
        <v>308</v>
      </c>
      <c r="I1516" s="10" t="s">
        <v>14</v>
      </c>
    </row>
    <row r="1517" spans="1:9" hidden="1">
      <c r="A1517" t="s">
        <v>2665</v>
      </c>
      <c r="B1517" t="s">
        <v>3267</v>
      </c>
      <c r="C1517" t="s">
        <v>19</v>
      </c>
      <c r="D1517" s="2">
        <v>69871.969144538423</v>
      </c>
      <c r="E1517">
        <f>VLOOKUP(I1517,Calc!$I$35:$J$39,2,FALSE)</f>
        <v>1.5</v>
      </c>
      <c r="F1517">
        <v>5</v>
      </c>
      <c r="G1517" s="10" t="s">
        <v>143</v>
      </c>
      <c r="H1517" s="10" t="s">
        <v>2666</v>
      </c>
      <c r="I1517" s="10" t="s">
        <v>47</v>
      </c>
    </row>
    <row r="1518" spans="1:9">
      <c r="A1518" t="s">
        <v>2667</v>
      </c>
      <c r="B1518" t="s">
        <v>3268</v>
      </c>
      <c r="C1518" t="s">
        <v>29</v>
      </c>
      <c r="D1518" s="2">
        <v>70970</v>
      </c>
      <c r="E1518">
        <f>VLOOKUP(I1518,Calc!$I$35:$J$39,2,FALSE)</f>
        <v>5</v>
      </c>
      <c r="F1518">
        <v>17</v>
      </c>
      <c r="G1518" s="10" t="s">
        <v>30</v>
      </c>
      <c r="H1518" s="10" t="s">
        <v>2668</v>
      </c>
      <c r="I1518" s="10" t="s">
        <v>14</v>
      </c>
    </row>
    <row r="1519" spans="1:9" hidden="1">
      <c r="A1519" t="s">
        <v>2669</v>
      </c>
      <c r="B1519" t="s">
        <v>3266</v>
      </c>
      <c r="C1519" t="s">
        <v>19</v>
      </c>
      <c r="D1519" s="2">
        <v>76223.966339496474</v>
      </c>
      <c r="E1519">
        <f>VLOOKUP(I1519,Calc!$I$35:$J$39,2,FALSE)</f>
        <v>5</v>
      </c>
      <c r="F1519">
        <v>7</v>
      </c>
      <c r="G1519" s="10" t="s">
        <v>143</v>
      </c>
      <c r="H1519" s="10" t="s">
        <v>2670</v>
      </c>
      <c r="I1519" s="10" t="s">
        <v>14</v>
      </c>
    </row>
    <row r="1520" spans="1:9" hidden="1">
      <c r="A1520" t="s">
        <v>2671</v>
      </c>
      <c r="B1520" t="s">
        <v>3263</v>
      </c>
      <c r="C1520" t="s">
        <v>19</v>
      </c>
      <c r="D1520" s="2">
        <v>110000</v>
      </c>
      <c r="E1520">
        <f>VLOOKUP(I1520,Calc!$I$35:$J$39,2,FALSE)</f>
        <v>8</v>
      </c>
      <c r="F1520">
        <v>5</v>
      </c>
      <c r="G1520" s="10" t="s">
        <v>938</v>
      </c>
      <c r="H1520" s="10" t="s">
        <v>431</v>
      </c>
      <c r="I1520" s="10" t="s">
        <v>22</v>
      </c>
    </row>
    <row r="1521" spans="1:9" hidden="1">
      <c r="A1521" t="s">
        <v>2672</v>
      </c>
      <c r="B1521" t="s">
        <v>3268</v>
      </c>
      <c r="C1521" t="s">
        <v>19</v>
      </c>
      <c r="D1521" s="2">
        <v>14400</v>
      </c>
      <c r="E1521">
        <f>VLOOKUP(I1521,Calc!$I$35:$J$39,2,FALSE)</f>
        <v>8</v>
      </c>
      <c r="F1521">
        <v>15</v>
      </c>
      <c r="G1521" s="10" t="s">
        <v>2673</v>
      </c>
      <c r="H1521" s="10" t="s">
        <v>2674</v>
      </c>
      <c r="I1521" s="10" t="s">
        <v>22</v>
      </c>
    </row>
    <row r="1522" spans="1:9" hidden="1">
      <c r="A1522" t="s">
        <v>2675</v>
      </c>
      <c r="B1522" t="s">
        <v>3264</v>
      </c>
      <c r="C1522" t="s">
        <v>29</v>
      </c>
      <c r="D1522" s="2">
        <v>125000</v>
      </c>
      <c r="E1522">
        <f>VLOOKUP(I1522,Calc!$I$35:$J$39,2,FALSE)</f>
        <v>8</v>
      </c>
      <c r="F1522">
        <v>8</v>
      </c>
      <c r="G1522" s="10" t="s">
        <v>30</v>
      </c>
      <c r="H1522" s="10" t="s">
        <v>90</v>
      </c>
      <c r="I1522" s="10" t="s">
        <v>22</v>
      </c>
    </row>
    <row r="1523" spans="1:9">
      <c r="A1523" t="s">
        <v>2676</v>
      </c>
      <c r="B1523" t="s">
        <v>3268</v>
      </c>
      <c r="C1523" t="s">
        <v>29</v>
      </c>
      <c r="D1523" s="2">
        <v>72768.752704244194</v>
      </c>
      <c r="E1523">
        <f>VLOOKUP(I1523,Calc!$I$35:$J$39,2,FALSE)</f>
        <v>5</v>
      </c>
      <c r="F1523">
        <v>10</v>
      </c>
      <c r="G1523" s="10" t="s">
        <v>128</v>
      </c>
      <c r="H1523" s="10" t="s">
        <v>630</v>
      </c>
      <c r="I1523" s="10" t="s">
        <v>14</v>
      </c>
    </row>
    <row r="1524" spans="1:9" hidden="1">
      <c r="A1524" t="s">
        <v>2677</v>
      </c>
      <c r="B1524" t="s">
        <v>3267</v>
      </c>
      <c r="C1524" t="s">
        <v>29</v>
      </c>
      <c r="D1524" s="2">
        <v>59000</v>
      </c>
      <c r="E1524">
        <f>VLOOKUP(I1524,Calc!$I$35:$J$39,2,FALSE)</f>
        <v>5</v>
      </c>
      <c r="F1524">
        <v>15</v>
      </c>
      <c r="G1524" s="10" t="s">
        <v>30</v>
      </c>
      <c r="H1524" s="10" t="s">
        <v>2678</v>
      </c>
      <c r="I1524" s="10" t="s">
        <v>14</v>
      </c>
    </row>
    <row r="1525" spans="1:9">
      <c r="A1525" t="s">
        <v>2679</v>
      </c>
      <c r="B1525" t="s">
        <v>3268</v>
      </c>
      <c r="C1525" t="s">
        <v>29</v>
      </c>
      <c r="D1525" s="2">
        <v>71500</v>
      </c>
      <c r="E1525">
        <f>VLOOKUP(I1525,Calc!$I$35:$J$39,2,FALSE)</f>
        <v>5</v>
      </c>
      <c r="F1525">
        <v>5</v>
      </c>
      <c r="G1525" s="10" t="s">
        <v>30</v>
      </c>
      <c r="H1525" s="10" t="s">
        <v>2680</v>
      </c>
      <c r="I1525" s="10" t="s">
        <v>14</v>
      </c>
    </row>
    <row r="1526" spans="1:9" hidden="1">
      <c r="A1526" t="s">
        <v>2681</v>
      </c>
      <c r="B1526" t="s">
        <v>77</v>
      </c>
      <c r="C1526" t="s">
        <v>19</v>
      </c>
      <c r="D1526" s="2">
        <v>39404.456801682099</v>
      </c>
      <c r="E1526">
        <f>VLOOKUP(I1526,Calc!$I$35:$J$39,2,FALSE)</f>
        <v>5</v>
      </c>
      <c r="F1526">
        <v>2</v>
      </c>
      <c r="G1526" s="10" t="s">
        <v>107</v>
      </c>
      <c r="H1526" s="10" t="s">
        <v>2682</v>
      </c>
      <c r="I1526" s="10" t="s">
        <v>14</v>
      </c>
    </row>
    <row r="1527" spans="1:9" hidden="1">
      <c r="A1527" t="s">
        <v>2683</v>
      </c>
      <c r="B1527" t="s">
        <v>3265</v>
      </c>
      <c r="C1527" t="s">
        <v>19</v>
      </c>
      <c r="D1527" s="2">
        <v>88927.960729412545</v>
      </c>
      <c r="E1527">
        <f>VLOOKUP(I1527,Calc!$I$35:$J$39,2,FALSE)</f>
        <v>1.5</v>
      </c>
      <c r="F1527">
        <v>5</v>
      </c>
      <c r="G1527" s="10" t="s">
        <v>45</v>
      </c>
      <c r="H1527" s="10" t="s">
        <v>2684</v>
      </c>
      <c r="I1527" s="10" t="s">
        <v>47</v>
      </c>
    </row>
    <row r="1528" spans="1:9" hidden="1">
      <c r="A1528" t="s">
        <v>2685</v>
      </c>
      <c r="B1528" t="s">
        <v>3267</v>
      </c>
      <c r="C1528" t="s">
        <v>29</v>
      </c>
      <c r="D1528" s="2">
        <v>90000</v>
      </c>
      <c r="E1528">
        <f>VLOOKUP(I1528,Calc!$I$35:$J$39,2,FALSE)</f>
        <v>5</v>
      </c>
      <c r="F1528">
        <v>25</v>
      </c>
      <c r="G1528" s="10" t="s">
        <v>30</v>
      </c>
      <c r="H1528" s="10" t="s">
        <v>2686</v>
      </c>
      <c r="I1528" s="10" t="s">
        <v>14</v>
      </c>
    </row>
    <row r="1529" spans="1:9" hidden="1">
      <c r="A1529" t="s">
        <v>2687</v>
      </c>
      <c r="B1529" t="s">
        <v>3267</v>
      </c>
      <c r="C1529" t="s">
        <v>11</v>
      </c>
      <c r="D1529" s="2">
        <v>12465.541681209797</v>
      </c>
      <c r="E1529">
        <f>VLOOKUP(I1529,Calc!$I$35:$J$39,2,FALSE)</f>
        <v>8</v>
      </c>
      <c r="F1529">
        <v>30</v>
      </c>
      <c r="G1529" s="10" t="s">
        <v>12</v>
      </c>
      <c r="H1529" s="10" t="s">
        <v>2688</v>
      </c>
      <c r="I1529" s="10" t="s">
        <v>22</v>
      </c>
    </row>
    <row r="1530" spans="1:9">
      <c r="A1530" t="s">
        <v>2689</v>
      </c>
      <c r="B1530" t="s">
        <v>3268</v>
      </c>
      <c r="C1530" t="s">
        <v>29</v>
      </c>
      <c r="D1530" s="2">
        <v>40000</v>
      </c>
      <c r="E1530">
        <f>VLOOKUP(I1530,Calc!$I$35:$J$39,2,FALSE)</f>
        <v>5</v>
      </c>
      <c r="F1530">
        <v>8</v>
      </c>
      <c r="G1530" s="10" t="s">
        <v>30</v>
      </c>
      <c r="H1530" s="10" t="s">
        <v>2690</v>
      </c>
      <c r="I1530" s="10" t="s">
        <v>14</v>
      </c>
    </row>
    <row r="1531" spans="1:9" hidden="1">
      <c r="A1531" t="s">
        <v>2691</v>
      </c>
      <c r="B1531" t="s">
        <v>3268</v>
      </c>
      <c r="C1531" t="s">
        <v>11</v>
      </c>
      <c r="D1531" s="2">
        <v>30000</v>
      </c>
      <c r="E1531">
        <f>VLOOKUP(I1531,Calc!$I$35:$J$39,2,FALSE)</f>
        <v>8</v>
      </c>
      <c r="F1531">
        <v>4</v>
      </c>
      <c r="G1531" s="10" t="s">
        <v>12</v>
      </c>
      <c r="H1531" s="10" t="s">
        <v>2692</v>
      </c>
      <c r="I1531" s="10" t="s">
        <v>22</v>
      </c>
    </row>
    <row r="1532" spans="1:9" hidden="1">
      <c r="A1532" t="s">
        <v>2693</v>
      </c>
      <c r="B1532" t="s">
        <v>3263</v>
      </c>
      <c r="C1532" t="s">
        <v>29</v>
      </c>
      <c r="D1532" s="2">
        <v>46325</v>
      </c>
      <c r="E1532">
        <f>VLOOKUP(I1532,Calc!$I$35:$J$39,2,FALSE)</f>
        <v>5</v>
      </c>
      <c r="F1532">
        <v>1</v>
      </c>
      <c r="G1532" s="10" t="s">
        <v>30</v>
      </c>
      <c r="H1532" s="10" t="s">
        <v>2694</v>
      </c>
      <c r="I1532" s="10" t="s">
        <v>14</v>
      </c>
    </row>
    <row r="1533" spans="1:9">
      <c r="A1533" t="s">
        <v>2695</v>
      </c>
      <c r="B1533" t="s">
        <v>3268</v>
      </c>
      <c r="C1533" t="s">
        <v>29</v>
      </c>
      <c r="D1533" s="2">
        <v>15000</v>
      </c>
      <c r="E1533">
        <f>VLOOKUP(I1533,Calc!$I$35:$J$39,2,FALSE)</f>
        <v>8</v>
      </c>
      <c r="F1533">
        <v>8</v>
      </c>
      <c r="G1533" s="10" t="s">
        <v>30</v>
      </c>
      <c r="H1533" s="10" t="s">
        <v>1512</v>
      </c>
      <c r="I1533" s="10" t="s">
        <v>22</v>
      </c>
    </row>
    <row r="1534" spans="1:9">
      <c r="A1534" t="s">
        <v>2696</v>
      </c>
      <c r="B1534" t="s">
        <v>3268</v>
      </c>
      <c r="C1534" t="s">
        <v>29</v>
      </c>
      <c r="D1534" s="2">
        <v>31200</v>
      </c>
      <c r="E1534">
        <f>VLOOKUP(I1534,Calc!$I$35:$J$39,2,FALSE)</f>
        <v>5</v>
      </c>
      <c r="F1534">
        <v>15</v>
      </c>
      <c r="G1534" s="10" t="s">
        <v>30</v>
      </c>
      <c r="H1534" s="10" t="s">
        <v>233</v>
      </c>
      <c r="I1534" s="10" t="s">
        <v>14</v>
      </c>
    </row>
    <row r="1535" spans="1:9" hidden="1">
      <c r="A1535" t="s">
        <v>2697</v>
      </c>
      <c r="B1535" t="s">
        <v>3268</v>
      </c>
      <c r="C1535" t="s">
        <v>11</v>
      </c>
      <c r="D1535" s="2">
        <v>8903.9583437212841</v>
      </c>
      <c r="E1535">
        <f>VLOOKUP(I1535,Calc!$I$35:$J$39,2,FALSE)</f>
        <v>5</v>
      </c>
      <c r="F1535">
        <v>9</v>
      </c>
      <c r="G1535" s="10" t="s">
        <v>12</v>
      </c>
      <c r="H1535" s="10" t="s">
        <v>383</v>
      </c>
      <c r="I1535" s="10" t="s">
        <v>14</v>
      </c>
    </row>
    <row r="1536" spans="1:9" hidden="1">
      <c r="A1536" t="s">
        <v>2698</v>
      </c>
      <c r="B1536" t="s">
        <v>3268</v>
      </c>
      <c r="C1536" t="s">
        <v>3248</v>
      </c>
      <c r="D1536" s="2">
        <v>15840</v>
      </c>
      <c r="E1536">
        <f>VLOOKUP(I1536,Calc!$I$35:$J$39,2,FALSE)</f>
        <v>8</v>
      </c>
      <c r="F1536">
        <v>8</v>
      </c>
      <c r="G1536" s="10" t="s">
        <v>2699</v>
      </c>
      <c r="H1536" s="10" t="s">
        <v>2700</v>
      </c>
      <c r="I1536" s="10" t="s">
        <v>22</v>
      </c>
    </row>
    <row r="1537" spans="1:9" hidden="1">
      <c r="A1537" t="s">
        <v>2701</v>
      </c>
      <c r="B1537" t="s">
        <v>3268</v>
      </c>
      <c r="C1537" t="s">
        <v>11</v>
      </c>
      <c r="D1537" s="2">
        <v>15136.729184326183</v>
      </c>
      <c r="E1537">
        <f>VLOOKUP(I1537,Calc!$I$35:$J$39,2,FALSE)</f>
        <v>5</v>
      </c>
      <c r="F1537">
        <v>5</v>
      </c>
      <c r="G1537" s="10" t="s">
        <v>12</v>
      </c>
      <c r="H1537" s="10" t="s">
        <v>2702</v>
      </c>
      <c r="I1537" s="10" t="s">
        <v>14</v>
      </c>
    </row>
    <row r="1538" spans="1:9" hidden="1">
      <c r="A1538" t="s">
        <v>2703</v>
      </c>
      <c r="B1538" t="s">
        <v>3264</v>
      </c>
      <c r="C1538" t="s">
        <v>29</v>
      </c>
      <c r="D1538" s="2">
        <v>41000</v>
      </c>
      <c r="E1538">
        <f>VLOOKUP(I1538,Calc!$I$35:$J$39,2,FALSE)</f>
        <v>5</v>
      </c>
      <c r="F1538">
        <v>10</v>
      </c>
      <c r="G1538" s="10" t="s">
        <v>30</v>
      </c>
      <c r="H1538" s="10" t="s">
        <v>1850</v>
      </c>
      <c r="I1538" s="10" t="s">
        <v>14</v>
      </c>
    </row>
    <row r="1539" spans="1:9" hidden="1">
      <c r="A1539" t="s">
        <v>2704</v>
      </c>
      <c r="B1539" t="s">
        <v>3267</v>
      </c>
      <c r="C1539" t="s">
        <v>3248</v>
      </c>
      <c r="D1539" s="2">
        <v>11000</v>
      </c>
      <c r="E1539">
        <f>VLOOKUP(I1539,Calc!$I$35:$J$39,2,FALSE)</f>
        <v>5</v>
      </c>
      <c r="F1539">
        <v>2</v>
      </c>
      <c r="G1539" s="10" t="s">
        <v>254</v>
      </c>
      <c r="H1539" s="10" t="s">
        <v>1219</v>
      </c>
      <c r="I1539" s="10" t="s">
        <v>14</v>
      </c>
    </row>
    <row r="1540" spans="1:9" hidden="1">
      <c r="A1540" t="s">
        <v>2705</v>
      </c>
      <c r="B1540" t="s">
        <v>3249</v>
      </c>
      <c r="C1540" t="s">
        <v>19</v>
      </c>
      <c r="D1540" s="2">
        <v>55166.239522354947</v>
      </c>
      <c r="E1540">
        <f>VLOOKUP(I1540,Calc!$I$35:$J$39,2,FALSE)</f>
        <v>2.5</v>
      </c>
      <c r="F1540">
        <v>30</v>
      </c>
      <c r="G1540" s="10" t="s">
        <v>107</v>
      </c>
      <c r="H1540" s="10" t="s">
        <v>2706</v>
      </c>
      <c r="I1540" s="10" t="s">
        <v>36</v>
      </c>
    </row>
    <row r="1541" spans="1:9" hidden="1">
      <c r="A1541" t="s">
        <v>2707</v>
      </c>
      <c r="B1541" t="s">
        <v>3267</v>
      </c>
      <c r="C1541" t="s">
        <v>11</v>
      </c>
      <c r="D1541" s="2">
        <v>5689.2125418690484</v>
      </c>
      <c r="E1541">
        <f>VLOOKUP(I1541,Calc!$I$35:$J$39,2,FALSE)</f>
        <v>5</v>
      </c>
      <c r="F1541">
        <v>15</v>
      </c>
      <c r="G1541" s="10" t="s">
        <v>566</v>
      </c>
      <c r="H1541" s="10" t="s">
        <v>2708</v>
      </c>
      <c r="I1541" s="10" t="s">
        <v>14</v>
      </c>
    </row>
    <row r="1542" spans="1:9" hidden="1">
      <c r="A1542" t="s">
        <v>2709</v>
      </c>
      <c r="B1542" t="s">
        <v>3268</v>
      </c>
      <c r="C1542" t="s">
        <v>3248</v>
      </c>
      <c r="D1542" s="2">
        <v>17728</v>
      </c>
      <c r="E1542">
        <f>VLOOKUP(I1542,Calc!$I$35:$J$39,2,FALSE)</f>
        <v>5</v>
      </c>
      <c r="F1542">
        <v>3</v>
      </c>
      <c r="G1542" s="10" t="s">
        <v>254</v>
      </c>
      <c r="H1542" s="10" t="s">
        <v>756</v>
      </c>
      <c r="I1542" s="10" t="s">
        <v>14</v>
      </c>
    </row>
    <row r="1543" spans="1:9" hidden="1">
      <c r="A1543" t="s">
        <v>2710</v>
      </c>
      <c r="B1543" t="s">
        <v>3263</v>
      </c>
      <c r="C1543" t="s">
        <v>42</v>
      </c>
      <c r="D1543" s="2">
        <v>13745.704467353951</v>
      </c>
      <c r="E1543">
        <f>VLOOKUP(I1543,Calc!$I$35:$J$39,2,FALSE)</f>
        <v>8</v>
      </c>
      <c r="F1543">
        <v>8</v>
      </c>
      <c r="G1543" s="10" t="s">
        <v>2711</v>
      </c>
      <c r="H1543" s="10" t="s">
        <v>2712</v>
      </c>
      <c r="I1543" s="10" t="s">
        <v>22</v>
      </c>
    </row>
    <row r="1544" spans="1:9" hidden="1">
      <c r="A1544" t="s">
        <v>2713</v>
      </c>
      <c r="B1544" t="s">
        <v>3269</v>
      </c>
      <c r="C1544" t="s">
        <v>29</v>
      </c>
      <c r="D1544" s="2">
        <v>50000</v>
      </c>
      <c r="E1544">
        <f>VLOOKUP(I1544,Calc!$I$35:$J$39,2,FALSE)</f>
        <v>5</v>
      </c>
      <c r="F1544">
        <v>15</v>
      </c>
      <c r="G1544" s="10" t="s">
        <v>30</v>
      </c>
      <c r="H1544" s="10" t="s">
        <v>2136</v>
      </c>
      <c r="I1544" s="10" t="s">
        <v>14</v>
      </c>
    </row>
    <row r="1545" spans="1:9">
      <c r="A1545" t="s">
        <v>2714</v>
      </c>
      <c r="B1545" t="s">
        <v>3268</v>
      </c>
      <c r="C1545" t="s">
        <v>29</v>
      </c>
      <c r="D1545" s="2">
        <v>78668.921842426149</v>
      </c>
      <c r="E1545">
        <f>VLOOKUP(I1545,Calc!$I$35:$J$39,2,FALSE)</f>
        <v>5</v>
      </c>
      <c r="F1545">
        <v>7</v>
      </c>
      <c r="G1545" s="10" t="s">
        <v>128</v>
      </c>
      <c r="H1545" s="10" t="s">
        <v>2715</v>
      </c>
      <c r="I1545" s="10" t="s">
        <v>14</v>
      </c>
    </row>
    <row r="1546" spans="1:9" hidden="1">
      <c r="A1546" t="s">
        <v>2716</v>
      </c>
      <c r="B1546" t="s">
        <v>77</v>
      </c>
      <c r="C1546" t="s">
        <v>29</v>
      </c>
      <c r="D1546" s="2">
        <v>85000</v>
      </c>
      <c r="E1546">
        <f>VLOOKUP(I1546,Calc!$I$35:$J$39,2,FALSE)</f>
        <v>5</v>
      </c>
      <c r="F1546">
        <v>10</v>
      </c>
      <c r="G1546" s="10" t="s">
        <v>30</v>
      </c>
      <c r="H1546" s="10" t="s">
        <v>2717</v>
      </c>
      <c r="I1546" s="10" t="s">
        <v>14</v>
      </c>
    </row>
    <row r="1547" spans="1:9" hidden="1">
      <c r="A1547" t="s">
        <v>2718</v>
      </c>
      <c r="B1547" t="s">
        <v>3267</v>
      </c>
      <c r="C1547" t="s">
        <v>32</v>
      </c>
      <c r="D1547" s="2">
        <v>101990.96564026357</v>
      </c>
      <c r="E1547">
        <f>VLOOKUP(I1547,Calc!$I$35:$J$39,2,FALSE)</f>
        <v>5</v>
      </c>
      <c r="F1547">
        <v>20</v>
      </c>
      <c r="G1547" s="10" t="s">
        <v>123</v>
      </c>
      <c r="H1547" s="10" t="s">
        <v>1247</v>
      </c>
      <c r="I1547" s="10" t="s">
        <v>14</v>
      </c>
    </row>
    <row r="1548" spans="1:9" hidden="1">
      <c r="A1548" t="s">
        <v>2719</v>
      </c>
      <c r="B1548" t="s">
        <v>77</v>
      </c>
      <c r="C1548" t="s">
        <v>11</v>
      </c>
      <c r="D1548" s="2">
        <v>100614.72928405051</v>
      </c>
      <c r="E1548">
        <f>VLOOKUP(I1548,Calc!$I$35:$J$39,2,FALSE)</f>
        <v>2.5</v>
      </c>
      <c r="F1548">
        <v>6</v>
      </c>
      <c r="G1548" s="10" t="s">
        <v>12</v>
      </c>
      <c r="H1548" s="10" t="s">
        <v>587</v>
      </c>
      <c r="I1548" s="10" t="s">
        <v>36</v>
      </c>
    </row>
    <row r="1549" spans="1:9" hidden="1">
      <c r="A1549" t="s">
        <v>2720</v>
      </c>
      <c r="B1549" t="s">
        <v>3268</v>
      </c>
      <c r="C1549" t="s">
        <v>32</v>
      </c>
      <c r="D1549" s="2">
        <v>86692.320794224041</v>
      </c>
      <c r="E1549">
        <f>VLOOKUP(I1549,Calc!$I$35:$J$39,2,FALSE)</f>
        <v>5</v>
      </c>
      <c r="F1549">
        <v>30</v>
      </c>
      <c r="G1549" s="10" t="s">
        <v>123</v>
      </c>
      <c r="H1549" s="10" t="s">
        <v>2721</v>
      </c>
      <c r="I1549" s="10" t="s">
        <v>14</v>
      </c>
    </row>
    <row r="1550" spans="1:9" hidden="1">
      <c r="A1550" t="s">
        <v>2722</v>
      </c>
      <c r="B1550" t="s">
        <v>3268</v>
      </c>
      <c r="C1550" t="s">
        <v>32</v>
      </c>
      <c r="D1550" s="2">
        <v>122389.15876831629</v>
      </c>
      <c r="E1550">
        <f>VLOOKUP(I1550,Calc!$I$35:$J$39,2,FALSE)</f>
        <v>2.5</v>
      </c>
      <c r="F1550">
        <v>5</v>
      </c>
      <c r="G1550" s="10" t="s">
        <v>123</v>
      </c>
      <c r="H1550" s="10" t="s">
        <v>1370</v>
      </c>
      <c r="I1550" s="10" t="s">
        <v>36</v>
      </c>
    </row>
    <row r="1551" spans="1:9" hidden="1">
      <c r="A1551" t="s">
        <v>2723</v>
      </c>
      <c r="B1551" t="s">
        <v>3267</v>
      </c>
      <c r="C1551" t="s">
        <v>11</v>
      </c>
      <c r="D1551" s="2">
        <v>6410.8500074793246</v>
      </c>
      <c r="E1551">
        <f>VLOOKUP(I1551,Calc!$I$35:$J$39,2,FALSE)</f>
        <v>2.5</v>
      </c>
      <c r="F1551">
        <v>8</v>
      </c>
      <c r="G1551" s="10" t="s">
        <v>12</v>
      </c>
      <c r="H1551" s="10" t="s">
        <v>2724</v>
      </c>
      <c r="I1551" s="10" t="s">
        <v>36</v>
      </c>
    </row>
    <row r="1552" spans="1:9">
      <c r="A1552" t="s">
        <v>2725</v>
      </c>
      <c r="B1552" t="s">
        <v>3268</v>
      </c>
      <c r="C1552" t="s">
        <v>29</v>
      </c>
      <c r="D1552" s="2">
        <v>44000</v>
      </c>
      <c r="E1552">
        <f>VLOOKUP(I1552,Calc!$I$35:$J$39,2,FALSE)</f>
        <v>5</v>
      </c>
      <c r="F1552">
        <v>3.5</v>
      </c>
      <c r="G1552" s="10" t="s">
        <v>30</v>
      </c>
      <c r="H1552" s="10" t="s">
        <v>2726</v>
      </c>
      <c r="I1552" s="10" t="s">
        <v>14</v>
      </c>
    </row>
    <row r="1553" spans="1:9" hidden="1">
      <c r="A1553" t="s">
        <v>2727</v>
      </c>
      <c r="B1553" t="s">
        <v>3266</v>
      </c>
      <c r="C1553" t="s">
        <v>11</v>
      </c>
      <c r="D1553" s="2">
        <v>4451.9791718606421</v>
      </c>
      <c r="E1553">
        <f>VLOOKUP(I1553,Calc!$I$35:$J$39,2,FALSE)</f>
        <v>5</v>
      </c>
      <c r="F1553">
        <v>2.5</v>
      </c>
      <c r="G1553" s="10" t="s">
        <v>12</v>
      </c>
      <c r="H1553" s="10" t="s">
        <v>2728</v>
      </c>
      <c r="I1553" s="10" t="s">
        <v>14</v>
      </c>
    </row>
    <row r="1554" spans="1:9" hidden="1">
      <c r="A1554" t="s">
        <v>2729</v>
      </c>
      <c r="B1554" t="s">
        <v>3268</v>
      </c>
      <c r="C1554" t="s">
        <v>11</v>
      </c>
      <c r="D1554" s="2">
        <v>4500</v>
      </c>
      <c r="E1554">
        <f>VLOOKUP(I1554,Calc!$I$35:$J$39,2,FALSE)</f>
        <v>5</v>
      </c>
      <c r="F1554">
        <v>6</v>
      </c>
      <c r="G1554" s="10" t="s">
        <v>34</v>
      </c>
      <c r="H1554" s="10" t="s">
        <v>2730</v>
      </c>
      <c r="I1554" s="10" t="s">
        <v>14</v>
      </c>
    </row>
    <row r="1555" spans="1:9" hidden="1">
      <c r="A1555" t="s">
        <v>2731</v>
      </c>
      <c r="B1555" t="s">
        <v>3249</v>
      </c>
      <c r="C1555" t="s">
        <v>11</v>
      </c>
      <c r="D1555" s="2">
        <v>30273.458368652366</v>
      </c>
      <c r="E1555">
        <f>VLOOKUP(I1555,Calc!$I$35:$J$39,2,FALSE)</f>
        <v>5</v>
      </c>
      <c r="F1555">
        <v>6</v>
      </c>
      <c r="G1555" s="10" t="s">
        <v>12</v>
      </c>
      <c r="H1555" s="10" t="s">
        <v>2732</v>
      </c>
      <c r="I1555" s="10" t="s">
        <v>14</v>
      </c>
    </row>
    <row r="1556" spans="1:9">
      <c r="A1556" t="s">
        <v>2733</v>
      </c>
      <c r="B1556" t="s">
        <v>3268</v>
      </c>
      <c r="C1556" t="s">
        <v>29</v>
      </c>
      <c r="D1556" s="2">
        <v>52000</v>
      </c>
      <c r="E1556">
        <f>VLOOKUP(I1556,Calc!$I$35:$J$39,2,FALSE)</f>
        <v>8</v>
      </c>
      <c r="F1556">
        <v>5</v>
      </c>
      <c r="G1556" s="10" t="s">
        <v>30</v>
      </c>
      <c r="H1556" s="10" t="s">
        <v>844</v>
      </c>
      <c r="I1556" s="10" t="s">
        <v>22</v>
      </c>
    </row>
    <row r="1557" spans="1:9" hidden="1">
      <c r="A1557" t="s">
        <v>2734</v>
      </c>
      <c r="B1557" t="s">
        <v>3264</v>
      </c>
      <c r="C1557" t="s">
        <v>19</v>
      </c>
      <c r="D1557" s="2">
        <v>75000</v>
      </c>
      <c r="E1557">
        <f>VLOOKUP(I1557,Calc!$I$35:$J$39,2,FALSE)</f>
        <v>2.5</v>
      </c>
      <c r="F1557">
        <v>9</v>
      </c>
      <c r="G1557" s="10" t="s">
        <v>45</v>
      </c>
      <c r="H1557" s="10" t="s">
        <v>90</v>
      </c>
      <c r="I1557" s="10" t="s">
        <v>36</v>
      </c>
    </row>
    <row r="1558" spans="1:9" hidden="1">
      <c r="A1558" t="s">
        <v>2735</v>
      </c>
      <c r="B1558" t="s">
        <v>3268</v>
      </c>
      <c r="C1558" t="s">
        <v>11</v>
      </c>
      <c r="D1558" s="2">
        <v>17807.916687442568</v>
      </c>
      <c r="E1558">
        <f>VLOOKUP(I1558,Calc!$I$35:$J$39,2,FALSE)</f>
        <v>8</v>
      </c>
      <c r="F1558">
        <v>4</v>
      </c>
      <c r="G1558" s="10" t="s">
        <v>12</v>
      </c>
      <c r="H1558" s="10" t="s">
        <v>162</v>
      </c>
      <c r="I1558" s="10" t="s">
        <v>22</v>
      </c>
    </row>
    <row r="1559" spans="1:9" hidden="1">
      <c r="A1559" t="s">
        <v>2736</v>
      </c>
      <c r="B1559" t="s">
        <v>3269</v>
      </c>
      <c r="C1559" t="s">
        <v>42</v>
      </c>
      <c r="D1559" s="2">
        <v>177600</v>
      </c>
      <c r="E1559">
        <f>VLOOKUP(I1559,Calc!$I$35:$J$39,2,FALSE)</f>
        <v>5</v>
      </c>
      <c r="F1559">
        <v>6</v>
      </c>
      <c r="G1559" s="10" t="s">
        <v>2737</v>
      </c>
      <c r="H1559" s="10" t="s">
        <v>56</v>
      </c>
      <c r="I1559" s="10" t="s">
        <v>14</v>
      </c>
    </row>
    <row r="1560" spans="1:9" hidden="1">
      <c r="A1560" t="s">
        <v>2738</v>
      </c>
      <c r="B1560" t="s">
        <v>3268</v>
      </c>
      <c r="C1560" t="s">
        <v>11</v>
      </c>
      <c r="D1560" s="2">
        <v>11575.14584683767</v>
      </c>
      <c r="E1560">
        <f>VLOOKUP(I1560,Calc!$I$35:$J$39,2,FALSE)</f>
        <v>5</v>
      </c>
      <c r="F1560">
        <v>5</v>
      </c>
      <c r="G1560" s="10" t="s">
        <v>12</v>
      </c>
      <c r="H1560" s="10" t="s">
        <v>989</v>
      </c>
      <c r="I1560" s="10" t="s">
        <v>14</v>
      </c>
    </row>
    <row r="1561" spans="1:9" hidden="1">
      <c r="A1561" t="s">
        <v>2739</v>
      </c>
      <c r="B1561" t="s">
        <v>3267</v>
      </c>
      <c r="C1561" t="s">
        <v>19</v>
      </c>
      <c r="D1561" s="2">
        <v>26678.388218823762</v>
      </c>
      <c r="E1561">
        <f>VLOOKUP(I1561,Calc!$I$35:$J$39,2,FALSE)</f>
        <v>5</v>
      </c>
      <c r="F1561">
        <v>10</v>
      </c>
      <c r="G1561" s="10" t="s">
        <v>53</v>
      </c>
      <c r="H1561" s="10" t="s">
        <v>2740</v>
      </c>
      <c r="I1561" s="10" t="s">
        <v>14</v>
      </c>
    </row>
    <row r="1562" spans="1:9" hidden="1">
      <c r="A1562" t="s">
        <v>2741</v>
      </c>
      <c r="B1562" t="s">
        <v>3264</v>
      </c>
      <c r="C1562" t="s">
        <v>19</v>
      </c>
      <c r="D1562" s="2">
        <v>126094.26176538273</v>
      </c>
      <c r="E1562">
        <f>VLOOKUP(I1562,Calc!$I$35:$J$39,2,FALSE)</f>
        <v>5</v>
      </c>
      <c r="F1562">
        <v>12</v>
      </c>
      <c r="G1562" s="10" t="s">
        <v>107</v>
      </c>
      <c r="H1562" s="10" t="s">
        <v>2742</v>
      </c>
      <c r="I1562" s="10" t="s">
        <v>14</v>
      </c>
    </row>
    <row r="1563" spans="1:9" hidden="1">
      <c r="A1563" t="s">
        <v>2743</v>
      </c>
      <c r="B1563" t="s">
        <v>3268</v>
      </c>
      <c r="C1563" t="s">
        <v>11</v>
      </c>
      <c r="D1563" s="2">
        <v>6000</v>
      </c>
      <c r="E1563">
        <f>VLOOKUP(I1563,Calc!$I$35:$J$39,2,FALSE)</f>
        <v>5</v>
      </c>
      <c r="F1563">
        <v>2</v>
      </c>
      <c r="G1563" s="10" t="s">
        <v>12</v>
      </c>
      <c r="H1563" s="10" t="s">
        <v>320</v>
      </c>
      <c r="I1563" s="10" t="s">
        <v>14</v>
      </c>
    </row>
    <row r="1564" spans="1:9" hidden="1">
      <c r="A1564" t="s">
        <v>2744</v>
      </c>
      <c r="B1564" t="s">
        <v>77</v>
      </c>
      <c r="C1564" t="s">
        <v>11</v>
      </c>
      <c r="D1564" s="2">
        <v>10000</v>
      </c>
      <c r="E1564">
        <f>VLOOKUP(I1564,Calc!$I$35:$J$39,2,FALSE)</f>
        <v>8</v>
      </c>
      <c r="F1564">
        <v>6</v>
      </c>
      <c r="G1564" s="10" t="s">
        <v>12</v>
      </c>
      <c r="H1564" s="10" t="s">
        <v>587</v>
      </c>
      <c r="I1564" s="10" t="s">
        <v>22</v>
      </c>
    </row>
    <row r="1565" spans="1:9">
      <c r="A1565" t="s">
        <v>2745</v>
      </c>
      <c r="B1565" t="s">
        <v>3268</v>
      </c>
      <c r="C1565" t="s">
        <v>29</v>
      </c>
      <c r="D1565" s="2">
        <v>50000</v>
      </c>
      <c r="E1565">
        <f>VLOOKUP(I1565,Calc!$I$35:$J$39,2,FALSE)</f>
        <v>8</v>
      </c>
      <c r="F1565">
        <v>2</v>
      </c>
      <c r="G1565" s="10" t="s">
        <v>30</v>
      </c>
      <c r="H1565" s="10" t="s">
        <v>780</v>
      </c>
      <c r="I1565" s="10" t="s">
        <v>22</v>
      </c>
    </row>
    <row r="1566" spans="1:9" hidden="1">
      <c r="A1566" t="s">
        <v>2746</v>
      </c>
      <c r="B1566" t="s">
        <v>3267</v>
      </c>
      <c r="C1566" t="s">
        <v>11</v>
      </c>
      <c r="D1566" s="2">
        <v>10000</v>
      </c>
      <c r="E1566">
        <f>VLOOKUP(I1566,Calc!$I$35:$J$39,2,FALSE)</f>
        <v>8</v>
      </c>
      <c r="F1566">
        <v>12</v>
      </c>
      <c r="G1566" s="10" t="s">
        <v>12</v>
      </c>
      <c r="H1566" s="10" t="s">
        <v>2747</v>
      </c>
      <c r="I1566" s="10" t="s">
        <v>22</v>
      </c>
    </row>
    <row r="1567" spans="1:9">
      <c r="A1567" t="s">
        <v>2748</v>
      </c>
      <c r="B1567" t="s">
        <v>3268</v>
      </c>
      <c r="C1567" t="s">
        <v>29</v>
      </c>
      <c r="D1567" s="2">
        <v>50000</v>
      </c>
      <c r="E1567">
        <f>VLOOKUP(I1567,Calc!$I$35:$J$39,2,FALSE)</f>
        <v>8</v>
      </c>
      <c r="F1567">
        <v>12</v>
      </c>
      <c r="G1567" s="10" t="s">
        <v>30</v>
      </c>
      <c r="H1567" s="10" t="s">
        <v>2749</v>
      </c>
      <c r="I1567" s="10" t="s">
        <v>22</v>
      </c>
    </row>
    <row r="1568" spans="1:9" hidden="1">
      <c r="A1568" t="s">
        <v>2750</v>
      </c>
      <c r="B1568" t="s">
        <v>3267</v>
      </c>
      <c r="C1568" t="s">
        <v>11</v>
      </c>
      <c r="D1568" s="2">
        <v>20000</v>
      </c>
      <c r="E1568">
        <f>VLOOKUP(I1568,Calc!$I$35:$J$39,2,FALSE)</f>
        <v>5</v>
      </c>
      <c r="F1568">
        <v>1</v>
      </c>
      <c r="G1568" s="10" t="s">
        <v>12</v>
      </c>
      <c r="H1568" s="10" t="s">
        <v>44</v>
      </c>
      <c r="I1568" s="10" t="s">
        <v>14</v>
      </c>
    </row>
    <row r="1569" spans="1:9" hidden="1">
      <c r="A1569" t="s">
        <v>2751</v>
      </c>
      <c r="B1569" t="s">
        <v>3268</v>
      </c>
      <c r="C1569" t="s">
        <v>19</v>
      </c>
      <c r="D1569" s="2">
        <v>31523.565441345683</v>
      </c>
      <c r="E1569">
        <f>VLOOKUP(I1569,Calc!$I$35:$J$39,2,FALSE)</f>
        <v>8</v>
      </c>
      <c r="F1569">
        <v>3</v>
      </c>
      <c r="G1569" s="10" t="s">
        <v>107</v>
      </c>
      <c r="H1569" s="10" t="s">
        <v>630</v>
      </c>
      <c r="I1569" s="10" t="s">
        <v>22</v>
      </c>
    </row>
    <row r="1570" spans="1:9" hidden="1">
      <c r="A1570" t="s">
        <v>2752</v>
      </c>
      <c r="B1570" t="s">
        <v>3263</v>
      </c>
      <c r="C1570" t="s">
        <v>19</v>
      </c>
      <c r="D1570" s="2">
        <v>63519.971949580387</v>
      </c>
      <c r="E1570">
        <f>VLOOKUP(I1570,Calc!$I$35:$J$39,2,FALSE)</f>
        <v>5</v>
      </c>
      <c r="F1570">
        <v>10</v>
      </c>
      <c r="G1570" s="10" t="s">
        <v>143</v>
      </c>
      <c r="H1570" s="10" t="s">
        <v>18</v>
      </c>
      <c r="I1570" s="10" t="s">
        <v>14</v>
      </c>
    </row>
    <row r="1571" spans="1:9" hidden="1">
      <c r="A1571" t="s">
        <v>2753</v>
      </c>
      <c r="B1571" t="s">
        <v>3263</v>
      </c>
      <c r="C1571" t="s">
        <v>19</v>
      </c>
      <c r="D1571" s="2">
        <v>35063.024516168378</v>
      </c>
      <c r="E1571">
        <f>VLOOKUP(I1571,Calc!$I$35:$J$39,2,FALSE)</f>
        <v>8</v>
      </c>
      <c r="F1571">
        <v>15</v>
      </c>
      <c r="G1571" s="10" t="s">
        <v>63</v>
      </c>
      <c r="H1571" s="10" t="s">
        <v>617</v>
      </c>
      <c r="I1571" s="10" t="s">
        <v>22</v>
      </c>
    </row>
    <row r="1572" spans="1:9">
      <c r="A1572" t="s">
        <v>2754</v>
      </c>
      <c r="B1572" t="s">
        <v>3268</v>
      </c>
      <c r="C1572" t="s">
        <v>29</v>
      </c>
      <c r="D1572" s="2">
        <v>55000</v>
      </c>
      <c r="E1572">
        <f>VLOOKUP(I1572,Calc!$I$35:$J$39,2,FALSE)</f>
        <v>5</v>
      </c>
      <c r="F1572">
        <v>2</v>
      </c>
      <c r="G1572" s="10" t="s">
        <v>30</v>
      </c>
      <c r="H1572" s="10" t="s">
        <v>320</v>
      </c>
      <c r="I1572" s="10" t="s">
        <v>14</v>
      </c>
    </row>
    <row r="1573" spans="1:9">
      <c r="A1573" t="s">
        <v>2755</v>
      </c>
      <c r="B1573" t="s">
        <v>3268</v>
      </c>
      <c r="C1573" t="s">
        <v>29</v>
      </c>
      <c r="D1573" s="2">
        <v>38000</v>
      </c>
      <c r="E1573">
        <f>VLOOKUP(I1573,Calc!$I$35:$J$39,2,FALSE)</f>
        <v>8</v>
      </c>
      <c r="F1573">
        <v>1</v>
      </c>
      <c r="G1573" s="10" t="s">
        <v>30</v>
      </c>
      <c r="H1573" s="10" t="s">
        <v>320</v>
      </c>
      <c r="I1573" s="10" t="s">
        <v>22</v>
      </c>
    </row>
    <row r="1574" spans="1:9" hidden="1">
      <c r="A1574" t="s">
        <v>2756</v>
      </c>
      <c r="B1574" t="s">
        <v>3268</v>
      </c>
      <c r="C1574" t="s">
        <v>11</v>
      </c>
      <c r="D1574" s="2">
        <v>32054.250037396621</v>
      </c>
      <c r="E1574">
        <f>VLOOKUP(I1574,Calc!$I$35:$J$39,2,FALSE)</f>
        <v>8</v>
      </c>
      <c r="F1574">
        <v>1</v>
      </c>
      <c r="G1574" s="10" t="s">
        <v>12</v>
      </c>
      <c r="H1574" s="10" t="s">
        <v>408</v>
      </c>
      <c r="I1574" s="10" t="s">
        <v>22</v>
      </c>
    </row>
    <row r="1575" spans="1:9">
      <c r="A1575" t="s">
        <v>2757</v>
      </c>
      <c r="B1575" t="s">
        <v>3268</v>
      </c>
      <c r="C1575" t="s">
        <v>29</v>
      </c>
      <c r="D1575" s="2">
        <v>35500</v>
      </c>
      <c r="E1575">
        <f>VLOOKUP(I1575,Calc!$I$35:$J$39,2,FALSE)</f>
        <v>5</v>
      </c>
      <c r="F1575">
        <v>20</v>
      </c>
      <c r="G1575" s="10" t="s">
        <v>30</v>
      </c>
      <c r="H1575" s="10" t="s">
        <v>2758</v>
      </c>
      <c r="I1575" s="10" t="s">
        <v>14</v>
      </c>
    </row>
    <row r="1576" spans="1:9">
      <c r="A1576" t="s">
        <v>2759</v>
      </c>
      <c r="B1576" t="s">
        <v>3268</v>
      </c>
      <c r="C1576" t="s">
        <v>29</v>
      </c>
      <c r="D1576" s="2">
        <v>62000</v>
      </c>
      <c r="E1576">
        <f>VLOOKUP(I1576,Calc!$I$35:$J$39,2,FALSE)</f>
        <v>2.5</v>
      </c>
      <c r="F1576">
        <v>5</v>
      </c>
      <c r="G1576" s="10" t="s">
        <v>30</v>
      </c>
      <c r="H1576" s="10" t="s">
        <v>31</v>
      </c>
      <c r="I1576" s="10" t="s">
        <v>36</v>
      </c>
    </row>
    <row r="1577" spans="1:9" hidden="1">
      <c r="A1577" t="s">
        <v>2760</v>
      </c>
      <c r="B1577" t="s">
        <v>3268</v>
      </c>
      <c r="C1577" t="s">
        <v>19</v>
      </c>
      <c r="D1577" s="2">
        <v>33887.832849446611</v>
      </c>
      <c r="E1577">
        <f>VLOOKUP(I1577,Calc!$I$35:$J$39,2,FALSE)</f>
        <v>8</v>
      </c>
      <c r="F1577">
        <v>1</v>
      </c>
      <c r="G1577" s="10" t="s">
        <v>107</v>
      </c>
      <c r="H1577" s="10" t="s">
        <v>233</v>
      </c>
      <c r="I1577" s="10" t="s">
        <v>22</v>
      </c>
    </row>
    <row r="1578" spans="1:9">
      <c r="A1578" t="s">
        <v>2761</v>
      </c>
      <c r="B1578" t="s">
        <v>3268</v>
      </c>
      <c r="C1578" t="s">
        <v>29</v>
      </c>
      <c r="D1578" s="2">
        <v>60000</v>
      </c>
      <c r="E1578">
        <f>VLOOKUP(I1578,Calc!$I$35:$J$39,2,FALSE)</f>
        <v>2.5</v>
      </c>
      <c r="F1578">
        <v>1</v>
      </c>
      <c r="G1578" s="10" t="s">
        <v>30</v>
      </c>
      <c r="H1578" s="10" t="s">
        <v>233</v>
      </c>
      <c r="I1578" s="10" t="s">
        <v>36</v>
      </c>
    </row>
    <row r="1579" spans="1:9">
      <c r="A1579" t="s">
        <v>2762</v>
      </c>
      <c r="B1579" t="s">
        <v>3268</v>
      </c>
      <c r="C1579" t="s">
        <v>29</v>
      </c>
      <c r="D1579" s="2">
        <v>32884</v>
      </c>
      <c r="E1579">
        <f>VLOOKUP(I1579,Calc!$I$35:$J$39,2,FALSE)</f>
        <v>8</v>
      </c>
      <c r="F1579">
        <v>10</v>
      </c>
      <c r="G1579" s="10" t="s">
        <v>30</v>
      </c>
      <c r="H1579" s="10" t="s">
        <v>420</v>
      </c>
      <c r="I1579" s="10" t="s">
        <v>22</v>
      </c>
    </row>
    <row r="1580" spans="1:9">
      <c r="A1580" t="s">
        <v>2763</v>
      </c>
      <c r="B1580" t="s">
        <v>3268</v>
      </c>
      <c r="C1580" t="s">
        <v>29</v>
      </c>
      <c r="D1580" s="2">
        <v>42000</v>
      </c>
      <c r="E1580">
        <f>VLOOKUP(I1580,Calc!$I$35:$J$39,2,FALSE)</f>
        <v>5</v>
      </c>
      <c r="F1580">
        <v>2</v>
      </c>
      <c r="G1580" s="10" t="s">
        <v>30</v>
      </c>
      <c r="H1580" s="10" t="s">
        <v>2764</v>
      </c>
      <c r="I1580" s="10" t="s">
        <v>14</v>
      </c>
    </row>
    <row r="1581" spans="1:9">
      <c r="A1581" t="s">
        <v>2765</v>
      </c>
      <c r="B1581" t="s">
        <v>3268</v>
      </c>
      <c r="C1581" t="s">
        <v>29</v>
      </c>
      <c r="D1581" s="2">
        <v>68000</v>
      </c>
      <c r="E1581">
        <f>VLOOKUP(I1581,Calc!$I$35:$J$39,2,FALSE)</f>
        <v>5</v>
      </c>
      <c r="F1581">
        <v>12</v>
      </c>
      <c r="G1581" s="10" t="s">
        <v>30</v>
      </c>
      <c r="H1581" s="10" t="s">
        <v>669</v>
      </c>
      <c r="I1581" s="10" t="s">
        <v>14</v>
      </c>
    </row>
    <row r="1582" spans="1:9" hidden="1">
      <c r="A1582" t="s">
        <v>2766</v>
      </c>
      <c r="B1582" t="s">
        <v>3269</v>
      </c>
      <c r="C1582" t="s">
        <v>29</v>
      </c>
      <c r="D1582" s="2">
        <v>85000</v>
      </c>
      <c r="E1582">
        <f>VLOOKUP(I1582,Calc!$I$35:$J$39,2,FALSE)</f>
        <v>2.5</v>
      </c>
      <c r="F1582">
        <v>8</v>
      </c>
      <c r="G1582" s="10" t="s">
        <v>30</v>
      </c>
      <c r="H1582" s="10" t="s">
        <v>132</v>
      </c>
      <c r="I1582" s="10" t="s">
        <v>36</v>
      </c>
    </row>
    <row r="1583" spans="1:9" hidden="1">
      <c r="A1583" t="s">
        <v>2767</v>
      </c>
      <c r="B1583" t="s">
        <v>3268</v>
      </c>
      <c r="C1583" t="s">
        <v>3248</v>
      </c>
      <c r="D1583" s="2">
        <v>13000</v>
      </c>
      <c r="E1583">
        <f>VLOOKUP(I1583,Calc!$I$35:$J$39,2,FALSE)</f>
        <v>8</v>
      </c>
      <c r="F1583">
        <v>4</v>
      </c>
      <c r="G1583" s="10" t="s">
        <v>216</v>
      </c>
      <c r="H1583" s="10" t="s">
        <v>2768</v>
      </c>
      <c r="I1583" s="10" t="s">
        <v>22</v>
      </c>
    </row>
    <row r="1584" spans="1:9" hidden="1">
      <c r="A1584" t="s">
        <v>2769</v>
      </c>
      <c r="B1584" t="s">
        <v>3268</v>
      </c>
      <c r="C1584" t="s">
        <v>11</v>
      </c>
      <c r="D1584" s="2">
        <v>15000</v>
      </c>
      <c r="E1584">
        <f>VLOOKUP(I1584,Calc!$I$35:$J$39,2,FALSE)</f>
        <v>5</v>
      </c>
      <c r="F1584">
        <v>5</v>
      </c>
      <c r="G1584" s="10" t="s">
        <v>12</v>
      </c>
      <c r="H1584" s="10" t="s">
        <v>2770</v>
      </c>
      <c r="I1584" s="10" t="s">
        <v>14</v>
      </c>
    </row>
    <row r="1585" spans="1:9" hidden="1">
      <c r="A1585" t="s">
        <v>2771</v>
      </c>
      <c r="B1585" t="s">
        <v>3249</v>
      </c>
      <c r="C1585" t="s">
        <v>11</v>
      </c>
      <c r="D1585" s="2">
        <v>50000</v>
      </c>
      <c r="E1585">
        <f>VLOOKUP(I1585,Calc!$I$35:$J$39,2,FALSE)</f>
        <v>1.5</v>
      </c>
      <c r="F1585">
        <v>8</v>
      </c>
      <c r="G1585" s="10" t="s">
        <v>12</v>
      </c>
      <c r="H1585" s="10" t="s">
        <v>2772</v>
      </c>
      <c r="I1585" s="10" t="s">
        <v>47</v>
      </c>
    </row>
    <row r="1586" spans="1:9" hidden="1">
      <c r="A1586" t="s">
        <v>2773</v>
      </c>
      <c r="B1586" t="s">
        <v>77</v>
      </c>
      <c r="C1586" t="s">
        <v>11</v>
      </c>
      <c r="D1586" s="2">
        <v>7000</v>
      </c>
      <c r="E1586">
        <f>VLOOKUP(I1586,Calc!$I$35:$J$39,2,FALSE)</f>
        <v>5</v>
      </c>
      <c r="F1586">
        <v>1</v>
      </c>
      <c r="G1586" s="10" t="s">
        <v>12</v>
      </c>
      <c r="H1586" s="10" t="s">
        <v>2774</v>
      </c>
      <c r="I1586" s="10" t="s">
        <v>14</v>
      </c>
    </row>
    <row r="1587" spans="1:9" hidden="1">
      <c r="A1587" t="s">
        <v>2775</v>
      </c>
      <c r="B1587" t="s">
        <v>3267</v>
      </c>
      <c r="C1587" t="s">
        <v>29</v>
      </c>
      <c r="D1587" s="2">
        <v>140000</v>
      </c>
      <c r="E1587">
        <f>VLOOKUP(I1587,Calc!$I$35:$J$39,2,FALSE)</f>
        <v>5</v>
      </c>
      <c r="F1587">
        <v>12</v>
      </c>
      <c r="G1587" s="10" t="s">
        <v>30</v>
      </c>
      <c r="H1587" s="10" t="s">
        <v>1700</v>
      </c>
      <c r="I1587" s="10" t="s">
        <v>14</v>
      </c>
    </row>
    <row r="1588" spans="1:9" hidden="1">
      <c r="A1588" t="s">
        <v>2776</v>
      </c>
      <c r="B1588" t="s">
        <v>3268</v>
      </c>
      <c r="C1588" t="s">
        <v>11</v>
      </c>
      <c r="D1588" s="2">
        <v>7123.1666749770275</v>
      </c>
      <c r="E1588">
        <f>VLOOKUP(I1588,Calc!$I$35:$J$39,2,FALSE)</f>
        <v>1.5</v>
      </c>
      <c r="F1588">
        <v>2.5</v>
      </c>
      <c r="G1588" s="10" t="s">
        <v>12</v>
      </c>
      <c r="H1588" s="10" t="s">
        <v>2777</v>
      </c>
      <c r="I1588" s="10" t="s">
        <v>47</v>
      </c>
    </row>
    <row r="1589" spans="1:9" hidden="1">
      <c r="A1589" t="s">
        <v>2778</v>
      </c>
      <c r="B1589" t="s">
        <v>3268</v>
      </c>
      <c r="C1589" t="s">
        <v>19</v>
      </c>
      <c r="D1589" s="2">
        <v>58318.59606648951</v>
      </c>
      <c r="E1589">
        <f>VLOOKUP(I1589,Calc!$I$35:$J$39,2,FALSE)</f>
        <v>5</v>
      </c>
      <c r="F1589">
        <v>9</v>
      </c>
      <c r="G1589" s="10" t="s">
        <v>107</v>
      </c>
      <c r="H1589" s="10" t="s">
        <v>2779</v>
      </c>
      <c r="I1589" s="10" t="s">
        <v>14</v>
      </c>
    </row>
    <row r="1590" spans="1:9" hidden="1">
      <c r="A1590" t="s">
        <v>2780</v>
      </c>
      <c r="B1590" t="s">
        <v>3267</v>
      </c>
      <c r="C1590" t="s">
        <v>11</v>
      </c>
      <c r="D1590" s="2">
        <v>12109.383347460946</v>
      </c>
      <c r="E1590">
        <f>VLOOKUP(I1590,Calc!$I$35:$J$39,2,FALSE)</f>
        <v>1.5</v>
      </c>
      <c r="F1590">
        <v>2</v>
      </c>
      <c r="G1590" s="10" t="s">
        <v>12</v>
      </c>
      <c r="H1590" s="10" t="s">
        <v>1489</v>
      </c>
      <c r="I1590" s="10" t="s">
        <v>47</v>
      </c>
    </row>
    <row r="1591" spans="1:9">
      <c r="A1591" t="s">
        <v>2781</v>
      </c>
      <c r="B1591" t="s">
        <v>3268</v>
      </c>
      <c r="C1591" t="s">
        <v>29</v>
      </c>
      <c r="D1591" s="2">
        <v>55000</v>
      </c>
      <c r="E1591">
        <f>VLOOKUP(I1591,Calc!$I$35:$J$39,2,FALSE)</f>
        <v>5</v>
      </c>
      <c r="F1591">
        <v>1</v>
      </c>
      <c r="G1591" s="10" t="s">
        <v>30</v>
      </c>
      <c r="H1591" s="10" t="s">
        <v>669</v>
      </c>
      <c r="I1591" s="10" t="s">
        <v>14</v>
      </c>
    </row>
    <row r="1592" spans="1:9" hidden="1">
      <c r="A1592" t="s">
        <v>2782</v>
      </c>
      <c r="B1592" t="s">
        <v>3267</v>
      </c>
      <c r="C1592" t="s">
        <v>11</v>
      </c>
      <c r="D1592" s="2">
        <v>60000</v>
      </c>
      <c r="E1592">
        <f>VLOOKUP(I1592,Calc!$I$35:$J$39,2,FALSE)</f>
        <v>2.5</v>
      </c>
      <c r="F1592">
        <v>16</v>
      </c>
      <c r="G1592" s="10" t="s">
        <v>1177</v>
      </c>
      <c r="H1592" s="10" t="s">
        <v>2783</v>
      </c>
      <c r="I1592" s="10" t="s">
        <v>36</v>
      </c>
    </row>
    <row r="1593" spans="1:9" hidden="1">
      <c r="A1593" t="s">
        <v>2784</v>
      </c>
      <c r="B1593" t="s">
        <v>3267</v>
      </c>
      <c r="C1593" t="s">
        <v>11</v>
      </c>
      <c r="D1593" s="2">
        <v>5698.5333399816218</v>
      </c>
      <c r="E1593">
        <f>VLOOKUP(I1593,Calc!$I$35:$J$39,2,FALSE)</f>
        <v>5</v>
      </c>
      <c r="F1593">
        <v>5</v>
      </c>
      <c r="G1593" s="10" t="s">
        <v>12</v>
      </c>
      <c r="H1593" s="10" t="s">
        <v>1305</v>
      </c>
      <c r="I1593" s="10" t="s">
        <v>14</v>
      </c>
    </row>
    <row r="1594" spans="1:9" hidden="1">
      <c r="A1594" t="s">
        <v>2785</v>
      </c>
      <c r="B1594" t="s">
        <v>3266</v>
      </c>
      <c r="C1594" t="s">
        <v>42</v>
      </c>
      <c r="D1594" s="2">
        <v>9376.2513877177607</v>
      </c>
      <c r="E1594">
        <f>VLOOKUP(I1594,Calc!$I$35:$J$39,2,FALSE)</f>
        <v>5</v>
      </c>
      <c r="F1594">
        <v>7</v>
      </c>
      <c r="G1594" s="10" t="s">
        <v>2786</v>
      </c>
      <c r="H1594" s="10" t="s">
        <v>2787</v>
      </c>
      <c r="I1594" s="10" t="s">
        <v>14</v>
      </c>
    </row>
    <row r="1595" spans="1:9" hidden="1">
      <c r="A1595" t="s">
        <v>2788</v>
      </c>
      <c r="B1595" t="s">
        <v>3268</v>
      </c>
      <c r="C1595" t="s">
        <v>19</v>
      </c>
      <c r="D1595" s="2">
        <v>94570.696324037053</v>
      </c>
      <c r="E1595">
        <f>VLOOKUP(I1595,Calc!$I$35:$J$39,2,FALSE)</f>
        <v>5</v>
      </c>
      <c r="F1595">
        <v>5</v>
      </c>
      <c r="G1595" s="10" t="s">
        <v>107</v>
      </c>
      <c r="H1595" s="10" t="s">
        <v>233</v>
      </c>
      <c r="I1595" s="10" t="s">
        <v>14</v>
      </c>
    </row>
    <row r="1596" spans="1:9" hidden="1">
      <c r="A1596" t="s">
        <v>2789</v>
      </c>
      <c r="B1596" t="s">
        <v>3264</v>
      </c>
      <c r="C1596" t="s">
        <v>11</v>
      </c>
      <c r="D1596" s="2">
        <v>36000</v>
      </c>
      <c r="E1596">
        <f>VLOOKUP(I1596,Calc!$I$35:$J$39,2,FALSE)</f>
        <v>5</v>
      </c>
      <c r="F1596">
        <v>5</v>
      </c>
      <c r="G1596" s="10" t="s">
        <v>2790</v>
      </c>
      <c r="H1596" s="10" t="s">
        <v>2791</v>
      </c>
      <c r="I1596" s="10" t="s">
        <v>14</v>
      </c>
    </row>
    <row r="1597" spans="1:9" hidden="1">
      <c r="A1597" t="s">
        <v>2792</v>
      </c>
      <c r="B1597" t="s">
        <v>3267</v>
      </c>
      <c r="C1597" t="s">
        <v>11</v>
      </c>
      <c r="D1597" s="2">
        <v>65889.291743537498</v>
      </c>
      <c r="E1597">
        <f>VLOOKUP(I1597,Calc!$I$35:$J$39,2,FALSE)</f>
        <v>8</v>
      </c>
      <c r="F1597">
        <v>4</v>
      </c>
      <c r="G1597" s="10" t="s">
        <v>12</v>
      </c>
      <c r="H1597" s="10" t="s">
        <v>2793</v>
      </c>
      <c r="I1597" s="10" t="s">
        <v>22</v>
      </c>
    </row>
    <row r="1598" spans="1:9" hidden="1">
      <c r="A1598" t="s">
        <v>2794</v>
      </c>
      <c r="B1598" t="s">
        <v>3268</v>
      </c>
      <c r="C1598" t="s">
        <v>19</v>
      </c>
      <c r="D1598" s="2">
        <v>106000</v>
      </c>
      <c r="E1598">
        <f>VLOOKUP(I1598,Calc!$I$35:$J$39,2,FALSE)</f>
        <v>1.5</v>
      </c>
      <c r="F1598">
        <v>7</v>
      </c>
      <c r="G1598" s="10" t="s">
        <v>1401</v>
      </c>
      <c r="H1598" s="10" t="s">
        <v>2795</v>
      </c>
      <c r="I1598" s="10" t="s">
        <v>47</v>
      </c>
    </row>
    <row r="1599" spans="1:9" hidden="1">
      <c r="A1599" t="s">
        <v>2796</v>
      </c>
      <c r="B1599" t="s">
        <v>3263</v>
      </c>
      <c r="C1599" t="s">
        <v>19</v>
      </c>
      <c r="D1599" s="2">
        <v>82888.5550559455</v>
      </c>
      <c r="E1599">
        <f>VLOOKUP(I1599,Calc!$I$35:$J$39,2,FALSE)</f>
        <v>5</v>
      </c>
      <c r="F1599">
        <v>18</v>
      </c>
      <c r="G1599" s="10" t="s">
        <v>1401</v>
      </c>
      <c r="H1599" s="10" t="s">
        <v>18</v>
      </c>
      <c r="I1599" s="10" t="s">
        <v>14</v>
      </c>
    </row>
    <row r="1600" spans="1:9" hidden="1">
      <c r="A1600" t="s">
        <v>2797</v>
      </c>
      <c r="B1600" t="s">
        <v>3268</v>
      </c>
      <c r="C1600" t="s">
        <v>32</v>
      </c>
      <c r="D1600" s="2">
        <v>59819.107020370408</v>
      </c>
      <c r="E1600">
        <f>VLOOKUP(I1600,Calc!$I$35:$J$39,2,FALSE)</f>
        <v>2.5</v>
      </c>
      <c r="F1600">
        <v>10</v>
      </c>
      <c r="G1600" s="10" t="s">
        <v>1023</v>
      </c>
      <c r="H1600" s="10" t="s">
        <v>2798</v>
      </c>
      <c r="I1600" s="10" t="s">
        <v>36</v>
      </c>
    </row>
    <row r="1601" spans="1:9" hidden="1">
      <c r="A1601" t="s">
        <v>2799</v>
      </c>
      <c r="B1601" t="s">
        <v>3267</v>
      </c>
      <c r="C1601" t="s">
        <v>11</v>
      </c>
      <c r="D1601" s="2">
        <v>6545</v>
      </c>
      <c r="E1601">
        <f>VLOOKUP(I1601,Calc!$I$35:$J$39,2,FALSE)</f>
        <v>8</v>
      </c>
      <c r="F1601">
        <v>9</v>
      </c>
      <c r="G1601" s="10" t="s">
        <v>12</v>
      </c>
      <c r="H1601" s="10" t="s">
        <v>1135</v>
      </c>
      <c r="I1601" s="10" t="s">
        <v>22</v>
      </c>
    </row>
    <row r="1602" spans="1:9" hidden="1">
      <c r="A1602" t="s">
        <v>2800</v>
      </c>
      <c r="B1602" t="s">
        <v>3267</v>
      </c>
      <c r="C1602" t="s">
        <v>11</v>
      </c>
      <c r="D1602" s="2">
        <v>17807.916687442568</v>
      </c>
      <c r="E1602">
        <f>VLOOKUP(I1602,Calc!$I$35:$J$39,2,FALSE)</f>
        <v>2.5</v>
      </c>
      <c r="F1602">
        <v>13</v>
      </c>
      <c r="G1602" s="10" t="s">
        <v>12</v>
      </c>
      <c r="H1602" s="10" t="s">
        <v>2801</v>
      </c>
      <c r="I1602" s="10" t="s">
        <v>36</v>
      </c>
    </row>
    <row r="1603" spans="1:9" hidden="1">
      <c r="A1603" t="s">
        <v>2802</v>
      </c>
      <c r="B1603" t="s">
        <v>3249</v>
      </c>
      <c r="C1603" t="s">
        <v>29</v>
      </c>
      <c r="D1603" s="2">
        <v>54000</v>
      </c>
      <c r="E1603">
        <f>VLOOKUP(I1603,Calc!$I$35:$J$39,2,FALSE)</f>
        <v>5</v>
      </c>
      <c r="F1603">
        <v>10</v>
      </c>
      <c r="G1603" s="10" t="s">
        <v>30</v>
      </c>
      <c r="H1603" s="10" t="s">
        <v>2803</v>
      </c>
      <c r="I1603" s="10" t="s">
        <v>14</v>
      </c>
    </row>
    <row r="1604" spans="1:9" hidden="1">
      <c r="A1604" t="s">
        <v>2804</v>
      </c>
      <c r="B1604" t="s">
        <v>3264</v>
      </c>
      <c r="C1604" t="s">
        <v>29</v>
      </c>
      <c r="D1604" s="2">
        <v>100000</v>
      </c>
      <c r="E1604">
        <f>VLOOKUP(I1604,Calc!$I$35:$J$39,2,FALSE)</f>
        <v>2.5</v>
      </c>
      <c r="F1604">
        <v>4</v>
      </c>
      <c r="G1604" s="10" t="s">
        <v>30</v>
      </c>
      <c r="H1604" s="10" t="s">
        <v>90</v>
      </c>
      <c r="I1604" s="10" t="s">
        <v>36</v>
      </c>
    </row>
    <row r="1605" spans="1:9">
      <c r="A1605" t="s">
        <v>2805</v>
      </c>
      <c r="B1605" t="s">
        <v>3268</v>
      </c>
      <c r="C1605" t="s">
        <v>29</v>
      </c>
      <c r="D1605" s="2">
        <v>49168.076151516347</v>
      </c>
      <c r="E1605">
        <f>VLOOKUP(I1605,Calc!$I$35:$J$39,2,FALSE)</f>
        <v>5</v>
      </c>
      <c r="F1605">
        <v>5</v>
      </c>
      <c r="G1605" s="10" t="s">
        <v>128</v>
      </c>
      <c r="H1605" s="10" t="s">
        <v>1512</v>
      </c>
      <c r="I1605" s="10" t="s">
        <v>14</v>
      </c>
    </row>
    <row r="1606" spans="1:9" hidden="1">
      <c r="A1606" t="s">
        <v>2806</v>
      </c>
      <c r="B1606" t="s">
        <v>3265</v>
      </c>
      <c r="C1606" t="s">
        <v>11</v>
      </c>
      <c r="D1606" s="2">
        <v>4019</v>
      </c>
      <c r="E1606">
        <f>VLOOKUP(I1606,Calc!$I$35:$J$39,2,FALSE)</f>
        <v>2.5</v>
      </c>
      <c r="F1606">
        <v>3</v>
      </c>
      <c r="G1606" s="10" t="s">
        <v>566</v>
      </c>
      <c r="H1606" s="10" t="s">
        <v>2807</v>
      </c>
      <c r="I1606" s="10" t="s">
        <v>36</v>
      </c>
    </row>
    <row r="1607" spans="1:9" hidden="1">
      <c r="A1607" t="s">
        <v>2808</v>
      </c>
      <c r="B1607" t="s">
        <v>3268</v>
      </c>
      <c r="C1607" t="s">
        <v>11</v>
      </c>
      <c r="D1607" s="2">
        <v>15000</v>
      </c>
      <c r="E1607">
        <f>VLOOKUP(I1607,Calc!$I$35:$J$39,2,FALSE)</f>
        <v>5</v>
      </c>
      <c r="F1607">
        <v>5</v>
      </c>
      <c r="G1607" s="10" t="s">
        <v>34</v>
      </c>
      <c r="H1607" s="10" t="s">
        <v>2809</v>
      </c>
      <c r="I1607" s="10" t="s">
        <v>14</v>
      </c>
    </row>
    <row r="1608" spans="1:9" hidden="1">
      <c r="A1608" t="s">
        <v>2810</v>
      </c>
      <c r="B1608" t="s">
        <v>3268</v>
      </c>
      <c r="C1608" t="s">
        <v>11</v>
      </c>
      <c r="D1608" s="2">
        <v>17807.916687442568</v>
      </c>
      <c r="E1608">
        <f>VLOOKUP(I1608,Calc!$I$35:$J$39,2,FALSE)</f>
        <v>8</v>
      </c>
      <c r="F1608">
        <v>4</v>
      </c>
      <c r="G1608" s="10" t="s">
        <v>12</v>
      </c>
      <c r="H1608" s="10" t="s">
        <v>2811</v>
      </c>
      <c r="I1608" s="10" t="s">
        <v>22</v>
      </c>
    </row>
    <row r="1609" spans="1:9" hidden="1">
      <c r="A1609" t="s">
        <v>2812</v>
      </c>
      <c r="B1609" t="s">
        <v>77</v>
      </c>
      <c r="C1609" t="s">
        <v>11</v>
      </c>
      <c r="D1609" s="2">
        <v>12000</v>
      </c>
      <c r="E1609">
        <f>VLOOKUP(I1609,Calc!$I$35:$J$39,2,FALSE)</f>
        <v>8</v>
      </c>
      <c r="F1609">
        <v>3</v>
      </c>
      <c r="G1609" s="10" t="s">
        <v>12</v>
      </c>
      <c r="H1609" s="10" t="s">
        <v>2813</v>
      </c>
      <c r="I1609" s="10" t="s">
        <v>22</v>
      </c>
    </row>
    <row r="1610" spans="1:9" hidden="1">
      <c r="A1610" t="s">
        <v>2814</v>
      </c>
      <c r="B1610" t="s">
        <v>3268</v>
      </c>
      <c r="C1610" t="s">
        <v>11</v>
      </c>
      <c r="D1610" s="2">
        <v>2225.989585930321</v>
      </c>
      <c r="E1610">
        <f>VLOOKUP(I1610,Calc!$I$35:$J$39,2,FALSE)</f>
        <v>2.5</v>
      </c>
      <c r="F1610">
        <v>4</v>
      </c>
      <c r="G1610" s="10" t="s">
        <v>12</v>
      </c>
      <c r="H1610" s="10" t="s">
        <v>2815</v>
      </c>
      <c r="I1610" s="10" t="s">
        <v>36</v>
      </c>
    </row>
    <row r="1611" spans="1:9" hidden="1">
      <c r="A1611" t="s">
        <v>2816</v>
      </c>
      <c r="B1611" t="s">
        <v>3268</v>
      </c>
      <c r="C1611" t="s">
        <v>11</v>
      </c>
      <c r="D1611" s="2">
        <v>86000</v>
      </c>
      <c r="E1611">
        <f>VLOOKUP(I1611,Calc!$I$35:$J$39,2,FALSE)</f>
        <v>8</v>
      </c>
      <c r="F1611">
        <v>3</v>
      </c>
      <c r="G1611" s="10" t="s">
        <v>566</v>
      </c>
      <c r="H1611" s="10" t="s">
        <v>10</v>
      </c>
      <c r="I1611" s="10" t="s">
        <v>22</v>
      </c>
    </row>
    <row r="1612" spans="1:9" hidden="1">
      <c r="A1612" t="s">
        <v>2817</v>
      </c>
      <c r="B1612" t="s">
        <v>3267</v>
      </c>
      <c r="C1612" t="s">
        <v>11</v>
      </c>
      <c r="D1612" s="2">
        <v>6054.6916737304728</v>
      </c>
      <c r="E1612">
        <f>VLOOKUP(I1612,Calc!$I$35:$J$39,2,FALSE)</f>
        <v>5</v>
      </c>
      <c r="F1612">
        <v>5</v>
      </c>
      <c r="G1612" s="10" t="s">
        <v>12</v>
      </c>
      <c r="H1612" s="10" t="s">
        <v>1608</v>
      </c>
      <c r="I1612" s="10" t="s">
        <v>14</v>
      </c>
    </row>
    <row r="1613" spans="1:9" hidden="1">
      <c r="A1613" t="s">
        <v>2818</v>
      </c>
      <c r="B1613" t="s">
        <v>3268</v>
      </c>
      <c r="C1613" t="s">
        <v>11</v>
      </c>
      <c r="D1613" s="2">
        <v>3360</v>
      </c>
      <c r="E1613">
        <f>VLOOKUP(I1613,Calc!$I$35:$J$39,2,FALSE)</f>
        <v>1.5</v>
      </c>
      <c r="F1613">
        <v>3</v>
      </c>
      <c r="G1613" s="10" t="s">
        <v>12</v>
      </c>
      <c r="H1613" s="10" t="s">
        <v>2819</v>
      </c>
      <c r="I1613" s="10" t="s">
        <v>47</v>
      </c>
    </row>
    <row r="1614" spans="1:9" hidden="1">
      <c r="A1614" t="s">
        <v>2820</v>
      </c>
      <c r="B1614" t="s">
        <v>3249</v>
      </c>
      <c r="C1614" t="s">
        <v>11</v>
      </c>
      <c r="D1614" s="2">
        <v>10000</v>
      </c>
      <c r="E1614">
        <f>VLOOKUP(I1614,Calc!$I$35:$J$39,2,FALSE)</f>
        <v>8</v>
      </c>
      <c r="F1614">
        <v>1</v>
      </c>
      <c r="G1614" s="10" t="s">
        <v>12</v>
      </c>
      <c r="H1614" s="10" t="s">
        <v>734</v>
      </c>
      <c r="I1614" s="10" t="s">
        <v>22</v>
      </c>
    </row>
    <row r="1615" spans="1:9">
      <c r="A1615" t="s">
        <v>2821</v>
      </c>
      <c r="B1615" t="s">
        <v>3268</v>
      </c>
      <c r="C1615" t="s">
        <v>29</v>
      </c>
      <c r="D1615" s="2">
        <v>70000</v>
      </c>
      <c r="E1615">
        <f>VLOOKUP(I1615,Calc!$I$35:$J$39,2,FALSE)</f>
        <v>5</v>
      </c>
      <c r="F1615">
        <v>9</v>
      </c>
      <c r="G1615" s="10" t="s">
        <v>30</v>
      </c>
      <c r="H1615" s="10" t="s">
        <v>2822</v>
      </c>
      <c r="I1615" s="10" t="s">
        <v>14</v>
      </c>
    </row>
    <row r="1616" spans="1:9" hidden="1">
      <c r="A1616" t="s">
        <v>2823</v>
      </c>
      <c r="B1616" t="s">
        <v>3267</v>
      </c>
      <c r="C1616" t="s">
        <v>29</v>
      </c>
      <c r="D1616" s="2">
        <v>155000</v>
      </c>
      <c r="E1616">
        <f>VLOOKUP(I1616,Calc!$I$35:$J$39,2,FALSE)</f>
        <v>1.5</v>
      </c>
      <c r="F1616">
        <v>14</v>
      </c>
      <c r="G1616" s="10" t="s">
        <v>30</v>
      </c>
      <c r="H1616" s="10" t="s">
        <v>2824</v>
      </c>
      <c r="I1616" s="10" t="s">
        <v>47</v>
      </c>
    </row>
    <row r="1617" spans="1:9" hidden="1">
      <c r="A1617" t="s">
        <v>2825</v>
      </c>
      <c r="B1617" t="s">
        <v>3249</v>
      </c>
      <c r="C1617" t="s">
        <v>29</v>
      </c>
      <c r="D1617" s="2">
        <v>225000</v>
      </c>
      <c r="E1617">
        <f>VLOOKUP(I1617,Calc!$I$35:$J$39,2,FALSE)</f>
        <v>5</v>
      </c>
      <c r="F1617">
        <v>15</v>
      </c>
      <c r="G1617" s="10" t="s">
        <v>30</v>
      </c>
      <c r="H1617" s="10" t="s">
        <v>2826</v>
      </c>
      <c r="I1617" s="10" t="s">
        <v>14</v>
      </c>
    </row>
    <row r="1618" spans="1:9" hidden="1">
      <c r="A1618" t="s">
        <v>2827</v>
      </c>
      <c r="B1618" t="s">
        <v>77</v>
      </c>
      <c r="C1618" t="s">
        <v>11</v>
      </c>
      <c r="D1618" s="2">
        <v>10000</v>
      </c>
      <c r="E1618">
        <f>VLOOKUP(I1618,Calc!$I$35:$J$39,2,FALSE)</f>
        <v>8</v>
      </c>
      <c r="F1618">
        <v>2</v>
      </c>
      <c r="G1618" s="10" t="s">
        <v>12</v>
      </c>
      <c r="H1618" s="10" t="s">
        <v>1167</v>
      </c>
      <c r="I1618" s="10" t="s">
        <v>22</v>
      </c>
    </row>
    <row r="1619" spans="1:9" hidden="1">
      <c r="A1619" t="s">
        <v>2828</v>
      </c>
      <c r="B1619" t="s">
        <v>3268</v>
      </c>
      <c r="C1619" t="s">
        <v>11</v>
      </c>
      <c r="D1619" s="2">
        <v>5342.3750062327708</v>
      </c>
      <c r="E1619">
        <f>VLOOKUP(I1619,Calc!$I$35:$J$39,2,FALSE)</f>
        <v>5</v>
      </c>
      <c r="F1619">
        <v>8</v>
      </c>
      <c r="G1619" s="10" t="s">
        <v>12</v>
      </c>
      <c r="H1619" s="10" t="s">
        <v>2829</v>
      </c>
      <c r="I1619" s="10" t="s">
        <v>14</v>
      </c>
    </row>
    <row r="1620" spans="1:9" hidden="1">
      <c r="A1620" t="s">
        <v>2830</v>
      </c>
      <c r="B1620" t="s">
        <v>3264</v>
      </c>
      <c r="C1620" t="s">
        <v>32</v>
      </c>
      <c r="D1620" s="2">
        <v>85672.4111378214</v>
      </c>
      <c r="E1620">
        <f>VLOOKUP(I1620,Calc!$I$35:$J$39,2,FALSE)</f>
        <v>5</v>
      </c>
      <c r="F1620">
        <v>6</v>
      </c>
      <c r="G1620" s="10" t="s">
        <v>123</v>
      </c>
      <c r="H1620" s="10" t="s">
        <v>124</v>
      </c>
      <c r="I1620" s="10" t="s">
        <v>14</v>
      </c>
    </row>
    <row r="1621" spans="1:9" hidden="1">
      <c r="A1621" t="s">
        <v>2831</v>
      </c>
      <c r="B1621" t="s">
        <v>3263</v>
      </c>
      <c r="C1621" t="s">
        <v>11</v>
      </c>
      <c r="D1621" s="2">
        <v>4273.9000049862161</v>
      </c>
      <c r="E1621">
        <f>VLOOKUP(I1621,Calc!$I$35:$J$39,2,FALSE)</f>
        <v>2.5</v>
      </c>
      <c r="F1621">
        <v>15</v>
      </c>
      <c r="G1621" s="10" t="s">
        <v>12</v>
      </c>
      <c r="H1621" s="10" t="s">
        <v>2832</v>
      </c>
      <c r="I1621" s="10" t="s">
        <v>36</v>
      </c>
    </row>
    <row r="1622" spans="1:9" hidden="1">
      <c r="A1622" t="s">
        <v>2833</v>
      </c>
      <c r="B1622" t="s">
        <v>3267</v>
      </c>
      <c r="C1622" t="s">
        <v>11</v>
      </c>
      <c r="D1622" s="2">
        <v>8903.9583437212841</v>
      </c>
      <c r="E1622">
        <f>VLOOKUP(I1622,Calc!$I$35:$J$39,2,FALSE)</f>
        <v>8</v>
      </c>
      <c r="F1622">
        <v>20</v>
      </c>
      <c r="G1622" s="10" t="s">
        <v>12</v>
      </c>
      <c r="H1622" s="10" t="s">
        <v>1271</v>
      </c>
      <c r="I1622" s="10" t="s">
        <v>22</v>
      </c>
    </row>
    <row r="1623" spans="1:9" hidden="1">
      <c r="A1623" t="s">
        <v>2834</v>
      </c>
      <c r="B1623" t="s">
        <v>3267</v>
      </c>
      <c r="C1623" t="s">
        <v>19</v>
      </c>
      <c r="D1623" s="2">
        <v>66199.48742682593</v>
      </c>
      <c r="E1623">
        <f>VLOOKUP(I1623,Calc!$I$35:$J$39,2,FALSE)</f>
        <v>5</v>
      </c>
      <c r="F1623">
        <v>23</v>
      </c>
      <c r="G1623" s="10" t="s">
        <v>107</v>
      </c>
      <c r="H1623" s="10" t="s">
        <v>1247</v>
      </c>
      <c r="I1623" s="10" t="s">
        <v>14</v>
      </c>
    </row>
    <row r="1624" spans="1:9" hidden="1">
      <c r="A1624" t="s">
        <v>2835</v>
      </c>
      <c r="B1624" t="s">
        <v>3268</v>
      </c>
      <c r="C1624" t="s">
        <v>11</v>
      </c>
      <c r="D1624" s="2">
        <v>5698.5333399816218</v>
      </c>
      <c r="E1624">
        <f>VLOOKUP(I1624,Calc!$I$35:$J$39,2,FALSE)</f>
        <v>5</v>
      </c>
      <c r="F1624">
        <v>2.5</v>
      </c>
      <c r="G1624" s="10" t="s">
        <v>12</v>
      </c>
      <c r="H1624" s="10" t="s">
        <v>1046</v>
      </c>
      <c r="I1624" s="10" t="s">
        <v>14</v>
      </c>
    </row>
    <row r="1625" spans="1:9" hidden="1">
      <c r="A1625" t="s">
        <v>2836</v>
      </c>
      <c r="B1625" t="s">
        <v>3267</v>
      </c>
      <c r="C1625" t="s">
        <v>19</v>
      </c>
      <c r="D1625" s="2">
        <v>34675.92198548025</v>
      </c>
      <c r="E1625">
        <f>VLOOKUP(I1625,Calc!$I$35:$J$39,2,FALSE)</f>
        <v>5</v>
      </c>
      <c r="F1625">
        <v>17</v>
      </c>
      <c r="G1625" s="10" t="s">
        <v>107</v>
      </c>
      <c r="H1625" s="10" t="s">
        <v>2837</v>
      </c>
      <c r="I1625" s="10" t="s">
        <v>14</v>
      </c>
    </row>
    <row r="1626" spans="1:9" hidden="1">
      <c r="A1626" t="s">
        <v>2838</v>
      </c>
      <c r="B1626" t="s">
        <v>77</v>
      </c>
      <c r="C1626" t="s">
        <v>48</v>
      </c>
      <c r="D1626" s="2">
        <v>31200</v>
      </c>
      <c r="E1626">
        <f>VLOOKUP(I1626,Calc!$I$35:$J$39,2,FALSE)</f>
        <v>8</v>
      </c>
      <c r="F1626">
        <v>11</v>
      </c>
      <c r="G1626" s="10" t="s">
        <v>675</v>
      </c>
      <c r="H1626" s="10" t="s">
        <v>758</v>
      </c>
      <c r="I1626" s="10" t="s">
        <v>22</v>
      </c>
    </row>
    <row r="1627" spans="1:9" hidden="1">
      <c r="A1627" t="s">
        <v>2839</v>
      </c>
      <c r="B1627" t="s">
        <v>3264</v>
      </c>
      <c r="C1627" t="s">
        <v>29</v>
      </c>
      <c r="D1627" s="2">
        <v>55068.245289698301</v>
      </c>
      <c r="E1627">
        <f>VLOOKUP(I1627,Calc!$I$35:$J$39,2,FALSE)</f>
        <v>8</v>
      </c>
      <c r="F1627">
        <v>1</v>
      </c>
      <c r="G1627" s="10" t="s">
        <v>128</v>
      </c>
      <c r="H1627" s="10" t="s">
        <v>124</v>
      </c>
      <c r="I1627" s="10" t="s">
        <v>22</v>
      </c>
    </row>
    <row r="1628" spans="1:9" hidden="1">
      <c r="A1628" t="s">
        <v>2840</v>
      </c>
      <c r="B1628" t="s">
        <v>3268</v>
      </c>
      <c r="C1628" t="s">
        <v>19</v>
      </c>
      <c r="D1628" s="2">
        <v>13000</v>
      </c>
      <c r="E1628">
        <f>VLOOKUP(I1628,Calc!$I$35:$J$39,2,FALSE)</f>
        <v>8</v>
      </c>
      <c r="F1628">
        <v>6</v>
      </c>
      <c r="G1628" s="10" t="s">
        <v>2841</v>
      </c>
      <c r="H1628" s="10" t="s">
        <v>2842</v>
      </c>
      <c r="I1628" s="10" t="s">
        <v>22</v>
      </c>
    </row>
    <row r="1629" spans="1:9" hidden="1">
      <c r="A1629" t="s">
        <v>2843</v>
      </c>
      <c r="B1629" t="s">
        <v>77</v>
      </c>
      <c r="C1629" t="s">
        <v>29</v>
      </c>
      <c r="D1629" s="2">
        <v>92000</v>
      </c>
      <c r="E1629">
        <f>VLOOKUP(I1629,Calc!$I$35:$J$39,2,FALSE)</f>
        <v>2.5</v>
      </c>
      <c r="F1629">
        <v>12</v>
      </c>
      <c r="G1629" s="10" t="s">
        <v>30</v>
      </c>
      <c r="H1629" s="10" t="s">
        <v>2844</v>
      </c>
      <c r="I1629" s="10" t="s">
        <v>36</v>
      </c>
    </row>
    <row r="1630" spans="1:9" hidden="1">
      <c r="A1630" t="s">
        <v>2845</v>
      </c>
      <c r="B1630" t="s">
        <v>3267</v>
      </c>
      <c r="C1630" t="s">
        <v>29</v>
      </c>
      <c r="D1630" s="2">
        <v>85000</v>
      </c>
      <c r="E1630">
        <f>VLOOKUP(I1630,Calc!$I$35:$J$39,2,FALSE)</f>
        <v>8</v>
      </c>
      <c r="F1630">
        <v>10</v>
      </c>
      <c r="G1630" s="10" t="s">
        <v>30</v>
      </c>
      <c r="H1630" s="10" t="s">
        <v>2846</v>
      </c>
      <c r="I1630" s="10" t="s">
        <v>22</v>
      </c>
    </row>
    <row r="1631" spans="1:9" hidden="1">
      <c r="A1631" t="s">
        <v>2847</v>
      </c>
      <c r="B1631" t="s">
        <v>3268</v>
      </c>
      <c r="C1631" t="s">
        <v>42</v>
      </c>
      <c r="D1631" s="2">
        <v>11000</v>
      </c>
      <c r="E1631">
        <f>VLOOKUP(I1631,Calc!$I$35:$J$39,2,FALSE)</f>
        <v>5</v>
      </c>
      <c r="F1631">
        <v>8</v>
      </c>
      <c r="G1631" s="10" t="s">
        <v>2848</v>
      </c>
      <c r="H1631" s="10" t="s">
        <v>2849</v>
      </c>
      <c r="I1631" s="10" t="s">
        <v>14</v>
      </c>
    </row>
    <row r="1632" spans="1:9" hidden="1">
      <c r="A1632" t="s">
        <v>2850</v>
      </c>
      <c r="B1632" t="s">
        <v>3268</v>
      </c>
      <c r="C1632" t="s">
        <v>19</v>
      </c>
      <c r="D1632" s="2">
        <v>38111.983169748237</v>
      </c>
      <c r="E1632">
        <f>VLOOKUP(I1632,Calc!$I$35:$J$39,2,FALSE)</f>
        <v>1.5</v>
      </c>
      <c r="F1632">
        <v>12</v>
      </c>
      <c r="G1632" s="10" t="s">
        <v>976</v>
      </c>
      <c r="H1632" s="10" t="s">
        <v>2851</v>
      </c>
      <c r="I1632" s="10" t="s">
        <v>47</v>
      </c>
    </row>
    <row r="1633" spans="1:9">
      <c r="A1633" t="s">
        <v>2852</v>
      </c>
      <c r="B1633" t="s">
        <v>3268</v>
      </c>
      <c r="C1633" t="s">
        <v>29</v>
      </c>
      <c r="D1633" s="2">
        <v>49000</v>
      </c>
      <c r="E1633">
        <f>VLOOKUP(I1633,Calc!$I$35:$J$39,2,FALSE)</f>
        <v>2.5</v>
      </c>
      <c r="F1633">
        <v>3</v>
      </c>
      <c r="G1633" s="10" t="s">
        <v>30</v>
      </c>
      <c r="H1633" s="10" t="s">
        <v>2853</v>
      </c>
      <c r="I1633" s="10" t="s">
        <v>36</v>
      </c>
    </row>
    <row r="1634" spans="1:9" hidden="1">
      <c r="A1634" t="s">
        <v>2854</v>
      </c>
      <c r="B1634" t="s">
        <v>3267</v>
      </c>
      <c r="C1634" t="s">
        <v>29</v>
      </c>
      <c r="D1634" s="2">
        <v>59000</v>
      </c>
      <c r="E1634">
        <f>VLOOKUP(I1634,Calc!$I$35:$J$39,2,FALSE)</f>
        <v>1.5</v>
      </c>
      <c r="F1634">
        <v>3</v>
      </c>
      <c r="G1634" s="10" t="s">
        <v>30</v>
      </c>
      <c r="H1634" s="10" t="s">
        <v>2855</v>
      </c>
      <c r="I1634" s="10" t="s">
        <v>47</v>
      </c>
    </row>
    <row r="1635" spans="1:9">
      <c r="A1635" t="s">
        <v>2856</v>
      </c>
      <c r="B1635" t="s">
        <v>3268</v>
      </c>
      <c r="C1635" t="s">
        <v>29</v>
      </c>
      <c r="D1635" s="2">
        <v>55000</v>
      </c>
      <c r="E1635">
        <f>VLOOKUP(I1635,Calc!$I$35:$J$39,2,FALSE)</f>
        <v>5</v>
      </c>
      <c r="F1635">
        <v>15</v>
      </c>
      <c r="G1635" s="10" t="s">
        <v>30</v>
      </c>
      <c r="H1635" s="10" t="s">
        <v>2857</v>
      </c>
      <c r="I1635" s="10" t="s">
        <v>14</v>
      </c>
    </row>
    <row r="1636" spans="1:9" hidden="1">
      <c r="A1636" t="s">
        <v>2858</v>
      </c>
      <c r="B1636" t="s">
        <v>3269</v>
      </c>
      <c r="C1636" t="s">
        <v>29</v>
      </c>
      <c r="D1636" s="2">
        <v>75000</v>
      </c>
      <c r="E1636">
        <f>VLOOKUP(I1636,Calc!$I$35:$J$39,2,FALSE)</f>
        <v>5</v>
      </c>
      <c r="F1636">
        <v>10</v>
      </c>
      <c r="G1636" s="10" t="s">
        <v>30</v>
      </c>
      <c r="H1636" s="10" t="s">
        <v>56</v>
      </c>
      <c r="I1636" s="10" t="s">
        <v>14</v>
      </c>
    </row>
    <row r="1637" spans="1:9" hidden="1">
      <c r="A1637" t="s">
        <v>2859</v>
      </c>
      <c r="B1637" t="s">
        <v>3267</v>
      </c>
      <c r="C1637" t="s">
        <v>19</v>
      </c>
      <c r="D1637" s="2">
        <v>50307.817784067665</v>
      </c>
      <c r="E1637">
        <f>VLOOKUP(I1637,Calc!$I$35:$J$39,2,FALSE)</f>
        <v>1.5</v>
      </c>
      <c r="F1637">
        <v>5</v>
      </c>
      <c r="G1637" s="10" t="s">
        <v>19</v>
      </c>
      <c r="H1637" s="10" t="s">
        <v>2860</v>
      </c>
      <c r="I1637" s="10" t="s">
        <v>47</v>
      </c>
    </row>
    <row r="1638" spans="1:9" hidden="1">
      <c r="A1638" t="s">
        <v>2861</v>
      </c>
      <c r="B1638" t="s">
        <v>3268</v>
      </c>
      <c r="C1638" t="s">
        <v>3248</v>
      </c>
      <c r="D1638" s="2">
        <v>30500</v>
      </c>
      <c r="E1638">
        <f>VLOOKUP(I1638,Calc!$I$35:$J$39,2,FALSE)</f>
        <v>8</v>
      </c>
      <c r="F1638">
        <v>8</v>
      </c>
      <c r="G1638" s="10" t="s">
        <v>216</v>
      </c>
      <c r="H1638" s="10" t="s">
        <v>31</v>
      </c>
      <c r="I1638" s="10" t="s">
        <v>22</v>
      </c>
    </row>
    <row r="1639" spans="1:9" hidden="1">
      <c r="A1639" t="s">
        <v>2862</v>
      </c>
      <c r="B1639" t="s">
        <v>3265</v>
      </c>
      <c r="C1639" t="s">
        <v>29</v>
      </c>
      <c r="D1639" s="2">
        <v>80000</v>
      </c>
      <c r="E1639">
        <f>VLOOKUP(I1639,Calc!$I$35:$J$39,2,FALSE)</f>
        <v>2.5</v>
      </c>
      <c r="F1639">
        <v>2</v>
      </c>
      <c r="G1639" s="10" t="s">
        <v>30</v>
      </c>
      <c r="H1639" s="10" t="s">
        <v>2863</v>
      </c>
      <c r="I1639" s="10" t="s">
        <v>36</v>
      </c>
    </row>
    <row r="1640" spans="1:9">
      <c r="A1640" t="s">
        <v>2864</v>
      </c>
      <c r="B1640" t="s">
        <v>3268</v>
      </c>
      <c r="C1640" t="s">
        <v>29</v>
      </c>
      <c r="D1640" s="2">
        <v>12000</v>
      </c>
      <c r="E1640">
        <f>VLOOKUP(I1640,Calc!$I$35:$J$39,2,FALSE)</f>
        <v>2.5</v>
      </c>
      <c r="F1640">
        <v>1</v>
      </c>
      <c r="G1640" s="10" t="s">
        <v>30</v>
      </c>
      <c r="H1640" s="10" t="s">
        <v>2865</v>
      </c>
      <c r="I1640" s="10" t="s">
        <v>36</v>
      </c>
    </row>
    <row r="1641" spans="1:9">
      <c r="A1641" t="s">
        <v>2866</v>
      </c>
      <c r="B1641" t="s">
        <v>3268</v>
      </c>
      <c r="C1641" t="s">
        <v>29</v>
      </c>
      <c r="D1641" s="2">
        <v>48500</v>
      </c>
      <c r="E1641">
        <f>VLOOKUP(I1641,Calc!$I$35:$J$39,2,FALSE)</f>
        <v>5</v>
      </c>
      <c r="F1641">
        <v>6</v>
      </c>
      <c r="G1641" s="10" t="s">
        <v>30</v>
      </c>
      <c r="H1641" s="10" t="s">
        <v>2867</v>
      </c>
      <c r="I1641" s="10" t="s">
        <v>14</v>
      </c>
    </row>
    <row r="1642" spans="1:9" hidden="1">
      <c r="A1642" t="s">
        <v>2868</v>
      </c>
      <c r="B1642" t="s">
        <v>3265</v>
      </c>
      <c r="C1642" t="s">
        <v>19</v>
      </c>
      <c r="D1642" s="2">
        <v>63047.130882691366</v>
      </c>
      <c r="E1642">
        <f>VLOOKUP(I1642,Calc!$I$35:$J$39,2,FALSE)</f>
        <v>2.5</v>
      </c>
      <c r="F1642">
        <v>25</v>
      </c>
      <c r="G1642" s="10" t="s">
        <v>107</v>
      </c>
      <c r="H1642" s="10" t="s">
        <v>2869</v>
      </c>
      <c r="I1642" s="10" t="s">
        <v>36</v>
      </c>
    </row>
    <row r="1643" spans="1:9" hidden="1">
      <c r="A1643" t="s">
        <v>2870</v>
      </c>
      <c r="B1643" t="s">
        <v>3268</v>
      </c>
      <c r="C1643" t="s">
        <v>11</v>
      </c>
      <c r="D1643" s="2">
        <v>3419.1200039889732</v>
      </c>
      <c r="E1643">
        <f>VLOOKUP(I1643,Calc!$I$35:$J$39,2,FALSE)</f>
        <v>5</v>
      </c>
      <c r="F1643">
        <v>5</v>
      </c>
      <c r="G1643" s="10" t="s">
        <v>12</v>
      </c>
      <c r="H1643" s="10" t="s">
        <v>1347</v>
      </c>
      <c r="I1643" s="10" t="s">
        <v>14</v>
      </c>
    </row>
    <row r="1644" spans="1:9" hidden="1">
      <c r="A1644" t="s">
        <v>2871</v>
      </c>
      <c r="B1644" t="s">
        <v>3267</v>
      </c>
      <c r="C1644" t="s">
        <v>32</v>
      </c>
      <c r="D1644" s="2">
        <v>87734.690296543267</v>
      </c>
      <c r="E1644">
        <f>VLOOKUP(I1644,Calc!$I$35:$J$39,2,FALSE)</f>
        <v>5</v>
      </c>
      <c r="F1644">
        <v>6</v>
      </c>
      <c r="G1644" s="10" t="s">
        <v>1023</v>
      </c>
      <c r="H1644" s="10" t="s">
        <v>2872</v>
      </c>
      <c r="I1644" s="10" t="s">
        <v>14</v>
      </c>
    </row>
    <row r="1645" spans="1:9" hidden="1">
      <c r="A1645" t="s">
        <v>2873</v>
      </c>
      <c r="B1645" t="s">
        <v>3268</v>
      </c>
      <c r="C1645" t="s">
        <v>32</v>
      </c>
      <c r="D1645" s="2">
        <v>56628.754645950656</v>
      </c>
      <c r="E1645">
        <f>VLOOKUP(I1645,Calc!$I$35:$J$39,2,FALSE)</f>
        <v>8</v>
      </c>
      <c r="F1645">
        <v>6</v>
      </c>
      <c r="G1645" s="10" t="s">
        <v>1023</v>
      </c>
      <c r="H1645" s="10" t="s">
        <v>320</v>
      </c>
      <c r="I1645" s="10" t="s">
        <v>22</v>
      </c>
    </row>
    <row r="1646" spans="1:9" hidden="1">
      <c r="A1646" t="s">
        <v>2874</v>
      </c>
      <c r="B1646" t="s">
        <v>77</v>
      </c>
      <c r="C1646" t="s">
        <v>11</v>
      </c>
      <c r="D1646" s="2">
        <v>8013.5625093491553</v>
      </c>
      <c r="E1646">
        <f>VLOOKUP(I1646,Calc!$I$35:$J$39,2,FALSE)</f>
        <v>8</v>
      </c>
      <c r="F1646">
        <v>4</v>
      </c>
      <c r="G1646" s="10" t="s">
        <v>12</v>
      </c>
      <c r="H1646" s="10" t="s">
        <v>2875</v>
      </c>
      <c r="I1646" s="10" t="s">
        <v>22</v>
      </c>
    </row>
    <row r="1647" spans="1:9" hidden="1">
      <c r="A1647" t="s">
        <v>2876</v>
      </c>
      <c r="B1647" t="s">
        <v>3268</v>
      </c>
      <c r="C1647" t="s">
        <v>11</v>
      </c>
      <c r="D1647" s="2">
        <v>3561.5833374885137</v>
      </c>
      <c r="E1647">
        <f>VLOOKUP(I1647,Calc!$I$35:$J$39,2,FALSE)</f>
        <v>1.5</v>
      </c>
      <c r="F1647">
        <v>16</v>
      </c>
      <c r="G1647" s="10" t="s">
        <v>12</v>
      </c>
      <c r="H1647" s="10" t="s">
        <v>1212</v>
      </c>
      <c r="I1647" s="10" t="s">
        <v>47</v>
      </c>
    </row>
    <row r="1648" spans="1:9" hidden="1">
      <c r="A1648" t="s">
        <v>2877</v>
      </c>
      <c r="B1648" t="s">
        <v>3266</v>
      </c>
      <c r="C1648" t="s">
        <v>29</v>
      </c>
      <c r="D1648" s="2">
        <v>62000</v>
      </c>
      <c r="E1648">
        <f>VLOOKUP(I1648,Calc!$I$35:$J$39,2,FALSE)</f>
        <v>2.5</v>
      </c>
      <c r="F1648">
        <v>12</v>
      </c>
      <c r="G1648" s="10" t="s">
        <v>30</v>
      </c>
      <c r="H1648" s="10" t="s">
        <v>39</v>
      </c>
      <c r="I1648" s="10" t="s">
        <v>36</v>
      </c>
    </row>
    <row r="1649" spans="1:9" hidden="1">
      <c r="A1649" t="s">
        <v>2878</v>
      </c>
      <c r="B1649" t="s">
        <v>3268</v>
      </c>
      <c r="C1649" t="s">
        <v>19</v>
      </c>
      <c r="D1649" s="2">
        <v>26678.388218823762</v>
      </c>
      <c r="E1649">
        <f>VLOOKUP(I1649,Calc!$I$35:$J$39,2,FALSE)</f>
        <v>5</v>
      </c>
      <c r="F1649">
        <v>5</v>
      </c>
      <c r="G1649" s="10" t="s">
        <v>53</v>
      </c>
      <c r="H1649" s="10" t="s">
        <v>1991</v>
      </c>
      <c r="I1649" s="10" t="s">
        <v>14</v>
      </c>
    </row>
    <row r="1650" spans="1:9" hidden="1">
      <c r="A1650" t="s">
        <v>2879</v>
      </c>
      <c r="B1650" t="s">
        <v>3268</v>
      </c>
      <c r="C1650" t="s">
        <v>19</v>
      </c>
      <c r="D1650" s="2">
        <v>70928.022243027779</v>
      </c>
      <c r="E1650">
        <f>VLOOKUP(I1650,Calc!$I$35:$J$39,2,FALSE)</f>
        <v>8</v>
      </c>
      <c r="F1650">
        <v>5</v>
      </c>
      <c r="G1650" s="10" t="s">
        <v>107</v>
      </c>
      <c r="H1650" s="10" t="s">
        <v>233</v>
      </c>
      <c r="I1650" s="10" t="s">
        <v>22</v>
      </c>
    </row>
    <row r="1651" spans="1:9" hidden="1">
      <c r="A1651" t="s">
        <v>2880</v>
      </c>
      <c r="B1651" t="s">
        <v>3268</v>
      </c>
      <c r="C1651" t="s">
        <v>19</v>
      </c>
      <c r="D1651" s="2">
        <v>41923.181486723057</v>
      </c>
      <c r="E1651">
        <f>VLOOKUP(I1651,Calc!$I$35:$J$39,2,FALSE)</f>
        <v>5</v>
      </c>
      <c r="F1651">
        <v>6</v>
      </c>
      <c r="G1651" s="10" t="s">
        <v>159</v>
      </c>
      <c r="H1651" s="10" t="s">
        <v>2345</v>
      </c>
      <c r="I1651" s="10" t="s">
        <v>14</v>
      </c>
    </row>
    <row r="1652" spans="1:9">
      <c r="A1652" t="s">
        <v>2881</v>
      </c>
      <c r="B1652" t="s">
        <v>3268</v>
      </c>
      <c r="C1652" t="s">
        <v>29</v>
      </c>
      <c r="D1652" s="2">
        <v>90000</v>
      </c>
      <c r="E1652">
        <f>VLOOKUP(I1652,Calc!$I$35:$J$39,2,FALSE)</f>
        <v>2.5</v>
      </c>
      <c r="F1652">
        <v>8</v>
      </c>
      <c r="G1652" s="10" t="s">
        <v>30</v>
      </c>
      <c r="H1652" s="10" t="s">
        <v>2882</v>
      </c>
      <c r="I1652" s="10" t="s">
        <v>36</v>
      </c>
    </row>
    <row r="1653" spans="1:9" hidden="1">
      <c r="A1653" t="s">
        <v>2883</v>
      </c>
      <c r="B1653" t="s">
        <v>3268</v>
      </c>
      <c r="C1653" t="s">
        <v>19</v>
      </c>
      <c r="D1653" s="2">
        <v>67700.452577525488</v>
      </c>
      <c r="E1653">
        <f>VLOOKUP(I1653,Calc!$I$35:$J$39,2,FALSE)</f>
        <v>8</v>
      </c>
      <c r="F1653">
        <v>5</v>
      </c>
      <c r="G1653" s="10" t="s">
        <v>938</v>
      </c>
      <c r="H1653" s="10" t="s">
        <v>2884</v>
      </c>
      <c r="I1653" s="10" t="s">
        <v>22</v>
      </c>
    </row>
    <row r="1654" spans="1:9">
      <c r="A1654" t="s">
        <v>2885</v>
      </c>
      <c r="B1654" t="s">
        <v>3268</v>
      </c>
      <c r="C1654" t="s">
        <v>29</v>
      </c>
      <c r="D1654" s="2">
        <v>85000</v>
      </c>
      <c r="E1654">
        <f>VLOOKUP(I1654,Calc!$I$35:$J$39,2,FALSE)</f>
        <v>5</v>
      </c>
      <c r="F1654">
        <v>12</v>
      </c>
      <c r="G1654" s="10" t="s">
        <v>30</v>
      </c>
      <c r="H1654" s="10" t="s">
        <v>31</v>
      </c>
      <c r="I1654" s="10" t="s">
        <v>14</v>
      </c>
    </row>
    <row r="1655" spans="1:9" hidden="1">
      <c r="A1655" t="s">
        <v>2886</v>
      </c>
      <c r="B1655" t="s">
        <v>3249</v>
      </c>
      <c r="C1655" t="s">
        <v>19</v>
      </c>
      <c r="D1655" s="2">
        <v>78808.913603364199</v>
      </c>
      <c r="E1655">
        <f>VLOOKUP(I1655,Calc!$I$35:$J$39,2,FALSE)</f>
        <v>5</v>
      </c>
      <c r="F1655">
        <v>10</v>
      </c>
      <c r="G1655" s="10" t="s">
        <v>107</v>
      </c>
      <c r="H1655" s="10" t="s">
        <v>1610</v>
      </c>
      <c r="I1655" s="10" t="s">
        <v>14</v>
      </c>
    </row>
    <row r="1656" spans="1:9">
      <c r="A1656" t="s">
        <v>2887</v>
      </c>
      <c r="B1656" t="s">
        <v>3268</v>
      </c>
      <c r="C1656" t="s">
        <v>29</v>
      </c>
      <c r="D1656" s="2">
        <v>65000</v>
      </c>
      <c r="E1656">
        <f>VLOOKUP(I1656,Calc!$I$35:$J$39,2,FALSE)</f>
        <v>5</v>
      </c>
      <c r="F1656">
        <v>8</v>
      </c>
      <c r="G1656" s="10" t="s">
        <v>30</v>
      </c>
      <c r="H1656" s="10" t="s">
        <v>320</v>
      </c>
      <c r="I1656" s="10" t="s">
        <v>14</v>
      </c>
    </row>
    <row r="1657" spans="1:9" hidden="1">
      <c r="A1657" t="s">
        <v>2888</v>
      </c>
      <c r="B1657" t="s">
        <v>3249</v>
      </c>
      <c r="C1657" t="s">
        <v>29</v>
      </c>
      <c r="D1657" s="2">
        <v>75000</v>
      </c>
      <c r="E1657">
        <f>VLOOKUP(I1657,Calc!$I$35:$J$39,2,FALSE)</f>
        <v>2.5</v>
      </c>
      <c r="F1657">
        <v>3</v>
      </c>
      <c r="G1657" s="10" t="s">
        <v>30</v>
      </c>
      <c r="H1657" s="10" t="s">
        <v>2889</v>
      </c>
      <c r="I1657" s="10" t="s">
        <v>36</v>
      </c>
    </row>
    <row r="1658" spans="1:9">
      <c r="A1658" t="s">
        <v>2890</v>
      </c>
      <c r="B1658" t="s">
        <v>3268</v>
      </c>
      <c r="C1658" t="s">
        <v>29</v>
      </c>
      <c r="D1658" s="2">
        <v>92000</v>
      </c>
      <c r="E1658">
        <f>VLOOKUP(I1658,Calc!$I$35:$J$39,2,FALSE)</f>
        <v>5</v>
      </c>
      <c r="F1658">
        <v>9</v>
      </c>
      <c r="G1658" s="10" t="s">
        <v>30</v>
      </c>
      <c r="H1658" s="10" t="s">
        <v>2891</v>
      </c>
      <c r="I1658" s="10" t="s">
        <v>14</v>
      </c>
    </row>
    <row r="1659" spans="1:9" hidden="1">
      <c r="A1659" t="s">
        <v>2892</v>
      </c>
      <c r="B1659" t="s">
        <v>3268</v>
      </c>
      <c r="C1659" t="s">
        <v>19</v>
      </c>
      <c r="D1659" s="2">
        <v>50815.977559664309</v>
      </c>
      <c r="E1659">
        <f>VLOOKUP(I1659,Calc!$I$35:$J$39,2,FALSE)</f>
        <v>2.5</v>
      </c>
      <c r="F1659">
        <v>3</v>
      </c>
      <c r="G1659" s="10" t="s">
        <v>45</v>
      </c>
      <c r="H1659" s="10" t="s">
        <v>31</v>
      </c>
      <c r="I1659" s="10" t="s">
        <v>36</v>
      </c>
    </row>
    <row r="1660" spans="1:9" hidden="1">
      <c r="A1660" t="s">
        <v>2893</v>
      </c>
      <c r="B1660" t="s">
        <v>3269</v>
      </c>
      <c r="C1660" t="s">
        <v>19</v>
      </c>
      <c r="D1660" s="2">
        <v>55954.328658388586</v>
      </c>
      <c r="E1660">
        <f>VLOOKUP(I1660,Calc!$I$35:$J$39,2,FALSE)</f>
        <v>5</v>
      </c>
      <c r="F1660">
        <v>8</v>
      </c>
      <c r="G1660" s="10" t="s">
        <v>107</v>
      </c>
      <c r="H1660" s="10" t="s">
        <v>2021</v>
      </c>
      <c r="I1660" s="10" t="s">
        <v>14</v>
      </c>
    </row>
    <row r="1661" spans="1:9">
      <c r="A1661" t="s">
        <v>2894</v>
      </c>
      <c r="B1661" t="s">
        <v>3268</v>
      </c>
      <c r="C1661" t="s">
        <v>29</v>
      </c>
      <c r="D1661" s="2">
        <v>45000</v>
      </c>
      <c r="E1661">
        <f>VLOOKUP(I1661,Calc!$I$35:$J$39,2,FALSE)</f>
        <v>2.5</v>
      </c>
      <c r="F1661">
        <v>4</v>
      </c>
      <c r="G1661" s="10" t="s">
        <v>30</v>
      </c>
      <c r="H1661" s="10" t="s">
        <v>2895</v>
      </c>
      <c r="I1661" s="10" t="s">
        <v>36</v>
      </c>
    </row>
    <row r="1662" spans="1:9" hidden="1">
      <c r="A1662" t="s">
        <v>2896</v>
      </c>
      <c r="B1662" t="s">
        <v>3268</v>
      </c>
      <c r="C1662" t="s">
        <v>11</v>
      </c>
      <c r="D1662" s="2">
        <v>7123.1666749770275</v>
      </c>
      <c r="E1662">
        <f>VLOOKUP(I1662,Calc!$I$35:$J$39,2,FALSE)</f>
        <v>5</v>
      </c>
      <c r="F1662">
        <v>4</v>
      </c>
      <c r="G1662" s="10" t="s">
        <v>12</v>
      </c>
      <c r="H1662" s="10" t="s">
        <v>10</v>
      </c>
      <c r="I1662" s="10" t="s">
        <v>14</v>
      </c>
    </row>
    <row r="1663" spans="1:9" hidden="1">
      <c r="A1663" t="s">
        <v>2897</v>
      </c>
      <c r="B1663" t="s">
        <v>3268</v>
      </c>
      <c r="C1663" t="s">
        <v>19</v>
      </c>
      <c r="D1663" s="2">
        <v>49443.946165553374</v>
      </c>
      <c r="E1663">
        <f>VLOOKUP(I1663,Calc!$I$35:$J$39,2,FALSE)</f>
        <v>5</v>
      </c>
      <c r="F1663">
        <v>1.5</v>
      </c>
      <c r="G1663" s="10" t="s">
        <v>96</v>
      </c>
      <c r="H1663" s="10" t="s">
        <v>2898</v>
      </c>
      <c r="I1663" s="10" t="s">
        <v>14</v>
      </c>
    </row>
    <row r="1664" spans="1:9" hidden="1">
      <c r="A1664" t="s">
        <v>2899</v>
      </c>
      <c r="B1664" t="s">
        <v>3249</v>
      </c>
      <c r="C1664" t="s">
        <v>3248</v>
      </c>
      <c r="D1664" s="2">
        <v>45000</v>
      </c>
      <c r="E1664">
        <f>VLOOKUP(I1664,Calc!$I$35:$J$39,2,FALSE)</f>
        <v>5</v>
      </c>
      <c r="F1664">
        <v>5</v>
      </c>
      <c r="G1664" s="10" t="s">
        <v>254</v>
      </c>
      <c r="H1664" s="10" t="s">
        <v>54</v>
      </c>
      <c r="I1664" s="10" t="s">
        <v>14</v>
      </c>
    </row>
    <row r="1665" spans="1:9">
      <c r="A1665" t="s">
        <v>2900</v>
      </c>
      <c r="B1665" t="s">
        <v>3268</v>
      </c>
      <c r="C1665" t="s">
        <v>29</v>
      </c>
      <c r="D1665" s="2">
        <v>60000</v>
      </c>
      <c r="E1665">
        <f>VLOOKUP(I1665,Calc!$I$35:$J$39,2,FALSE)</f>
        <v>8</v>
      </c>
      <c r="F1665">
        <v>1</v>
      </c>
      <c r="G1665" s="10" t="s">
        <v>30</v>
      </c>
      <c r="H1665" s="10" t="s">
        <v>10</v>
      </c>
      <c r="I1665" s="10" t="s">
        <v>22</v>
      </c>
    </row>
    <row r="1666" spans="1:9">
      <c r="A1666" t="s">
        <v>2901</v>
      </c>
      <c r="B1666" t="s">
        <v>3268</v>
      </c>
      <c r="C1666" t="s">
        <v>29</v>
      </c>
      <c r="D1666" s="2">
        <v>65000</v>
      </c>
      <c r="E1666">
        <f>VLOOKUP(I1666,Calc!$I$35:$J$39,2,FALSE)</f>
        <v>8</v>
      </c>
      <c r="F1666">
        <v>4</v>
      </c>
      <c r="G1666" s="10" t="s">
        <v>30</v>
      </c>
      <c r="H1666" s="10" t="s">
        <v>2902</v>
      </c>
      <c r="I1666" s="10" t="s">
        <v>22</v>
      </c>
    </row>
    <row r="1667" spans="1:9" hidden="1">
      <c r="A1667" t="s">
        <v>2903</v>
      </c>
      <c r="B1667" t="s">
        <v>3267</v>
      </c>
      <c r="C1667" t="s">
        <v>29</v>
      </c>
      <c r="D1667" s="2">
        <v>73000</v>
      </c>
      <c r="E1667">
        <f>VLOOKUP(I1667,Calc!$I$35:$J$39,2,FALSE)</f>
        <v>2.5</v>
      </c>
      <c r="F1667">
        <v>6</v>
      </c>
      <c r="G1667" s="10" t="s">
        <v>30</v>
      </c>
      <c r="H1667" s="10" t="s">
        <v>2904</v>
      </c>
      <c r="I1667" s="10" t="s">
        <v>36</v>
      </c>
    </row>
    <row r="1668" spans="1:9">
      <c r="A1668" t="s">
        <v>2905</v>
      </c>
      <c r="B1668" t="s">
        <v>3268</v>
      </c>
      <c r="C1668" t="s">
        <v>29</v>
      </c>
      <c r="D1668" s="2">
        <v>54000</v>
      </c>
      <c r="E1668">
        <f>VLOOKUP(I1668,Calc!$I$35:$J$39,2,FALSE)</f>
        <v>8</v>
      </c>
      <c r="F1668">
        <v>6</v>
      </c>
      <c r="G1668" s="10" t="s">
        <v>30</v>
      </c>
      <c r="H1668" s="10" t="s">
        <v>498</v>
      </c>
      <c r="I1668" s="10" t="s">
        <v>22</v>
      </c>
    </row>
    <row r="1669" spans="1:9">
      <c r="A1669" t="s">
        <v>2906</v>
      </c>
      <c r="B1669" t="s">
        <v>3268</v>
      </c>
      <c r="C1669" t="s">
        <v>29</v>
      </c>
      <c r="D1669" s="2">
        <v>81000</v>
      </c>
      <c r="E1669">
        <f>VLOOKUP(I1669,Calc!$I$35:$J$39,2,FALSE)</f>
        <v>5</v>
      </c>
      <c r="F1669">
        <v>6</v>
      </c>
      <c r="G1669" s="10" t="s">
        <v>30</v>
      </c>
      <c r="H1669" s="10" t="s">
        <v>2907</v>
      </c>
      <c r="I1669" s="10" t="s">
        <v>14</v>
      </c>
    </row>
    <row r="1670" spans="1:9">
      <c r="A1670" t="s">
        <v>2908</v>
      </c>
      <c r="B1670" t="s">
        <v>3268</v>
      </c>
      <c r="C1670" t="s">
        <v>29</v>
      </c>
      <c r="D1670" s="2">
        <v>10000</v>
      </c>
      <c r="E1670">
        <f>VLOOKUP(I1670,Calc!$I$35:$J$39,2,FALSE)</f>
        <v>5</v>
      </c>
      <c r="F1670">
        <v>2</v>
      </c>
      <c r="G1670" s="10" t="s">
        <v>30</v>
      </c>
      <c r="H1670" s="10" t="s">
        <v>2909</v>
      </c>
      <c r="I1670" s="10" t="s">
        <v>14</v>
      </c>
    </row>
    <row r="1671" spans="1:9" hidden="1">
      <c r="A1671" t="s">
        <v>2910</v>
      </c>
      <c r="B1671" t="s">
        <v>3269</v>
      </c>
      <c r="C1671" t="s">
        <v>29</v>
      </c>
      <c r="D1671" s="2">
        <v>42000</v>
      </c>
      <c r="E1671">
        <f>VLOOKUP(I1671,Calc!$I$35:$J$39,2,FALSE)</f>
        <v>5</v>
      </c>
      <c r="F1671">
        <v>1</v>
      </c>
      <c r="G1671" s="10" t="s">
        <v>30</v>
      </c>
      <c r="H1671" s="10" t="s">
        <v>2136</v>
      </c>
      <c r="I1671" s="10" t="s">
        <v>14</v>
      </c>
    </row>
    <row r="1672" spans="1:9" hidden="1">
      <c r="A1672" t="s">
        <v>2911</v>
      </c>
      <c r="B1672" t="s">
        <v>3265</v>
      </c>
      <c r="C1672" t="s">
        <v>32</v>
      </c>
      <c r="D1672" s="2">
        <v>81592.772512210868</v>
      </c>
      <c r="E1672">
        <f>VLOOKUP(I1672,Calc!$I$35:$J$39,2,FALSE)</f>
        <v>5</v>
      </c>
      <c r="F1672">
        <v>5</v>
      </c>
      <c r="G1672" s="10" t="s">
        <v>123</v>
      </c>
      <c r="H1672" s="10" t="s">
        <v>2912</v>
      </c>
      <c r="I1672" s="10" t="s">
        <v>14</v>
      </c>
    </row>
    <row r="1673" spans="1:9">
      <c r="A1673" t="s">
        <v>2913</v>
      </c>
      <c r="B1673" t="s">
        <v>3268</v>
      </c>
      <c r="C1673" t="s">
        <v>29</v>
      </c>
      <c r="D1673" s="2">
        <v>35401.014829091764</v>
      </c>
      <c r="E1673">
        <f>VLOOKUP(I1673,Calc!$I$35:$J$39,2,FALSE)</f>
        <v>8</v>
      </c>
      <c r="F1673">
        <v>2</v>
      </c>
      <c r="G1673" s="10" t="s">
        <v>128</v>
      </c>
      <c r="H1673" s="10" t="s">
        <v>2914</v>
      </c>
      <c r="I1673" s="10" t="s">
        <v>22</v>
      </c>
    </row>
    <row r="1674" spans="1:9" hidden="1">
      <c r="A1674" t="s">
        <v>2915</v>
      </c>
      <c r="B1674" t="s">
        <v>3268</v>
      </c>
      <c r="C1674" t="s">
        <v>11</v>
      </c>
      <c r="D1674" s="2">
        <v>8903.9583437212841</v>
      </c>
      <c r="E1674">
        <f>VLOOKUP(I1674,Calc!$I$35:$J$39,2,FALSE)</f>
        <v>5</v>
      </c>
      <c r="F1674">
        <v>4</v>
      </c>
      <c r="G1674" s="10" t="s">
        <v>12</v>
      </c>
      <c r="H1674" s="10" t="s">
        <v>383</v>
      </c>
      <c r="I1674" s="10" t="s">
        <v>14</v>
      </c>
    </row>
    <row r="1675" spans="1:9" hidden="1">
      <c r="A1675" t="s">
        <v>2916</v>
      </c>
      <c r="B1675" t="s">
        <v>3268</v>
      </c>
      <c r="C1675" t="s">
        <v>11</v>
      </c>
      <c r="D1675" s="2">
        <v>10684.750012465542</v>
      </c>
      <c r="E1675">
        <f>VLOOKUP(I1675,Calc!$I$35:$J$39,2,FALSE)</f>
        <v>8</v>
      </c>
      <c r="F1675">
        <v>5</v>
      </c>
      <c r="G1675" s="10" t="s">
        <v>12</v>
      </c>
      <c r="H1675" s="10" t="s">
        <v>2917</v>
      </c>
      <c r="I1675" s="10" t="s">
        <v>22</v>
      </c>
    </row>
    <row r="1676" spans="1:9" hidden="1">
      <c r="A1676" t="s">
        <v>2918</v>
      </c>
      <c r="B1676" t="s">
        <v>3268</v>
      </c>
      <c r="C1676" t="s">
        <v>11</v>
      </c>
      <c r="D1676" s="2">
        <v>8400</v>
      </c>
      <c r="E1676">
        <f>VLOOKUP(I1676,Calc!$I$35:$J$39,2,FALSE)</f>
        <v>5</v>
      </c>
      <c r="F1676">
        <v>14</v>
      </c>
      <c r="G1676" s="10" t="s">
        <v>1177</v>
      </c>
      <c r="H1676" s="10" t="s">
        <v>2919</v>
      </c>
      <c r="I1676" s="10" t="s">
        <v>14</v>
      </c>
    </row>
    <row r="1677" spans="1:9" hidden="1">
      <c r="A1677" t="s">
        <v>2920</v>
      </c>
      <c r="B1677" t="s">
        <v>3267</v>
      </c>
      <c r="C1677" t="s">
        <v>11</v>
      </c>
      <c r="D1677" s="2">
        <v>9794.354178093412</v>
      </c>
      <c r="E1677">
        <f>VLOOKUP(I1677,Calc!$I$35:$J$39,2,FALSE)</f>
        <v>5</v>
      </c>
      <c r="F1677">
        <v>13</v>
      </c>
      <c r="G1677" s="10" t="s">
        <v>12</v>
      </c>
      <c r="H1677" s="10" t="s">
        <v>2921</v>
      </c>
      <c r="I1677" s="10" t="s">
        <v>14</v>
      </c>
    </row>
    <row r="1678" spans="1:9" hidden="1">
      <c r="A1678" t="s">
        <v>2922</v>
      </c>
      <c r="B1678" t="s">
        <v>3266</v>
      </c>
      <c r="C1678" t="s">
        <v>11</v>
      </c>
      <c r="D1678" s="2">
        <v>14400</v>
      </c>
      <c r="E1678">
        <f>VLOOKUP(I1678,Calc!$I$35:$J$39,2,FALSE)</f>
        <v>1.5</v>
      </c>
      <c r="F1678">
        <v>8</v>
      </c>
      <c r="G1678" s="10" t="s">
        <v>12</v>
      </c>
      <c r="H1678" s="10" t="s">
        <v>38</v>
      </c>
      <c r="I1678" s="10" t="s">
        <v>47</v>
      </c>
    </row>
    <row r="1679" spans="1:9" hidden="1">
      <c r="A1679" t="s">
        <v>2923</v>
      </c>
      <c r="B1679" t="s">
        <v>77</v>
      </c>
      <c r="C1679" t="s">
        <v>11</v>
      </c>
      <c r="D1679" s="2">
        <v>2671.1875031163854</v>
      </c>
      <c r="E1679">
        <f>VLOOKUP(I1679,Calc!$I$35:$J$39,2,FALSE)</f>
        <v>8</v>
      </c>
      <c r="F1679">
        <v>3</v>
      </c>
      <c r="G1679" s="10" t="s">
        <v>12</v>
      </c>
      <c r="H1679" s="10" t="s">
        <v>1167</v>
      </c>
      <c r="I1679" s="10" t="s">
        <v>22</v>
      </c>
    </row>
    <row r="1680" spans="1:9" hidden="1">
      <c r="A1680" t="s">
        <v>2924</v>
      </c>
      <c r="B1680" t="s">
        <v>3267</v>
      </c>
      <c r="C1680" t="s">
        <v>11</v>
      </c>
      <c r="D1680" s="2">
        <v>22000</v>
      </c>
      <c r="E1680">
        <f>VLOOKUP(I1680,Calc!$I$35:$J$39,2,FALSE)</f>
        <v>8</v>
      </c>
      <c r="F1680">
        <v>6</v>
      </c>
      <c r="G1680" s="10" t="s">
        <v>12</v>
      </c>
      <c r="H1680" s="10" t="s">
        <v>2925</v>
      </c>
      <c r="I1680" s="10" t="s">
        <v>22</v>
      </c>
    </row>
    <row r="1681" spans="1:9" hidden="1">
      <c r="A1681" t="s">
        <v>2926</v>
      </c>
      <c r="B1681" t="s">
        <v>3268</v>
      </c>
      <c r="C1681" t="s">
        <v>19</v>
      </c>
      <c r="D1681" s="2">
        <v>100000</v>
      </c>
      <c r="E1681">
        <f>VLOOKUP(I1681,Calc!$I$35:$J$39,2,FALSE)</f>
        <v>8</v>
      </c>
      <c r="F1681">
        <v>6</v>
      </c>
      <c r="G1681" s="10" t="s">
        <v>103</v>
      </c>
      <c r="H1681" s="10" t="s">
        <v>2927</v>
      </c>
      <c r="I1681" s="10" t="s">
        <v>22</v>
      </c>
    </row>
    <row r="1682" spans="1:9" hidden="1">
      <c r="A1682" t="s">
        <v>2928</v>
      </c>
      <c r="B1682" t="s">
        <v>3267</v>
      </c>
      <c r="C1682" t="s">
        <v>19</v>
      </c>
      <c r="D1682" s="2">
        <v>63047.130882691366</v>
      </c>
      <c r="E1682">
        <f>VLOOKUP(I1682,Calc!$I$35:$J$39,2,FALSE)</f>
        <v>5</v>
      </c>
      <c r="F1682">
        <v>15</v>
      </c>
      <c r="G1682" s="10" t="s">
        <v>107</v>
      </c>
      <c r="H1682" s="10" t="s">
        <v>316</v>
      </c>
      <c r="I1682" s="10" t="s">
        <v>14</v>
      </c>
    </row>
    <row r="1683" spans="1:9" hidden="1">
      <c r="A1683" t="s">
        <v>2929</v>
      </c>
      <c r="B1683" t="s">
        <v>3267</v>
      </c>
      <c r="C1683" t="s">
        <v>19</v>
      </c>
      <c r="D1683" s="2">
        <v>56742.417794422225</v>
      </c>
      <c r="E1683">
        <f>VLOOKUP(I1683,Calc!$I$35:$J$39,2,FALSE)</f>
        <v>1.5</v>
      </c>
      <c r="F1683">
        <v>25</v>
      </c>
      <c r="G1683" s="10" t="s">
        <v>107</v>
      </c>
      <c r="H1683" s="10" t="s">
        <v>2930</v>
      </c>
      <c r="I1683" s="10" t="s">
        <v>47</v>
      </c>
    </row>
    <row r="1684" spans="1:9" hidden="1">
      <c r="A1684" t="s">
        <v>2931</v>
      </c>
      <c r="B1684" t="s">
        <v>3268</v>
      </c>
      <c r="C1684" t="s">
        <v>11</v>
      </c>
      <c r="D1684" s="2">
        <v>25000</v>
      </c>
      <c r="E1684">
        <f>VLOOKUP(I1684,Calc!$I$35:$J$39,2,FALSE)</f>
        <v>8</v>
      </c>
      <c r="F1684">
        <v>8</v>
      </c>
      <c r="G1684" s="10" t="s">
        <v>12</v>
      </c>
      <c r="H1684" s="10" t="s">
        <v>2932</v>
      </c>
      <c r="I1684" s="10" t="s">
        <v>22</v>
      </c>
    </row>
    <row r="1685" spans="1:9" hidden="1">
      <c r="A1685" t="s">
        <v>2933</v>
      </c>
      <c r="B1685" t="s">
        <v>3268</v>
      </c>
      <c r="C1685" t="s">
        <v>11</v>
      </c>
      <c r="D1685" s="2">
        <v>8903.9583437212841</v>
      </c>
      <c r="E1685">
        <f>VLOOKUP(I1685,Calc!$I$35:$J$39,2,FALSE)</f>
        <v>5</v>
      </c>
      <c r="F1685">
        <v>2</v>
      </c>
      <c r="G1685" s="10" t="s">
        <v>12</v>
      </c>
      <c r="H1685" s="10" t="s">
        <v>320</v>
      </c>
      <c r="I1685" s="10" t="s">
        <v>14</v>
      </c>
    </row>
    <row r="1686" spans="1:9" hidden="1">
      <c r="A1686" t="s">
        <v>2934</v>
      </c>
      <c r="B1686" t="s">
        <v>3268</v>
      </c>
      <c r="C1686" t="s">
        <v>19</v>
      </c>
      <c r="D1686" s="2">
        <v>42556.81334581667</v>
      </c>
      <c r="E1686">
        <f>VLOOKUP(I1686,Calc!$I$35:$J$39,2,FALSE)</f>
        <v>5</v>
      </c>
      <c r="F1686">
        <v>2</v>
      </c>
      <c r="G1686" s="10" t="s">
        <v>107</v>
      </c>
      <c r="H1686" s="10" t="s">
        <v>2935</v>
      </c>
      <c r="I1686" s="10" t="s">
        <v>14</v>
      </c>
    </row>
    <row r="1687" spans="1:9" hidden="1">
      <c r="A1687" t="s">
        <v>2936</v>
      </c>
      <c r="B1687" t="s">
        <v>3269</v>
      </c>
      <c r="C1687" t="s">
        <v>29</v>
      </c>
      <c r="D1687" s="2">
        <v>131770.4440860638</v>
      </c>
      <c r="E1687">
        <f>VLOOKUP(I1687,Calc!$I$35:$J$39,2,FALSE)</f>
        <v>8</v>
      </c>
      <c r="F1687">
        <v>20</v>
      </c>
      <c r="G1687" s="10" t="s">
        <v>128</v>
      </c>
      <c r="H1687" s="10" t="s">
        <v>2937</v>
      </c>
      <c r="I1687" s="10" t="s">
        <v>22</v>
      </c>
    </row>
    <row r="1688" spans="1:9">
      <c r="A1688" t="s">
        <v>2938</v>
      </c>
      <c r="B1688" t="s">
        <v>3268</v>
      </c>
      <c r="C1688" t="s">
        <v>29</v>
      </c>
      <c r="D1688" s="2">
        <v>68835.306612122877</v>
      </c>
      <c r="E1688">
        <f>VLOOKUP(I1688,Calc!$I$35:$J$39,2,FALSE)</f>
        <v>8</v>
      </c>
      <c r="F1688">
        <v>2</v>
      </c>
      <c r="G1688" s="10" t="s">
        <v>128</v>
      </c>
      <c r="H1688" s="10" t="s">
        <v>31</v>
      </c>
      <c r="I1688" s="10" t="s">
        <v>22</v>
      </c>
    </row>
    <row r="1689" spans="1:9" hidden="1">
      <c r="A1689" t="s">
        <v>2939</v>
      </c>
      <c r="B1689" t="s">
        <v>77</v>
      </c>
      <c r="C1689" t="s">
        <v>11</v>
      </c>
      <c r="D1689" s="2">
        <v>6000</v>
      </c>
      <c r="E1689">
        <f>VLOOKUP(I1689,Calc!$I$35:$J$39,2,FALSE)</f>
        <v>8</v>
      </c>
      <c r="F1689">
        <v>5</v>
      </c>
      <c r="G1689" s="10" t="s">
        <v>2940</v>
      </c>
      <c r="H1689" s="10" t="s">
        <v>2941</v>
      </c>
      <c r="I1689" s="10" t="s">
        <v>22</v>
      </c>
    </row>
    <row r="1690" spans="1:9" hidden="1">
      <c r="A1690" t="s">
        <v>2942</v>
      </c>
      <c r="B1690" t="s">
        <v>3268</v>
      </c>
      <c r="C1690" t="s">
        <v>19</v>
      </c>
      <c r="D1690" s="2">
        <v>78808.913603364199</v>
      </c>
      <c r="E1690">
        <f>VLOOKUP(I1690,Calc!$I$35:$J$39,2,FALSE)</f>
        <v>2.5</v>
      </c>
      <c r="F1690">
        <v>2</v>
      </c>
      <c r="G1690" s="10" t="s">
        <v>107</v>
      </c>
      <c r="H1690" s="10" t="s">
        <v>308</v>
      </c>
      <c r="I1690" s="10" t="s">
        <v>36</v>
      </c>
    </row>
    <row r="1691" spans="1:9" hidden="1">
      <c r="A1691" t="s">
        <v>2943</v>
      </c>
      <c r="B1691" t="s">
        <v>3268</v>
      </c>
      <c r="C1691" t="s">
        <v>11</v>
      </c>
      <c r="D1691" s="2">
        <v>7497.1329254133216</v>
      </c>
      <c r="E1691">
        <f>VLOOKUP(I1691,Calc!$I$35:$J$39,2,FALSE)</f>
        <v>5</v>
      </c>
      <c r="F1691">
        <v>4</v>
      </c>
      <c r="G1691" s="10" t="s">
        <v>12</v>
      </c>
      <c r="H1691" s="10" t="s">
        <v>2944</v>
      </c>
      <c r="I1691" s="10" t="s">
        <v>14</v>
      </c>
    </row>
    <row r="1692" spans="1:9" hidden="1">
      <c r="A1692" t="s">
        <v>2945</v>
      </c>
      <c r="B1692" t="s">
        <v>3267</v>
      </c>
      <c r="C1692" t="s">
        <v>11</v>
      </c>
      <c r="D1692" s="2">
        <v>10000</v>
      </c>
      <c r="E1692">
        <f>VLOOKUP(I1692,Calc!$I$35:$J$39,2,FALSE)</f>
        <v>5</v>
      </c>
      <c r="F1692">
        <v>11</v>
      </c>
      <c r="G1692" s="10" t="s">
        <v>12</v>
      </c>
      <c r="H1692" s="10" t="s">
        <v>2946</v>
      </c>
      <c r="I1692" s="10" t="s">
        <v>14</v>
      </c>
    </row>
    <row r="1693" spans="1:9" hidden="1">
      <c r="A1693" t="s">
        <v>2947</v>
      </c>
      <c r="B1693" t="s">
        <v>3264</v>
      </c>
      <c r="C1693" t="s">
        <v>11</v>
      </c>
      <c r="D1693" s="2">
        <v>6410.8500074793246</v>
      </c>
      <c r="E1693">
        <f>VLOOKUP(I1693,Calc!$I$35:$J$39,2,FALSE)</f>
        <v>1.5</v>
      </c>
      <c r="F1693">
        <v>2</v>
      </c>
      <c r="G1693" s="10" t="s">
        <v>12</v>
      </c>
      <c r="H1693" s="10" t="s">
        <v>2948</v>
      </c>
      <c r="I1693" s="10" t="s">
        <v>47</v>
      </c>
    </row>
    <row r="1694" spans="1:9" hidden="1">
      <c r="A1694" t="s">
        <v>2949</v>
      </c>
      <c r="B1694" t="s">
        <v>3268</v>
      </c>
      <c r="C1694" t="s">
        <v>19</v>
      </c>
      <c r="D1694" s="2">
        <v>63047.130882691366</v>
      </c>
      <c r="E1694">
        <f>VLOOKUP(I1694,Calc!$I$35:$J$39,2,FALSE)</f>
        <v>5</v>
      </c>
      <c r="F1694">
        <v>5</v>
      </c>
      <c r="G1694" s="10" t="s">
        <v>107</v>
      </c>
      <c r="H1694" s="10" t="s">
        <v>10</v>
      </c>
      <c r="I1694" s="10" t="s">
        <v>14</v>
      </c>
    </row>
    <row r="1695" spans="1:9" hidden="1">
      <c r="A1695" t="s">
        <v>2950</v>
      </c>
      <c r="B1695" t="s">
        <v>3268</v>
      </c>
      <c r="C1695" t="s">
        <v>32</v>
      </c>
      <c r="D1695" s="2">
        <v>61194.579384158147</v>
      </c>
      <c r="E1695">
        <f>VLOOKUP(I1695,Calc!$I$35:$J$39,2,FALSE)</f>
        <v>2.5</v>
      </c>
      <c r="F1695">
        <v>3</v>
      </c>
      <c r="G1695" s="10" t="s">
        <v>123</v>
      </c>
      <c r="H1695" s="10" t="s">
        <v>68</v>
      </c>
      <c r="I1695" s="10" t="s">
        <v>36</v>
      </c>
    </row>
    <row r="1696" spans="1:9" hidden="1">
      <c r="A1696" t="s">
        <v>2951</v>
      </c>
      <c r="B1696" t="s">
        <v>3263</v>
      </c>
      <c r="C1696" t="s">
        <v>19</v>
      </c>
      <c r="D1696" s="2">
        <v>115061.01386091174</v>
      </c>
      <c r="E1696">
        <f>VLOOKUP(I1696,Calc!$I$35:$J$39,2,FALSE)</f>
        <v>5</v>
      </c>
      <c r="F1696">
        <v>8</v>
      </c>
      <c r="G1696" s="10" t="s">
        <v>107</v>
      </c>
      <c r="H1696" s="10" t="s">
        <v>276</v>
      </c>
      <c r="I1696" s="10" t="s">
        <v>14</v>
      </c>
    </row>
    <row r="1697" spans="1:9">
      <c r="A1697" t="s">
        <v>2952</v>
      </c>
      <c r="B1697" t="s">
        <v>3268</v>
      </c>
      <c r="C1697" t="s">
        <v>29</v>
      </c>
      <c r="D1697" s="2">
        <v>45000</v>
      </c>
      <c r="E1697">
        <f>VLOOKUP(I1697,Calc!$I$35:$J$39,2,FALSE)</f>
        <v>8</v>
      </c>
      <c r="F1697">
        <v>2</v>
      </c>
      <c r="G1697" s="10" t="s">
        <v>30</v>
      </c>
      <c r="H1697" s="10" t="s">
        <v>2953</v>
      </c>
      <c r="I1697" s="10" t="s">
        <v>22</v>
      </c>
    </row>
    <row r="1698" spans="1:9">
      <c r="A1698" t="s">
        <v>2954</v>
      </c>
      <c r="B1698" t="s">
        <v>3268</v>
      </c>
      <c r="C1698" t="s">
        <v>29</v>
      </c>
      <c r="D1698" s="2">
        <v>36000</v>
      </c>
      <c r="E1698">
        <f>VLOOKUP(I1698,Calc!$I$35:$J$39,2,FALSE)</f>
        <v>5</v>
      </c>
      <c r="F1698">
        <v>4</v>
      </c>
      <c r="G1698" s="10" t="s">
        <v>30</v>
      </c>
      <c r="H1698" s="10" t="s">
        <v>914</v>
      </c>
      <c r="I1698" s="10" t="s">
        <v>14</v>
      </c>
    </row>
    <row r="1699" spans="1:9">
      <c r="A1699" t="s">
        <v>2955</v>
      </c>
      <c r="B1699" t="s">
        <v>3268</v>
      </c>
      <c r="C1699" t="s">
        <v>29</v>
      </c>
      <c r="D1699" s="2">
        <v>68000</v>
      </c>
      <c r="E1699">
        <f>VLOOKUP(I1699,Calc!$I$35:$J$39,2,FALSE)</f>
        <v>5</v>
      </c>
      <c r="F1699">
        <v>2.5</v>
      </c>
      <c r="G1699" s="10" t="s">
        <v>30</v>
      </c>
      <c r="H1699" s="10" t="s">
        <v>2956</v>
      </c>
      <c r="I1699" s="10" t="s">
        <v>14</v>
      </c>
    </row>
    <row r="1700" spans="1:9">
      <c r="A1700" t="s">
        <v>2957</v>
      </c>
      <c r="B1700" t="s">
        <v>3268</v>
      </c>
      <c r="C1700" t="s">
        <v>29</v>
      </c>
      <c r="D1700" s="2">
        <v>75000</v>
      </c>
      <c r="E1700">
        <f>VLOOKUP(I1700,Calc!$I$35:$J$39,2,FALSE)</f>
        <v>8</v>
      </c>
      <c r="F1700">
        <v>5</v>
      </c>
      <c r="G1700" s="10" t="s">
        <v>30</v>
      </c>
      <c r="H1700" s="10" t="s">
        <v>689</v>
      </c>
      <c r="I1700" s="10" t="s">
        <v>22</v>
      </c>
    </row>
    <row r="1701" spans="1:9">
      <c r="A1701" t="s">
        <v>2958</v>
      </c>
      <c r="B1701" t="s">
        <v>3268</v>
      </c>
      <c r="C1701" t="s">
        <v>29</v>
      </c>
      <c r="D1701" s="2">
        <v>88000</v>
      </c>
      <c r="E1701">
        <f>VLOOKUP(I1701,Calc!$I$35:$J$39,2,FALSE)</f>
        <v>8</v>
      </c>
      <c r="F1701">
        <v>10</v>
      </c>
      <c r="G1701" s="10" t="s">
        <v>30</v>
      </c>
      <c r="H1701" s="10" t="s">
        <v>2959</v>
      </c>
      <c r="I1701" s="10" t="s">
        <v>22</v>
      </c>
    </row>
    <row r="1702" spans="1:9" hidden="1">
      <c r="A1702" t="s">
        <v>2960</v>
      </c>
      <c r="B1702" t="s">
        <v>3268</v>
      </c>
      <c r="C1702" t="s">
        <v>11</v>
      </c>
      <c r="D1702" s="2">
        <v>4594.4425053601826</v>
      </c>
      <c r="E1702">
        <f>VLOOKUP(I1702,Calc!$I$35:$J$39,2,FALSE)</f>
        <v>5</v>
      </c>
      <c r="F1702">
        <v>4</v>
      </c>
      <c r="G1702" s="10" t="s">
        <v>12</v>
      </c>
      <c r="H1702" s="10" t="s">
        <v>2961</v>
      </c>
      <c r="I1702" s="10" t="s">
        <v>14</v>
      </c>
    </row>
    <row r="1703" spans="1:9">
      <c r="A1703" t="s">
        <v>2962</v>
      </c>
      <c r="B1703" t="s">
        <v>3268</v>
      </c>
      <c r="C1703" t="s">
        <v>29</v>
      </c>
      <c r="D1703" s="2">
        <v>69000</v>
      </c>
      <c r="E1703">
        <f>VLOOKUP(I1703,Calc!$I$35:$J$39,2,FALSE)</f>
        <v>8</v>
      </c>
      <c r="F1703">
        <v>15</v>
      </c>
      <c r="G1703" s="10" t="s">
        <v>30</v>
      </c>
      <c r="H1703" s="10" t="s">
        <v>2963</v>
      </c>
      <c r="I1703" s="10" t="s">
        <v>22</v>
      </c>
    </row>
    <row r="1704" spans="1:9" hidden="1">
      <c r="A1704" t="s">
        <v>2964</v>
      </c>
      <c r="B1704" t="s">
        <v>3267</v>
      </c>
      <c r="C1704" t="s">
        <v>29</v>
      </c>
      <c r="D1704" s="2">
        <v>30000</v>
      </c>
      <c r="E1704">
        <f>VLOOKUP(I1704,Calc!$I$35:$J$39,2,FALSE)</f>
        <v>5</v>
      </c>
      <c r="F1704">
        <v>1</v>
      </c>
      <c r="G1704" s="10" t="s">
        <v>30</v>
      </c>
      <c r="H1704" s="10" t="s">
        <v>1972</v>
      </c>
      <c r="I1704" s="10" t="s">
        <v>14</v>
      </c>
    </row>
    <row r="1705" spans="1:9" hidden="1">
      <c r="A1705" t="s">
        <v>2965</v>
      </c>
      <c r="B1705" t="s">
        <v>3267</v>
      </c>
      <c r="C1705" t="s">
        <v>29</v>
      </c>
      <c r="D1705" s="2">
        <v>80000</v>
      </c>
      <c r="E1705">
        <f>VLOOKUP(I1705,Calc!$I$35:$J$39,2,FALSE)</f>
        <v>5</v>
      </c>
      <c r="F1705">
        <v>7</v>
      </c>
      <c r="G1705" s="10" t="s">
        <v>30</v>
      </c>
      <c r="H1705" s="10" t="s">
        <v>2966</v>
      </c>
      <c r="I1705" s="10" t="s">
        <v>14</v>
      </c>
    </row>
    <row r="1706" spans="1:9" hidden="1">
      <c r="A1706" t="s">
        <v>2967</v>
      </c>
      <c r="B1706" t="s">
        <v>3269</v>
      </c>
      <c r="C1706" t="s">
        <v>29</v>
      </c>
      <c r="D1706" s="2">
        <v>75000</v>
      </c>
      <c r="E1706">
        <f>VLOOKUP(I1706,Calc!$I$35:$J$39,2,FALSE)</f>
        <v>8</v>
      </c>
      <c r="F1706">
        <v>1</v>
      </c>
      <c r="G1706" s="10" t="s">
        <v>30</v>
      </c>
      <c r="H1706" s="10" t="s">
        <v>1530</v>
      </c>
      <c r="I1706" s="10" t="s">
        <v>22</v>
      </c>
    </row>
    <row r="1707" spans="1:9" hidden="1">
      <c r="A1707" t="s">
        <v>2968</v>
      </c>
      <c r="B1707" t="s">
        <v>3268</v>
      </c>
      <c r="C1707" t="s">
        <v>3248</v>
      </c>
      <c r="D1707" s="2">
        <v>31200</v>
      </c>
      <c r="E1707">
        <f>VLOOKUP(I1707,Calc!$I$35:$J$39,2,FALSE)</f>
        <v>5</v>
      </c>
      <c r="F1707">
        <v>4</v>
      </c>
      <c r="G1707" s="10" t="s">
        <v>216</v>
      </c>
      <c r="H1707" s="10" t="s">
        <v>1717</v>
      </c>
      <c r="I1707" s="10" t="s">
        <v>14</v>
      </c>
    </row>
    <row r="1708" spans="1:9" hidden="1">
      <c r="A1708" t="s">
        <v>2969</v>
      </c>
      <c r="B1708" t="s">
        <v>3269</v>
      </c>
      <c r="C1708" t="s">
        <v>29</v>
      </c>
      <c r="D1708" s="2">
        <v>85000</v>
      </c>
      <c r="E1708">
        <f>VLOOKUP(I1708,Calc!$I$35:$J$39,2,FALSE)</f>
        <v>5</v>
      </c>
      <c r="F1708">
        <v>20</v>
      </c>
      <c r="G1708" s="10" t="s">
        <v>30</v>
      </c>
      <c r="H1708" s="10" t="s">
        <v>294</v>
      </c>
      <c r="I1708" s="10" t="s">
        <v>14</v>
      </c>
    </row>
    <row r="1709" spans="1:9" hidden="1">
      <c r="A1709" t="s">
        <v>2970</v>
      </c>
      <c r="B1709" t="s">
        <v>3267</v>
      </c>
      <c r="C1709" t="s">
        <v>11</v>
      </c>
      <c r="D1709" s="2">
        <v>16917.52085307044</v>
      </c>
      <c r="E1709">
        <f>VLOOKUP(I1709,Calc!$I$35:$J$39,2,FALSE)</f>
        <v>2.5</v>
      </c>
      <c r="F1709">
        <v>9</v>
      </c>
      <c r="G1709" s="10" t="s">
        <v>12</v>
      </c>
      <c r="H1709" s="10" t="s">
        <v>2971</v>
      </c>
      <c r="I1709" s="10" t="s">
        <v>36</v>
      </c>
    </row>
    <row r="1710" spans="1:9" hidden="1">
      <c r="A1710" t="s">
        <v>2972</v>
      </c>
      <c r="B1710" t="s">
        <v>77</v>
      </c>
      <c r="C1710" t="s">
        <v>11</v>
      </c>
      <c r="D1710" s="2">
        <v>3205.4250037396623</v>
      </c>
      <c r="E1710">
        <f>VLOOKUP(I1710,Calc!$I$35:$J$39,2,FALSE)</f>
        <v>5</v>
      </c>
      <c r="F1710">
        <v>2</v>
      </c>
      <c r="G1710" s="10" t="s">
        <v>12</v>
      </c>
      <c r="H1710" s="10" t="s">
        <v>875</v>
      </c>
      <c r="I1710" s="10" t="s">
        <v>14</v>
      </c>
    </row>
    <row r="1711" spans="1:9" hidden="1">
      <c r="A1711" t="s">
        <v>2973</v>
      </c>
      <c r="B1711" t="s">
        <v>3267</v>
      </c>
      <c r="C1711" t="s">
        <v>29</v>
      </c>
      <c r="D1711" s="2">
        <v>60000</v>
      </c>
      <c r="E1711">
        <f>VLOOKUP(I1711,Calc!$I$35:$J$39,2,FALSE)</f>
        <v>8</v>
      </c>
      <c r="F1711">
        <v>2</v>
      </c>
      <c r="G1711" s="10" t="s">
        <v>30</v>
      </c>
      <c r="H1711" s="10" t="s">
        <v>2974</v>
      </c>
      <c r="I1711" s="10" t="s">
        <v>22</v>
      </c>
    </row>
    <row r="1712" spans="1:9" hidden="1">
      <c r="A1712" t="s">
        <v>2975</v>
      </c>
      <c r="B1712" t="s">
        <v>3267</v>
      </c>
      <c r="C1712" t="s">
        <v>29</v>
      </c>
      <c r="D1712" s="2">
        <v>60000</v>
      </c>
      <c r="E1712">
        <f>VLOOKUP(I1712,Calc!$I$35:$J$39,2,FALSE)</f>
        <v>8</v>
      </c>
      <c r="F1712">
        <v>2</v>
      </c>
      <c r="G1712" s="10" t="s">
        <v>30</v>
      </c>
      <c r="H1712" s="10" t="s">
        <v>2974</v>
      </c>
      <c r="I1712" s="10" t="s">
        <v>22</v>
      </c>
    </row>
    <row r="1713" spans="1:9" hidden="1">
      <c r="A1713" t="s">
        <v>2976</v>
      </c>
      <c r="B1713" t="s">
        <v>3267</v>
      </c>
      <c r="C1713" t="s">
        <v>11</v>
      </c>
      <c r="D1713" s="2">
        <v>14246.333349954055</v>
      </c>
      <c r="E1713">
        <f>VLOOKUP(I1713,Calc!$I$35:$J$39,2,FALSE)</f>
        <v>2.5</v>
      </c>
      <c r="F1713">
        <v>0</v>
      </c>
      <c r="G1713" s="10" t="s">
        <v>12</v>
      </c>
      <c r="H1713" s="10" t="s">
        <v>1222</v>
      </c>
      <c r="I1713" s="10" t="s">
        <v>36</v>
      </c>
    </row>
    <row r="1714" spans="1:9" hidden="1">
      <c r="A1714" t="s">
        <v>2977</v>
      </c>
      <c r="B1714" t="s">
        <v>3267</v>
      </c>
      <c r="C1714" t="s">
        <v>11</v>
      </c>
      <c r="D1714" s="2">
        <v>14246.333349954055</v>
      </c>
      <c r="E1714">
        <f>VLOOKUP(I1714,Calc!$I$35:$J$39,2,FALSE)</f>
        <v>2.5</v>
      </c>
      <c r="F1714">
        <v>0</v>
      </c>
      <c r="G1714" s="10" t="s">
        <v>12</v>
      </c>
      <c r="H1714" s="10" t="s">
        <v>1222</v>
      </c>
      <c r="I1714" s="10" t="s">
        <v>36</v>
      </c>
    </row>
    <row r="1715" spans="1:9" hidden="1">
      <c r="A1715" t="s">
        <v>2978</v>
      </c>
      <c r="B1715" t="s">
        <v>3267</v>
      </c>
      <c r="C1715" t="s">
        <v>11</v>
      </c>
      <c r="D1715" s="2">
        <v>28995</v>
      </c>
      <c r="E1715">
        <f>VLOOKUP(I1715,Calc!$I$35:$J$39,2,FALSE)</f>
        <v>5</v>
      </c>
      <c r="F1715">
        <v>6</v>
      </c>
      <c r="G1715" s="10" t="s">
        <v>12</v>
      </c>
      <c r="H1715" s="10" t="s">
        <v>1198</v>
      </c>
      <c r="I1715" s="10" t="s">
        <v>14</v>
      </c>
    </row>
    <row r="1716" spans="1:9" hidden="1">
      <c r="A1716" t="s">
        <v>2979</v>
      </c>
      <c r="B1716" t="s">
        <v>3268</v>
      </c>
      <c r="C1716" t="s">
        <v>11</v>
      </c>
      <c r="D1716" s="2">
        <v>21903.737525554359</v>
      </c>
      <c r="E1716">
        <f>VLOOKUP(I1716,Calc!$I$35:$J$39,2,FALSE)</f>
        <v>8</v>
      </c>
      <c r="F1716">
        <v>3</v>
      </c>
      <c r="G1716" s="10" t="s">
        <v>12</v>
      </c>
      <c r="H1716" s="10" t="s">
        <v>2980</v>
      </c>
      <c r="I1716" s="10" t="s">
        <v>22</v>
      </c>
    </row>
    <row r="1717" spans="1:9" hidden="1">
      <c r="A1717" t="s">
        <v>2981</v>
      </c>
      <c r="B1717" t="s">
        <v>3268</v>
      </c>
      <c r="C1717" t="s">
        <v>11</v>
      </c>
      <c r="D1717" s="2">
        <v>20122.945856810104</v>
      </c>
      <c r="E1717">
        <f>VLOOKUP(I1717,Calc!$I$35:$J$39,2,FALSE)</f>
        <v>8</v>
      </c>
      <c r="F1717">
        <v>3</v>
      </c>
      <c r="G1717" s="10" t="s">
        <v>12</v>
      </c>
      <c r="H1717" s="10" t="s">
        <v>2980</v>
      </c>
      <c r="I1717" s="10" t="s">
        <v>22</v>
      </c>
    </row>
    <row r="1718" spans="1:9" hidden="1">
      <c r="A1718" t="s">
        <v>2982</v>
      </c>
      <c r="B1718" t="s">
        <v>3268</v>
      </c>
      <c r="C1718" t="s">
        <v>19</v>
      </c>
      <c r="D1718" s="2">
        <v>70928.022243027779</v>
      </c>
      <c r="E1718">
        <f>VLOOKUP(I1718,Calc!$I$35:$J$39,2,FALSE)</f>
        <v>8</v>
      </c>
      <c r="F1718">
        <v>20</v>
      </c>
      <c r="G1718" s="10" t="s">
        <v>107</v>
      </c>
      <c r="H1718" s="10" t="s">
        <v>2983</v>
      </c>
      <c r="I1718" s="10" t="s">
        <v>22</v>
      </c>
    </row>
    <row r="1719" spans="1:9" hidden="1">
      <c r="A1719" t="s">
        <v>2984</v>
      </c>
      <c r="B1719" t="s">
        <v>3267</v>
      </c>
      <c r="C1719" t="s">
        <v>29</v>
      </c>
      <c r="D1719" s="2">
        <v>67000</v>
      </c>
      <c r="E1719">
        <f>VLOOKUP(I1719,Calc!$I$35:$J$39,2,FALSE)</f>
        <v>5</v>
      </c>
      <c r="F1719">
        <v>16</v>
      </c>
      <c r="G1719" s="10" t="s">
        <v>30</v>
      </c>
      <c r="H1719" s="10" t="s">
        <v>44</v>
      </c>
      <c r="I1719" s="10" t="s">
        <v>14</v>
      </c>
    </row>
    <row r="1720" spans="1:9">
      <c r="A1720" t="s">
        <v>2985</v>
      </c>
      <c r="B1720" t="s">
        <v>3268</v>
      </c>
      <c r="C1720" t="s">
        <v>29</v>
      </c>
      <c r="D1720" s="2">
        <v>30000</v>
      </c>
      <c r="E1720">
        <f>VLOOKUP(I1720,Calc!$I$35:$J$39,2,FALSE)</f>
        <v>2.5</v>
      </c>
      <c r="F1720">
        <v>4</v>
      </c>
      <c r="G1720" s="10" t="s">
        <v>30</v>
      </c>
      <c r="H1720" s="10" t="s">
        <v>2986</v>
      </c>
      <c r="I1720" s="10" t="s">
        <v>36</v>
      </c>
    </row>
    <row r="1721" spans="1:9" hidden="1">
      <c r="A1721" t="s">
        <v>2987</v>
      </c>
      <c r="B1721" t="s">
        <v>3267</v>
      </c>
      <c r="C1721" t="s">
        <v>19</v>
      </c>
      <c r="D1721" s="2">
        <v>148102.22862117883</v>
      </c>
      <c r="E1721">
        <f>VLOOKUP(I1721,Calc!$I$35:$J$39,2,FALSE)</f>
        <v>2.5</v>
      </c>
      <c r="F1721">
        <v>6</v>
      </c>
      <c r="G1721" s="10" t="s">
        <v>74</v>
      </c>
      <c r="H1721" s="10" t="s">
        <v>2988</v>
      </c>
      <c r="I1721" s="10" t="s">
        <v>36</v>
      </c>
    </row>
    <row r="1722" spans="1:9" hidden="1">
      <c r="A1722" t="s">
        <v>2989</v>
      </c>
      <c r="B1722" t="s">
        <v>3267</v>
      </c>
      <c r="C1722" t="s">
        <v>29</v>
      </c>
      <c r="D1722" s="2">
        <v>71500</v>
      </c>
      <c r="E1722">
        <f>VLOOKUP(I1722,Calc!$I$35:$J$39,2,FALSE)</f>
        <v>8</v>
      </c>
      <c r="F1722">
        <v>11</v>
      </c>
      <c r="G1722" s="10" t="s">
        <v>30</v>
      </c>
      <c r="H1722" s="10" t="s">
        <v>2990</v>
      </c>
      <c r="I1722" s="10" t="s">
        <v>22</v>
      </c>
    </row>
    <row r="1723" spans="1:9" hidden="1">
      <c r="A1723" t="s">
        <v>2991</v>
      </c>
      <c r="B1723" t="s">
        <v>3267</v>
      </c>
      <c r="C1723" t="s">
        <v>29</v>
      </c>
      <c r="D1723" s="2">
        <v>67000</v>
      </c>
      <c r="E1723">
        <f>VLOOKUP(I1723,Calc!$I$35:$J$39,2,FALSE)</f>
        <v>0</v>
      </c>
      <c r="F1723">
        <v>6</v>
      </c>
      <c r="G1723" s="10" t="s">
        <v>30</v>
      </c>
      <c r="H1723" s="10" t="s">
        <v>44</v>
      </c>
      <c r="I1723" s="10" t="s">
        <v>119</v>
      </c>
    </row>
    <row r="1724" spans="1:9">
      <c r="A1724" t="s">
        <v>2992</v>
      </c>
      <c r="B1724" t="s">
        <v>3268</v>
      </c>
      <c r="C1724" t="s">
        <v>29</v>
      </c>
      <c r="D1724" s="2">
        <v>40000</v>
      </c>
      <c r="E1724">
        <f>VLOOKUP(I1724,Calc!$I$35:$J$39,2,FALSE)</f>
        <v>5</v>
      </c>
      <c r="F1724">
        <v>5</v>
      </c>
      <c r="G1724" s="10" t="s">
        <v>30</v>
      </c>
      <c r="H1724" s="10" t="s">
        <v>312</v>
      </c>
      <c r="I1724" s="10" t="s">
        <v>14</v>
      </c>
    </row>
    <row r="1725" spans="1:9" hidden="1">
      <c r="A1725" t="s">
        <v>2993</v>
      </c>
      <c r="B1725" t="s">
        <v>3267</v>
      </c>
      <c r="C1725" t="s">
        <v>29</v>
      </c>
      <c r="D1725" s="2">
        <v>65000</v>
      </c>
      <c r="E1725">
        <f>VLOOKUP(I1725,Calc!$I$35:$J$39,2,FALSE)</f>
        <v>5</v>
      </c>
      <c r="F1725">
        <v>2</v>
      </c>
      <c r="G1725" s="10" t="s">
        <v>30</v>
      </c>
      <c r="H1725" s="10" t="s">
        <v>2994</v>
      </c>
      <c r="I1725" s="10" t="s">
        <v>14</v>
      </c>
    </row>
    <row r="1726" spans="1:9" hidden="1">
      <c r="A1726" t="s">
        <v>2995</v>
      </c>
      <c r="B1726" t="s">
        <v>3264</v>
      </c>
      <c r="C1726" t="s">
        <v>29</v>
      </c>
      <c r="D1726" s="2">
        <v>72000</v>
      </c>
      <c r="E1726">
        <f>VLOOKUP(I1726,Calc!$I$35:$J$39,2,FALSE)</f>
        <v>2.5</v>
      </c>
      <c r="F1726">
        <v>13</v>
      </c>
      <c r="G1726" s="10" t="s">
        <v>30</v>
      </c>
      <c r="H1726" s="10" t="s">
        <v>90</v>
      </c>
      <c r="I1726" s="10" t="s">
        <v>36</v>
      </c>
    </row>
    <row r="1727" spans="1:9" hidden="1">
      <c r="A1727" t="s">
        <v>2996</v>
      </c>
      <c r="B1727" t="s">
        <v>3267</v>
      </c>
      <c r="C1727" t="s">
        <v>29</v>
      </c>
      <c r="D1727" s="2">
        <v>52500</v>
      </c>
      <c r="E1727">
        <f>VLOOKUP(I1727,Calc!$I$35:$J$39,2,FALSE)</f>
        <v>8</v>
      </c>
      <c r="F1727">
        <v>3</v>
      </c>
      <c r="G1727" s="10" t="s">
        <v>30</v>
      </c>
      <c r="H1727" s="10" t="s">
        <v>2997</v>
      </c>
      <c r="I1727" s="10" t="s">
        <v>22</v>
      </c>
    </row>
    <row r="1728" spans="1:9" hidden="1">
      <c r="A1728" t="s">
        <v>2998</v>
      </c>
      <c r="B1728" t="s">
        <v>3267</v>
      </c>
      <c r="C1728" t="s">
        <v>11</v>
      </c>
      <c r="D1728" s="2">
        <v>5320</v>
      </c>
      <c r="E1728">
        <f>VLOOKUP(I1728,Calc!$I$35:$J$39,2,FALSE)</f>
        <v>2.5</v>
      </c>
      <c r="F1728">
        <v>5</v>
      </c>
      <c r="G1728" s="10" t="s">
        <v>12</v>
      </c>
      <c r="H1728" s="10" t="s">
        <v>2999</v>
      </c>
      <c r="I1728" s="10" t="s">
        <v>36</v>
      </c>
    </row>
    <row r="1729" spans="1:9" hidden="1">
      <c r="A1729" t="s">
        <v>3000</v>
      </c>
      <c r="B1729" t="s">
        <v>3269</v>
      </c>
      <c r="C1729" t="s">
        <v>48</v>
      </c>
      <c r="D1729" s="2">
        <v>18000</v>
      </c>
      <c r="E1729">
        <f>VLOOKUP(I1729,Calc!$I$35:$J$39,2,FALSE)</f>
        <v>8</v>
      </c>
      <c r="F1729">
        <v>3</v>
      </c>
      <c r="G1729" s="10" t="s">
        <v>191</v>
      </c>
      <c r="H1729" s="10" t="s">
        <v>1483</v>
      </c>
      <c r="I1729" s="10" t="s">
        <v>22</v>
      </c>
    </row>
    <row r="1730" spans="1:9" hidden="1">
      <c r="A1730" t="s">
        <v>3001</v>
      </c>
      <c r="B1730" t="s">
        <v>3250</v>
      </c>
      <c r="C1730" t="s">
        <v>11</v>
      </c>
      <c r="D1730" s="2">
        <v>2493.1083362419595</v>
      </c>
      <c r="E1730">
        <f>VLOOKUP(I1730,Calc!$I$35:$J$39,2,FALSE)</f>
        <v>5</v>
      </c>
      <c r="F1730">
        <v>5</v>
      </c>
      <c r="G1730" s="10" t="s">
        <v>12</v>
      </c>
      <c r="H1730" s="10" t="s">
        <v>3002</v>
      </c>
      <c r="I1730" s="10" t="s">
        <v>14</v>
      </c>
    </row>
    <row r="1731" spans="1:9" hidden="1">
      <c r="A1731" t="s">
        <v>3003</v>
      </c>
      <c r="B1731" t="s">
        <v>3269</v>
      </c>
      <c r="C1731" t="s">
        <v>19</v>
      </c>
      <c r="D1731" s="2">
        <v>21342.710575059013</v>
      </c>
      <c r="E1731">
        <f>VLOOKUP(I1731,Calc!$I$35:$J$39,2,FALSE)</f>
        <v>5</v>
      </c>
      <c r="F1731">
        <v>15</v>
      </c>
      <c r="G1731" s="10" t="s">
        <v>53</v>
      </c>
      <c r="H1731" s="10" t="s">
        <v>3004</v>
      </c>
      <c r="I1731" s="10" t="s">
        <v>14</v>
      </c>
    </row>
    <row r="1732" spans="1:9" hidden="1">
      <c r="A1732" t="s">
        <v>3005</v>
      </c>
      <c r="B1732" t="s">
        <v>3267</v>
      </c>
      <c r="C1732" t="s">
        <v>29</v>
      </c>
      <c r="D1732" s="2">
        <v>85000</v>
      </c>
      <c r="E1732">
        <f>VLOOKUP(I1732,Calc!$I$35:$J$39,2,FALSE)</f>
        <v>2.5</v>
      </c>
      <c r="F1732">
        <v>15</v>
      </c>
      <c r="G1732" s="10" t="s">
        <v>30</v>
      </c>
      <c r="H1732" s="10" t="s">
        <v>3006</v>
      </c>
      <c r="I1732" s="10" t="s">
        <v>36</v>
      </c>
    </row>
    <row r="1733" spans="1:9" hidden="1">
      <c r="A1733" t="s">
        <v>3007</v>
      </c>
      <c r="B1733" t="s">
        <v>3266</v>
      </c>
      <c r="C1733" t="s">
        <v>3248</v>
      </c>
      <c r="D1733" s="2">
        <v>80000</v>
      </c>
      <c r="E1733">
        <f>VLOOKUP(I1733,Calc!$I$35:$J$39,2,FALSE)</f>
        <v>1.5</v>
      </c>
      <c r="F1733">
        <v>9</v>
      </c>
      <c r="G1733" s="10" t="s">
        <v>216</v>
      </c>
      <c r="H1733" s="10" t="s">
        <v>38</v>
      </c>
      <c r="I1733" s="10" t="s">
        <v>47</v>
      </c>
    </row>
    <row r="1734" spans="1:9" hidden="1">
      <c r="A1734" t="s">
        <v>3008</v>
      </c>
      <c r="B1734" t="s">
        <v>3268</v>
      </c>
      <c r="C1734" t="s">
        <v>11</v>
      </c>
      <c r="D1734" s="2">
        <v>8903.9583437212841</v>
      </c>
      <c r="E1734">
        <f>VLOOKUP(I1734,Calc!$I$35:$J$39,2,FALSE)</f>
        <v>8</v>
      </c>
      <c r="F1734">
        <v>0</v>
      </c>
      <c r="G1734" s="10" t="s">
        <v>12</v>
      </c>
      <c r="H1734" s="10" t="s">
        <v>3009</v>
      </c>
      <c r="I1734" s="10" t="s">
        <v>22</v>
      </c>
    </row>
    <row r="1735" spans="1:9" hidden="1">
      <c r="A1735" t="s">
        <v>3010</v>
      </c>
      <c r="B1735" t="s">
        <v>3267</v>
      </c>
      <c r="C1735" t="s">
        <v>29</v>
      </c>
      <c r="D1735" s="2">
        <v>125000</v>
      </c>
      <c r="E1735">
        <f>VLOOKUP(I1735,Calc!$I$35:$J$39,2,FALSE)</f>
        <v>8</v>
      </c>
      <c r="F1735">
        <v>10</v>
      </c>
      <c r="G1735" s="10" t="s">
        <v>30</v>
      </c>
      <c r="H1735" s="10" t="s">
        <v>316</v>
      </c>
      <c r="I1735" s="10" t="s">
        <v>22</v>
      </c>
    </row>
    <row r="1736" spans="1:9" hidden="1">
      <c r="A1736" t="s">
        <v>3011</v>
      </c>
      <c r="B1736" t="s">
        <v>3267</v>
      </c>
      <c r="C1736" t="s">
        <v>11</v>
      </c>
      <c r="D1736" s="2">
        <v>23150.291693675339</v>
      </c>
      <c r="E1736">
        <f>VLOOKUP(I1736,Calc!$I$35:$J$39,2,FALSE)</f>
        <v>8</v>
      </c>
      <c r="F1736">
        <v>9</v>
      </c>
      <c r="G1736" s="10" t="s">
        <v>12</v>
      </c>
      <c r="H1736" s="10" t="s">
        <v>44</v>
      </c>
      <c r="I1736" s="10" t="s">
        <v>22</v>
      </c>
    </row>
    <row r="1737" spans="1:9" hidden="1">
      <c r="A1737" t="s">
        <v>3012</v>
      </c>
      <c r="B1737" t="s">
        <v>3266</v>
      </c>
      <c r="C1737" t="s">
        <v>11</v>
      </c>
      <c r="D1737" s="2">
        <v>12000</v>
      </c>
      <c r="E1737">
        <f>VLOOKUP(I1737,Calc!$I$35:$J$39,2,FALSE)</f>
        <v>2.5</v>
      </c>
      <c r="F1737">
        <v>7</v>
      </c>
      <c r="G1737" s="10" t="s">
        <v>12</v>
      </c>
      <c r="H1737" s="10" t="s">
        <v>3013</v>
      </c>
      <c r="I1737" s="10" t="s">
        <v>36</v>
      </c>
    </row>
    <row r="1738" spans="1:9" hidden="1">
      <c r="A1738" t="s">
        <v>3014</v>
      </c>
      <c r="B1738" t="s">
        <v>3268</v>
      </c>
      <c r="C1738" t="s">
        <v>11</v>
      </c>
      <c r="D1738" s="2">
        <v>30000</v>
      </c>
      <c r="E1738">
        <f>VLOOKUP(I1738,Calc!$I$35:$J$39,2,FALSE)</f>
        <v>1.5</v>
      </c>
      <c r="F1738">
        <v>12</v>
      </c>
      <c r="G1738" s="10" t="s">
        <v>1763</v>
      </c>
      <c r="H1738" s="10" t="s">
        <v>3015</v>
      </c>
      <c r="I1738" s="10" t="s">
        <v>47</v>
      </c>
    </row>
    <row r="1739" spans="1:9" hidden="1">
      <c r="A1739" t="s">
        <v>3016</v>
      </c>
      <c r="B1739" t="s">
        <v>3267</v>
      </c>
      <c r="C1739" t="s">
        <v>19</v>
      </c>
      <c r="D1739" s="2">
        <v>91468.759607395754</v>
      </c>
      <c r="E1739">
        <f>VLOOKUP(I1739,Calc!$I$35:$J$39,2,FALSE)</f>
        <v>1.5</v>
      </c>
      <c r="F1739">
        <v>3</v>
      </c>
      <c r="G1739" s="10" t="s">
        <v>20</v>
      </c>
      <c r="H1739" s="10" t="s">
        <v>3017</v>
      </c>
      <c r="I1739" s="10" t="s">
        <v>47</v>
      </c>
    </row>
    <row r="1740" spans="1:9" hidden="1">
      <c r="A1740" t="s">
        <v>3018</v>
      </c>
      <c r="B1740" t="s">
        <v>3268</v>
      </c>
      <c r="C1740" t="s">
        <v>19</v>
      </c>
      <c r="D1740" s="2">
        <v>35148.775467100437</v>
      </c>
      <c r="E1740">
        <f>VLOOKUP(I1740,Calc!$I$35:$J$39,2,FALSE)</f>
        <v>8</v>
      </c>
      <c r="F1740">
        <v>4</v>
      </c>
      <c r="G1740" s="10" t="s">
        <v>107</v>
      </c>
      <c r="H1740" s="10" t="s">
        <v>3019</v>
      </c>
      <c r="I1740" s="10" t="s">
        <v>22</v>
      </c>
    </row>
    <row r="1741" spans="1:9" hidden="1">
      <c r="A1741" t="s">
        <v>3020</v>
      </c>
      <c r="B1741" t="s">
        <v>3267</v>
      </c>
      <c r="C1741" t="s">
        <v>19</v>
      </c>
      <c r="D1741" s="2">
        <v>49153.119414418252</v>
      </c>
      <c r="E1741">
        <f>VLOOKUP(I1741,Calc!$I$35:$J$39,2,FALSE)</f>
        <v>5</v>
      </c>
      <c r="F1741">
        <v>7</v>
      </c>
      <c r="G1741" s="10" t="s">
        <v>107</v>
      </c>
      <c r="H1741" s="10" t="s">
        <v>3021</v>
      </c>
      <c r="I1741" s="10" t="s">
        <v>14</v>
      </c>
    </row>
    <row r="1742" spans="1:9" hidden="1">
      <c r="A1742" t="s">
        <v>3022</v>
      </c>
      <c r="B1742" t="s">
        <v>3266</v>
      </c>
      <c r="C1742" t="s">
        <v>11</v>
      </c>
      <c r="D1742" s="2">
        <v>2671.1875031163854</v>
      </c>
      <c r="E1742">
        <f>VLOOKUP(I1742,Calc!$I$35:$J$39,2,FALSE)</f>
        <v>2.5</v>
      </c>
      <c r="F1742">
        <v>1</v>
      </c>
      <c r="G1742" s="10" t="s">
        <v>12</v>
      </c>
      <c r="H1742" s="10" t="s">
        <v>785</v>
      </c>
      <c r="I1742" s="10" t="s">
        <v>36</v>
      </c>
    </row>
    <row r="1743" spans="1:9" hidden="1">
      <c r="A1743" t="s">
        <v>3023</v>
      </c>
      <c r="B1743" t="s">
        <v>3267</v>
      </c>
      <c r="C1743" t="s">
        <v>19</v>
      </c>
      <c r="D1743" s="2">
        <v>42556.81334581667</v>
      </c>
      <c r="E1743">
        <f>VLOOKUP(I1743,Calc!$I$35:$J$39,2,FALSE)</f>
        <v>5</v>
      </c>
      <c r="F1743">
        <v>3</v>
      </c>
      <c r="G1743" s="10" t="s">
        <v>107</v>
      </c>
      <c r="H1743" s="10" t="s">
        <v>3024</v>
      </c>
      <c r="I1743" s="10" t="s">
        <v>14</v>
      </c>
    </row>
    <row r="1744" spans="1:9" hidden="1">
      <c r="A1744" t="s">
        <v>3025</v>
      </c>
      <c r="B1744" t="s">
        <v>3267</v>
      </c>
      <c r="C1744" t="s">
        <v>19</v>
      </c>
      <c r="D1744" s="2">
        <v>42556.81334581667</v>
      </c>
      <c r="E1744">
        <f>VLOOKUP(I1744,Calc!$I$35:$J$39,2,FALSE)</f>
        <v>5</v>
      </c>
      <c r="F1744">
        <v>3</v>
      </c>
      <c r="G1744" s="10" t="s">
        <v>107</v>
      </c>
      <c r="H1744" s="10" t="s">
        <v>3024</v>
      </c>
      <c r="I1744" s="10" t="s">
        <v>14</v>
      </c>
    </row>
    <row r="1745" spans="1:9" hidden="1">
      <c r="A1745" t="s">
        <v>3026</v>
      </c>
      <c r="B1745" t="s">
        <v>3250</v>
      </c>
      <c r="C1745" t="s">
        <v>29</v>
      </c>
      <c r="D1745" s="2">
        <v>74461</v>
      </c>
      <c r="E1745">
        <f>VLOOKUP(I1745,Calc!$I$35:$J$39,2,FALSE)</f>
        <v>1.5</v>
      </c>
      <c r="F1745">
        <v>9</v>
      </c>
      <c r="G1745" s="10" t="s">
        <v>30</v>
      </c>
      <c r="H1745" s="10" t="s">
        <v>3027</v>
      </c>
      <c r="I1745" s="10" t="s">
        <v>47</v>
      </c>
    </row>
    <row r="1746" spans="1:9" hidden="1">
      <c r="A1746" t="s">
        <v>3028</v>
      </c>
      <c r="B1746" t="s">
        <v>3267</v>
      </c>
      <c r="C1746" t="s">
        <v>19</v>
      </c>
      <c r="D1746" s="2">
        <v>41768.724209783031</v>
      </c>
      <c r="E1746">
        <f>VLOOKUP(I1746,Calc!$I$35:$J$39,2,FALSE)</f>
        <v>5</v>
      </c>
      <c r="F1746">
        <v>16</v>
      </c>
      <c r="G1746" s="10" t="s">
        <v>107</v>
      </c>
      <c r="H1746" s="10" t="s">
        <v>3029</v>
      </c>
      <c r="I1746" s="10" t="s">
        <v>14</v>
      </c>
    </row>
    <row r="1747" spans="1:9" hidden="1">
      <c r="A1747" t="s">
        <v>3030</v>
      </c>
      <c r="B1747" t="s">
        <v>3268</v>
      </c>
      <c r="C1747" t="s">
        <v>11</v>
      </c>
      <c r="D1747" s="2">
        <v>8547.8000099724322</v>
      </c>
      <c r="E1747">
        <f>VLOOKUP(I1747,Calc!$I$35:$J$39,2,FALSE)</f>
        <v>5</v>
      </c>
      <c r="F1747">
        <v>1</v>
      </c>
      <c r="G1747" s="10" t="s">
        <v>12</v>
      </c>
      <c r="H1747" s="10" t="s">
        <v>3031</v>
      </c>
      <c r="I1747" s="10" t="s">
        <v>14</v>
      </c>
    </row>
    <row r="1748" spans="1:9" hidden="1">
      <c r="A1748" t="s">
        <v>3032</v>
      </c>
      <c r="B1748" t="s">
        <v>3268</v>
      </c>
      <c r="C1748" t="s">
        <v>11</v>
      </c>
      <c r="D1748" s="2">
        <v>2400</v>
      </c>
      <c r="E1748">
        <f>VLOOKUP(I1748,Calc!$I$35:$J$39,2,FALSE)</f>
        <v>2.5</v>
      </c>
      <c r="F1748">
        <v>3</v>
      </c>
      <c r="G1748" s="10" t="s">
        <v>12</v>
      </c>
      <c r="H1748" s="10" t="s">
        <v>3033</v>
      </c>
      <c r="I1748" s="10" t="s">
        <v>36</v>
      </c>
    </row>
    <row r="1749" spans="1:9" hidden="1">
      <c r="A1749" t="s">
        <v>3034</v>
      </c>
      <c r="B1749" t="s">
        <v>3268</v>
      </c>
      <c r="C1749" t="s">
        <v>11</v>
      </c>
      <c r="D1749" s="2">
        <v>3000</v>
      </c>
      <c r="E1749">
        <f>VLOOKUP(I1749,Calc!$I$35:$J$39,2,FALSE)</f>
        <v>1.5</v>
      </c>
      <c r="F1749">
        <v>12</v>
      </c>
      <c r="G1749" s="10" t="s">
        <v>782</v>
      </c>
      <c r="H1749" s="10" t="s">
        <v>1178</v>
      </c>
      <c r="I1749" s="10" t="s">
        <v>47</v>
      </c>
    </row>
    <row r="1750" spans="1:9" hidden="1">
      <c r="A1750" t="s">
        <v>3035</v>
      </c>
      <c r="B1750" t="s">
        <v>3268</v>
      </c>
      <c r="C1750" t="s">
        <v>11</v>
      </c>
      <c r="D1750" s="2">
        <v>11000</v>
      </c>
      <c r="E1750">
        <f>VLOOKUP(I1750,Calc!$I$35:$J$39,2,FALSE)</f>
        <v>5</v>
      </c>
      <c r="F1750">
        <v>2</v>
      </c>
      <c r="G1750" s="10" t="s">
        <v>12</v>
      </c>
      <c r="H1750" s="10" t="s">
        <v>2325</v>
      </c>
      <c r="I1750" s="10" t="s">
        <v>14</v>
      </c>
    </row>
    <row r="1751" spans="1:9">
      <c r="A1751" t="s">
        <v>3036</v>
      </c>
      <c r="B1751" t="s">
        <v>3268</v>
      </c>
      <c r="C1751" t="s">
        <v>29</v>
      </c>
      <c r="D1751" s="2">
        <v>40000</v>
      </c>
      <c r="E1751">
        <f>VLOOKUP(I1751,Calc!$I$35:$J$39,2,FALSE)</f>
        <v>2.5</v>
      </c>
      <c r="F1751">
        <v>2</v>
      </c>
      <c r="G1751" s="10" t="s">
        <v>30</v>
      </c>
      <c r="H1751" s="10" t="s">
        <v>1308</v>
      </c>
      <c r="I1751" s="10" t="s">
        <v>36</v>
      </c>
    </row>
    <row r="1752" spans="1:9" hidden="1">
      <c r="A1752" t="s">
        <v>3037</v>
      </c>
      <c r="B1752" t="s">
        <v>3268</v>
      </c>
      <c r="C1752" t="s">
        <v>11</v>
      </c>
      <c r="D1752" s="2">
        <v>3600</v>
      </c>
      <c r="E1752">
        <f>VLOOKUP(I1752,Calc!$I$35:$J$39,2,FALSE)</f>
        <v>5</v>
      </c>
      <c r="F1752">
        <v>1</v>
      </c>
      <c r="G1752" s="10" t="s">
        <v>12</v>
      </c>
      <c r="H1752" s="10" t="s">
        <v>10</v>
      </c>
      <c r="I1752" s="10" t="s">
        <v>14</v>
      </c>
    </row>
    <row r="1753" spans="1:9" hidden="1">
      <c r="A1753" t="s">
        <v>3038</v>
      </c>
      <c r="B1753" t="s">
        <v>3267</v>
      </c>
      <c r="C1753" t="s">
        <v>29</v>
      </c>
      <c r="D1753" s="2">
        <v>56600</v>
      </c>
      <c r="E1753">
        <f>VLOOKUP(I1753,Calc!$I$35:$J$39,2,FALSE)</f>
        <v>5</v>
      </c>
      <c r="F1753">
        <v>12</v>
      </c>
      <c r="G1753" s="10" t="s">
        <v>30</v>
      </c>
      <c r="H1753" s="10" t="s">
        <v>3039</v>
      </c>
      <c r="I1753" s="10" t="s">
        <v>14</v>
      </c>
    </row>
    <row r="1754" spans="1:9" hidden="1">
      <c r="A1754" t="s">
        <v>3040</v>
      </c>
      <c r="B1754" t="s">
        <v>3268</v>
      </c>
      <c r="C1754" t="s">
        <v>11</v>
      </c>
      <c r="D1754" s="2">
        <v>33600</v>
      </c>
      <c r="E1754">
        <f>VLOOKUP(I1754,Calc!$I$35:$J$39,2,FALSE)</f>
        <v>8</v>
      </c>
      <c r="F1754">
        <v>2</v>
      </c>
      <c r="G1754" s="10" t="s">
        <v>455</v>
      </c>
      <c r="H1754" s="10" t="s">
        <v>1212</v>
      </c>
      <c r="I1754" s="10" t="s">
        <v>22</v>
      </c>
    </row>
    <row r="1755" spans="1:9" hidden="1">
      <c r="A1755" t="s">
        <v>3041</v>
      </c>
      <c r="B1755" t="s">
        <v>3268</v>
      </c>
      <c r="C1755" t="s">
        <v>11</v>
      </c>
      <c r="D1755" s="2">
        <v>33600</v>
      </c>
      <c r="E1755">
        <f>VLOOKUP(I1755,Calc!$I$35:$J$39,2,FALSE)</f>
        <v>8</v>
      </c>
      <c r="F1755">
        <v>2</v>
      </c>
      <c r="G1755" s="10" t="s">
        <v>455</v>
      </c>
      <c r="H1755" s="10" t="s">
        <v>1212</v>
      </c>
      <c r="I1755" s="10" t="s">
        <v>22</v>
      </c>
    </row>
    <row r="1756" spans="1:9">
      <c r="A1756" t="s">
        <v>3042</v>
      </c>
      <c r="B1756" t="s">
        <v>3268</v>
      </c>
      <c r="C1756" t="s">
        <v>29</v>
      </c>
      <c r="D1756" s="2">
        <v>100000</v>
      </c>
      <c r="E1756">
        <f>VLOOKUP(I1756,Calc!$I$35:$J$39,2,FALSE)</f>
        <v>8</v>
      </c>
      <c r="F1756">
        <v>12</v>
      </c>
      <c r="G1756" s="10" t="s">
        <v>30</v>
      </c>
      <c r="H1756" s="10" t="s">
        <v>408</v>
      </c>
      <c r="I1756" s="10" t="s">
        <v>22</v>
      </c>
    </row>
    <row r="1757" spans="1:9">
      <c r="A1757" t="s">
        <v>3043</v>
      </c>
      <c r="B1757" t="s">
        <v>3268</v>
      </c>
      <c r="C1757" t="s">
        <v>29</v>
      </c>
      <c r="D1757" s="2">
        <v>39334.460921213074</v>
      </c>
      <c r="E1757">
        <f>VLOOKUP(I1757,Calc!$I$35:$J$39,2,FALSE)</f>
        <v>1.5</v>
      </c>
      <c r="F1757">
        <v>1</v>
      </c>
      <c r="G1757" s="10" t="s">
        <v>128</v>
      </c>
      <c r="H1757" s="10" t="s">
        <v>3044</v>
      </c>
      <c r="I1757" s="10" t="s">
        <v>47</v>
      </c>
    </row>
    <row r="1758" spans="1:9" hidden="1">
      <c r="A1758" t="s">
        <v>3045</v>
      </c>
      <c r="B1758" t="s">
        <v>3268</v>
      </c>
      <c r="C1758" t="s">
        <v>11</v>
      </c>
      <c r="D1758" s="2">
        <v>7123.1666749770275</v>
      </c>
      <c r="E1758">
        <f>VLOOKUP(I1758,Calc!$I$35:$J$39,2,FALSE)</f>
        <v>2.5</v>
      </c>
      <c r="F1758">
        <v>3</v>
      </c>
      <c r="G1758" s="10" t="s">
        <v>12</v>
      </c>
      <c r="H1758" s="10" t="s">
        <v>68</v>
      </c>
      <c r="I1758" s="10" t="s">
        <v>36</v>
      </c>
    </row>
    <row r="1759" spans="1:9">
      <c r="A1759" t="s">
        <v>3046</v>
      </c>
      <c r="B1759" t="s">
        <v>3268</v>
      </c>
      <c r="C1759" t="s">
        <v>29</v>
      </c>
      <c r="D1759" s="2">
        <v>65000</v>
      </c>
      <c r="E1759">
        <f>VLOOKUP(I1759,Calc!$I$35:$J$39,2,FALSE)</f>
        <v>5</v>
      </c>
      <c r="F1759">
        <v>14</v>
      </c>
      <c r="G1759" s="10" t="s">
        <v>30</v>
      </c>
      <c r="H1759" s="10" t="s">
        <v>3047</v>
      </c>
      <c r="I1759" s="10" t="s">
        <v>14</v>
      </c>
    </row>
    <row r="1760" spans="1:9">
      <c r="A1760" t="s">
        <v>3048</v>
      </c>
      <c r="B1760" t="s">
        <v>3268</v>
      </c>
      <c r="C1760" t="s">
        <v>29</v>
      </c>
      <c r="D1760" s="2">
        <v>65000</v>
      </c>
      <c r="E1760">
        <f>VLOOKUP(I1760,Calc!$I$35:$J$39,2,FALSE)</f>
        <v>2.5</v>
      </c>
      <c r="F1760">
        <v>10</v>
      </c>
      <c r="G1760" s="10" t="s">
        <v>30</v>
      </c>
      <c r="H1760" s="10" t="s">
        <v>233</v>
      </c>
      <c r="I1760" s="10" t="s">
        <v>36</v>
      </c>
    </row>
    <row r="1761" spans="1:9" hidden="1">
      <c r="A1761" t="s">
        <v>3049</v>
      </c>
      <c r="B1761" t="s">
        <v>3263</v>
      </c>
      <c r="C1761" t="s">
        <v>29</v>
      </c>
      <c r="D1761" s="2">
        <v>65000</v>
      </c>
      <c r="E1761">
        <f>VLOOKUP(I1761,Calc!$I$35:$J$39,2,FALSE)</f>
        <v>2.5</v>
      </c>
      <c r="F1761">
        <v>13</v>
      </c>
      <c r="G1761" s="10" t="s">
        <v>30</v>
      </c>
      <c r="H1761" s="10" t="s">
        <v>474</v>
      </c>
      <c r="I1761" s="10" t="s">
        <v>36</v>
      </c>
    </row>
    <row r="1762" spans="1:9">
      <c r="A1762" t="s">
        <v>3050</v>
      </c>
      <c r="B1762" t="s">
        <v>3268</v>
      </c>
      <c r="C1762" t="s">
        <v>29</v>
      </c>
      <c r="D1762" s="2">
        <v>76702.198796365497</v>
      </c>
      <c r="E1762">
        <f>VLOOKUP(I1762,Calc!$I$35:$J$39,2,FALSE)</f>
        <v>8</v>
      </c>
      <c r="F1762">
        <v>4</v>
      </c>
      <c r="G1762" s="10" t="s">
        <v>128</v>
      </c>
      <c r="H1762" s="10" t="s">
        <v>3051</v>
      </c>
      <c r="I1762" s="10" t="s">
        <v>22</v>
      </c>
    </row>
    <row r="1763" spans="1:9">
      <c r="A1763" t="s">
        <v>3052</v>
      </c>
      <c r="B1763" t="s">
        <v>3268</v>
      </c>
      <c r="C1763" t="s">
        <v>29</v>
      </c>
      <c r="D1763" s="2">
        <v>63000</v>
      </c>
      <c r="E1763">
        <f>VLOOKUP(I1763,Calc!$I$35:$J$39,2,FALSE)</f>
        <v>8</v>
      </c>
      <c r="F1763">
        <v>10</v>
      </c>
      <c r="G1763" s="10" t="s">
        <v>30</v>
      </c>
      <c r="H1763" s="10" t="s">
        <v>167</v>
      </c>
      <c r="I1763" s="10" t="s">
        <v>22</v>
      </c>
    </row>
    <row r="1764" spans="1:9" hidden="1">
      <c r="A1764" t="s">
        <v>3053</v>
      </c>
      <c r="B1764" t="s">
        <v>3250</v>
      </c>
      <c r="C1764" t="s">
        <v>29</v>
      </c>
      <c r="D1764" s="2">
        <v>87000</v>
      </c>
      <c r="E1764">
        <f>VLOOKUP(I1764,Calc!$I$35:$J$39,2,FALSE)</f>
        <v>5</v>
      </c>
      <c r="F1764">
        <v>3</v>
      </c>
      <c r="G1764" s="10" t="s">
        <v>30</v>
      </c>
      <c r="H1764" s="10" t="s">
        <v>3054</v>
      </c>
      <c r="I1764" s="10" t="s">
        <v>14</v>
      </c>
    </row>
    <row r="1765" spans="1:9">
      <c r="A1765" t="s">
        <v>3055</v>
      </c>
      <c r="B1765" t="s">
        <v>3268</v>
      </c>
      <c r="C1765" t="s">
        <v>29</v>
      </c>
      <c r="D1765" s="2">
        <v>45000</v>
      </c>
      <c r="E1765">
        <f>VLOOKUP(I1765,Calc!$I$35:$J$39,2,FALSE)</f>
        <v>5</v>
      </c>
      <c r="F1765">
        <v>4</v>
      </c>
      <c r="G1765" s="10" t="s">
        <v>30</v>
      </c>
      <c r="H1765" s="10" t="s">
        <v>3056</v>
      </c>
      <c r="I1765" s="10" t="s">
        <v>14</v>
      </c>
    </row>
    <row r="1766" spans="1:9">
      <c r="A1766" t="s">
        <v>3057</v>
      </c>
      <c r="B1766" t="s">
        <v>3268</v>
      </c>
      <c r="C1766" t="s">
        <v>29</v>
      </c>
      <c r="D1766" s="2">
        <v>85000</v>
      </c>
      <c r="E1766">
        <f>VLOOKUP(I1766,Calc!$I$35:$J$39,2,FALSE)</f>
        <v>8</v>
      </c>
      <c r="F1766">
        <v>3</v>
      </c>
      <c r="G1766" s="10" t="s">
        <v>30</v>
      </c>
      <c r="H1766" s="10" t="s">
        <v>3058</v>
      </c>
      <c r="I1766" s="10" t="s">
        <v>22</v>
      </c>
    </row>
    <row r="1767" spans="1:9" hidden="1">
      <c r="A1767" t="s">
        <v>3059</v>
      </c>
      <c r="B1767" t="s">
        <v>3266</v>
      </c>
      <c r="C1767" t="s">
        <v>32</v>
      </c>
      <c r="D1767" s="2">
        <v>159105.90639881117</v>
      </c>
      <c r="E1767">
        <f>VLOOKUP(I1767,Calc!$I$35:$J$39,2,FALSE)</f>
        <v>2.5</v>
      </c>
      <c r="F1767">
        <v>12</v>
      </c>
      <c r="G1767" s="10" t="s">
        <v>123</v>
      </c>
      <c r="H1767" s="10" t="s">
        <v>3060</v>
      </c>
      <c r="I1767" s="10" t="s">
        <v>36</v>
      </c>
    </row>
    <row r="1768" spans="1:9" hidden="1">
      <c r="A1768" t="s">
        <v>3061</v>
      </c>
      <c r="B1768" t="s">
        <v>3267</v>
      </c>
      <c r="C1768" t="s">
        <v>11</v>
      </c>
      <c r="D1768" s="2">
        <v>9972.4333449678379</v>
      </c>
      <c r="E1768">
        <f>VLOOKUP(I1768,Calc!$I$35:$J$39,2,FALSE)</f>
        <v>2.5</v>
      </c>
      <c r="F1768">
        <v>4</v>
      </c>
      <c r="G1768" s="10" t="s">
        <v>12</v>
      </c>
      <c r="H1768" s="10" t="s">
        <v>3062</v>
      </c>
      <c r="I1768" s="10" t="s">
        <v>36</v>
      </c>
    </row>
    <row r="1769" spans="1:9" hidden="1">
      <c r="A1769" t="s">
        <v>3063</v>
      </c>
      <c r="B1769" t="s">
        <v>3267</v>
      </c>
      <c r="C1769" t="s">
        <v>11</v>
      </c>
      <c r="D1769" s="2">
        <v>14000</v>
      </c>
      <c r="E1769">
        <f>VLOOKUP(I1769,Calc!$I$35:$J$39,2,FALSE)</f>
        <v>5</v>
      </c>
      <c r="F1769">
        <v>5</v>
      </c>
      <c r="G1769" s="10" t="s">
        <v>12</v>
      </c>
      <c r="H1769" s="10" t="s">
        <v>44</v>
      </c>
      <c r="I1769" s="10" t="s">
        <v>14</v>
      </c>
    </row>
    <row r="1770" spans="1:9" hidden="1">
      <c r="A1770" t="s">
        <v>3064</v>
      </c>
      <c r="B1770" t="s">
        <v>3268</v>
      </c>
      <c r="C1770" t="s">
        <v>19</v>
      </c>
      <c r="D1770" s="2">
        <v>50437.70470615309</v>
      </c>
      <c r="E1770">
        <f>VLOOKUP(I1770,Calc!$I$35:$J$39,2,FALSE)</f>
        <v>5</v>
      </c>
      <c r="F1770">
        <v>20</v>
      </c>
      <c r="G1770" s="10" t="s">
        <v>107</v>
      </c>
      <c r="H1770" s="10" t="s">
        <v>320</v>
      </c>
      <c r="I1770" s="10" t="s">
        <v>14</v>
      </c>
    </row>
    <row r="1771" spans="1:9" hidden="1">
      <c r="A1771" t="s">
        <v>3065</v>
      </c>
      <c r="B1771" t="s">
        <v>3268</v>
      </c>
      <c r="C1771" t="s">
        <v>19</v>
      </c>
      <c r="D1771" s="2">
        <v>50437.70470615309</v>
      </c>
      <c r="E1771">
        <f>VLOOKUP(I1771,Calc!$I$35:$J$39,2,FALSE)</f>
        <v>8</v>
      </c>
      <c r="F1771">
        <v>1</v>
      </c>
      <c r="G1771" s="10" t="s">
        <v>107</v>
      </c>
      <c r="H1771" s="10" t="s">
        <v>31</v>
      </c>
      <c r="I1771" s="10" t="s">
        <v>22</v>
      </c>
    </row>
    <row r="1772" spans="1:9" hidden="1">
      <c r="A1772" t="s">
        <v>3066</v>
      </c>
      <c r="B1772" t="s">
        <v>3267</v>
      </c>
      <c r="C1772" t="s">
        <v>11</v>
      </c>
      <c r="D1772" s="2">
        <v>13603.016099449767</v>
      </c>
      <c r="E1772">
        <f>VLOOKUP(I1772,Calc!$I$35:$J$39,2,FALSE)</f>
        <v>8</v>
      </c>
      <c r="F1772">
        <v>8</v>
      </c>
      <c r="G1772" s="10" t="s">
        <v>34</v>
      </c>
      <c r="H1772" s="10" t="s">
        <v>3067</v>
      </c>
      <c r="I1772" s="10" t="s">
        <v>22</v>
      </c>
    </row>
    <row r="1773" spans="1:9" hidden="1">
      <c r="A1773" t="s">
        <v>3068</v>
      </c>
      <c r="B1773" t="s">
        <v>3263</v>
      </c>
      <c r="C1773" t="s">
        <v>32</v>
      </c>
      <c r="D1773" s="2">
        <v>147886.90017838217</v>
      </c>
      <c r="E1773">
        <f>VLOOKUP(I1773,Calc!$I$35:$J$39,2,FALSE)</f>
        <v>2.5</v>
      </c>
      <c r="F1773">
        <v>15</v>
      </c>
      <c r="G1773" s="10" t="s">
        <v>123</v>
      </c>
      <c r="H1773" s="10" t="s">
        <v>1498</v>
      </c>
      <c r="I1773" s="10" t="s">
        <v>36</v>
      </c>
    </row>
    <row r="1774" spans="1:9" hidden="1">
      <c r="A1774" t="s">
        <v>3069</v>
      </c>
      <c r="B1774" t="s">
        <v>3268</v>
      </c>
      <c r="C1774" t="s">
        <v>11</v>
      </c>
      <c r="D1774" s="2">
        <v>4986.216672483919</v>
      </c>
      <c r="E1774">
        <f>VLOOKUP(I1774,Calc!$I$35:$J$39,2,FALSE)</f>
        <v>8</v>
      </c>
      <c r="F1774">
        <v>8</v>
      </c>
      <c r="G1774" s="10" t="s">
        <v>12</v>
      </c>
      <c r="H1774" s="10" t="s">
        <v>3070</v>
      </c>
      <c r="I1774" s="10" t="s">
        <v>22</v>
      </c>
    </row>
    <row r="1775" spans="1:9" hidden="1">
      <c r="A1775" t="s">
        <v>3071</v>
      </c>
      <c r="B1775" t="s">
        <v>3267</v>
      </c>
      <c r="C1775" t="s">
        <v>11</v>
      </c>
      <c r="D1775" s="2">
        <v>4800</v>
      </c>
      <c r="E1775">
        <f>VLOOKUP(I1775,Calc!$I$35:$J$39,2,FALSE)</f>
        <v>8</v>
      </c>
      <c r="F1775">
        <v>3</v>
      </c>
      <c r="G1775" s="10" t="s">
        <v>12</v>
      </c>
      <c r="H1775" s="10" t="s">
        <v>3072</v>
      </c>
      <c r="I1775" s="10" t="s">
        <v>22</v>
      </c>
    </row>
    <row r="1776" spans="1:9" hidden="1">
      <c r="A1776" t="s">
        <v>3073</v>
      </c>
      <c r="B1776" t="s">
        <v>77</v>
      </c>
      <c r="C1776" t="s">
        <v>11</v>
      </c>
      <c r="D1776" s="2">
        <v>8013.5625093491553</v>
      </c>
      <c r="E1776">
        <f>VLOOKUP(I1776,Calc!$I$35:$J$39,2,FALSE)</f>
        <v>5</v>
      </c>
      <c r="F1776">
        <v>4</v>
      </c>
      <c r="G1776" s="10" t="s">
        <v>12</v>
      </c>
      <c r="H1776" s="10" t="s">
        <v>1167</v>
      </c>
      <c r="I1776" s="10" t="s">
        <v>14</v>
      </c>
    </row>
    <row r="1777" spans="1:9" hidden="1">
      <c r="A1777" t="s">
        <v>3074</v>
      </c>
      <c r="B1777" t="s">
        <v>3267</v>
      </c>
      <c r="C1777" t="s">
        <v>29</v>
      </c>
      <c r="D1777" s="2">
        <v>80000</v>
      </c>
      <c r="E1777">
        <f>VLOOKUP(I1777,Calc!$I$35:$J$39,2,FALSE)</f>
        <v>5</v>
      </c>
      <c r="F1777">
        <v>2</v>
      </c>
      <c r="G1777" s="10" t="s">
        <v>30</v>
      </c>
      <c r="H1777" s="10" t="s">
        <v>3075</v>
      </c>
      <c r="I1777" s="10" t="s">
        <v>14</v>
      </c>
    </row>
    <row r="1778" spans="1:9" hidden="1">
      <c r="A1778" t="s">
        <v>3076</v>
      </c>
      <c r="B1778" t="s">
        <v>3268</v>
      </c>
      <c r="C1778" t="s">
        <v>19</v>
      </c>
      <c r="D1778" s="2">
        <v>57167.974754622352</v>
      </c>
      <c r="E1778">
        <f>VLOOKUP(I1778,Calc!$I$35:$J$39,2,FALSE)</f>
        <v>2.5</v>
      </c>
      <c r="F1778">
        <v>14</v>
      </c>
      <c r="G1778" s="10" t="s">
        <v>143</v>
      </c>
      <c r="H1778" s="10" t="s">
        <v>3077</v>
      </c>
      <c r="I1778" s="10" t="s">
        <v>36</v>
      </c>
    </row>
    <row r="1779" spans="1:9">
      <c r="A1779" t="s">
        <v>3078</v>
      </c>
      <c r="B1779" t="s">
        <v>3268</v>
      </c>
      <c r="C1779" t="s">
        <v>29</v>
      </c>
      <c r="D1779" s="2">
        <v>20000</v>
      </c>
      <c r="E1779">
        <f>VLOOKUP(I1779,Calc!$I$35:$J$39,2,FALSE)</f>
        <v>2.5</v>
      </c>
      <c r="F1779">
        <v>2</v>
      </c>
      <c r="G1779" s="10" t="s">
        <v>128</v>
      </c>
      <c r="H1779" s="10" t="s">
        <v>3079</v>
      </c>
      <c r="I1779" s="10" t="s">
        <v>36</v>
      </c>
    </row>
    <row r="1780" spans="1:9">
      <c r="A1780" t="s">
        <v>3080</v>
      </c>
      <c r="B1780" t="s">
        <v>3268</v>
      </c>
      <c r="C1780" t="s">
        <v>29</v>
      </c>
      <c r="D1780" s="2">
        <v>70000</v>
      </c>
      <c r="E1780">
        <f>VLOOKUP(I1780,Calc!$I$35:$J$39,2,FALSE)</f>
        <v>2.5</v>
      </c>
      <c r="F1780">
        <v>5</v>
      </c>
      <c r="G1780" s="10" t="s">
        <v>30</v>
      </c>
      <c r="H1780" s="10" t="s">
        <v>68</v>
      </c>
      <c r="I1780" s="10" t="s">
        <v>36</v>
      </c>
    </row>
    <row r="1781" spans="1:9" hidden="1">
      <c r="A1781" t="s">
        <v>3081</v>
      </c>
      <c r="B1781" t="s">
        <v>3263</v>
      </c>
      <c r="C1781" t="s">
        <v>29</v>
      </c>
      <c r="D1781" s="2">
        <v>214000</v>
      </c>
      <c r="E1781">
        <f>VLOOKUP(I1781,Calc!$I$35:$J$39,2,FALSE)</f>
        <v>8</v>
      </c>
      <c r="F1781">
        <v>20</v>
      </c>
      <c r="G1781" s="10" t="s">
        <v>30</v>
      </c>
      <c r="H1781" s="10" t="s">
        <v>3082</v>
      </c>
      <c r="I1781" s="10" t="s">
        <v>22</v>
      </c>
    </row>
    <row r="1782" spans="1:9" hidden="1">
      <c r="A1782" t="s">
        <v>3083</v>
      </c>
      <c r="B1782" t="s">
        <v>3266</v>
      </c>
      <c r="C1782" t="s">
        <v>29</v>
      </c>
      <c r="D1782" s="2">
        <v>78000</v>
      </c>
      <c r="E1782">
        <f>VLOOKUP(I1782,Calc!$I$35:$J$39,2,FALSE)</f>
        <v>8</v>
      </c>
      <c r="F1782">
        <v>5</v>
      </c>
      <c r="G1782" s="10" t="s">
        <v>30</v>
      </c>
      <c r="H1782" s="10" t="s">
        <v>3084</v>
      </c>
      <c r="I1782" s="10" t="s">
        <v>22</v>
      </c>
    </row>
    <row r="1783" spans="1:9">
      <c r="A1783" t="s">
        <v>3085</v>
      </c>
      <c r="B1783" t="s">
        <v>3268</v>
      </c>
      <c r="C1783" t="s">
        <v>29</v>
      </c>
      <c r="D1783" s="2">
        <v>42307</v>
      </c>
      <c r="E1783">
        <f>VLOOKUP(I1783,Calc!$I$35:$J$39,2,FALSE)</f>
        <v>2.5</v>
      </c>
      <c r="F1783">
        <v>25</v>
      </c>
      <c r="G1783" s="10" t="s">
        <v>30</v>
      </c>
      <c r="H1783" s="10" t="s">
        <v>3086</v>
      </c>
      <c r="I1783" s="10" t="s">
        <v>36</v>
      </c>
    </row>
    <row r="1784" spans="1:9" hidden="1">
      <c r="A1784" t="s">
        <v>3087</v>
      </c>
      <c r="B1784" t="s">
        <v>3267</v>
      </c>
      <c r="C1784" t="s">
        <v>29</v>
      </c>
      <c r="D1784" s="2">
        <v>33250</v>
      </c>
      <c r="E1784">
        <f>VLOOKUP(I1784,Calc!$I$35:$J$39,2,FALSE)</f>
        <v>8</v>
      </c>
      <c r="F1784">
        <v>20</v>
      </c>
      <c r="G1784" s="10" t="s">
        <v>30</v>
      </c>
      <c r="H1784" s="10" t="s">
        <v>3088</v>
      </c>
      <c r="I1784" s="10" t="s">
        <v>22</v>
      </c>
    </row>
    <row r="1785" spans="1:9" hidden="1">
      <c r="A1785" t="s">
        <v>3089</v>
      </c>
      <c r="B1785" t="s">
        <v>3268</v>
      </c>
      <c r="C1785" t="s">
        <v>19</v>
      </c>
      <c r="D1785" s="2">
        <v>24391.669228638868</v>
      </c>
      <c r="E1785">
        <f>VLOOKUP(I1785,Calc!$I$35:$J$39,2,FALSE)</f>
        <v>5</v>
      </c>
      <c r="F1785">
        <v>10</v>
      </c>
      <c r="G1785" s="10" t="s">
        <v>1428</v>
      </c>
      <c r="H1785" s="10" t="s">
        <v>3090</v>
      </c>
      <c r="I1785" s="10" t="s">
        <v>14</v>
      </c>
    </row>
    <row r="1786" spans="1:9" hidden="1">
      <c r="A1786" t="s">
        <v>3091</v>
      </c>
      <c r="B1786" t="s">
        <v>3269</v>
      </c>
      <c r="C1786" t="s">
        <v>29</v>
      </c>
      <c r="D1786" s="2">
        <v>120000</v>
      </c>
      <c r="E1786">
        <f>VLOOKUP(I1786,Calc!$I$35:$J$39,2,FALSE)</f>
        <v>5</v>
      </c>
      <c r="F1786">
        <v>20</v>
      </c>
      <c r="G1786" s="10" t="s">
        <v>30</v>
      </c>
      <c r="H1786" s="10" t="s">
        <v>3092</v>
      </c>
      <c r="I1786" s="10" t="s">
        <v>14</v>
      </c>
    </row>
    <row r="1787" spans="1:9" hidden="1">
      <c r="A1787" t="s">
        <v>3093</v>
      </c>
      <c r="B1787" t="s">
        <v>3268</v>
      </c>
      <c r="C1787" t="s">
        <v>11</v>
      </c>
      <c r="D1787" s="2">
        <v>20000</v>
      </c>
      <c r="E1787">
        <f>VLOOKUP(I1787,Calc!$I$35:$J$39,2,FALSE)</f>
        <v>1.5</v>
      </c>
      <c r="F1787">
        <v>1</v>
      </c>
      <c r="G1787" s="10" t="s">
        <v>3094</v>
      </c>
      <c r="H1787" s="10" t="s">
        <v>3095</v>
      </c>
      <c r="I1787" s="10" t="s">
        <v>47</v>
      </c>
    </row>
    <row r="1788" spans="1:9" hidden="1">
      <c r="A1788" t="s">
        <v>3096</v>
      </c>
      <c r="B1788" t="s">
        <v>3268</v>
      </c>
      <c r="C1788" t="s">
        <v>11</v>
      </c>
      <c r="D1788" s="2">
        <v>15000</v>
      </c>
      <c r="E1788">
        <f>VLOOKUP(I1788,Calc!$I$35:$J$39,2,FALSE)</f>
        <v>2.5</v>
      </c>
      <c r="F1788">
        <v>0.3</v>
      </c>
      <c r="G1788" s="10" t="s">
        <v>12</v>
      </c>
      <c r="H1788" s="10" t="s">
        <v>1580</v>
      </c>
      <c r="I1788" s="10" t="s">
        <v>36</v>
      </c>
    </row>
    <row r="1789" spans="1:9" hidden="1">
      <c r="A1789" t="s">
        <v>3097</v>
      </c>
      <c r="B1789" t="s">
        <v>3267</v>
      </c>
      <c r="C1789" t="s">
        <v>11</v>
      </c>
      <c r="D1789" s="2">
        <v>17807.916687442568</v>
      </c>
      <c r="E1789">
        <f>VLOOKUP(I1789,Calc!$I$35:$J$39,2,FALSE)</f>
        <v>2.5</v>
      </c>
      <c r="F1789">
        <v>10</v>
      </c>
      <c r="G1789" s="10" t="s">
        <v>12</v>
      </c>
      <c r="H1789" s="10" t="s">
        <v>3098</v>
      </c>
      <c r="I1789" s="10" t="s">
        <v>36</v>
      </c>
    </row>
    <row r="1790" spans="1:9" hidden="1">
      <c r="A1790" t="s">
        <v>3099</v>
      </c>
      <c r="B1790" t="s">
        <v>3267</v>
      </c>
      <c r="C1790" t="s">
        <v>11</v>
      </c>
      <c r="D1790" s="2">
        <v>16027.125018698311</v>
      </c>
      <c r="E1790">
        <f>VLOOKUP(I1790,Calc!$I$35:$J$39,2,FALSE)</f>
        <v>2.5</v>
      </c>
      <c r="F1790">
        <v>6</v>
      </c>
      <c r="G1790" s="10" t="s">
        <v>12</v>
      </c>
      <c r="H1790" s="10" t="s">
        <v>3100</v>
      </c>
      <c r="I1790" s="10" t="s">
        <v>36</v>
      </c>
    </row>
    <row r="1791" spans="1:9" hidden="1">
      <c r="A1791" t="s">
        <v>3101</v>
      </c>
      <c r="B1791" t="s">
        <v>3267</v>
      </c>
      <c r="C1791" t="s">
        <v>19</v>
      </c>
      <c r="D1791" s="2">
        <v>56742.417794422225</v>
      </c>
      <c r="E1791">
        <f>VLOOKUP(I1791,Calc!$I$35:$J$39,2,FALSE)</f>
        <v>8</v>
      </c>
      <c r="F1791">
        <v>7</v>
      </c>
      <c r="G1791" s="10" t="s">
        <v>107</v>
      </c>
      <c r="H1791" s="10" t="s">
        <v>3102</v>
      </c>
      <c r="I1791" s="10" t="s">
        <v>22</v>
      </c>
    </row>
    <row r="1792" spans="1:9" hidden="1">
      <c r="A1792" t="s">
        <v>3103</v>
      </c>
      <c r="B1792" t="s">
        <v>3267</v>
      </c>
      <c r="C1792" t="s">
        <v>11</v>
      </c>
      <c r="D1792" s="2">
        <v>21369.500024931083</v>
      </c>
      <c r="E1792">
        <f>VLOOKUP(I1792,Calc!$I$35:$J$39,2,FALSE)</f>
        <v>5</v>
      </c>
      <c r="F1792">
        <v>7</v>
      </c>
      <c r="G1792" s="10" t="s">
        <v>12</v>
      </c>
      <c r="H1792" s="10" t="s">
        <v>3104</v>
      </c>
      <c r="I1792" s="10" t="s">
        <v>14</v>
      </c>
    </row>
    <row r="1793" spans="1:9" hidden="1">
      <c r="A1793" t="s">
        <v>3105</v>
      </c>
      <c r="B1793" t="s">
        <v>3269</v>
      </c>
      <c r="C1793" t="s">
        <v>11</v>
      </c>
      <c r="D1793" s="2">
        <v>7568.3645921630914</v>
      </c>
      <c r="E1793">
        <f>VLOOKUP(I1793,Calc!$I$35:$J$39,2,FALSE)</f>
        <v>2.5</v>
      </c>
      <c r="F1793">
        <v>6</v>
      </c>
      <c r="G1793" s="10" t="s">
        <v>12</v>
      </c>
      <c r="H1793" s="10" t="s">
        <v>1483</v>
      </c>
      <c r="I1793" s="10" t="s">
        <v>36</v>
      </c>
    </row>
    <row r="1794" spans="1:9" hidden="1">
      <c r="A1794" t="s">
        <v>3106</v>
      </c>
      <c r="B1794" t="s">
        <v>3269</v>
      </c>
      <c r="C1794" t="s">
        <v>19</v>
      </c>
      <c r="D1794" s="2">
        <v>78808.913603364199</v>
      </c>
      <c r="E1794">
        <f>VLOOKUP(I1794,Calc!$I$35:$J$39,2,FALSE)</f>
        <v>2.5</v>
      </c>
      <c r="F1794">
        <v>10</v>
      </c>
      <c r="G1794" s="10" t="s">
        <v>107</v>
      </c>
      <c r="H1794" s="10" t="s">
        <v>2536</v>
      </c>
      <c r="I1794" s="10" t="s">
        <v>36</v>
      </c>
    </row>
    <row r="1795" spans="1:9">
      <c r="A1795" t="s">
        <v>3107</v>
      </c>
      <c r="B1795" t="s">
        <v>3268</v>
      </c>
      <c r="C1795" t="s">
        <v>29</v>
      </c>
      <c r="D1795" s="2">
        <v>60000</v>
      </c>
      <c r="E1795">
        <f>VLOOKUP(I1795,Calc!$I$35:$J$39,2,FALSE)</f>
        <v>5</v>
      </c>
      <c r="F1795">
        <v>15</v>
      </c>
      <c r="G1795" s="10" t="s">
        <v>30</v>
      </c>
      <c r="H1795" s="10" t="s">
        <v>320</v>
      </c>
      <c r="I1795" s="10" t="s">
        <v>14</v>
      </c>
    </row>
    <row r="1796" spans="1:9" hidden="1">
      <c r="A1796" t="s">
        <v>3108</v>
      </c>
      <c r="B1796" t="s">
        <v>3269</v>
      </c>
      <c r="C1796" t="s">
        <v>29</v>
      </c>
      <c r="D1796" s="2">
        <v>57000</v>
      </c>
      <c r="E1796">
        <f>VLOOKUP(I1796,Calc!$I$35:$J$39,2,FALSE)</f>
        <v>5</v>
      </c>
      <c r="F1796">
        <v>9</v>
      </c>
      <c r="G1796" s="10" t="s">
        <v>30</v>
      </c>
      <c r="H1796" s="10" t="s">
        <v>2136</v>
      </c>
      <c r="I1796" s="10" t="s">
        <v>14</v>
      </c>
    </row>
    <row r="1797" spans="1:9">
      <c r="A1797" t="s">
        <v>3109</v>
      </c>
      <c r="B1797" t="s">
        <v>3268</v>
      </c>
      <c r="C1797" t="s">
        <v>29</v>
      </c>
      <c r="D1797" s="2">
        <v>40000</v>
      </c>
      <c r="E1797">
        <f>VLOOKUP(I1797,Calc!$I$35:$J$39,2,FALSE)</f>
        <v>2.5</v>
      </c>
      <c r="F1797">
        <v>0</v>
      </c>
      <c r="G1797" s="10" t="s">
        <v>30</v>
      </c>
      <c r="H1797" s="10" t="s">
        <v>3110</v>
      </c>
      <c r="I1797" s="10" t="s">
        <v>36</v>
      </c>
    </row>
    <row r="1798" spans="1:9" hidden="1">
      <c r="A1798" t="s">
        <v>3111</v>
      </c>
      <c r="B1798" t="s">
        <v>3263</v>
      </c>
      <c r="C1798" t="s">
        <v>29</v>
      </c>
      <c r="D1798" s="2">
        <v>80000</v>
      </c>
      <c r="E1798">
        <f>VLOOKUP(I1798,Calc!$I$35:$J$39,2,FALSE)</f>
        <v>5</v>
      </c>
      <c r="F1798">
        <v>9</v>
      </c>
      <c r="G1798" s="10" t="s">
        <v>30</v>
      </c>
      <c r="H1798" s="10" t="s">
        <v>3112</v>
      </c>
      <c r="I1798" s="10" t="s">
        <v>14</v>
      </c>
    </row>
    <row r="1799" spans="1:9" hidden="1">
      <c r="A1799" t="s">
        <v>3113</v>
      </c>
      <c r="B1799" t="s">
        <v>3249</v>
      </c>
      <c r="C1799" t="s">
        <v>29</v>
      </c>
      <c r="D1799" s="2">
        <v>118000</v>
      </c>
      <c r="E1799">
        <f>VLOOKUP(I1799,Calc!$I$35:$J$39,2,FALSE)</f>
        <v>5</v>
      </c>
      <c r="F1799">
        <v>6</v>
      </c>
      <c r="G1799" s="10" t="s">
        <v>30</v>
      </c>
      <c r="H1799" s="10" t="s">
        <v>2732</v>
      </c>
      <c r="I1799" s="10" t="s">
        <v>14</v>
      </c>
    </row>
    <row r="1800" spans="1:9" hidden="1">
      <c r="A1800" t="s">
        <v>3114</v>
      </c>
      <c r="B1800" t="s">
        <v>3268</v>
      </c>
      <c r="C1800" t="s">
        <v>48</v>
      </c>
      <c r="D1800" s="2">
        <v>60000</v>
      </c>
      <c r="E1800">
        <f>VLOOKUP(I1800,Calc!$I$35:$J$39,2,FALSE)</f>
        <v>5</v>
      </c>
      <c r="F1800">
        <v>5</v>
      </c>
      <c r="G1800" s="10" t="s">
        <v>191</v>
      </c>
      <c r="H1800" s="10" t="s">
        <v>10</v>
      </c>
      <c r="I1800" s="10" t="s">
        <v>14</v>
      </c>
    </row>
    <row r="1801" spans="1:9" hidden="1">
      <c r="A1801" t="s">
        <v>3115</v>
      </c>
      <c r="B1801" t="s">
        <v>3269</v>
      </c>
      <c r="C1801" t="s">
        <v>11</v>
      </c>
      <c r="D1801" s="2">
        <v>6720</v>
      </c>
      <c r="E1801">
        <f>VLOOKUP(I1801,Calc!$I$35:$J$39,2,FALSE)</f>
        <v>5</v>
      </c>
      <c r="F1801">
        <v>5</v>
      </c>
      <c r="G1801" s="10" t="s">
        <v>12</v>
      </c>
      <c r="H1801" s="10" t="s">
        <v>3116</v>
      </c>
      <c r="I1801" s="10" t="s">
        <v>14</v>
      </c>
    </row>
    <row r="1802" spans="1:9" hidden="1">
      <c r="A1802" t="s">
        <v>3117</v>
      </c>
      <c r="B1802" t="s">
        <v>3267</v>
      </c>
      <c r="C1802" t="s">
        <v>11</v>
      </c>
      <c r="D1802" s="2">
        <v>20640</v>
      </c>
      <c r="E1802">
        <f>VLOOKUP(I1802,Calc!$I$35:$J$39,2,FALSE)</f>
        <v>5</v>
      </c>
      <c r="F1802">
        <v>3</v>
      </c>
      <c r="G1802" s="10" t="s">
        <v>455</v>
      </c>
      <c r="H1802" s="10" t="s">
        <v>3118</v>
      </c>
      <c r="I1802" s="10" t="s">
        <v>14</v>
      </c>
    </row>
    <row r="1803" spans="1:9">
      <c r="A1803" t="s">
        <v>3119</v>
      </c>
      <c r="B1803" t="s">
        <v>3268</v>
      </c>
      <c r="C1803" t="s">
        <v>29</v>
      </c>
      <c r="D1803" s="2">
        <v>50000</v>
      </c>
      <c r="E1803">
        <f>VLOOKUP(I1803,Calc!$I$35:$J$39,2,FALSE)</f>
        <v>8</v>
      </c>
      <c r="F1803">
        <v>15</v>
      </c>
      <c r="G1803" s="10" t="s">
        <v>30</v>
      </c>
      <c r="H1803" s="10" t="s">
        <v>3120</v>
      </c>
      <c r="I1803" s="10" t="s">
        <v>22</v>
      </c>
    </row>
    <row r="1804" spans="1:9" hidden="1">
      <c r="A1804" t="s">
        <v>3121</v>
      </c>
      <c r="B1804" t="s">
        <v>3263</v>
      </c>
      <c r="C1804" t="s">
        <v>19</v>
      </c>
      <c r="D1804" s="2">
        <v>24000</v>
      </c>
      <c r="E1804">
        <f>VLOOKUP(I1804,Calc!$I$35:$J$39,2,FALSE)</f>
        <v>8</v>
      </c>
      <c r="F1804">
        <v>23</v>
      </c>
      <c r="G1804" s="10" t="s">
        <v>103</v>
      </c>
      <c r="H1804" s="10" t="s">
        <v>622</v>
      </c>
      <c r="I1804" s="10" t="s">
        <v>22</v>
      </c>
    </row>
    <row r="1805" spans="1:9">
      <c r="A1805" t="s">
        <v>3122</v>
      </c>
      <c r="B1805" t="s">
        <v>3268</v>
      </c>
      <c r="C1805" t="s">
        <v>29</v>
      </c>
      <c r="D1805" s="2">
        <v>60000</v>
      </c>
      <c r="E1805">
        <f>VLOOKUP(I1805,Calc!$I$35:$J$39,2,FALSE)</f>
        <v>2.5</v>
      </c>
      <c r="F1805">
        <v>3</v>
      </c>
      <c r="G1805" s="10" t="s">
        <v>30</v>
      </c>
      <c r="H1805" s="10" t="s">
        <v>320</v>
      </c>
      <c r="I1805" s="10" t="s">
        <v>36</v>
      </c>
    </row>
    <row r="1806" spans="1:9" hidden="1">
      <c r="A1806" t="s">
        <v>3123</v>
      </c>
      <c r="B1806" t="s">
        <v>3264</v>
      </c>
      <c r="C1806" t="s">
        <v>11</v>
      </c>
      <c r="D1806" s="2">
        <v>37500</v>
      </c>
      <c r="E1806">
        <f>VLOOKUP(I1806,Calc!$I$35:$J$39,2,FALSE)</f>
        <v>8</v>
      </c>
      <c r="F1806">
        <v>0</v>
      </c>
      <c r="G1806" s="10" t="s">
        <v>12</v>
      </c>
      <c r="H1806" s="10" t="s">
        <v>124</v>
      </c>
      <c r="I1806" s="10" t="s">
        <v>22</v>
      </c>
    </row>
    <row r="1807" spans="1:9" hidden="1">
      <c r="A1807" t="s">
        <v>3124</v>
      </c>
      <c r="B1807" t="s">
        <v>3265</v>
      </c>
      <c r="C1807" t="s">
        <v>29</v>
      </c>
      <c r="D1807" s="2">
        <v>40000</v>
      </c>
      <c r="E1807">
        <f>VLOOKUP(I1807,Calc!$I$35:$J$39,2,FALSE)</f>
        <v>5</v>
      </c>
      <c r="F1807">
        <v>1</v>
      </c>
      <c r="G1807" s="10" t="s">
        <v>30</v>
      </c>
      <c r="H1807" s="10" t="s">
        <v>3125</v>
      </c>
      <c r="I1807" s="10" t="s">
        <v>14</v>
      </c>
    </row>
    <row r="1808" spans="1:9" hidden="1">
      <c r="A1808" t="s">
        <v>3126</v>
      </c>
      <c r="B1808" t="s">
        <v>3249</v>
      </c>
      <c r="C1808" t="s">
        <v>29</v>
      </c>
      <c r="D1808" s="2">
        <v>85000</v>
      </c>
      <c r="E1808">
        <f>VLOOKUP(I1808,Calc!$I$35:$J$39,2,FALSE)</f>
        <v>2.5</v>
      </c>
      <c r="F1808">
        <v>15</v>
      </c>
      <c r="G1808" s="10" t="s">
        <v>30</v>
      </c>
      <c r="H1808" s="10" t="s">
        <v>3127</v>
      </c>
      <c r="I1808" s="10" t="s">
        <v>36</v>
      </c>
    </row>
    <row r="1809" spans="1:9" hidden="1">
      <c r="A1809" t="s">
        <v>3128</v>
      </c>
      <c r="B1809" t="s">
        <v>3268</v>
      </c>
      <c r="C1809" t="s">
        <v>3248</v>
      </c>
      <c r="D1809" s="2">
        <v>30000</v>
      </c>
      <c r="E1809">
        <f>VLOOKUP(I1809,Calc!$I$35:$J$39,2,FALSE)</f>
        <v>2.5</v>
      </c>
      <c r="F1809">
        <v>1</v>
      </c>
      <c r="G1809" s="10" t="s">
        <v>216</v>
      </c>
      <c r="H1809" s="10" t="s">
        <v>2600</v>
      </c>
      <c r="I1809" s="10" t="s">
        <v>36</v>
      </c>
    </row>
    <row r="1810" spans="1:9" hidden="1">
      <c r="A1810" t="s">
        <v>3129</v>
      </c>
      <c r="B1810" t="s">
        <v>3266</v>
      </c>
      <c r="C1810" t="s">
        <v>19</v>
      </c>
      <c r="D1810" s="2">
        <v>52801.972114254015</v>
      </c>
      <c r="E1810">
        <f>VLOOKUP(I1810,Calc!$I$35:$J$39,2,FALSE)</f>
        <v>2.5</v>
      </c>
      <c r="F1810">
        <v>7</v>
      </c>
      <c r="G1810" s="10" t="s">
        <v>107</v>
      </c>
      <c r="H1810" s="10" t="s">
        <v>3130</v>
      </c>
      <c r="I1810" s="10" t="s">
        <v>36</v>
      </c>
    </row>
    <row r="1811" spans="1:9" hidden="1">
      <c r="A1811" t="s">
        <v>3131</v>
      </c>
      <c r="B1811" t="s">
        <v>3266</v>
      </c>
      <c r="C1811" t="s">
        <v>29</v>
      </c>
      <c r="D1811" s="2">
        <v>29000</v>
      </c>
      <c r="E1811">
        <f>VLOOKUP(I1811,Calc!$I$35:$J$39,2,FALSE)</f>
        <v>8</v>
      </c>
      <c r="F1811">
        <v>1</v>
      </c>
      <c r="G1811" s="10" t="s">
        <v>30</v>
      </c>
      <c r="H1811" s="10" t="s">
        <v>3132</v>
      </c>
      <c r="I1811" s="10" t="s">
        <v>22</v>
      </c>
    </row>
    <row r="1812" spans="1:9" hidden="1">
      <c r="A1812" t="s">
        <v>3133</v>
      </c>
      <c r="B1812" t="s">
        <v>3269</v>
      </c>
      <c r="C1812" t="s">
        <v>29</v>
      </c>
      <c r="D1812" s="2">
        <v>48000</v>
      </c>
      <c r="E1812">
        <f>VLOOKUP(I1812,Calc!$I$35:$J$39,2,FALSE)</f>
        <v>5</v>
      </c>
      <c r="F1812">
        <v>1</v>
      </c>
      <c r="G1812" s="10" t="s">
        <v>30</v>
      </c>
      <c r="H1812" s="10" t="s">
        <v>56</v>
      </c>
      <c r="I1812" s="10" t="s">
        <v>14</v>
      </c>
    </row>
    <row r="1813" spans="1:9" hidden="1">
      <c r="A1813" t="s">
        <v>3134</v>
      </c>
      <c r="B1813" t="s">
        <v>3269</v>
      </c>
      <c r="C1813" t="s">
        <v>29</v>
      </c>
      <c r="D1813" s="2">
        <v>48000</v>
      </c>
      <c r="E1813">
        <f>VLOOKUP(I1813,Calc!$I$35:$J$39,2,FALSE)</f>
        <v>5</v>
      </c>
      <c r="F1813">
        <v>1</v>
      </c>
      <c r="G1813" s="10" t="s">
        <v>30</v>
      </c>
      <c r="H1813" s="10" t="s">
        <v>56</v>
      </c>
      <c r="I1813" s="10" t="s">
        <v>14</v>
      </c>
    </row>
    <row r="1814" spans="1:9" hidden="1">
      <c r="A1814" t="s">
        <v>3135</v>
      </c>
      <c r="B1814" t="s">
        <v>3268</v>
      </c>
      <c r="C1814" t="s">
        <v>19</v>
      </c>
      <c r="D1814" s="2">
        <v>8400</v>
      </c>
      <c r="E1814">
        <f>VLOOKUP(I1814,Calc!$I$35:$J$39,2,FALSE)</f>
        <v>8</v>
      </c>
      <c r="F1814">
        <v>0.3</v>
      </c>
      <c r="G1814" s="10" t="s">
        <v>3136</v>
      </c>
      <c r="H1814" s="10" t="s">
        <v>10</v>
      </c>
      <c r="I1814" s="10" t="s">
        <v>22</v>
      </c>
    </row>
    <row r="1815" spans="1:9" hidden="1">
      <c r="A1815" t="s">
        <v>3137</v>
      </c>
      <c r="B1815" t="s">
        <v>3267</v>
      </c>
      <c r="C1815" t="s">
        <v>11</v>
      </c>
      <c r="D1815" s="2">
        <v>4808.137505609493</v>
      </c>
      <c r="E1815">
        <f>VLOOKUP(I1815,Calc!$I$35:$J$39,2,FALSE)</f>
        <v>2.5</v>
      </c>
      <c r="F1815">
        <v>5</v>
      </c>
      <c r="G1815" s="10" t="s">
        <v>12</v>
      </c>
      <c r="H1815" s="10" t="s">
        <v>137</v>
      </c>
      <c r="I1815" s="10" t="s">
        <v>36</v>
      </c>
    </row>
    <row r="1816" spans="1:9" hidden="1">
      <c r="A1816" t="s">
        <v>3138</v>
      </c>
      <c r="B1816" t="s">
        <v>3267</v>
      </c>
      <c r="C1816" t="s">
        <v>11</v>
      </c>
      <c r="D1816" s="2">
        <v>24931.083362419595</v>
      </c>
      <c r="E1816">
        <f>VLOOKUP(I1816,Calc!$I$35:$J$39,2,FALSE)</f>
        <v>5</v>
      </c>
      <c r="F1816">
        <v>10</v>
      </c>
      <c r="G1816" s="10" t="s">
        <v>12</v>
      </c>
      <c r="H1816" s="10" t="s">
        <v>3139</v>
      </c>
      <c r="I1816" s="10" t="s">
        <v>14</v>
      </c>
    </row>
    <row r="1817" spans="1:9" hidden="1">
      <c r="A1817" t="s">
        <v>3140</v>
      </c>
      <c r="B1817" t="s">
        <v>3268</v>
      </c>
      <c r="C1817" t="s">
        <v>11</v>
      </c>
      <c r="D1817" s="2">
        <v>12465.541681209797</v>
      </c>
      <c r="E1817">
        <f>VLOOKUP(I1817,Calc!$I$35:$J$39,2,FALSE)</f>
        <v>2.5</v>
      </c>
      <c r="F1817">
        <v>4</v>
      </c>
      <c r="G1817" s="10" t="s">
        <v>12</v>
      </c>
      <c r="H1817" s="10" t="s">
        <v>3141</v>
      </c>
      <c r="I1817" s="10" t="s">
        <v>36</v>
      </c>
    </row>
    <row r="1818" spans="1:9" hidden="1">
      <c r="A1818" t="s">
        <v>3142</v>
      </c>
      <c r="B1818" t="s">
        <v>3269</v>
      </c>
      <c r="C1818" t="s">
        <v>19</v>
      </c>
      <c r="D1818" s="2">
        <v>31523.565441345683</v>
      </c>
      <c r="E1818">
        <f>VLOOKUP(I1818,Calc!$I$35:$J$39,2,FALSE)</f>
        <v>2.5</v>
      </c>
      <c r="F1818">
        <v>10</v>
      </c>
      <c r="G1818" s="10" t="s">
        <v>107</v>
      </c>
      <c r="H1818" s="10" t="s">
        <v>56</v>
      </c>
      <c r="I1818" s="10" t="s">
        <v>36</v>
      </c>
    </row>
    <row r="1819" spans="1:9" hidden="1">
      <c r="A1819" t="s">
        <v>3143</v>
      </c>
      <c r="B1819" t="s">
        <v>3267</v>
      </c>
      <c r="C1819" t="s">
        <v>11</v>
      </c>
      <c r="D1819" s="2">
        <v>17807.916687442568</v>
      </c>
      <c r="E1819">
        <f>VLOOKUP(I1819,Calc!$I$35:$J$39,2,FALSE)</f>
        <v>8</v>
      </c>
      <c r="F1819">
        <v>10</v>
      </c>
      <c r="G1819" s="10" t="s">
        <v>12</v>
      </c>
      <c r="H1819" s="10" t="s">
        <v>3144</v>
      </c>
      <c r="I1819" s="10" t="s">
        <v>22</v>
      </c>
    </row>
    <row r="1820" spans="1:9" hidden="1">
      <c r="A1820" t="s">
        <v>3145</v>
      </c>
      <c r="B1820" t="s">
        <v>3267</v>
      </c>
      <c r="C1820" t="s">
        <v>29</v>
      </c>
      <c r="D1820" s="2">
        <v>112000</v>
      </c>
      <c r="E1820">
        <f>VLOOKUP(I1820,Calc!$I$35:$J$39,2,FALSE)</f>
        <v>2.5</v>
      </c>
      <c r="F1820">
        <v>8</v>
      </c>
      <c r="G1820" s="10" t="s">
        <v>30</v>
      </c>
      <c r="H1820" s="10" t="s">
        <v>1024</v>
      </c>
      <c r="I1820" s="10" t="s">
        <v>36</v>
      </c>
    </row>
    <row r="1821" spans="1:9" hidden="1">
      <c r="A1821" t="s">
        <v>3146</v>
      </c>
      <c r="B1821" t="s">
        <v>3267</v>
      </c>
      <c r="C1821" t="s">
        <v>11</v>
      </c>
      <c r="D1821" s="2">
        <v>11000</v>
      </c>
      <c r="E1821">
        <f>VLOOKUP(I1821,Calc!$I$35:$J$39,2,FALSE)</f>
        <v>8</v>
      </c>
      <c r="F1821">
        <v>8</v>
      </c>
      <c r="G1821" s="10" t="s">
        <v>12</v>
      </c>
      <c r="H1821" s="10" t="s">
        <v>3104</v>
      </c>
      <c r="I1821" s="10" t="s">
        <v>22</v>
      </c>
    </row>
    <row r="1822" spans="1:9" hidden="1">
      <c r="A1822" t="s">
        <v>3147</v>
      </c>
      <c r="B1822" t="s">
        <v>3263</v>
      </c>
      <c r="C1822" t="s">
        <v>19</v>
      </c>
      <c r="D1822" s="2">
        <v>114335.9495092447</v>
      </c>
      <c r="E1822">
        <f>VLOOKUP(I1822,Calc!$I$35:$J$39,2,FALSE)</f>
        <v>2.5</v>
      </c>
      <c r="F1822">
        <v>20</v>
      </c>
      <c r="G1822" s="10" t="s">
        <v>19</v>
      </c>
      <c r="H1822" s="10" t="s">
        <v>18</v>
      </c>
      <c r="I1822" s="10" t="s">
        <v>36</v>
      </c>
    </row>
    <row r="1823" spans="1:9" hidden="1">
      <c r="A1823" t="s">
        <v>3148</v>
      </c>
      <c r="B1823" t="s">
        <v>3268</v>
      </c>
      <c r="C1823" t="s">
        <v>3248</v>
      </c>
      <c r="D1823" s="2">
        <v>16110</v>
      </c>
      <c r="E1823">
        <f>VLOOKUP(I1823,Calc!$I$35:$J$39,2,FALSE)</f>
        <v>8</v>
      </c>
      <c r="F1823">
        <v>10</v>
      </c>
      <c r="G1823" s="10" t="s">
        <v>280</v>
      </c>
      <c r="H1823" s="10" t="s">
        <v>3149</v>
      </c>
      <c r="I1823" s="10" t="s">
        <v>22</v>
      </c>
    </row>
    <row r="1824" spans="1:9" hidden="1">
      <c r="A1824" t="s">
        <v>3150</v>
      </c>
      <c r="B1824" t="s">
        <v>3267</v>
      </c>
      <c r="C1824" t="s">
        <v>29</v>
      </c>
      <c r="D1824" s="2">
        <v>72000</v>
      </c>
      <c r="E1824">
        <f>VLOOKUP(I1824,Calc!$I$35:$J$39,2,FALSE)</f>
        <v>5</v>
      </c>
      <c r="F1824">
        <v>10</v>
      </c>
      <c r="G1824" s="10" t="s">
        <v>30</v>
      </c>
      <c r="H1824" s="10" t="s">
        <v>3151</v>
      </c>
      <c r="I1824" s="10" t="s">
        <v>14</v>
      </c>
    </row>
    <row r="1825" spans="1:9">
      <c r="A1825" t="s">
        <v>3152</v>
      </c>
      <c r="B1825" t="s">
        <v>3268</v>
      </c>
      <c r="C1825" t="s">
        <v>29</v>
      </c>
      <c r="D1825" s="2">
        <v>60000</v>
      </c>
      <c r="E1825">
        <f>VLOOKUP(I1825,Calc!$I$35:$J$39,2,FALSE)</f>
        <v>8</v>
      </c>
      <c r="F1825">
        <v>10</v>
      </c>
      <c r="G1825" s="10" t="s">
        <v>30</v>
      </c>
      <c r="H1825" s="10" t="s">
        <v>3153</v>
      </c>
      <c r="I1825" s="10" t="s">
        <v>22</v>
      </c>
    </row>
    <row r="1826" spans="1:9">
      <c r="A1826" t="s">
        <v>3154</v>
      </c>
      <c r="B1826" t="s">
        <v>3268</v>
      </c>
      <c r="C1826" t="s">
        <v>29</v>
      </c>
      <c r="D1826" s="2">
        <v>67000</v>
      </c>
      <c r="E1826">
        <f>VLOOKUP(I1826,Calc!$I$35:$J$39,2,FALSE)</f>
        <v>5</v>
      </c>
      <c r="F1826">
        <v>6</v>
      </c>
      <c r="G1826" s="10" t="s">
        <v>30</v>
      </c>
      <c r="H1826" s="10" t="s">
        <v>3155</v>
      </c>
      <c r="I1826" s="10" t="s">
        <v>14</v>
      </c>
    </row>
    <row r="1827" spans="1:9">
      <c r="A1827" t="s">
        <v>3156</v>
      </c>
      <c r="B1827" t="s">
        <v>3268</v>
      </c>
      <c r="C1827" t="s">
        <v>29</v>
      </c>
      <c r="D1827" s="2">
        <v>54000</v>
      </c>
      <c r="E1827">
        <f>VLOOKUP(I1827,Calc!$I$35:$J$39,2,FALSE)</f>
        <v>5</v>
      </c>
      <c r="F1827">
        <v>18</v>
      </c>
      <c r="G1827" s="10" t="s">
        <v>30</v>
      </c>
      <c r="H1827" s="10" t="s">
        <v>3157</v>
      </c>
      <c r="I1827" s="10" t="s">
        <v>14</v>
      </c>
    </row>
    <row r="1828" spans="1:9" hidden="1">
      <c r="A1828" t="s">
        <v>3158</v>
      </c>
      <c r="B1828" t="s">
        <v>3265</v>
      </c>
      <c r="C1828" t="s">
        <v>42</v>
      </c>
      <c r="D1828" s="2">
        <v>38666</v>
      </c>
      <c r="E1828">
        <f>VLOOKUP(I1828,Calc!$I$35:$J$39,2,FALSE)</f>
        <v>8</v>
      </c>
      <c r="F1828">
        <v>10</v>
      </c>
      <c r="G1828" s="10" t="s">
        <v>78</v>
      </c>
      <c r="H1828" s="10" t="s">
        <v>3159</v>
      </c>
      <c r="I1828" s="10" t="s">
        <v>22</v>
      </c>
    </row>
    <row r="1829" spans="1:9">
      <c r="A1829" t="s">
        <v>3160</v>
      </c>
      <c r="B1829" t="s">
        <v>3268</v>
      </c>
      <c r="C1829" t="s">
        <v>29</v>
      </c>
      <c r="D1829" s="2">
        <v>63000</v>
      </c>
      <c r="E1829">
        <f>VLOOKUP(I1829,Calc!$I$35:$J$39,2,FALSE)</f>
        <v>5</v>
      </c>
      <c r="F1829">
        <v>6</v>
      </c>
      <c r="G1829" s="10" t="s">
        <v>30</v>
      </c>
      <c r="H1829" s="10" t="s">
        <v>3161</v>
      </c>
      <c r="I1829" s="10" t="s">
        <v>14</v>
      </c>
    </row>
    <row r="1830" spans="1:9">
      <c r="A1830" t="s">
        <v>3162</v>
      </c>
      <c r="B1830" t="s">
        <v>3268</v>
      </c>
      <c r="C1830" t="s">
        <v>29</v>
      </c>
      <c r="D1830" s="2">
        <v>63000</v>
      </c>
      <c r="E1830">
        <f>VLOOKUP(I1830,Calc!$I$35:$J$39,2,FALSE)</f>
        <v>8</v>
      </c>
      <c r="F1830">
        <v>1</v>
      </c>
      <c r="G1830" s="10" t="s">
        <v>30</v>
      </c>
      <c r="H1830" s="10" t="s">
        <v>31</v>
      </c>
      <c r="I1830" s="10" t="s">
        <v>22</v>
      </c>
    </row>
    <row r="1831" spans="1:9" hidden="1">
      <c r="A1831" t="s">
        <v>3163</v>
      </c>
      <c r="B1831" t="s">
        <v>3268</v>
      </c>
      <c r="C1831" t="s">
        <v>11</v>
      </c>
      <c r="D1831" s="2">
        <v>6410.8500074793246</v>
      </c>
      <c r="E1831">
        <f>VLOOKUP(I1831,Calc!$I$35:$J$39,2,FALSE)</f>
        <v>8</v>
      </c>
      <c r="F1831">
        <v>2</v>
      </c>
      <c r="G1831" s="10" t="s">
        <v>12</v>
      </c>
      <c r="H1831" s="10" t="s">
        <v>10</v>
      </c>
      <c r="I1831" s="10" t="s">
        <v>22</v>
      </c>
    </row>
    <row r="1832" spans="1:9" hidden="1">
      <c r="A1832" t="s">
        <v>3164</v>
      </c>
      <c r="B1832" t="s">
        <v>3267</v>
      </c>
      <c r="C1832" t="s">
        <v>11</v>
      </c>
      <c r="D1832" s="2">
        <v>10684.750012465542</v>
      </c>
      <c r="E1832">
        <f>VLOOKUP(I1832,Calc!$I$35:$J$39,2,FALSE)</f>
        <v>5</v>
      </c>
      <c r="F1832">
        <v>12</v>
      </c>
      <c r="G1832" s="10" t="s">
        <v>12</v>
      </c>
      <c r="H1832" s="10" t="s">
        <v>3165</v>
      </c>
      <c r="I1832" s="10" t="s">
        <v>14</v>
      </c>
    </row>
    <row r="1833" spans="1:9" hidden="1">
      <c r="A1833" t="s">
        <v>3166</v>
      </c>
      <c r="B1833" t="s">
        <v>3267</v>
      </c>
      <c r="C1833" t="s">
        <v>11</v>
      </c>
      <c r="D1833" s="2">
        <v>40000</v>
      </c>
      <c r="E1833">
        <f>VLOOKUP(I1833,Calc!$I$35:$J$39,2,FALSE)</f>
        <v>5</v>
      </c>
      <c r="F1833">
        <v>5</v>
      </c>
      <c r="G1833" s="10" t="s">
        <v>12</v>
      </c>
      <c r="H1833" s="10" t="s">
        <v>1608</v>
      </c>
      <c r="I1833" s="10" t="s">
        <v>14</v>
      </c>
    </row>
    <row r="1834" spans="1:9" hidden="1">
      <c r="A1834" t="s">
        <v>3167</v>
      </c>
      <c r="B1834" t="s">
        <v>3268</v>
      </c>
      <c r="C1834" t="s">
        <v>11</v>
      </c>
      <c r="D1834" s="2">
        <v>6232.7708406048987</v>
      </c>
      <c r="E1834">
        <f>VLOOKUP(I1834,Calc!$I$35:$J$39,2,FALSE)</f>
        <v>5</v>
      </c>
      <c r="F1834">
        <v>6</v>
      </c>
      <c r="G1834" s="10" t="s">
        <v>12</v>
      </c>
      <c r="H1834" s="10" t="s">
        <v>10</v>
      </c>
      <c r="I1834" s="10" t="s">
        <v>14</v>
      </c>
    </row>
    <row r="1835" spans="1:9" hidden="1">
      <c r="A1835" t="s">
        <v>3168</v>
      </c>
      <c r="B1835" t="s">
        <v>3250</v>
      </c>
      <c r="C1835" t="s">
        <v>11</v>
      </c>
      <c r="D1835" s="2">
        <v>41712.231189497601</v>
      </c>
      <c r="E1835">
        <f>VLOOKUP(I1835,Calc!$I$35:$J$39,2,FALSE)</f>
        <v>2.5</v>
      </c>
      <c r="F1835">
        <v>12</v>
      </c>
      <c r="G1835" s="10" t="s">
        <v>12</v>
      </c>
      <c r="H1835" s="10" t="s">
        <v>3169</v>
      </c>
      <c r="I1835" s="10" t="s">
        <v>36</v>
      </c>
    </row>
    <row r="1836" spans="1:9" hidden="1">
      <c r="A1836" t="s">
        <v>3170</v>
      </c>
      <c r="B1836" t="s">
        <v>3267</v>
      </c>
      <c r="C1836" t="s">
        <v>11</v>
      </c>
      <c r="D1836" s="2">
        <v>12465.541681209797</v>
      </c>
      <c r="E1836">
        <f>VLOOKUP(I1836,Calc!$I$35:$J$39,2,FALSE)</f>
        <v>2.5</v>
      </c>
      <c r="F1836">
        <v>9</v>
      </c>
      <c r="G1836" s="10" t="s">
        <v>12</v>
      </c>
      <c r="H1836" s="10" t="s">
        <v>3171</v>
      </c>
      <c r="I1836" s="10" t="s">
        <v>36</v>
      </c>
    </row>
    <row r="1837" spans="1:9" hidden="1">
      <c r="A1837" t="s">
        <v>3172</v>
      </c>
      <c r="B1837" t="s">
        <v>3268</v>
      </c>
      <c r="C1837" t="s">
        <v>19</v>
      </c>
      <c r="D1837" s="2">
        <v>32311.654577379326</v>
      </c>
      <c r="E1837">
        <f>VLOOKUP(I1837,Calc!$I$35:$J$39,2,FALSE)</f>
        <v>5</v>
      </c>
      <c r="F1837">
        <v>20</v>
      </c>
      <c r="G1837" s="10" t="s">
        <v>107</v>
      </c>
      <c r="H1837" s="10" t="s">
        <v>408</v>
      </c>
      <c r="I1837" s="10" t="s">
        <v>14</v>
      </c>
    </row>
    <row r="1838" spans="1:9" hidden="1">
      <c r="A1838" t="s">
        <v>3173</v>
      </c>
      <c r="B1838" t="s">
        <v>3268</v>
      </c>
      <c r="C1838" t="s">
        <v>11</v>
      </c>
      <c r="D1838" s="2">
        <v>7123.1666749770275</v>
      </c>
      <c r="E1838">
        <f>VLOOKUP(I1838,Calc!$I$35:$J$39,2,FALSE)</f>
        <v>1.5</v>
      </c>
      <c r="F1838">
        <v>2</v>
      </c>
      <c r="G1838" s="10" t="s">
        <v>12</v>
      </c>
      <c r="H1838" s="10" t="s">
        <v>3174</v>
      </c>
      <c r="I1838" s="10" t="s">
        <v>47</v>
      </c>
    </row>
    <row r="1839" spans="1:9" hidden="1">
      <c r="A1839" t="s">
        <v>3175</v>
      </c>
      <c r="B1839" t="s">
        <v>3267</v>
      </c>
      <c r="C1839" t="s">
        <v>48</v>
      </c>
      <c r="D1839" s="2">
        <v>100000</v>
      </c>
      <c r="E1839">
        <f>VLOOKUP(I1839,Calc!$I$35:$J$39,2,FALSE)</f>
        <v>8</v>
      </c>
      <c r="F1839">
        <v>15</v>
      </c>
      <c r="G1839" s="10" t="s">
        <v>191</v>
      </c>
      <c r="H1839" s="10" t="s">
        <v>3176</v>
      </c>
      <c r="I1839" s="10" t="s">
        <v>22</v>
      </c>
    </row>
    <row r="1840" spans="1:9" hidden="1">
      <c r="A1840" t="s">
        <v>3177</v>
      </c>
      <c r="B1840" t="s">
        <v>3269</v>
      </c>
      <c r="C1840" t="s">
        <v>32</v>
      </c>
      <c r="D1840" s="2">
        <v>59819.107020370408</v>
      </c>
      <c r="E1840">
        <f>VLOOKUP(I1840,Calc!$I$35:$J$39,2,FALSE)</f>
        <v>5</v>
      </c>
      <c r="F1840">
        <v>4</v>
      </c>
      <c r="G1840" s="10" t="s">
        <v>1023</v>
      </c>
      <c r="H1840" s="10" t="s">
        <v>895</v>
      </c>
      <c r="I1840" s="10" t="s">
        <v>14</v>
      </c>
    </row>
    <row r="1841" spans="1:9" hidden="1">
      <c r="A1841" t="s">
        <v>3178</v>
      </c>
      <c r="B1841" t="s">
        <v>3268</v>
      </c>
      <c r="C1841" t="s">
        <v>11</v>
      </c>
      <c r="D1841" s="2">
        <v>25000</v>
      </c>
      <c r="E1841">
        <f>VLOOKUP(I1841,Calc!$I$35:$J$39,2,FALSE)</f>
        <v>8</v>
      </c>
      <c r="F1841">
        <v>1.5</v>
      </c>
      <c r="G1841" s="10" t="s">
        <v>12</v>
      </c>
      <c r="H1841" s="10" t="s">
        <v>233</v>
      </c>
      <c r="I1841" s="10" t="s">
        <v>22</v>
      </c>
    </row>
    <row r="1842" spans="1:9" hidden="1">
      <c r="A1842" t="s">
        <v>3179</v>
      </c>
      <c r="B1842" t="s">
        <v>3268</v>
      </c>
      <c r="C1842" t="s">
        <v>11</v>
      </c>
      <c r="D1842" s="2">
        <v>5000</v>
      </c>
      <c r="E1842">
        <f>VLOOKUP(I1842,Calc!$I$35:$J$39,2,FALSE)</f>
        <v>2.5</v>
      </c>
      <c r="F1842">
        <v>10</v>
      </c>
      <c r="G1842" s="10" t="s">
        <v>12</v>
      </c>
      <c r="H1842" s="10" t="s">
        <v>2917</v>
      </c>
      <c r="I1842" s="10" t="s">
        <v>36</v>
      </c>
    </row>
    <row r="1843" spans="1:9" hidden="1">
      <c r="A1843" t="s">
        <v>3180</v>
      </c>
      <c r="B1843" t="s">
        <v>3269</v>
      </c>
      <c r="C1843" t="s">
        <v>32</v>
      </c>
      <c r="D1843" s="2">
        <v>64254.308353366054</v>
      </c>
      <c r="E1843">
        <f>VLOOKUP(I1843,Calc!$I$35:$J$39,2,FALSE)</f>
        <v>8</v>
      </c>
      <c r="F1843">
        <v>3</v>
      </c>
      <c r="G1843" s="10" t="s">
        <v>123</v>
      </c>
      <c r="H1843" s="10" t="s">
        <v>3181</v>
      </c>
      <c r="I1843" s="10" t="s">
        <v>22</v>
      </c>
    </row>
    <row r="1844" spans="1:9" hidden="1">
      <c r="A1844" t="s">
        <v>3182</v>
      </c>
      <c r="B1844" t="s">
        <v>3267</v>
      </c>
      <c r="C1844" t="s">
        <v>19</v>
      </c>
      <c r="D1844" s="2">
        <v>76223.966339496474</v>
      </c>
      <c r="E1844">
        <f>VLOOKUP(I1844,Calc!$I$35:$J$39,2,FALSE)</f>
        <v>5</v>
      </c>
      <c r="F1844">
        <v>6</v>
      </c>
      <c r="G1844" s="10" t="s">
        <v>45</v>
      </c>
      <c r="H1844" s="10" t="s">
        <v>3183</v>
      </c>
      <c r="I1844" s="10" t="s">
        <v>14</v>
      </c>
    </row>
    <row r="1845" spans="1:9" hidden="1">
      <c r="A1845" t="s">
        <v>3184</v>
      </c>
      <c r="B1845" t="s">
        <v>3266</v>
      </c>
      <c r="C1845" t="s">
        <v>19</v>
      </c>
      <c r="D1845" s="2">
        <v>102542.54233725216</v>
      </c>
      <c r="E1845">
        <f>VLOOKUP(I1845,Calc!$I$35:$J$39,2,FALSE)</f>
        <v>2.5</v>
      </c>
      <c r="F1845">
        <v>20</v>
      </c>
      <c r="G1845" s="10" t="s">
        <v>1401</v>
      </c>
      <c r="H1845" s="10" t="s">
        <v>38</v>
      </c>
      <c r="I1845" s="10" t="s">
        <v>36</v>
      </c>
    </row>
    <row r="1846" spans="1:9">
      <c r="A1846" t="s">
        <v>3185</v>
      </c>
      <c r="B1846" t="s">
        <v>3268</v>
      </c>
      <c r="C1846" t="s">
        <v>29</v>
      </c>
      <c r="D1846" s="2">
        <v>46000</v>
      </c>
      <c r="E1846">
        <f>VLOOKUP(I1846,Calc!$I$35:$J$39,2,FALSE)</f>
        <v>8</v>
      </c>
      <c r="F1846">
        <v>1</v>
      </c>
      <c r="G1846" s="10" t="s">
        <v>30</v>
      </c>
      <c r="H1846" s="10" t="s">
        <v>3186</v>
      </c>
      <c r="I1846" s="10" t="s">
        <v>22</v>
      </c>
    </row>
    <row r="1847" spans="1:9" hidden="1">
      <c r="A1847" t="s">
        <v>3187</v>
      </c>
      <c r="B1847" t="s">
        <v>3268</v>
      </c>
      <c r="C1847" t="s">
        <v>11</v>
      </c>
      <c r="D1847" s="2">
        <v>5000</v>
      </c>
      <c r="E1847">
        <f>VLOOKUP(I1847,Calc!$I$35:$J$39,2,FALSE)</f>
        <v>8</v>
      </c>
      <c r="F1847">
        <v>2</v>
      </c>
      <c r="G1847" s="10" t="s">
        <v>12</v>
      </c>
      <c r="H1847" s="10" t="s">
        <v>3188</v>
      </c>
      <c r="I1847" s="10" t="s">
        <v>22</v>
      </c>
    </row>
    <row r="1848" spans="1:9" hidden="1">
      <c r="A1848" t="s">
        <v>3189</v>
      </c>
      <c r="B1848" t="s">
        <v>3268</v>
      </c>
      <c r="C1848" t="s">
        <v>32</v>
      </c>
      <c r="D1848" s="2">
        <v>77819.106783521114</v>
      </c>
      <c r="E1848">
        <f>VLOOKUP(I1848,Calc!$I$35:$J$39,2,FALSE)</f>
        <v>8</v>
      </c>
      <c r="F1848">
        <v>3</v>
      </c>
      <c r="G1848" s="10" t="s">
        <v>123</v>
      </c>
      <c r="H1848" s="10" t="s">
        <v>630</v>
      </c>
      <c r="I1848" s="10" t="s">
        <v>22</v>
      </c>
    </row>
    <row r="1849" spans="1:9" hidden="1">
      <c r="A1849" t="s">
        <v>3190</v>
      </c>
      <c r="B1849" t="s">
        <v>3267</v>
      </c>
      <c r="C1849" t="s">
        <v>11</v>
      </c>
      <c r="D1849" s="2">
        <v>6232.7708406048987</v>
      </c>
      <c r="E1849">
        <f>VLOOKUP(I1849,Calc!$I$35:$J$39,2,FALSE)</f>
        <v>2.5</v>
      </c>
      <c r="F1849">
        <v>27</v>
      </c>
      <c r="G1849" s="10" t="s">
        <v>12</v>
      </c>
      <c r="H1849" s="10" t="s">
        <v>3191</v>
      </c>
      <c r="I1849" s="10" t="s">
        <v>36</v>
      </c>
    </row>
    <row r="1850" spans="1:9" hidden="1">
      <c r="A1850" t="s">
        <v>3192</v>
      </c>
      <c r="B1850" t="s">
        <v>3268</v>
      </c>
      <c r="C1850" t="s">
        <v>19</v>
      </c>
      <c r="D1850" s="2">
        <v>55166.239522354947</v>
      </c>
      <c r="E1850">
        <f>VLOOKUP(I1850,Calc!$I$35:$J$39,2,FALSE)</f>
        <v>8</v>
      </c>
      <c r="F1850">
        <v>34</v>
      </c>
      <c r="G1850" s="10" t="s">
        <v>107</v>
      </c>
      <c r="H1850" s="10" t="s">
        <v>3193</v>
      </c>
      <c r="I1850" s="10" t="s">
        <v>22</v>
      </c>
    </row>
    <row r="1851" spans="1:9" hidden="1">
      <c r="A1851" t="s">
        <v>3194</v>
      </c>
      <c r="B1851" t="s">
        <v>3269</v>
      </c>
      <c r="C1851" t="s">
        <v>29</v>
      </c>
      <c r="D1851" s="2">
        <v>45000</v>
      </c>
      <c r="E1851">
        <f>VLOOKUP(I1851,Calc!$I$35:$J$39,2,FALSE)</f>
        <v>2.5</v>
      </c>
      <c r="F1851">
        <v>5</v>
      </c>
      <c r="G1851" s="10" t="s">
        <v>30</v>
      </c>
      <c r="H1851" s="10" t="s">
        <v>132</v>
      </c>
      <c r="I1851" s="10" t="s">
        <v>36</v>
      </c>
    </row>
    <row r="1852" spans="1:9" hidden="1">
      <c r="A1852" t="s">
        <v>3195</v>
      </c>
      <c r="B1852" t="s">
        <v>3267</v>
      </c>
      <c r="C1852" t="s">
        <v>29</v>
      </c>
      <c r="D1852" s="2">
        <v>60000</v>
      </c>
      <c r="E1852">
        <f>VLOOKUP(I1852,Calc!$I$35:$J$39,2,FALSE)</f>
        <v>2.5</v>
      </c>
      <c r="F1852">
        <v>10</v>
      </c>
      <c r="G1852" s="10" t="s">
        <v>128</v>
      </c>
      <c r="H1852" s="10" t="s">
        <v>3196</v>
      </c>
      <c r="I1852" s="10" t="s">
        <v>36</v>
      </c>
    </row>
    <row r="1853" spans="1:9">
      <c r="A1853" t="s">
        <v>3197</v>
      </c>
      <c r="B1853" t="s">
        <v>3268</v>
      </c>
      <c r="C1853" t="s">
        <v>29</v>
      </c>
      <c r="D1853" s="2">
        <v>43000</v>
      </c>
      <c r="E1853">
        <f>VLOOKUP(I1853,Calc!$I$35:$J$39,2,FALSE)</f>
        <v>5</v>
      </c>
      <c r="F1853">
        <v>5</v>
      </c>
      <c r="G1853" s="10" t="s">
        <v>30</v>
      </c>
      <c r="H1853" s="10" t="s">
        <v>1113</v>
      </c>
      <c r="I1853" s="10" t="s">
        <v>14</v>
      </c>
    </row>
    <row r="1854" spans="1:9" hidden="1">
      <c r="A1854" t="s">
        <v>3198</v>
      </c>
      <c r="B1854" t="s">
        <v>3263</v>
      </c>
      <c r="C1854" t="s">
        <v>19</v>
      </c>
      <c r="D1854" s="2">
        <v>35571.184291765021</v>
      </c>
      <c r="E1854">
        <f>VLOOKUP(I1854,Calc!$I$35:$J$39,2,FALSE)</f>
        <v>5</v>
      </c>
      <c r="F1854">
        <v>8</v>
      </c>
      <c r="G1854" s="10" t="s">
        <v>976</v>
      </c>
      <c r="H1854" s="10" t="s">
        <v>617</v>
      </c>
      <c r="I1854" s="10" t="s">
        <v>14</v>
      </c>
    </row>
    <row r="1855" spans="1:9">
      <c r="A1855" t="s">
        <v>3199</v>
      </c>
      <c r="B1855" t="s">
        <v>3268</v>
      </c>
      <c r="C1855" t="s">
        <v>29</v>
      </c>
      <c r="D1855" s="2">
        <v>48000</v>
      </c>
      <c r="E1855">
        <f>VLOOKUP(I1855,Calc!$I$35:$J$39,2,FALSE)</f>
        <v>5</v>
      </c>
      <c r="F1855">
        <v>12</v>
      </c>
      <c r="G1855" s="10" t="s">
        <v>30</v>
      </c>
      <c r="H1855" s="10" t="s">
        <v>3200</v>
      </c>
      <c r="I1855" s="10" t="s">
        <v>14</v>
      </c>
    </row>
    <row r="1856" spans="1:9" hidden="1">
      <c r="A1856" t="s">
        <v>3201</v>
      </c>
      <c r="B1856" t="s">
        <v>3267</v>
      </c>
      <c r="C1856" t="s">
        <v>32</v>
      </c>
      <c r="D1856" s="2">
        <v>122389.15876831629</v>
      </c>
      <c r="E1856">
        <f>VLOOKUP(I1856,Calc!$I$35:$J$39,2,FALSE)</f>
        <v>1.5</v>
      </c>
      <c r="F1856">
        <v>8</v>
      </c>
      <c r="G1856" s="10" t="s">
        <v>123</v>
      </c>
      <c r="H1856" s="10" t="s">
        <v>44</v>
      </c>
      <c r="I1856" s="10" t="s">
        <v>47</v>
      </c>
    </row>
    <row r="1857" spans="1:9" hidden="1">
      <c r="A1857" t="s">
        <v>3202</v>
      </c>
      <c r="B1857" t="s">
        <v>3268</v>
      </c>
      <c r="C1857" t="s">
        <v>11</v>
      </c>
      <c r="D1857" s="2">
        <v>4000</v>
      </c>
      <c r="E1857">
        <f>VLOOKUP(I1857,Calc!$I$35:$J$39,2,FALSE)</f>
        <v>2.5</v>
      </c>
      <c r="F1857">
        <v>4</v>
      </c>
      <c r="G1857" s="10" t="s">
        <v>12</v>
      </c>
      <c r="H1857" s="10" t="s">
        <v>3203</v>
      </c>
      <c r="I1857" s="10" t="s">
        <v>36</v>
      </c>
    </row>
    <row r="1858" spans="1:9" hidden="1">
      <c r="A1858" t="s">
        <v>3204</v>
      </c>
      <c r="B1858" t="s">
        <v>77</v>
      </c>
      <c r="C1858" t="s">
        <v>11</v>
      </c>
      <c r="D1858" s="2">
        <v>4451.9791718606421</v>
      </c>
      <c r="E1858">
        <f>VLOOKUP(I1858,Calc!$I$35:$J$39,2,FALSE)</f>
        <v>5</v>
      </c>
      <c r="F1858">
        <v>3</v>
      </c>
      <c r="G1858" s="10" t="s">
        <v>12</v>
      </c>
      <c r="H1858" s="10" t="s">
        <v>1238</v>
      </c>
      <c r="I1858" s="10" t="s">
        <v>14</v>
      </c>
    </row>
    <row r="1859" spans="1:9" hidden="1">
      <c r="A1859" t="s">
        <v>3205</v>
      </c>
      <c r="B1859" t="s">
        <v>77</v>
      </c>
      <c r="C1859" t="s">
        <v>42</v>
      </c>
      <c r="D1859" s="2">
        <v>2953.8461538461538</v>
      </c>
      <c r="E1859">
        <f>VLOOKUP(I1859,Calc!$I$35:$J$39,2,FALSE)</f>
        <v>5</v>
      </c>
      <c r="F1859">
        <v>3</v>
      </c>
      <c r="G1859" s="10" t="s">
        <v>3206</v>
      </c>
      <c r="H1859" s="10" t="s">
        <v>3207</v>
      </c>
      <c r="I1859" s="10" t="s">
        <v>14</v>
      </c>
    </row>
    <row r="1860" spans="1:9" hidden="1">
      <c r="A1860" t="s">
        <v>3208</v>
      </c>
      <c r="B1860" t="s">
        <v>3268</v>
      </c>
      <c r="C1860" t="s">
        <v>19</v>
      </c>
      <c r="D1860" s="2">
        <v>39404.456801682099</v>
      </c>
      <c r="E1860">
        <f>VLOOKUP(I1860,Calc!$I$35:$J$39,2,FALSE)</f>
        <v>5</v>
      </c>
      <c r="F1860">
        <v>3</v>
      </c>
      <c r="G1860" s="10" t="s">
        <v>107</v>
      </c>
      <c r="H1860" s="10" t="s">
        <v>233</v>
      </c>
      <c r="I1860" s="10" t="s">
        <v>14</v>
      </c>
    </row>
    <row r="1861" spans="1:9" hidden="1">
      <c r="A1861" t="s">
        <v>3209</v>
      </c>
      <c r="B1861" t="s">
        <v>3268</v>
      </c>
      <c r="C1861" t="s">
        <v>32</v>
      </c>
      <c r="D1861" s="2">
        <v>75473.31457379504</v>
      </c>
      <c r="E1861">
        <f>VLOOKUP(I1861,Calc!$I$35:$J$39,2,FALSE)</f>
        <v>5</v>
      </c>
      <c r="F1861">
        <v>8</v>
      </c>
      <c r="G1861" s="10" t="s">
        <v>123</v>
      </c>
      <c r="H1861" s="10" t="s">
        <v>1952</v>
      </c>
      <c r="I1861" s="10" t="s">
        <v>14</v>
      </c>
    </row>
    <row r="1862" spans="1:9" hidden="1">
      <c r="A1862" t="s">
        <v>3210</v>
      </c>
      <c r="B1862" t="s">
        <v>3268</v>
      </c>
      <c r="C1862" t="s">
        <v>11</v>
      </c>
      <c r="D1862" s="2">
        <v>13355.937515581925</v>
      </c>
      <c r="E1862">
        <f>VLOOKUP(I1862,Calc!$I$35:$J$39,2,FALSE)</f>
        <v>5</v>
      </c>
      <c r="F1862">
        <v>5</v>
      </c>
      <c r="G1862" s="10" t="s">
        <v>12</v>
      </c>
      <c r="H1862" s="10" t="s">
        <v>10</v>
      </c>
      <c r="I1862" s="10" t="s">
        <v>14</v>
      </c>
    </row>
    <row r="1863" spans="1:9" hidden="1">
      <c r="A1863" t="s">
        <v>3211</v>
      </c>
      <c r="B1863" t="s">
        <v>3267</v>
      </c>
      <c r="C1863" t="s">
        <v>11</v>
      </c>
      <c r="D1863" s="2">
        <v>25000</v>
      </c>
      <c r="E1863">
        <f>VLOOKUP(I1863,Calc!$I$35:$J$39,2,FALSE)</f>
        <v>5</v>
      </c>
      <c r="F1863">
        <v>10</v>
      </c>
      <c r="G1863" s="10" t="s">
        <v>12</v>
      </c>
      <c r="H1863" s="10" t="s">
        <v>137</v>
      </c>
      <c r="I1863" s="10" t="s">
        <v>14</v>
      </c>
    </row>
    <row r="1864" spans="1:9" hidden="1">
      <c r="A1864" t="s">
        <v>3212</v>
      </c>
      <c r="B1864" t="s">
        <v>3268</v>
      </c>
      <c r="C1864" t="s">
        <v>11</v>
      </c>
      <c r="D1864" s="2">
        <v>7479.3250087258784</v>
      </c>
      <c r="E1864">
        <f>VLOOKUP(I1864,Calc!$I$35:$J$39,2,FALSE)</f>
        <v>5</v>
      </c>
      <c r="F1864">
        <v>2</v>
      </c>
      <c r="G1864" s="10" t="s">
        <v>12</v>
      </c>
      <c r="H1864" s="10" t="s">
        <v>10</v>
      </c>
      <c r="I1864" s="10" t="s">
        <v>14</v>
      </c>
    </row>
    <row r="1865" spans="1:9">
      <c r="A1865" t="s">
        <v>3213</v>
      </c>
      <c r="B1865" t="s">
        <v>3268</v>
      </c>
      <c r="C1865" t="s">
        <v>29</v>
      </c>
      <c r="D1865" s="2">
        <v>62000</v>
      </c>
      <c r="E1865">
        <f>VLOOKUP(I1865,Calc!$I$35:$J$39,2,FALSE)</f>
        <v>5</v>
      </c>
      <c r="F1865">
        <v>4</v>
      </c>
      <c r="G1865" s="10" t="s">
        <v>30</v>
      </c>
      <c r="H1865" s="10" t="s">
        <v>10</v>
      </c>
      <c r="I1865" s="10" t="s">
        <v>14</v>
      </c>
    </row>
    <row r="1866" spans="1:9">
      <c r="A1866" t="s">
        <v>3214</v>
      </c>
      <c r="B1866" t="s">
        <v>3268</v>
      </c>
      <c r="C1866" t="s">
        <v>29</v>
      </c>
      <c r="D1866" s="2">
        <v>48000</v>
      </c>
      <c r="E1866">
        <f>VLOOKUP(I1866,Calc!$I$35:$J$39,2,FALSE)</f>
        <v>5</v>
      </c>
      <c r="F1866">
        <v>1</v>
      </c>
      <c r="G1866" s="10" t="s">
        <v>30</v>
      </c>
      <c r="H1866" s="10" t="s">
        <v>3215</v>
      </c>
      <c r="I1866" s="10" t="s">
        <v>14</v>
      </c>
    </row>
    <row r="1867" spans="1:9" hidden="1">
      <c r="A1867" t="s">
        <v>3216</v>
      </c>
      <c r="B1867" t="s">
        <v>3250</v>
      </c>
      <c r="C1867" t="s">
        <v>11</v>
      </c>
      <c r="D1867" s="2">
        <v>5000</v>
      </c>
      <c r="E1867">
        <f>VLOOKUP(I1867,Calc!$I$35:$J$39,2,FALSE)</f>
        <v>5</v>
      </c>
      <c r="F1867">
        <v>3</v>
      </c>
      <c r="G1867" s="10" t="s">
        <v>12</v>
      </c>
      <c r="H1867" s="10" t="s">
        <v>3217</v>
      </c>
      <c r="I1867" s="10" t="s">
        <v>14</v>
      </c>
    </row>
    <row r="1868" spans="1:9" hidden="1">
      <c r="A1868" t="s">
        <v>3218</v>
      </c>
      <c r="B1868" t="s">
        <v>77</v>
      </c>
      <c r="C1868" t="s">
        <v>11</v>
      </c>
      <c r="D1868" s="2">
        <v>4914.9850057341491</v>
      </c>
      <c r="E1868">
        <f>VLOOKUP(I1868,Calc!$I$35:$J$39,2,FALSE)</f>
        <v>8</v>
      </c>
      <c r="F1868">
        <v>6</v>
      </c>
      <c r="G1868" s="10" t="s">
        <v>12</v>
      </c>
      <c r="H1868" s="10" t="s">
        <v>3219</v>
      </c>
      <c r="I1868" s="10" t="s">
        <v>22</v>
      </c>
    </row>
    <row r="1869" spans="1:9">
      <c r="A1869" t="s">
        <v>3220</v>
      </c>
      <c r="B1869" t="s">
        <v>3268</v>
      </c>
      <c r="C1869" t="s">
        <v>29</v>
      </c>
      <c r="D1869" s="2">
        <v>75000</v>
      </c>
      <c r="E1869">
        <f>VLOOKUP(I1869,Calc!$I$35:$J$39,2,FALSE)</f>
        <v>1.5</v>
      </c>
      <c r="F1869">
        <v>3</v>
      </c>
      <c r="G1869" s="10" t="s">
        <v>30</v>
      </c>
      <c r="H1869" s="10" t="s">
        <v>233</v>
      </c>
      <c r="I1869" s="10" t="s">
        <v>47</v>
      </c>
    </row>
    <row r="1870" spans="1:9" hidden="1">
      <c r="A1870" t="s">
        <v>3221</v>
      </c>
      <c r="B1870" t="s">
        <v>3268</v>
      </c>
      <c r="C1870" t="s">
        <v>11</v>
      </c>
      <c r="D1870" s="2">
        <v>4451.9791718606421</v>
      </c>
      <c r="E1870">
        <f>VLOOKUP(I1870,Calc!$I$35:$J$39,2,FALSE)</f>
        <v>0</v>
      </c>
      <c r="F1870">
        <v>1.6</v>
      </c>
      <c r="G1870" s="10" t="s">
        <v>12</v>
      </c>
      <c r="H1870" s="10" t="s">
        <v>3222</v>
      </c>
      <c r="I1870" s="10" t="s">
        <v>119</v>
      </c>
    </row>
    <row r="1871" spans="1:9" hidden="1">
      <c r="A1871" t="s">
        <v>3223</v>
      </c>
      <c r="B1871" t="s">
        <v>77</v>
      </c>
      <c r="C1871" t="s">
        <v>11</v>
      </c>
      <c r="D1871" s="2">
        <v>8400</v>
      </c>
      <c r="E1871">
        <f>VLOOKUP(I1871,Calc!$I$35:$J$39,2,FALSE)</f>
        <v>8</v>
      </c>
      <c r="F1871">
        <v>6</v>
      </c>
      <c r="G1871" s="10" t="s">
        <v>12</v>
      </c>
      <c r="H1871" s="10" t="s">
        <v>1481</v>
      </c>
      <c r="I1871" s="10" t="s">
        <v>22</v>
      </c>
    </row>
    <row r="1872" spans="1:9" hidden="1">
      <c r="A1872" t="s">
        <v>3224</v>
      </c>
      <c r="B1872" t="s">
        <v>3267</v>
      </c>
      <c r="C1872" t="s">
        <v>11</v>
      </c>
      <c r="D1872" s="2">
        <v>20000</v>
      </c>
      <c r="E1872">
        <f>VLOOKUP(I1872,Calc!$I$35:$J$39,2,FALSE)</f>
        <v>2.5</v>
      </c>
      <c r="F1872">
        <v>5</v>
      </c>
      <c r="G1872" s="10" t="s">
        <v>12</v>
      </c>
      <c r="H1872" s="10" t="s">
        <v>3225</v>
      </c>
      <c r="I1872" s="10" t="s">
        <v>36</v>
      </c>
    </row>
    <row r="1873" spans="1:9" hidden="1">
      <c r="A1873" t="s">
        <v>3226</v>
      </c>
      <c r="B1873" t="s">
        <v>3249</v>
      </c>
      <c r="C1873" t="s">
        <v>29</v>
      </c>
      <c r="D1873" s="2">
        <v>110000</v>
      </c>
      <c r="E1873">
        <f>VLOOKUP(I1873,Calc!$I$35:$J$39,2,FALSE)</f>
        <v>5</v>
      </c>
      <c r="F1873">
        <v>10</v>
      </c>
      <c r="G1873" s="10" t="s">
        <v>30</v>
      </c>
      <c r="H1873" s="10" t="s">
        <v>3227</v>
      </c>
      <c r="I1873" s="10" t="s">
        <v>14</v>
      </c>
    </row>
    <row r="1874" spans="1:9">
      <c r="A1874" t="s">
        <v>3228</v>
      </c>
      <c r="B1874" t="s">
        <v>3268</v>
      </c>
      <c r="C1874" t="s">
        <v>29</v>
      </c>
      <c r="D1874" s="2">
        <v>50000</v>
      </c>
      <c r="E1874">
        <f>VLOOKUP(I1874,Calc!$I$35:$J$39,2,FALSE)</f>
        <v>8</v>
      </c>
      <c r="F1874">
        <v>3.5</v>
      </c>
      <c r="G1874" s="10" t="s">
        <v>30</v>
      </c>
      <c r="H1874" s="10" t="s">
        <v>3229</v>
      </c>
      <c r="I1874" s="10" t="s">
        <v>22</v>
      </c>
    </row>
    <row r="1875" spans="1:9">
      <c r="A1875" t="s">
        <v>3230</v>
      </c>
      <c r="B1875" t="s">
        <v>3268</v>
      </c>
      <c r="C1875" t="s">
        <v>29</v>
      </c>
      <c r="D1875" s="2">
        <v>46000</v>
      </c>
      <c r="E1875">
        <f>VLOOKUP(I1875,Calc!$I$35:$J$39,2,FALSE)</f>
        <v>5</v>
      </c>
      <c r="F1875">
        <v>8</v>
      </c>
      <c r="G1875" s="10" t="s">
        <v>30</v>
      </c>
      <c r="H1875" s="10" t="s">
        <v>3231</v>
      </c>
      <c r="I1875" s="10" t="s">
        <v>14</v>
      </c>
    </row>
    <row r="1876" spans="1:9">
      <c r="A1876" t="s">
        <v>3232</v>
      </c>
      <c r="B1876" t="s">
        <v>3268</v>
      </c>
      <c r="C1876" t="s">
        <v>29</v>
      </c>
      <c r="D1876" s="2">
        <v>115000</v>
      </c>
      <c r="E1876">
        <f>VLOOKUP(I1876,Calc!$I$35:$J$39,2,FALSE)</f>
        <v>8</v>
      </c>
      <c r="F1876">
        <v>15</v>
      </c>
      <c r="G1876" s="10" t="s">
        <v>30</v>
      </c>
      <c r="H1876" s="10" t="s">
        <v>320</v>
      </c>
      <c r="I1876" s="10" t="s">
        <v>22</v>
      </c>
    </row>
    <row r="1877" spans="1:9" hidden="1">
      <c r="A1877" t="s">
        <v>3233</v>
      </c>
      <c r="B1877" t="s">
        <v>3268</v>
      </c>
      <c r="C1877" t="s">
        <v>11</v>
      </c>
      <c r="D1877" s="2">
        <v>3205.4250037396623</v>
      </c>
      <c r="E1877">
        <f>VLOOKUP(I1877,Calc!$I$35:$J$39,2,FALSE)</f>
        <v>5</v>
      </c>
      <c r="F1877">
        <v>3</v>
      </c>
      <c r="G1877" s="10" t="s">
        <v>12</v>
      </c>
      <c r="H1877" s="10" t="s">
        <v>3234</v>
      </c>
      <c r="I1877" s="10" t="s">
        <v>14</v>
      </c>
    </row>
    <row r="1878" spans="1:9" hidden="1">
      <c r="A1878" t="s">
        <v>3235</v>
      </c>
      <c r="B1878" t="s">
        <v>3267</v>
      </c>
      <c r="C1878" t="s">
        <v>19</v>
      </c>
      <c r="D1878" s="2">
        <v>76223.966339496474</v>
      </c>
      <c r="E1878">
        <f>VLOOKUP(I1878,Calc!$I$35:$J$39,2,FALSE)</f>
        <v>2.5</v>
      </c>
      <c r="F1878">
        <v>20</v>
      </c>
      <c r="G1878" s="10" t="s">
        <v>19</v>
      </c>
      <c r="H1878" s="10" t="s">
        <v>310</v>
      </c>
      <c r="I1878" s="10" t="s">
        <v>36</v>
      </c>
    </row>
    <row r="1879" spans="1:9" hidden="1">
      <c r="A1879" t="s">
        <v>3236</v>
      </c>
      <c r="B1879" t="s">
        <v>3268</v>
      </c>
      <c r="C1879" t="s">
        <v>42</v>
      </c>
      <c r="D1879" s="2">
        <v>52500</v>
      </c>
      <c r="E1879">
        <f>VLOOKUP(I1879,Calc!$I$35:$J$39,2,FALSE)</f>
        <v>5</v>
      </c>
      <c r="F1879">
        <v>21</v>
      </c>
      <c r="G1879" s="10" t="s">
        <v>78</v>
      </c>
      <c r="H1879" s="10" t="s">
        <v>3237</v>
      </c>
      <c r="I1879" s="10" t="s">
        <v>14</v>
      </c>
    </row>
    <row r="1880" spans="1:9" hidden="1">
      <c r="A1880" t="s">
        <v>3238</v>
      </c>
      <c r="B1880" t="s">
        <v>3249</v>
      </c>
      <c r="C1880" t="s">
        <v>48</v>
      </c>
      <c r="D1880" s="2">
        <v>100800</v>
      </c>
      <c r="E1880">
        <f>VLOOKUP(I1880,Calc!$I$35:$J$39,2,FALSE)</f>
        <v>5</v>
      </c>
      <c r="F1880">
        <v>4</v>
      </c>
      <c r="G1880" s="10" t="s">
        <v>3239</v>
      </c>
      <c r="H1880" s="10" t="s">
        <v>2732</v>
      </c>
      <c r="I1880" s="10" t="s">
        <v>14</v>
      </c>
    </row>
    <row r="1881" spans="1:9" hidden="1">
      <c r="A1881" t="s">
        <v>3240</v>
      </c>
      <c r="B1881" t="s">
        <v>3250</v>
      </c>
      <c r="C1881" t="s">
        <v>11</v>
      </c>
      <c r="D1881" s="2">
        <v>21000</v>
      </c>
      <c r="E1881">
        <f>VLOOKUP(I1881,Calc!$I$35:$J$39,2,FALSE)</f>
        <v>8</v>
      </c>
      <c r="F1881">
        <v>5</v>
      </c>
      <c r="G1881" s="10" t="s">
        <v>12</v>
      </c>
      <c r="H1881" s="10" t="s">
        <v>3241</v>
      </c>
      <c r="I1881" s="10" t="s">
        <v>22</v>
      </c>
    </row>
    <row r="1882" spans="1:9">
      <c r="A1882" t="s">
        <v>3242</v>
      </c>
      <c r="B1882" t="s">
        <v>3268</v>
      </c>
      <c r="C1882" t="s">
        <v>29</v>
      </c>
      <c r="D1882" s="2">
        <v>40000</v>
      </c>
      <c r="E1882">
        <f>VLOOKUP(I1882,Calc!$I$35:$J$39,2,FALSE)</f>
        <v>1.5</v>
      </c>
      <c r="F1882">
        <v>3</v>
      </c>
      <c r="G1882" s="10" t="s">
        <v>30</v>
      </c>
      <c r="H1882" s="10" t="s">
        <v>3243</v>
      </c>
      <c r="I1882" s="10" t="s">
        <v>47</v>
      </c>
    </row>
    <row r="1883" spans="1:9">
      <c r="A1883" t="s">
        <v>3244</v>
      </c>
      <c r="B1883" t="s">
        <v>3268</v>
      </c>
      <c r="C1883" t="s">
        <v>29</v>
      </c>
      <c r="D1883" s="2">
        <v>46359</v>
      </c>
      <c r="E1883">
        <f>VLOOKUP(I1883,Calc!$I$35:$J$39,2,FALSE)</f>
        <v>8</v>
      </c>
      <c r="F1883">
        <v>5</v>
      </c>
      <c r="G1883" s="10" t="s">
        <v>30</v>
      </c>
      <c r="H1883" s="10" t="s">
        <v>233</v>
      </c>
      <c r="I1883" s="10" t="s">
        <v>22</v>
      </c>
    </row>
    <row r="1884" spans="1:9">
      <c r="A1884" t="s">
        <v>3245</v>
      </c>
      <c r="B1884" t="s">
        <v>3268</v>
      </c>
      <c r="C1884" t="s">
        <v>29</v>
      </c>
      <c r="D1884" s="2">
        <v>70000</v>
      </c>
      <c r="E1884">
        <f>VLOOKUP(I1884,Calc!$I$35:$J$39,2,FALSE)</f>
        <v>5</v>
      </c>
      <c r="F1884">
        <v>10</v>
      </c>
      <c r="G1884" s="10" t="s">
        <v>30</v>
      </c>
      <c r="H1884" s="10" t="s">
        <v>3246</v>
      </c>
      <c r="I1884" s="10" t="s">
        <v>14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336"/>
  <sheetViews>
    <sheetView workbookViewId="0"/>
  </sheetViews>
  <sheetFormatPr defaultRowHeight="12.75"/>
  <cols>
    <col min="1" max="1" width="14.5703125" customWidth="1"/>
    <col min="2" max="2" width="20.42578125" customWidth="1"/>
  </cols>
  <sheetData>
    <row r="1" spans="1:2" ht="15">
      <c r="A1" s="1" t="s">
        <v>3</v>
      </c>
      <c r="B1" s="1" t="s">
        <v>5</v>
      </c>
    </row>
    <row r="2" spans="1:2">
      <c r="A2" s="2">
        <v>54000</v>
      </c>
      <c r="B2">
        <v>5</v>
      </c>
    </row>
    <row r="3" spans="1:2">
      <c r="A3" s="2">
        <v>15600</v>
      </c>
      <c r="B3">
        <v>20</v>
      </c>
    </row>
    <row r="4" spans="1:2">
      <c r="A4" s="2">
        <v>35000</v>
      </c>
      <c r="B4">
        <v>7</v>
      </c>
    </row>
    <row r="5" spans="1:2">
      <c r="A5" s="2">
        <v>188000</v>
      </c>
      <c r="B5">
        <v>20</v>
      </c>
    </row>
    <row r="6" spans="1:2">
      <c r="A6" s="2">
        <v>27500</v>
      </c>
      <c r="B6">
        <v>1</v>
      </c>
    </row>
    <row r="7" spans="1:2">
      <c r="A7" s="2">
        <v>140000</v>
      </c>
      <c r="B7">
        <v>10</v>
      </c>
    </row>
    <row r="8" spans="1:2">
      <c r="A8" s="2">
        <v>69871.969144538423</v>
      </c>
      <c r="B8">
        <v>6</v>
      </c>
    </row>
    <row r="9" spans="1:2">
      <c r="A9" s="2">
        <v>45000</v>
      </c>
      <c r="B9">
        <v>2</v>
      </c>
    </row>
    <row r="10" spans="1:2">
      <c r="A10" s="2">
        <v>95000</v>
      </c>
      <c r="B10">
        <v>11</v>
      </c>
    </row>
    <row r="11" spans="1:2">
      <c r="A11" s="2">
        <v>158085.99674240855</v>
      </c>
      <c r="B11">
        <v>20</v>
      </c>
    </row>
    <row r="12" spans="1:2">
      <c r="A12" s="2">
        <v>63807.047488395103</v>
      </c>
      <c r="B12">
        <v>23</v>
      </c>
    </row>
    <row r="13" spans="1:2">
      <c r="A13" s="2">
        <v>38000</v>
      </c>
      <c r="B13">
        <v>11</v>
      </c>
    </row>
    <row r="14" spans="1:2">
      <c r="A14" s="2">
        <v>90000</v>
      </c>
      <c r="B14">
        <v>6</v>
      </c>
    </row>
    <row r="15" spans="1:2">
      <c r="A15" s="2">
        <v>45393.934235537781</v>
      </c>
      <c r="B15">
        <v>27</v>
      </c>
    </row>
    <row r="16" spans="1:2">
      <c r="A16" s="2">
        <v>33099.743713412965</v>
      </c>
      <c r="B16">
        <v>10</v>
      </c>
    </row>
    <row r="17" spans="1:2">
      <c r="A17" s="2">
        <v>4285</v>
      </c>
      <c r="B17">
        <v>6</v>
      </c>
    </row>
    <row r="18" spans="1:2">
      <c r="A18" s="2">
        <v>6000</v>
      </c>
      <c r="B18">
        <v>20</v>
      </c>
    </row>
    <row r="19" spans="1:2">
      <c r="A19" s="2">
        <v>22438.012440857987</v>
      </c>
      <c r="B19">
        <v>8</v>
      </c>
    </row>
    <row r="20" spans="1:2">
      <c r="A20" s="2">
        <v>90000</v>
      </c>
      <c r="B20">
        <v>15</v>
      </c>
    </row>
    <row r="21" spans="1:2">
      <c r="A21" s="2">
        <v>150000</v>
      </c>
      <c r="B21">
        <v>22</v>
      </c>
    </row>
    <row r="22" spans="1:2">
      <c r="A22" s="2">
        <v>132588.25533234264</v>
      </c>
      <c r="B22">
        <v>27</v>
      </c>
    </row>
    <row r="23" spans="1:2">
      <c r="A23" s="2">
        <v>45000</v>
      </c>
      <c r="B23">
        <v>3</v>
      </c>
    </row>
    <row r="24" spans="1:2">
      <c r="A24" s="2">
        <v>50000</v>
      </c>
      <c r="B24">
        <v>10</v>
      </c>
    </row>
    <row r="25" spans="1:2">
      <c r="A25" s="2">
        <v>300000</v>
      </c>
      <c r="B25">
        <v>30</v>
      </c>
    </row>
    <row r="26" spans="1:2">
      <c r="A26" s="2">
        <v>104030.78495306884</v>
      </c>
      <c r="B26">
        <v>10</v>
      </c>
    </row>
    <row r="27" spans="1:2">
      <c r="A27" s="2">
        <v>115000</v>
      </c>
      <c r="B27">
        <v>15</v>
      </c>
    </row>
    <row r="28" spans="1:2">
      <c r="A28" s="2">
        <v>70000</v>
      </c>
      <c r="B28">
        <v>3</v>
      </c>
    </row>
    <row r="29" spans="1:2">
      <c r="A29" s="2">
        <v>108110.42357867939</v>
      </c>
      <c r="B29">
        <v>16</v>
      </c>
    </row>
    <row r="30" spans="1:2">
      <c r="A30" s="2">
        <v>75000</v>
      </c>
      <c r="B30">
        <v>25</v>
      </c>
    </row>
    <row r="31" spans="1:2">
      <c r="A31" s="2">
        <v>40414</v>
      </c>
      <c r="B31">
        <v>8</v>
      </c>
    </row>
    <row r="32" spans="1:2">
      <c r="A32" s="2">
        <v>65000</v>
      </c>
      <c r="B32">
        <v>3</v>
      </c>
    </row>
    <row r="33" spans="1:2">
      <c r="A33" s="2">
        <v>120000</v>
      </c>
      <c r="B33">
        <v>7</v>
      </c>
    </row>
    <row r="34" spans="1:2">
      <c r="A34" s="2">
        <v>15092.18020692008</v>
      </c>
      <c r="B34">
        <v>10</v>
      </c>
    </row>
    <row r="35" spans="1:2">
      <c r="A35" s="2">
        <v>36000</v>
      </c>
      <c r="B35">
        <v>10</v>
      </c>
    </row>
    <row r="36" spans="1:2">
      <c r="A36" s="2">
        <v>63519.971949580387</v>
      </c>
      <c r="B36">
        <v>4</v>
      </c>
    </row>
    <row r="37" spans="1:2">
      <c r="A37" s="2">
        <v>108000</v>
      </c>
      <c r="B37">
        <v>7</v>
      </c>
    </row>
    <row r="38" spans="1:2">
      <c r="A38" s="2">
        <v>75000</v>
      </c>
      <c r="B38">
        <v>5</v>
      </c>
    </row>
    <row r="39" spans="1:2">
      <c r="A39" s="2">
        <v>7123.1666749770275</v>
      </c>
      <c r="B39">
        <v>3</v>
      </c>
    </row>
    <row r="40" spans="1:2">
      <c r="A40" s="2">
        <v>50000</v>
      </c>
      <c r="B40">
        <v>25</v>
      </c>
    </row>
    <row r="41" spans="1:2">
      <c r="A41" s="2">
        <v>45000</v>
      </c>
      <c r="B41">
        <v>15</v>
      </c>
    </row>
    <row r="42" spans="1:2">
      <c r="A42" s="2">
        <v>45000</v>
      </c>
      <c r="B42">
        <v>7</v>
      </c>
    </row>
    <row r="43" spans="1:2">
      <c r="A43" s="2">
        <v>90000</v>
      </c>
      <c r="B43">
        <v>20</v>
      </c>
    </row>
    <row r="44" spans="1:2">
      <c r="A44" s="2">
        <v>4273.9000049862161</v>
      </c>
      <c r="B44">
        <v>5</v>
      </c>
    </row>
    <row r="45" spans="1:2">
      <c r="A45" s="2">
        <v>50000</v>
      </c>
      <c r="B45">
        <v>10</v>
      </c>
    </row>
    <row r="46" spans="1:2">
      <c r="A46" s="2">
        <v>65000</v>
      </c>
      <c r="B46">
        <v>17</v>
      </c>
    </row>
    <row r="47" spans="1:2">
      <c r="A47" s="2">
        <v>70000</v>
      </c>
      <c r="B47">
        <v>18</v>
      </c>
    </row>
    <row r="48" spans="1:2">
      <c r="A48" s="2">
        <v>160000</v>
      </c>
      <c r="B48">
        <v>5</v>
      </c>
    </row>
    <row r="49" spans="1:2">
      <c r="A49" s="2">
        <v>101990.96564026357</v>
      </c>
      <c r="B49">
        <v>20</v>
      </c>
    </row>
    <row r="50" spans="1:2">
      <c r="A50" s="2">
        <v>6767.0083412281756</v>
      </c>
      <c r="B50">
        <v>10</v>
      </c>
    </row>
    <row r="51" spans="1:2">
      <c r="A51" s="2">
        <v>30000</v>
      </c>
      <c r="B51">
        <v>8</v>
      </c>
    </row>
    <row r="52" spans="1:2">
      <c r="A52" s="2">
        <v>7479.3250087258784</v>
      </c>
      <c r="B52">
        <v>3</v>
      </c>
    </row>
    <row r="53" spans="1:2">
      <c r="A53" s="2">
        <v>61000</v>
      </c>
      <c r="B53">
        <v>5</v>
      </c>
    </row>
    <row r="54" spans="1:2">
      <c r="A54" s="2">
        <v>13800</v>
      </c>
      <c r="B54">
        <v>20</v>
      </c>
    </row>
    <row r="55" spans="1:2">
      <c r="A55" s="2">
        <v>15136.729184326183</v>
      </c>
      <c r="B55">
        <v>6</v>
      </c>
    </row>
    <row r="56" spans="1:2">
      <c r="A56" s="2">
        <v>32054.250037396621</v>
      </c>
      <c r="B56">
        <v>10</v>
      </c>
    </row>
    <row r="57" spans="1:2">
      <c r="A57" s="2">
        <v>80000</v>
      </c>
      <c r="B57">
        <v>15</v>
      </c>
    </row>
    <row r="58" spans="1:2">
      <c r="A58" s="2">
        <v>21000</v>
      </c>
      <c r="B58">
        <v>23</v>
      </c>
    </row>
    <row r="59" spans="1:2">
      <c r="A59" s="2">
        <v>245840.3807575817</v>
      </c>
      <c r="B59">
        <v>32</v>
      </c>
    </row>
    <row r="60" spans="1:2">
      <c r="A60" s="2">
        <v>2849.2666699908109</v>
      </c>
      <c r="B60">
        <v>3</v>
      </c>
    </row>
    <row r="61" spans="1:2">
      <c r="A61" s="2">
        <v>8400</v>
      </c>
      <c r="B61">
        <v>26</v>
      </c>
    </row>
    <row r="62" spans="1:2">
      <c r="A62" s="2">
        <v>86692.320794224041</v>
      </c>
      <c r="B62">
        <v>20</v>
      </c>
    </row>
    <row r="63" spans="1:2">
      <c r="A63" s="2">
        <v>50000</v>
      </c>
      <c r="B63">
        <v>20</v>
      </c>
    </row>
    <row r="64" spans="1:2">
      <c r="A64" s="2">
        <v>4000</v>
      </c>
      <c r="B64">
        <v>6</v>
      </c>
    </row>
    <row r="65" spans="1:2">
      <c r="A65" s="2">
        <v>101990.96564026357</v>
      </c>
      <c r="B65">
        <v>1</v>
      </c>
    </row>
    <row r="66" spans="1:2">
      <c r="A66" s="2">
        <v>95000</v>
      </c>
      <c r="B66">
        <v>10</v>
      </c>
    </row>
    <row r="67" spans="1:2">
      <c r="A67" s="2">
        <v>10000</v>
      </c>
      <c r="B67">
        <v>5</v>
      </c>
    </row>
    <row r="68" spans="1:2">
      <c r="A68" s="2">
        <v>4200</v>
      </c>
      <c r="B68">
        <v>4</v>
      </c>
    </row>
    <row r="69" spans="1:2">
      <c r="A69" s="2">
        <v>12821.700014958649</v>
      </c>
      <c r="B69">
        <v>12</v>
      </c>
    </row>
    <row r="70" spans="1:2">
      <c r="A70" s="2">
        <v>39000</v>
      </c>
      <c r="B70">
        <v>3</v>
      </c>
    </row>
    <row r="71" spans="1:2">
      <c r="A71" s="2">
        <v>60000</v>
      </c>
      <c r="B71">
        <v>12</v>
      </c>
    </row>
    <row r="72" spans="1:2">
      <c r="A72" s="2">
        <v>173384.64158844808</v>
      </c>
      <c r="B72">
        <v>10</v>
      </c>
    </row>
    <row r="73" spans="1:2">
      <c r="A73" s="2">
        <v>125000</v>
      </c>
      <c r="B73">
        <v>20</v>
      </c>
    </row>
    <row r="74" spans="1:2">
      <c r="A74" s="2">
        <v>79552.953199405587</v>
      </c>
      <c r="B74">
        <v>4</v>
      </c>
    </row>
    <row r="75" spans="1:2">
      <c r="A75" s="2">
        <v>3561.5833374885137</v>
      </c>
      <c r="B75">
        <v>3</v>
      </c>
    </row>
    <row r="76" spans="1:2">
      <c r="A76" s="2">
        <v>80000</v>
      </c>
      <c r="B76">
        <v>8</v>
      </c>
    </row>
    <row r="77" spans="1:2">
      <c r="A77" s="2">
        <v>10684.750012465542</v>
      </c>
      <c r="B77">
        <v>3</v>
      </c>
    </row>
    <row r="78" spans="1:2">
      <c r="A78" s="2">
        <v>5342.3750062327708</v>
      </c>
      <c r="B78">
        <v>2</v>
      </c>
    </row>
    <row r="79" spans="1:2">
      <c r="A79" s="2">
        <v>71231.666749770273</v>
      </c>
      <c r="B79">
        <v>1.5</v>
      </c>
    </row>
    <row r="80" spans="1:2">
      <c r="A80" s="2">
        <v>80135.625093491559</v>
      </c>
      <c r="B80">
        <v>6</v>
      </c>
    </row>
    <row r="81" spans="1:2">
      <c r="A81" s="2">
        <v>54084.883766667976</v>
      </c>
      <c r="B81">
        <v>5</v>
      </c>
    </row>
    <row r="82" spans="1:2">
      <c r="A82" s="2">
        <v>53000</v>
      </c>
      <c r="B82">
        <v>30</v>
      </c>
    </row>
    <row r="83" spans="1:2">
      <c r="A83" s="2">
        <v>5342.3750062327708</v>
      </c>
      <c r="B83">
        <v>1</v>
      </c>
    </row>
    <row r="84" spans="1:2">
      <c r="A84" s="2">
        <v>7123.1666749770275</v>
      </c>
      <c r="B84">
        <v>5</v>
      </c>
    </row>
    <row r="85" spans="1:2">
      <c r="A85" s="2">
        <v>10684.750012465542</v>
      </c>
      <c r="B85">
        <v>11</v>
      </c>
    </row>
    <row r="86" spans="1:2">
      <c r="A86" s="2">
        <v>4000</v>
      </c>
      <c r="B86">
        <v>4</v>
      </c>
    </row>
    <row r="87" spans="1:2">
      <c r="A87" s="2">
        <v>8000</v>
      </c>
      <c r="B87">
        <v>1</v>
      </c>
    </row>
    <row r="88" spans="1:2">
      <c r="A88" s="2">
        <v>2671.1875031163854</v>
      </c>
      <c r="B88">
        <v>5</v>
      </c>
    </row>
    <row r="89" spans="1:2">
      <c r="A89" s="2">
        <v>14246.333349954055</v>
      </c>
      <c r="B89">
        <v>3</v>
      </c>
    </row>
    <row r="90" spans="1:2">
      <c r="A90" s="2">
        <v>8547.8000099724322</v>
      </c>
      <c r="B90">
        <v>3</v>
      </c>
    </row>
    <row r="91" spans="1:2">
      <c r="A91" s="2">
        <v>7693.0200089751897</v>
      </c>
      <c r="B91">
        <v>5</v>
      </c>
    </row>
    <row r="92" spans="1:2">
      <c r="A92" s="2">
        <v>4000</v>
      </c>
      <c r="B92">
        <v>8</v>
      </c>
    </row>
    <row r="93" spans="1:2">
      <c r="A93" s="2">
        <v>5400</v>
      </c>
      <c r="B93">
        <v>3</v>
      </c>
    </row>
    <row r="94" spans="1:2">
      <c r="A94" s="2">
        <v>186983.12521814698</v>
      </c>
      <c r="B94">
        <v>10</v>
      </c>
    </row>
    <row r="95" spans="1:2">
      <c r="A95" s="2">
        <v>21500</v>
      </c>
      <c r="B95">
        <v>9</v>
      </c>
    </row>
    <row r="96" spans="1:2">
      <c r="A96" s="2">
        <v>15000</v>
      </c>
      <c r="B96">
        <v>2</v>
      </c>
    </row>
    <row r="97" spans="1:2">
      <c r="A97" s="2">
        <v>2122.8177433598262</v>
      </c>
      <c r="B97">
        <v>2</v>
      </c>
    </row>
    <row r="98" spans="1:2">
      <c r="A98" s="2">
        <v>16917.52085307044</v>
      </c>
      <c r="B98">
        <v>3</v>
      </c>
    </row>
    <row r="99" spans="1:2">
      <c r="A99" s="2">
        <v>2938.3062534280239</v>
      </c>
      <c r="B99">
        <v>11</v>
      </c>
    </row>
    <row r="100" spans="1:2">
      <c r="A100" s="2">
        <v>16800</v>
      </c>
      <c r="B100">
        <v>12</v>
      </c>
    </row>
    <row r="101" spans="1:2">
      <c r="A101" s="2">
        <v>37000</v>
      </c>
      <c r="B101">
        <v>10</v>
      </c>
    </row>
    <row r="102" spans="1:2">
      <c r="A102" s="2">
        <v>5342.3750062327708</v>
      </c>
      <c r="B102">
        <v>4.5</v>
      </c>
    </row>
    <row r="103" spans="1:2">
      <c r="A103" s="2">
        <v>3561.5833374885137</v>
      </c>
      <c r="B103">
        <v>3</v>
      </c>
    </row>
    <row r="104" spans="1:2">
      <c r="A104" s="2">
        <v>8547.8000099724322</v>
      </c>
      <c r="B104">
        <v>8</v>
      </c>
    </row>
    <row r="105" spans="1:2">
      <c r="A105" s="2">
        <v>5800</v>
      </c>
      <c r="B105">
        <v>8</v>
      </c>
    </row>
    <row r="106" spans="1:2">
      <c r="A106" s="2">
        <v>4095.8208381117906</v>
      </c>
      <c r="B106">
        <v>3</v>
      </c>
    </row>
    <row r="107" spans="1:2">
      <c r="A107" s="2">
        <v>4914.9850057341491</v>
      </c>
      <c r="B107">
        <v>3</v>
      </c>
    </row>
    <row r="108" spans="1:2">
      <c r="A108" s="2">
        <v>24000</v>
      </c>
      <c r="B108">
        <v>12</v>
      </c>
    </row>
    <row r="109" spans="1:2">
      <c r="A109" s="2">
        <v>24000</v>
      </c>
      <c r="B109">
        <v>15</v>
      </c>
    </row>
    <row r="110" spans="1:2">
      <c r="A110" s="2">
        <v>8738</v>
      </c>
      <c r="B110">
        <v>7.3</v>
      </c>
    </row>
    <row r="111" spans="1:2">
      <c r="A111" s="2">
        <v>15000</v>
      </c>
      <c r="B111">
        <v>1</v>
      </c>
    </row>
    <row r="112" spans="1:2">
      <c r="A112" s="2">
        <v>56400</v>
      </c>
      <c r="B112">
        <v>6</v>
      </c>
    </row>
    <row r="113" spans="1:2">
      <c r="A113" s="2">
        <v>10200</v>
      </c>
      <c r="B113">
        <v>4.5</v>
      </c>
    </row>
    <row r="114" spans="1:2">
      <c r="A114" s="2">
        <v>5787.5729234188348</v>
      </c>
      <c r="B114">
        <v>4.5</v>
      </c>
    </row>
    <row r="115" spans="1:2">
      <c r="A115" s="2">
        <v>105000</v>
      </c>
      <c r="B115">
        <v>15</v>
      </c>
    </row>
    <row r="116" spans="1:2">
      <c r="A116" s="2">
        <v>4451.9791718606421</v>
      </c>
      <c r="B116">
        <v>5</v>
      </c>
    </row>
    <row r="117" spans="1:2">
      <c r="A117" s="2">
        <v>8369.7208430980063</v>
      </c>
      <c r="B117">
        <v>4</v>
      </c>
    </row>
    <row r="118" spans="1:2">
      <c r="A118" s="2">
        <v>17067.637625607145</v>
      </c>
      <c r="B118">
        <v>9</v>
      </c>
    </row>
    <row r="119" spans="1:2">
      <c r="A119" s="2">
        <v>101990.96564026357</v>
      </c>
      <c r="B119">
        <v>20</v>
      </c>
    </row>
    <row r="120" spans="1:2">
      <c r="A120" s="2">
        <v>3917.7416712373652</v>
      </c>
      <c r="B120">
        <v>3</v>
      </c>
    </row>
    <row r="121" spans="1:2">
      <c r="A121" s="2">
        <v>52000</v>
      </c>
      <c r="B121">
        <v>18</v>
      </c>
    </row>
    <row r="122" spans="1:2">
      <c r="A122" s="2">
        <v>4630.058338735068</v>
      </c>
      <c r="B122">
        <v>2</v>
      </c>
    </row>
    <row r="123" spans="1:2">
      <c r="A123" s="2">
        <v>2136.9500024931081</v>
      </c>
      <c r="B123">
        <v>3</v>
      </c>
    </row>
    <row r="124" spans="1:2">
      <c r="A124" s="2">
        <v>13000</v>
      </c>
      <c r="B124">
        <v>4</v>
      </c>
    </row>
    <row r="125" spans="1:2">
      <c r="A125" s="2">
        <v>2564.3400029917298</v>
      </c>
      <c r="B125">
        <v>7</v>
      </c>
    </row>
    <row r="126" spans="1:2">
      <c r="A126" s="2">
        <v>20479.104190558952</v>
      </c>
      <c r="B126">
        <v>7</v>
      </c>
    </row>
    <row r="127" spans="1:2">
      <c r="A127" s="2">
        <v>33500</v>
      </c>
      <c r="B127">
        <v>10</v>
      </c>
    </row>
    <row r="128" spans="1:2">
      <c r="A128" s="2">
        <v>50000</v>
      </c>
      <c r="B128">
        <v>20</v>
      </c>
    </row>
    <row r="129" spans="1:2">
      <c r="A129" s="2">
        <v>5342.3750062327708</v>
      </c>
      <c r="B129">
        <v>3</v>
      </c>
    </row>
    <row r="130" spans="1:2">
      <c r="A130" s="2">
        <v>11539.530013462785</v>
      </c>
      <c r="B130">
        <v>2</v>
      </c>
    </row>
    <row r="131" spans="1:2">
      <c r="A131" s="2">
        <v>7000</v>
      </c>
      <c r="B131">
        <v>23</v>
      </c>
    </row>
    <row r="132" spans="1:2">
      <c r="A132" s="2">
        <v>6767.0083412281756</v>
      </c>
      <c r="B132">
        <v>6</v>
      </c>
    </row>
    <row r="133" spans="1:2">
      <c r="A133" s="2">
        <v>3000</v>
      </c>
      <c r="B133">
        <v>2</v>
      </c>
    </row>
    <row r="134" spans="1:2">
      <c r="A134" s="2">
        <v>4451.9791718606421</v>
      </c>
      <c r="B134">
        <v>4</v>
      </c>
    </row>
    <row r="135" spans="1:2">
      <c r="A135" s="2">
        <v>2671.1875031163854</v>
      </c>
      <c r="B135">
        <v>4.5</v>
      </c>
    </row>
    <row r="136" spans="1:2">
      <c r="A136" s="2">
        <v>4957.7240057840108</v>
      </c>
      <c r="B136">
        <v>5</v>
      </c>
    </row>
    <row r="137" spans="1:2">
      <c r="A137" s="2">
        <v>3205.4250037396623</v>
      </c>
      <c r="B137">
        <v>14</v>
      </c>
    </row>
    <row r="138" spans="1:2">
      <c r="A138" s="2">
        <v>14246.333349954055</v>
      </c>
      <c r="B138">
        <v>7</v>
      </c>
    </row>
    <row r="139" spans="1:2">
      <c r="A139" s="2">
        <v>5342.3750062327708</v>
      </c>
      <c r="B139">
        <v>7</v>
      </c>
    </row>
    <row r="140" spans="1:2">
      <c r="A140" s="2">
        <v>6588.9291743537506</v>
      </c>
      <c r="B140">
        <v>2</v>
      </c>
    </row>
    <row r="141" spans="1:2">
      <c r="A141" s="2">
        <v>6588.9291743537506</v>
      </c>
      <c r="B141">
        <v>2</v>
      </c>
    </row>
    <row r="142" spans="1:2">
      <c r="A142" s="2">
        <v>35000</v>
      </c>
      <c r="B142">
        <v>10</v>
      </c>
    </row>
    <row r="143" spans="1:2">
      <c r="A143" s="2">
        <v>12821.700014958649</v>
      </c>
      <c r="B143">
        <v>4</v>
      </c>
    </row>
    <row r="144" spans="1:2">
      <c r="A144" s="2">
        <v>10684.750012465542</v>
      </c>
      <c r="B144">
        <v>2</v>
      </c>
    </row>
    <row r="145" spans="1:2">
      <c r="A145" s="2">
        <v>10000</v>
      </c>
      <c r="B145">
        <v>2</v>
      </c>
    </row>
    <row r="146" spans="1:2">
      <c r="A146" s="2">
        <v>2136.9500024931081</v>
      </c>
      <c r="B146">
        <v>0</v>
      </c>
    </row>
    <row r="147" spans="1:2">
      <c r="A147" s="2">
        <v>8547.8000099724322</v>
      </c>
      <c r="B147">
        <v>4</v>
      </c>
    </row>
    <row r="148" spans="1:2">
      <c r="A148" s="2">
        <v>8013.5625093491553</v>
      </c>
      <c r="B148">
        <v>8</v>
      </c>
    </row>
    <row r="149" spans="1:2">
      <c r="A149" s="2">
        <v>7123.1666749770275</v>
      </c>
      <c r="B149">
        <v>0</v>
      </c>
    </row>
    <row r="150" spans="1:2">
      <c r="A150" s="2">
        <v>40958.208381117904</v>
      </c>
      <c r="B150">
        <v>5</v>
      </c>
    </row>
    <row r="151" spans="1:2">
      <c r="A151" s="2">
        <v>11325.835013213473</v>
      </c>
      <c r="B151">
        <v>2</v>
      </c>
    </row>
    <row r="152" spans="1:2">
      <c r="A152" s="2">
        <v>15000</v>
      </c>
      <c r="B152">
        <v>2</v>
      </c>
    </row>
    <row r="153" spans="1:2">
      <c r="A153" s="2">
        <v>12000</v>
      </c>
      <c r="B153">
        <v>12</v>
      </c>
    </row>
    <row r="154" spans="1:2">
      <c r="A154" s="2">
        <v>8903.9583437212841</v>
      </c>
      <c r="B154">
        <v>1</v>
      </c>
    </row>
    <row r="155" spans="1:2">
      <c r="A155" s="2">
        <v>8903.9583437212841</v>
      </c>
      <c r="B155">
        <v>2</v>
      </c>
    </row>
    <row r="156" spans="1:2">
      <c r="A156" s="2">
        <v>12821.700014958649</v>
      </c>
      <c r="B156">
        <v>10</v>
      </c>
    </row>
    <row r="157" spans="1:2">
      <c r="A157" s="2">
        <v>3205.4250037396623</v>
      </c>
      <c r="B157">
        <v>7</v>
      </c>
    </row>
    <row r="158" spans="1:2">
      <c r="A158" s="2">
        <v>6677.9687577909626</v>
      </c>
      <c r="B158">
        <v>6</v>
      </c>
    </row>
    <row r="159" spans="1:2">
      <c r="A159" s="2">
        <v>67794.987956419791</v>
      </c>
      <c r="B159">
        <v>15</v>
      </c>
    </row>
    <row r="160" spans="1:2">
      <c r="A160" s="2">
        <v>31250</v>
      </c>
      <c r="B160">
        <v>6</v>
      </c>
    </row>
    <row r="161" spans="1:2">
      <c r="A161" s="2">
        <v>2165.2740982270229</v>
      </c>
      <c r="B161">
        <v>2</v>
      </c>
    </row>
    <row r="162" spans="1:2">
      <c r="A162" s="2">
        <v>7123.1666749770275</v>
      </c>
      <c r="B162">
        <v>4</v>
      </c>
    </row>
    <row r="163" spans="1:2">
      <c r="A163" s="2">
        <v>130000</v>
      </c>
      <c r="B163">
        <v>3</v>
      </c>
    </row>
    <row r="164" spans="1:2">
      <c r="A164" s="2">
        <v>4451.9791718606421</v>
      </c>
      <c r="B164">
        <v>6</v>
      </c>
    </row>
    <row r="165" spans="1:2">
      <c r="A165" s="2">
        <v>9600</v>
      </c>
      <c r="B165">
        <v>2</v>
      </c>
    </row>
    <row r="166" spans="1:2">
      <c r="A166" s="2">
        <v>6945.0875081026015</v>
      </c>
      <c r="B166">
        <v>1</v>
      </c>
    </row>
    <row r="167" spans="1:2">
      <c r="A167" s="2">
        <v>10684.750012465542</v>
      </c>
      <c r="B167">
        <v>7</v>
      </c>
    </row>
    <row r="168" spans="1:2">
      <c r="A168" s="2">
        <v>8547.8000099724322</v>
      </c>
      <c r="B168">
        <v>3.5</v>
      </c>
    </row>
    <row r="169" spans="1:2">
      <c r="A169" s="2">
        <v>35000</v>
      </c>
      <c r="B169">
        <v>10</v>
      </c>
    </row>
    <row r="170" spans="1:2">
      <c r="A170" s="2">
        <v>17807.916687442568</v>
      </c>
      <c r="B170">
        <v>12</v>
      </c>
    </row>
    <row r="171" spans="1:2">
      <c r="A171" s="2">
        <v>3205.4250037396623</v>
      </c>
      <c r="B171">
        <v>4</v>
      </c>
    </row>
    <row r="172" spans="1:2">
      <c r="A172" s="2">
        <v>60000</v>
      </c>
      <c r="B172">
        <v>10</v>
      </c>
    </row>
    <row r="173" spans="1:2">
      <c r="A173" s="2">
        <v>14246.333349954055</v>
      </c>
      <c r="B173">
        <v>13</v>
      </c>
    </row>
    <row r="174" spans="1:2">
      <c r="A174" s="2">
        <v>10684.750012465542</v>
      </c>
      <c r="B174">
        <v>8</v>
      </c>
    </row>
    <row r="175" spans="1:2">
      <c r="A175" s="2">
        <v>40000</v>
      </c>
      <c r="B175">
        <v>15</v>
      </c>
    </row>
    <row r="176" spans="1:2">
      <c r="A176" s="2">
        <v>5022</v>
      </c>
      <c r="B176">
        <v>15</v>
      </c>
    </row>
    <row r="177" spans="1:2">
      <c r="A177" s="2">
        <v>7301.2458418514525</v>
      </c>
      <c r="B177">
        <v>5</v>
      </c>
    </row>
    <row r="178" spans="1:2">
      <c r="A178" s="2">
        <v>19831.432821021317</v>
      </c>
      <c r="B178">
        <v>5</v>
      </c>
    </row>
    <row r="179" spans="1:2">
      <c r="A179" s="2">
        <v>10684.750012465542</v>
      </c>
      <c r="B179">
        <v>5</v>
      </c>
    </row>
    <row r="180" spans="1:2">
      <c r="A180" s="2">
        <v>4800</v>
      </c>
      <c r="B180">
        <v>2</v>
      </c>
    </row>
    <row r="181" spans="1:2">
      <c r="A181" s="2">
        <v>83846.362973446114</v>
      </c>
      <c r="B181">
        <v>7</v>
      </c>
    </row>
    <row r="182" spans="1:2">
      <c r="A182" s="2">
        <v>15000</v>
      </c>
      <c r="B182">
        <v>2</v>
      </c>
    </row>
    <row r="183" spans="1:2">
      <c r="A183" s="2">
        <v>10000</v>
      </c>
      <c r="B183">
        <v>12</v>
      </c>
    </row>
    <row r="184" spans="1:2">
      <c r="A184" s="2">
        <v>116637.19213297902</v>
      </c>
      <c r="B184">
        <v>5</v>
      </c>
    </row>
    <row r="185" spans="1:2">
      <c r="A185" s="2">
        <v>34357.533974522659</v>
      </c>
      <c r="B185">
        <v>1.5</v>
      </c>
    </row>
    <row r="186" spans="1:2">
      <c r="A186" s="2">
        <v>102451.58768437347</v>
      </c>
      <c r="B186">
        <v>15</v>
      </c>
    </row>
    <row r="187" spans="1:2">
      <c r="A187" s="2">
        <v>16000</v>
      </c>
      <c r="B187">
        <v>5</v>
      </c>
    </row>
    <row r="188" spans="1:2">
      <c r="A188" s="2">
        <v>6000</v>
      </c>
      <c r="B188">
        <v>6</v>
      </c>
    </row>
    <row r="189" spans="1:2">
      <c r="A189" s="2">
        <v>6410.8500074793246</v>
      </c>
      <c r="B189">
        <v>6</v>
      </c>
    </row>
    <row r="190" spans="1:2">
      <c r="A190" s="2">
        <v>36000</v>
      </c>
      <c r="B190">
        <v>7</v>
      </c>
    </row>
    <row r="191" spans="1:2">
      <c r="A191" s="2">
        <v>20000</v>
      </c>
      <c r="B191">
        <v>7</v>
      </c>
    </row>
    <row r="192" spans="1:2">
      <c r="A192" s="2">
        <v>4273.9000049862161</v>
      </c>
      <c r="B192">
        <v>8</v>
      </c>
    </row>
    <row r="193" spans="1:2">
      <c r="A193" s="2">
        <v>37828.278529614821</v>
      </c>
      <c r="B193">
        <v>8</v>
      </c>
    </row>
    <row r="194" spans="1:2">
      <c r="A194" s="2">
        <v>11000</v>
      </c>
      <c r="B194">
        <v>4.5</v>
      </c>
    </row>
    <row r="195" spans="1:2">
      <c r="A195" s="2">
        <v>8000</v>
      </c>
      <c r="B195">
        <v>6</v>
      </c>
    </row>
    <row r="196" spans="1:2">
      <c r="A196" s="2">
        <v>4006.7812546745777</v>
      </c>
      <c r="B196">
        <v>5.5</v>
      </c>
    </row>
    <row r="197" spans="1:2">
      <c r="A197" s="2">
        <v>9171.0323574730355</v>
      </c>
      <c r="B197">
        <v>5</v>
      </c>
    </row>
    <row r="198" spans="1:2">
      <c r="A198" s="2">
        <v>4273.9000049862161</v>
      </c>
      <c r="B198">
        <v>20</v>
      </c>
    </row>
    <row r="199" spans="1:2">
      <c r="A199" s="2">
        <v>12465.541681209797</v>
      </c>
      <c r="B199">
        <v>5</v>
      </c>
    </row>
    <row r="200" spans="1:2">
      <c r="A200" s="2">
        <v>24000</v>
      </c>
      <c r="B200">
        <v>1</v>
      </c>
    </row>
    <row r="201" spans="1:2">
      <c r="A201" s="2">
        <v>20000</v>
      </c>
      <c r="B201">
        <v>15</v>
      </c>
    </row>
    <row r="202" spans="1:2">
      <c r="A202" s="2">
        <v>62000</v>
      </c>
      <c r="B202">
        <v>20</v>
      </c>
    </row>
    <row r="203" spans="1:2">
      <c r="A203" s="2">
        <v>14960</v>
      </c>
      <c r="B203">
        <v>2</v>
      </c>
    </row>
    <row r="204" spans="1:2">
      <c r="A204" s="2">
        <v>2136.9500024931081</v>
      </c>
      <c r="B204">
        <v>2</v>
      </c>
    </row>
    <row r="205" spans="1:2">
      <c r="A205" s="2">
        <v>30232</v>
      </c>
      <c r="B205">
        <v>5</v>
      </c>
    </row>
    <row r="206" spans="1:2">
      <c r="A206" s="2">
        <v>41000</v>
      </c>
      <c r="B206">
        <v>4</v>
      </c>
    </row>
    <row r="207" spans="1:2">
      <c r="A207" s="2">
        <v>96891.417358250401</v>
      </c>
      <c r="B207">
        <v>11</v>
      </c>
    </row>
    <row r="208" spans="1:2">
      <c r="A208" s="2">
        <v>21369.500024931083</v>
      </c>
      <c r="B208">
        <v>14</v>
      </c>
    </row>
    <row r="209" spans="1:2">
      <c r="A209" s="2">
        <v>3650.6229209257262</v>
      </c>
      <c r="B209">
        <v>10</v>
      </c>
    </row>
    <row r="210" spans="1:2">
      <c r="A210" s="2">
        <v>19068</v>
      </c>
      <c r="B210">
        <v>20</v>
      </c>
    </row>
    <row r="211" spans="1:2">
      <c r="A211" s="2">
        <v>5342.3750062327708</v>
      </c>
      <c r="B211">
        <v>4</v>
      </c>
    </row>
    <row r="212" spans="1:2">
      <c r="A212" s="2">
        <v>48000</v>
      </c>
      <c r="B212">
        <v>3</v>
      </c>
    </row>
    <row r="213" spans="1:2">
      <c r="A213" s="2">
        <v>3917.7416712373652</v>
      </c>
      <c r="B213">
        <v>2</v>
      </c>
    </row>
    <row r="214" spans="1:2">
      <c r="A214" s="2">
        <v>13500</v>
      </c>
      <c r="B214">
        <v>2.5</v>
      </c>
    </row>
    <row r="215" spans="1:2">
      <c r="A215" s="2">
        <v>45000</v>
      </c>
      <c r="B215">
        <v>15</v>
      </c>
    </row>
    <row r="216" spans="1:2">
      <c r="A216" s="2">
        <v>69871.969144538423</v>
      </c>
      <c r="B216">
        <v>18</v>
      </c>
    </row>
    <row r="217" spans="1:2">
      <c r="A217" s="2">
        <v>8547.8000099724322</v>
      </c>
      <c r="B217">
        <v>11</v>
      </c>
    </row>
    <row r="218" spans="1:2">
      <c r="A218" s="2">
        <v>9146.5655463031271</v>
      </c>
      <c r="B218">
        <v>7</v>
      </c>
    </row>
    <row r="219" spans="1:2">
      <c r="A219" s="2">
        <v>10150.512511842264</v>
      </c>
      <c r="B219">
        <v>2.4</v>
      </c>
    </row>
    <row r="220" spans="1:2">
      <c r="A220" s="2">
        <v>11325.835013213473</v>
      </c>
      <c r="B220">
        <v>7</v>
      </c>
    </row>
    <row r="221" spans="1:2">
      <c r="A221" s="2">
        <v>1910.5359690238436</v>
      </c>
      <c r="B221">
        <v>7</v>
      </c>
    </row>
    <row r="222" spans="1:2">
      <c r="A222" s="2">
        <v>36000</v>
      </c>
      <c r="B222">
        <v>12</v>
      </c>
    </row>
    <row r="223" spans="1:2">
      <c r="A223" s="2">
        <v>40067.812546745779</v>
      </c>
      <c r="B223">
        <v>5</v>
      </c>
    </row>
    <row r="224" spans="1:2">
      <c r="A224" s="2">
        <v>16000</v>
      </c>
      <c r="B224">
        <v>1</v>
      </c>
    </row>
    <row r="225" spans="1:2">
      <c r="A225" s="2">
        <v>4273.9000049862161</v>
      </c>
      <c r="B225">
        <v>4</v>
      </c>
    </row>
    <row r="226" spans="1:2">
      <c r="A226" s="2">
        <v>7123.1666749770275</v>
      </c>
      <c r="B226">
        <v>7</v>
      </c>
    </row>
    <row r="227" spans="1:2">
      <c r="A227" s="2">
        <v>10000</v>
      </c>
      <c r="B227">
        <v>12</v>
      </c>
    </row>
    <row r="228" spans="1:2">
      <c r="A228" s="2">
        <v>64901.860520001574</v>
      </c>
      <c r="B228">
        <v>20</v>
      </c>
    </row>
    <row r="229" spans="1:2">
      <c r="A229" s="2">
        <v>65000</v>
      </c>
      <c r="B229">
        <v>10</v>
      </c>
    </row>
    <row r="230" spans="1:2">
      <c r="A230" s="2">
        <v>8013.5625093491553</v>
      </c>
      <c r="B230">
        <v>1.5</v>
      </c>
    </row>
    <row r="231" spans="1:2">
      <c r="A231" s="2">
        <v>98336.152303032693</v>
      </c>
      <c r="B231">
        <v>5</v>
      </c>
    </row>
    <row r="232" spans="1:2">
      <c r="A232" s="2">
        <v>2671.1875031163854</v>
      </c>
      <c r="B232">
        <v>2</v>
      </c>
    </row>
    <row r="233" spans="1:2">
      <c r="A233" s="2">
        <v>96000</v>
      </c>
      <c r="B233">
        <v>8</v>
      </c>
    </row>
    <row r="234" spans="1:2">
      <c r="A234" s="2">
        <v>20514.720023933838</v>
      </c>
      <c r="B234">
        <v>6</v>
      </c>
    </row>
    <row r="235" spans="1:2">
      <c r="A235" s="2">
        <v>19055.991584874118</v>
      </c>
      <c r="B235">
        <v>10</v>
      </c>
    </row>
    <row r="236" spans="1:2">
      <c r="A236" s="2">
        <v>66294.12766617132</v>
      </c>
      <c r="B236">
        <v>10</v>
      </c>
    </row>
    <row r="237" spans="1:2">
      <c r="A237" s="2">
        <v>6713.584591165848</v>
      </c>
      <c r="B237">
        <v>7</v>
      </c>
    </row>
    <row r="238" spans="1:2">
      <c r="A238" s="2">
        <v>45709.169889951241</v>
      </c>
      <c r="B238">
        <v>15</v>
      </c>
    </row>
    <row r="239" spans="1:2">
      <c r="A239" s="2">
        <v>48500</v>
      </c>
      <c r="B239">
        <v>10</v>
      </c>
    </row>
    <row r="240" spans="1:2">
      <c r="A240" s="2">
        <v>10684.750012465542</v>
      </c>
      <c r="B240">
        <v>4</v>
      </c>
    </row>
    <row r="241" spans="1:2">
      <c r="A241" s="2">
        <v>33900</v>
      </c>
      <c r="B241">
        <v>10</v>
      </c>
    </row>
    <row r="242" spans="1:2">
      <c r="A242" s="2">
        <v>109729.60187662003</v>
      </c>
      <c r="B242">
        <v>40</v>
      </c>
    </row>
    <row r="243" spans="1:2">
      <c r="A243" s="2">
        <v>15136.729184326183</v>
      </c>
      <c r="B243">
        <v>2</v>
      </c>
    </row>
    <row r="244" spans="1:2">
      <c r="A244" s="2">
        <v>85000</v>
      </c>
      <c r="B244">
        <v>15</v>
      </c>
    </row>
    <row r="245" spans="1:2">
      <c r="A245" s="2">
        <v>8013.5625093491553</v>
      </c>
      <c r="B245">
        <v>6</v>
      </c>
    </row>
    <row r="246" spans="1:2">
      <c r="A246" s="2">
        <v>48000</v>
      </c>
      <c r="B246">
        <v>16</v>
      </c>
    </row>
    <row r="247" spans="1:2">
      <c r="A247" s="2">
        <v>3027.3458368652364</v>
      </c>
      <c r="B247">
        <v>2</v>
      </c>
    </row>
    <row r="248" spans="1:2">
      <c r="A248" s="2">
        <v>13100</v>
      </c>
      <c r="B248">
        <v>5</v>
      </c>
    </row>
    <row r="249" spans="1:2">
      <c r="A249" s="2">
        <v>60000</v>
      </c>
      <c r="B249">
        <v>15</v>
      </c>
    </row>
    <row r="250" spans="1:2">
      <c r="A250" s="2">
        <v>24000</v>
      </c>
      <c r="B250">
        <v>5</v>
      </c>
    </row>
    <row r="251" spans="1:2">
      <c r="A251" s="2">
        <v>4273.9000049862161</v>
      </c>
      <c r="B251">
        <v>3</v>
      </c>
    </row>
    <row r="252" spans="1:2">
      <c r="A252" s="2">
        <v>11575.14584683767</v>
      </c>
      <c r="B252">
        <v>5</v>
      </c>
    </row>
    <row r="253" spans="1:2">
      <c r="A253" s="2">
        <v>95000</v>
      </c>
      <c r="B253">
        <v>13</v>
      </c>
    </row>
    <row r="254" spans="1:2">
      <c r="A254" s="2">
        <v>9188.8850107203652</v>
      </c>
      <c r="B254">
        <v>0</v>
      </c>
    </row>
    <row r="255" spans="1:2">
      <c r="A255" s="2">
        <v>8975.1900104710548</v>
      </c>
      <c r="B255">
        <v>3</v>
      </c>
    </row>
    <row r="256" spans="1:2">
      <c r="A256" s="2">
        <v>2564.3400029917298</v>
      </c>
      <c r="B256">
        <v>1</v>
      </c>
    </row>
    <row r="257" spans="1:2">
      <c r="A257" s="2">
        <v>86689.804963700633</v>
      </c>
      <c r="B257">
        <v>12</v>
      </c>
    </row>
    <row r="258" spans="1:2">
      <c r="A258" s="2">
        <v>15500</v>
      </c>
      <c r="B258">
        <v>3</v>
      </c>
    </row>
    <row r="259" spans="1:2">
      <c r="A259" s="2">
        <v>148284.35006969364</v>
      </c>
      <c r="B259">
        <v>3</v>
      </c>
    </row>
    <row r="260" spans="1:2">
      <c r="A260" s="2">
        <v>10684.750012465542</v>
      </c>
      <c r="B260">
        <v>5</v>
      </c>
    </row>
    <row r="261" spans="1:2">
      <c r="A261" s="2">
        <v>75000</v>
      </c>
      <c r="B261">
        <v>27</v>
      </c>
    </row>
    <row r="262" spans="1:2">
      <c r="A262" s="2">
        <v>12000</v>
      </c>
      <c r="B262">
        <v>5</v>
      </c>
    </row>
    <row r="263" spans="1:2">
      <c r="A263" s="2">
        <v>30273.458368652366</v>
      </c>
      <c r="B263">
        <v>1.1000000000000001</v>
      </c>
    </row>
    <row r="264" spans="1:2">
      <c r="A264" s="2">
        <v>30000</v>
      </c>
      <c r="B264">
        <v>7</v>
      </c>
    </row>
    <row r="265" spans="1:2">
      <c r="A265" s="2">
        <v>6410.8500074793246</v>
      </c>
      <c r="B265">
        <v>4</v>
      </c>
    </row>
    <row r="266" spans="1:2">
      <c r="A266" s="2">
        <v>100000</v>
      </c>
      <c r="B266">
        <v>10</v>
      </c>
    </row>
    <row r="267" spans="1:2">
      <c r="A267" s="2">
        <v>53356.776437647524</v>
      </c>
      <c r="B267">
        <v>2</v>
      </c>
    </row>
    <row r="268" spans="1:2">
      <c r="A268" s="2">
        <v>40000</v>
      </c>
      <c r="B268">
        <v>20</v>
      </c>
    </row>
    <row r="269" spans="1:2">
      <c r="A269" s="2">
        <v>9794.354178093412</v>
      </c>
      <c r="B269">
        <v>1</v>
      </c>
    </row>
    <row r="270" spans="1:2">
      <c r="A270" s="2">
        <v>18499.860539512854</v>
      </c>
      <c r="B270">
        <v>6</v>
      </c>
    </row>
    <row r="271" spans="1:2">
      <c r="A271" s="2">
        <v>19818.231248269083</v>
      </c>
      <c r="B271">
        <v>5</v>
      </c>
    </row>
    <row r="272" spans="1:2">
      <c r="A272" s="2">
        <v>10684.750012465542</v>
      </c>
      <c r="B272">
        <v>20</v>
      </c>
    </row>
    <row r="273" spans="1:2">
      <c r="A273" s="2">
        <v>10684.750012465542</v>
      </c>
      <c r="B273">
        <v>18</v>
      </c>
    </row>
    <row r="274" spans="1:2">
      <c r="A274" s="2">
        <v>17807.916687442568</v>
      </c>
      <c r="B274">
        <v>10</v>
      </c>
    </row>
    <row r="275" spans="1:2">
      <c r="A275" s="2">
        <v>13000</v>
      </c>
      <c r="B275">
        <v>6</v>
      </c>
    </row>
    <row r="276" spans="1:2">
      <c r="A276" s="2">
        <v>16027.125018698311</v>
      </c>
      <c r="B276">
        <v>9</v>
      </c>
    </row>
    <row r="277" spans="1:2">
      <c r="A277" s="2">
        <v>85000</v>
      </c>
      <c r="B277">
        <v>1</v>
      </c>
    </row>
    <row r="278" spans="1:2">
      <c r="A278" s="2">
        <v>6000</v>
      </c>
      <c r="B278">
        <v>10</v>
      </c>
    </row>
    <row r="279" spans="1:2">
      <c r="A279" s="2">
        <v>30000</v>
      </c>
      <c r="B279">
        <v>2</v>
      </c>
    </row>
    <row r="280" spans="1:2">
      <c r="A280" s="2">
        <v>157617.8272067284</v>
      </c>
      <c r="B280">
        <v>20</v>
      </c>
    </row>
    <row r="281" spans="1:2">
      <c r="A281" s="2">
        <v>21369.500024931083</v>
      </c>
      <c r="B281">
        <v>18</v>
      </c>
    </row>
    <row r="282" spans="1:2">
      <c r="A282" s="2">
        <v>3561.5833374885137</v>
      </c>
      <c r="B282">
        <v>1</v>
      </c>
    </row>
    <row r="283" spans="1:2">
      <c r="A283" s="2">
        <v>5000</v>
      </c>
      <c r="B283">
        <v>1</v>
      </c>
    </row>
    <row r="284" spans="1:2">
      <c r="A284" s="2">
        <v>3561.5833374885137</v>
      </c>
      <c r="B284">
        <v>2</v>
      </c>
    </row>
    <row r="285" spans="1:2">
      <c r="A285" s="2">
        <v>38111.983169748237</v>
      </c>
      <c r="B285">
        <v>8</v>
      </c>
    </row>
    <row r="286" spans="1:2">
      <c r="A286" s="2">
        <v>17807.916687442568</v>
      </c>
      <c r="B286">
        <v>6.5</v>
      </c>
    </row>
    <row r="287" spans="1:2">
      <c r="A287" s="2">
        <v>11575.14584683767</v>
      </c>
      <c r="B287">
        <v>3.5</v>
      </c>
    </row>
    <row r="288" spans="1:2">
      <c r="A288" s="2">
        <v>98336.152303032693</v>
      </c>
      <c r="B288">
        <v>10</v>
      </c>
    </row>
    <row r="289" spans="1:2">
      <c r="A289" s="2">
        <v>92500</v>
      </c>
      <c r="B289">
        <v>15</v>
      </c>
    </row>
    <row r="290" spans="1:2">
      <c r="A290" s="2">
        <v>9794.354178093412</v>
      </c>
      <c r="B290">
        <v>1</v>
      </c>
    </row>
    <row r="291" spans="1:2">
      <c r="A291" s="2">
        <v>32000</v>
      </c>
      <c r="B291">
        <v>1</v>
      </c>
    </row>
    <row r="292" spans="1:2">
      <c r="A292" s="2">
        <v>55000</v>
      </c>
      <c r="B292">
        <v>10</v>
      </c>
    </row>
    <row r="293" spans="1:2">
      <c r="A293" s="2">
        <v>40000</v>
      </c>
      <c r="B293">
        <v>4</v>
      </c>
    </row>
    <row r="294" spans="1:2">
      <c r="A294" s="2">
        <v>3000</v>
      </c>
      <c r="B294">
        <v>2</v>
      </c>
    </row>
    <row r="295" spans="1:2">
      <c r="A295" s="2">
        <v>43600</v>
      </c>
      <c r="B295">
        <v>5</v>
      </c>
    </row>
    <row r="296" spans="1:2">
      <c r="A296" s="2">
        <v>9616.275011218986</v>
      </c>
      <c r="B296">
        <v>8</v>
      </c>
    </row>
    <row r="297" spans="1:2">
      <c r="A297" s="2">
        <v>35000</v>
      </c>
      <c r="B297">
        <v>10</v>
      </c>
    </row>
    <row r="298" spans="1:2">
      <c r="A298" s="2">
        <v>12000</v>
      </c>
      <c r="B298">
        <v>15</v>
      </c>
    </row>
    <row r="299" spans="1:2">
      <c r="A299" s="2">
        <v>5000</v>
      </c>
      <c r="B299">
        <v>13</v>
      </c>
    </row>
    <row r="300" spans="1:2">
      <c r="A300" s="2">
        <v>16337.518501630093</v>
      </c>
      <c r="B300">
        <v>2</v>
      </c>
    </row>
    <row r="301" spans="1:2">
      <c r="A301" s="2">
        <v>65000</v>
      </c>
      <c r="B301">
        <v>8</v>
      </c>
    </row>
    <row r="302" spans="1:2">
      <c r="A302" s="2">
        <v>40000</v>
      </c>
      <c r="B302">
        <v>2</v>
      </c>
    </row>
    <row r="303" spans="1:2">
      <c r="A303" s="2">
        <v>98000</v>
      </c>
      <c r="B303">
        <v>14</v>
      </c>
    </row>
    <row r="304" spans="1:2">
      <c r="A304" s="2">
        <v>50000</v>
      </c>
      <c r="B304">
        <v>15</v>
      </c>
    </row>
    <row r="305" spans="1:2">
      <c r="A305" s="2">
        <v>135000</v>
      </c>
      <c r="B305">
        <v>25</v>
      </c>
    </row>
    <row r="306" spans="1:2">
      <c r="A306" s="2">
        <v>125000</v>
      </c>
      <c r="B306">
        <v>6</v>
      </c>
    </row>
    <row r="307" spans="1:2">
      <c r="A307" s="2">
        <v>4500</v>
      </c>
      <c r="B307">
        <v>4</v>
      </c>
    </row>
    <row r="308" spans="1:2">
      <c r="A308" s="2">
        <v>115000</v>
      </c>
      <c r="B308">
        <v>10</v>
      </c>
    </row>
    <row r="309" spans="1:2">
      <c r="A309" s="2">
        <v>70000</v>
      </c>
      <c r="B309">
        <v>15</v>
      </c>
    </row>
    <row r="310" spans="1:2">
      <c r="A310" s="2">
        <v>60000</v>
      </c>
      <c r="B310">
        <v>8</v>
      </c>
    </row>
    <row r="311" spans="1:2">
      <c r="A311" s="2">
        <v>87456</v>
      </c>
      <c r="B311">
        <v>12</v>
      </c>
    </row>
    <row r="312" spans="1:2">
      <c r="A312" s="2">
        <v>26400</v>
      </c>
      <c r="B312">
        <v>6</v>
      </c>
    </row>
    <row r="313" spans="1:2">
      <c r="A313" s="2">
        <v>12000</v>
      </c>
      <c r="B313">
        <v>18</v>
      </c>
    </row>
    <row r="314" spans="1:2">
      <c r="A314" s="2">
        <v>2564.3400029917298</v>
      </c>
      <c r="B314">
        <v>1</v>
      </c>
    </row>
    <row r="315" spans="1:2">
      <c r="A315" s="2">
        <v>62000</v>
      </c>
      <c r="B315">
        <v>11</v>
      </c>
    </row>
    <row r="316" spans="1:2">
      <c r="A316" s="2">
        <v>5342.3750062327708</v>
      </c>
      <c r="B316">
        <v>10</v>
      </c>
    </row>
    <row r="317" spans="1:2">
      <c r="A317" s="2">
        <v>50815.977559664309</v>
      </c>
      <c r="B317">
        <v>4</v>
      </c>
    </row>
    <row r="318" spans="1:2">
      <c r="A318" s="2">
        <v>25560</v>
      </c>
      <c r="B318">
        <v>3</v>
      </c>
    </row>
    <row r="319" spans="1:2">
      <c r="A319" s="2">
        <v>12821.700014958649</v>
      </c>
      <c r="B319">
        <v>3</v>
      </c>
    </row>
    <row r="320" spans="1:2">
      <c r="A320" s="2">
        <v>10684.750012465542</v>
      </c>
      <c r="B320">
        <v>5</v>
      </c>
    </row>
    <row r="321" spans="1:2">
      <c r="A321" s="2">
        <v>4457.9172610556352</v>
      </c>
      <c r="B321">
        <v>4</v>
      </c>
    </row>
    <row r="322" spans="1:2">
      <c r="A322" s="2">
        <v>125000</v>
      </c>
      <c r="B322">
        <v>20</v>
      </c>
    </row>
    <row r="323" spans="1:2">
      <c r="A323" s="2">
        <v>43000</v>
      </c>
      <c r="B323">
        <v>1</v>
      </c>
    </row>
    <row r="324" spans="1:2">
      <c r="A324" s="2">
        <v>7123.1666749770275</v>
      </c>
      <c r="B324">
        <v>6</v>
      </c>
    </row>
    <row r="325" spans="1:2">
      <c r="A325" s="2">
        <v>10000</v>
      </c>
      <c r="B325">
        <v>4</v>
      </c>
    </row>
    <row r="326" spans="1:2">
      <c r="A326" s="2">
        <v>8903.9583437212841</v>
      </c>
      <c r="B326">
        <v>5</v>
      </c>
    </row>
    <row r="327" spans="1:2">
      <c r="A327" s="2">
        <v>36500</v>
      </c>
      <c r="B327">
        <v>15</v>
      </c>
    </row>
    <row r="328" spans="1:2">
      <c r="A328" s="2">
        <v>100000</v>
      </c>
      <c r="B328">
        <v>10</v>
      </c>
    </row>
    <row r="329" spans="1:2">
      <c r="A329" s="2">
        <v>7123.1666749770275</v>
      </c>
      <c r="B329">
        <v>8</v>
      </c>
    </row>
    <row r="330" spans="1:2">
      <c r="A330" s="2">
        <v>40958.208381117904</v>
      </c>
      <c r="B330">
        <v>8</v>
      </c>
    </row>
    <row r="331" spans="1:2">
      <c r="A331" s="2">
        <v>21369.500024931083</v>
      </c>
      <c r="B331">
        <v>17</v>
      </c>
    </row>
    <row r="332" spans="1:2">
      <c r="A332" s="2">
        <v>2136.9500024931081</v>
      </c>
      <c r="B332">
        <v>5</v>
      </c>
    </row>
    <row r="333" spans="1:2">
      <c r="A333" s="2">
        <v>8903.9583437212841</v>
      </c>
      <c r="B333">
        <v>3</v>
      </c>
    </row>
    <row r="334" spans="1:2">
      <c r="A334" s="2">
        <v>17807.916687442568</v>
      </c>
      <c r="B334">
        <v>5</v>
      </c>
    </row>
    <row r="335" spans="1:2">
      <c r="A335" s="2">
        <v>15136.729184326183</v>
      </c>
      <c r="B335">
        <v>3</v>
      </c>
    </row>
    <row r="336" spans="1:2">
      <c r="A336" s="2">
        <v>3982.448779308334</v>
      </c>
      <c r="B336">
        <v>10</v>
      </c>
    </row>
    <row r="337" spans="1:2">
      <c r="A337" s="2">
        <v>15600</v>
      </c>
      <c r="B337">
        <v>13</v>
      </c>
    </row>
    <row r="338" spans="1:2">
      <c r="A338" s="2">
        <v>3205.4250037396623</v>
      </c>
      <c r="B338">
        <v>3.5</v>
      </c>
    </row>
    <row r="339" spans="1:2">
      <c r="A339" s="2">
        <v>10000</v>
      </c>
      <c r="B339">
        <v>6</v>
      </c>
    </row>
    <row r="340" spans="1:2">
      <c r="A340" s="2">
        <v>75010</v>
      </c>
      <c r="B340">
        <v>6</v>
      </c>
    </row>
    <row r="341" spans="1:2">
      <c r="A341" s="2">
        <v>10684.750012465542</v>
      </c>
      <c r="B341">
        <v>9</v>
      </c>
    </row>
    <row r="342" spans="1:2">
      <c r="A342" s="2">
        <v>16350</v>
      </c>
      <c r="B342">
        <v>5</v>
      </c>
    </row>
    <row r="343" spans="1:2">
      <c r="A343" s="2">
        <v>126094.26176538273</v>
      </c>
      <c r="B343">
        <v>10</v>
      </c>
    </row>
    <row r="344" spans="1:2">
      <c r="A344" s="2">
        <v>60000</v>
      </c>
      <c r="B344">
        <v>10</v>
      </c>
    </row>
    <row r="345" spans="1:2">
      <c r="A345" s="2">
        <v>23150.291693675339</v>
      </c>
      <c r="B345">
        <v>3</v>
      </c>
    </row>
    <row r="346" spans="1:2">
      <c r="A346" s="2">
        <v>13801.135432767991</v>
      </c>
      <c r="B346">
        <v>2</v>
      </c>
    </row>
    <row r="347" spans="1:2">
      <c r="A347" s="2">
        <v>18698.312521814696</v>
      </c>
      <c r="B347">
        <v>5</v>
      </c>
    </row>
    <row r="348" spans="1:2">
      <c r="A348" s="2">
        <v>36000</v>
      </c>
      <c r="B348">
        <v>9</v>
      </c>
    </row>
    <row r="349" spans="1:2">
      <c r="A349" s="2">
        <v>8654.6475100970874</v>
      </c>
      <c r="B349">
        <v>6</v>
      </c>
    </row>
    <row r="350" spans="1:2">
      <c r="A350" s="2">
        <v>102451.58768437347</v>
      </c>
      <c r="B350">
        <v>15</v>
      </c>
    </row>
    <row r="351" spans="1:2">
      <c r="A351" s="2">
        <v>36400</v>
      </c>
      <c r="B351">
        <v>20</v>
      </c>
    </row>
    <row r="352" spans="1:2">
      <c r="A352" s="2">
        <v>101206.40684944032</v>
      </c>
      <c r="B352">
        <v>16</v>
      </c>
    </row>
    <row r="353" spans="1:2">
      <c r="A353" s="2">
        <v>5342.3750062327708</v>
      </c>
      <c r="B353">
        <v>0.5</v>
      </c>
    </row>
    <row r="354" spans="1:2">
      <c r="A354" s="2">
        <v>28310.79811950968</v>
      </c>
      <c r="B354">
        <v>11</v>
      </c>
    </row>
    <row r="355" spans="1:2">
      <c r="A355" s="2">
        <v>26043.18849932796</v>
      </c>
      <c r="B355">
        <v>8</v>
      </c>
    </row>
    <row r="356" spans="1:2">
      <c r="A356" s="2">
        <v>96891.417358250401</v>
      </c>
      <c r="B356">
        <v>7</v>
      </c>
    </row>
    <row r="357" spans="1:2">
      <c r="A357" s="2">
        <v>2564.3400029917298</v>
      </c>
      <c r="B357">
        <v>4</v>
      </c>
    </row>
    <row r="358" spans="1:2">
      <c r="A358" s="2">
        <v>3205.4250037396623</v>
      </c>
      <c r="B358">
        <v>8</v>
      </c>
    </row>
    <row r="359" spans="1:2">
      <c r="A359" s="2">
        <v>10684.750012465542</v>
      </c>
      <c r="B359">
        <v>8</v>
      </c>
    </row>
    <row r="360" spans="1:2">
      <c r="A360" s="2">
        <v>150000</v>
      </c>
      <c r="B360">
        <v>25</v>
      </c>
    </row>
    <row r="361" spans="1:2">
      <c r="A361" s="2">
        <v>12465.541681209797</v>
      </c>
      <c r="B361">
        <v>3</v>
      </c>
    </row>
    <row r="362" spans="1:2">
      <c r="A362" s="2">
        <v>19055.991584874118</v>
      </c>
      <c r="B362">
        <v>4</v>
      </c>
    </row>
    <row r="363" spans="1:2">
      <c r="A363" s="2">
        <v>105000</v>
      </c>
      <c r="B363">
        <v>20</v>
      </c>
    </row>
    <row r="364" spans="1:2">
      <c r="A364" s="2">
        <v>24000</v>
      </c>
      <c r="B364">
        <v>3</v>
      </c>
    </row>
    <row r="365" spans="1:2">
      <c r="A365" s="2">
        <v>78808.913603364199</v>
      </c>
      <c r="B365">
        <v>10</v>
      </c>
    </row>
    <row r="366" spans="1:2">
      <c r="A366" s="2">
        <v>42000</v>
      </c>
      <c r="B366">
        <v>15</v>
      </c>
    </row>
    <row r="367" spans="1:2">
      <c r="A367" s="2">
        <v>9490.1984044603923</v>
      </c>
      <c r="B367">
        <v>8</v>
      </c>
    </row>
    <row r="368" spans="1:2">
      <c r="A368" s="2">
        <v>60000</v>
      </c>
      <c r="B368">
        <v>5</v>
      </c>
    </row>
    <row r="369" spans="1:2">
      <c r="A369" s="2">
        <v>17807.916687442568</v>
      </c>
      <c r="B369">
        <v>8</v>
      </c>
    </row>
    <row r="370" spans="1:2">
      <c r="A370" s="2">
        <v>12465.541681209797</v>
      </c>
      <c r="B370">
        <v>1</v>
      </c>
    </row>
    <row r="371" spans="1:2">
      <c r="A371" s="2">
        <v>20571</v>
      </c>
      <c r="B371">
        <v>8</v>
      </c>
    </row>
    <row r="372" spans="1:2">
      <c r="A372" s="2">
        <v>3480</v>
      </c>
      <c r="B372">
        <v>6</v>
      </c>
    </row>
    <row r="373" spans="1:2">
      <c r="A373" s="2">
        <v>18060</v>
      </c>
      <c r="B373">
        <v>12</v>
      </c>
    </row>
    <row r="374" spans="1:2">
      <c r="A374" s="2">
        <v>30000</v>
      </c>
      <c r="B374">
        <v>30</v>
      </c>
    </row>
    <row r="375" spans="1:2">
      <c r="A375" s="2">
        <v>24000</v>
      </c>
      <c r="B375">
        <v>10</v>
      </c>
    </row>
    <row r="376" spans="1:2">
      <c r="A376" s="2">
        <v>80289.244544269619</v>
      </c>
      <c r="B376">
        <v>3</v>
      </c>
    </row>
    <row r="377" spans="1:2">
      <c r="A377" s="2">
        <v>70000</v>
      </c>
      <c r="B377">
        <v>4</v>
      </c>
    </row>
    <row r="378" spans="1:2">
      <c r="A378" s="2">
        <v>8547.8000099724322</v>
      </c>
      <c r="B378">
        <v>2</v>
      </c>
    </row>
    <row r="379" spans="1:2">
      <c r="A379" s="2">
        <v>10684.750012465542</v>
      </c>
      <c r="B379">
        <v>11</v>
      </c>
    </row>
    <row r="380" spans="1:2">
      <c r="A380" s="2">
        <v>10684.750012465542</v>
      </c>
      <c r="B380">
        <v>4</v>
      </c>
    </row>
    <row r="381" spans="1:2">
      <c r="A381" s="2">
        <v>20000</v>
      </c>
      <c r="B381">
        <v>2</v>
      </c>
    </row>
    <row r="382" spans="1:2">
      <c r="A382" s="2">
        <v>53356.776437647524</v>
      </c>
      <c r="B382">
        <v>3</v>
      </c>
    </row>
    <row r="383" spans="1:2">
      <c r="A383" s="2">
        <v>36000</v>
      </c>
      <c r="B383">
        <v>4.5</v>
      </c>
    </row>
    <row r="384" spans="1:2">
      <c r="A384" s="2">
        <v>57000</v>
      </c>
      <c r="B384">
        <v>4</v>
      </c>
    </row>
    <row r="385" spans="1:2">
      <c r="A385" s="2">
        <v>135000</v>
      </c>
      <c r="B385">
        <v>15</v>
      </c>
    </row>
    <row r="386" spans="1:2">
      <c r="A386" s="2">
        <v>95279.957924370581</v>
      </c>
      <c r="B386">
        <v>4</v>
      </c>
    </row>
    <row r="387" spans="1:2">
      <c r="A387" s="2">
        <v>57167.974754622352</v>
      </c>
      <c r="B387">
        <v>10</v>
      </c>
    </row>
    <row r="388" spans="1:2">
      <c r="A388" s="2">
        <v>12326.656394453004</v>
      </c>
      <c r="B388">
        <v>5</v>
      </c>
    </row>
    <row r="389" spans="1:2">
      <c r="A389" s="2">
        <v>8000</v>
      </c>
      <c r="B389">
        <v>5</v>
      </c>
    </row>
    <row r="390" spans="1:2">
      <c r="A390" s="2">
        <v>48000</v>
      </c>
      <c r="B390">
        <v>5</v>
      </c>
    </row>
    <row r="391" spans="1:2">
      <c r="A391" s="2">
        <v>40000</v>
      </c>
      <c r="B391">
        <v>5</v>
      </c>
    </row>
    <row r="392" spans="1:2">
      <c r="A392" s="2">
        <v>59819.107020370408</v>
      </c>
      <c r="B392">
        <v>10</v>
      </c>
    </row>
    <row r="393" spans="1:2">
      <c r="A393" s="2">
        <v>150000</v>
      </c>
      <c r="B393">
        <v>20</v>
      </c>
    </row>
    <row r="394" spans="1:2">
      <c r="A394" s="2">
        <v>81592.772512210868</v>
      </c>
      <c r="B394">
        <v>25</v>
      </c>
    </row>
    <row r="395" spans="1:2">
      <c r="A395" s="2">
        <v>96891.417358250401</v>
      </c>
      <c r="B395">
        <v>20</v>
      </c>
    </row>
    <row r="396" spans="1:2">
      <c r="A396" s="2">
        <v>91791.869076237213</v>
      </c>
      <c r="B396">
        <v>13</v>
      </c>
    </row>
    <row r="397" spans="1:2">
      <c r="A397" s="2">
        <v>15000</v>
      </c>
      <c r="B397">
        <v>2</v>
      </c>
    </row>
    <row r="398" spans="1:2">
      <c r="A398" s="2">
        <v>66294.12766617132</v>
      </c>
      <c r="B398">
        <v>5</v>
      </c>
    </row>
    <row r="399" spans="1:2">
      <c r="A399" s="2">
        <v>101990.96564026357</v>
      </c>
      <c r="B399">
        <v>6</v>
      </c>
    </row>
    <row r="400" spans="1:2">
      <c r="A400" s="2">
        <v>60000</v>
      </c>
      <c r="B400">
        <v>3</v>
      </c>
    </row>
    <row r="401" spans="1:2">
      <c r="A401" s="2">
        <v>43856.11522531334</v>
      </c>
      <c r="B401">
        <v>1</v>
      </c>
    </row>
    <row r="402" spans="1:2">
      <c r="A402" s="2">
        <v>45616</v>
      </c>
      <c r="B402">
        <v>1.5</v>
      </c>
    </row>
    <row r="403" spans="1:2">
      <c r="A403" s="2">
        <v>75770.868892469181</v>
      </c>
      <c r="B403">
        <v>20</v>
      </c>
    </row>
    <row r="404" spans="1:2">
      <c r="A404" s="2">
        <v>57726.886552389187</v>
      </c>
      <c r="B404">
        <v>2</v>
      </c>
    </row>
    <row r="405" spans="1:2">
      <c r="A405" s="2">
        <v>20000</v>
      </c>
      <c r="B405">
        <v>2</v>
      </c>
    </row>
    <row r="406" spans="1:2">
      <c r="A406" s="2">
        <v>203981.93128052715</v>
      </c>
      <c r="B406">
        <v>15</v>
      </c>
    </row>
    <row r="407" spans="1:2">
      <c r="A407" s="2">
        <v>50995.482820131787</v>
      </c>
      <c r="B407">
        <v>5</v>
      </c>
    </row>
    <row r="408" spans="1:2">
      <c r="A408" s="2">
        <v>127488.70705032947</v>
      </c>
      <c r="B408">
        <v>15</v>
      </c>
    </row>
    <row r="409" spans="1:2">
      <c r="A409" s="2">
        <v>66294.12766617132</v>
      </c>
      <c r="B409">
        <v>4</v>
      </c>
    </row>
    <row r="410" spans="1:2">
      <c r="A410" s="2">
        <v>63234.398696963413</v>
      </c>
      <c r="B410">
        <v>3</v>
      </c>
    </row>
    <row r="411" spans="1:2">
      <c r="A411" s="2">
        <v>260000</v>
      </c>
      <c r="B411">
        <v>10</v>
      </c>
    </row>
    <row r="412" spans="1:2">
      <c r="A412" s="2">
        <v>112190.06220428993</v>
      </c>
      <c r="B412">
        <v>8</v>
      </c>
    </row>
    <row r="413" spans="1:2">
      <c r="A413" s="2">
        <v>71393.675948184507</v>
      </c>
      <c r="B413">
        <v>7</v>
      </c>
    </row>
    <row r="414" spans="1:2">
      <c r="A414" s="2">
        <v>85000</v>
      </c>
      <c r="B414">
        <v>8</v>
      </c>
    </row>
    <row r="415" spans="1:2">
      <c r="A415" s="2">
        <v>95871.50770184776</v>
      </c>
      <c r="B415">
        <v>2.5</v>
      </c>
    </row>
    <row r="416" spans="1:2">
      <c r="A416" s="2">
        <v>109130.33323508203</v>
      </c>
      <c r="B416">
        <v>35</v>
      </c>
    </row>
    <row r="417" spans="1:2">
      <c r="A417" s="2">
        <v>36000</v>
      </c>
      <c r="B417">
        <v>3</v>
      </c>
    </row>
    <row r="418" spans="1:2">
      <c r="A418" s="2">
        <v>122389.15876831629</v>
      </c>
      <c r="B418">
        <v>2</v>
      </c>
    </row>
    <row r="419" spans="1:2">
      <c r="A419" s="2">
        <v>53035.30213293706</v>
      </c>
      <c r="B419">
        <v>4</v>
      </c>
    </row>
    <row r="420" spans="1:2">
      <c r="A420" s="2">
        <v>125000</v>
      </c>
      <c r="B420">
        <v>10</v>
      </c>
    </row>
    <row r="421" spans="1:2">
      <c r="A421" s="2">
        <v>19000</v>
      </c>
      <c r="B421">
        <v>6</v>
      </c>
    </row>
    <row r="422" spans="1:2">
      <c r="A422" s="2">
        <v>93831.688389042494</v>
      </c>
      <c r="B422">
        <v>6</v>
      </c>
    </row>
    <row r="423" spans="1:2">
      <c r="A423" s="2">
        <v>101990.96564026357</v>
      </c>
      <c r="B423">
        <v>20</v>
      </c>
    </row>
    <row r="424" spans="1:2">
      <c r="A424" s="2">
        <v>122389.15876831629</v>
      </c>
      <c r="B424">
        <v>5</v>
      </c>
    </row>
    <row r="425" spans="1:2">
      <c r="A425" s="2">
        <v>34417.653306061438</v>
      </c>
      <c r="B425">
        <v>4</v>
      </c>
    </row>
    <row r="426" spans="1:2">
      <c r="A426" s="2">
        <v>12000</v>
      </c>
      <c r="B426">
        <v>3</v>
      </c>
    </row>
    <row r="427" spans="1:2">
      <c r="A427" s="2">
        <v>3632.815004238284</v>
      </c>
      <c r="B427">
        <v>0</v>
      </c>
    </row>
    <row r="428" spans="1:2">
      <c r="A428" s="2">
        <v>21369.500024931083</v>
      </c>
      <c r="B428">
        <v>6</v>
      </c>
    </row>
    <row r="429" spans="1:2">
      <c r="A429" s="2">
        <v>8903.9583437212841</v>
      </c>
      <c r="B429">
        <v>7</v>
      </c>
    </row>
    <row r="430" spans="1:2">
      <c r="A430" s="2">
        <v>15206.427249917633</v>
      </c>
      <c r="B430">
        <v>2</v>
      </c>
    </row>
    <row r="431" spans="1:2">
      <c r="A431" s="2">
        <v>143565.85684888897</v>
      </c>
      <c r="B431">
        <v>25</v>
      </c>
    </row>
    <row r="432" spans="1:2">
      <c r="A432" s="2">
        <v>9705.3145946561999</v>
      </c>
      <c r="B432">
        <v>6</v>
      </c>
    </row>
    <row r="433" spans="1:2">
      <c r="A433" s="2">
        <v>17807.916687442568</v>
      </c>
      <c r="B433">
        <v>8</v>
      </c>
    </row>
    <row r="434" spans="1:2">
      <c r="A434" s="2">
        <v>3205.4250037396623</v>
      </c>
      <c r="B434">
        <v>10</v>
      </c>
    </row>
    <row r="435" spans="1:2">
      <c r="A435" s="2">
        <v>45000</v>
      </c>
      <c r="B435">
        <v>3</v>
      </c>
    </row>
    <row r="436" spans="1:2">
      <c r="A436" s="2">
        <v>12465.541681209797</v>
      </c>
      <c r="B436">
        <v>7</v>
      </c>
    </row>
    <row r="437" spans="1:2">
      <c r="A437" s="2">
        <v>95871.50770184776</v>
      </c>
      <c r="B437">
        <v>14</v>
      </c>
    </row>
    <row r="438" spans="1:2">
      <c r="A438" s="2">
        <v>173384.64158844808</v>
      </c>
      <c r="B438">
        <v>8</v>
      </c>
    </row>
    <row r="439" spans="1:2">
      <c r="A439" s="2">
        <v>11575.14584683767</v>
      </c>
      <c r="B439">
        <v>1</v>
      </c>
    </row>
    <row r="440" spans="1:2">
      <c r="A440" s="2">
        <v>18000</v>
      </c>
      <c r="B440">
        <v>8</v>
      </c>
    </row>
    <row r="441" spans="1:2">
      <c r="A441" s="2">
        <v>71393.675948184507</v>
      </c>
      <c r="B441">
        <v>2</v>
      </c>
    </row>
    <row r="442" spans="1:2">
      <c r="A442" s="2">
        <v>6232.7708406048987</v>
      </c>
      <c r="B442">
        <v>2.5</v>
      </c>
    </row>
    <row r="443" spans="1:2">
      <c r="A443" s="2">
        <v>1805.7739622442759</v>
      </c>
      <c r="B443">
        <v>3</v>
      </c>
    </row>
    <row r="444" spans="1:2">
      <c r="A444" s="2">
        <v>11397.066679963244</v>
      </c>
      <c r="B444">
        <v>6</v>
      </c>
    </row>
    <row r="445" spans="1:2">
      <c r="A445" s="2">
        <v>15000</v>
      </c>
      <c r="B445">
        <v>4</v>
      </c>
    </row>
    <row r="446" spans="1:2">
      <c r="A446" s="2">
        <v>37612.869087708088</v>
      </c>
      <c r="B446">
        <v>3</v>
      </c>
    </row>
    <row r="447" spans="1:2">
      <c r="A447" s="2">
        <v>6499.8895909165376</v>
      </c>
      <c r="B447">
        <v>3</v>
      </c>
    </row>
    <row r="448" spans="1:2">
      <c r="A448" s="2">
        <v>20000</v>
      </c>
      <c r="B448">
        <v>6</v>
      </c>
    </row>
    <row r="449" spans="1:2">
      <c r="A449" s="2">
        <v>7265</v>
      </c>
      <c r="B449">
        <v>6</v>
      </c>
    </row>
    <row r="450" spans="1:2">
      <c r="A450" s="2">
        <v>72571.80269935554</v>
      </c>
      <c r="B450">
        <v>15</v>
      </c>
    </row>
    <row r="451" spans="1:2">
      <c r="A451" s="2">
        <v>8013.5625093491553</v>
      </c>
      <c r="B451">
        <v>15</v>
      </c>
    </row>
    <row r="452" spans="1:2">
      <c r="A452" s="2">
        <v>10150.512511842264</v>
      </c>
      <c r="B452">
        <v>5</v>
      </c>
    </row>
    <row r="453" spans="1:2">
      <c r="A453" s="2">
        <v>65000</v>
      </c>
      <c r="B453">
        <v>9</v>
      </c>
    </row>
    <row r="454" spans="1:2">
      <c r="A454" s="2">
        <v>3184.2266150397395</v>
      </c>
      <c r="B454">
        <v>4</v>
      </c>
    </row>
    <row r="455" spans="1:2">
      <c r="A455" s="2">
        <v>10898.445012714852</v>
      </c>
      <c r="B455">
        <v>13</v>
      </c>
    </row>
    <row r="456" spans="1:2">
      <c r="A456" s="2">
        <v>10800</v>
      </c>
      <c r="B456">
        <v>5</v>
      </c>
    </row>
    <row r="457" spans="1:2">
      <c r="A457" s="2">
        <v>2136.9500024931081</v>
      </c>
      <c r="B457">
        <v>3.5</v>
      </c>
    </row>
    <row r="458" spans="1:2">
      <c r="A458" s="2">
        <v>45000</v>
      </c>
      <c r="B458">
        <v>4</v>
      </c>
    </row>
    <row r="459" spans="1:2">
      <c r="A459" s="2">
        <v>7123.1666749770275</v>
      </c>
      <c r="B459">
        <v>5</v>
      </c>
    </row>
    <row r="460" spans="1:2">
      <c r="A460" s="2">
        <v>5342.3750062327708</v>
      </c>
      <c r="B460">
        <v>5</v>
      </c>
    </row>
    <row r="461" spans="1:2">
      <c r="A461" s="2">
        <v>18000</v>
      </c>
      <c r="B461">
        <v>4.5999999999999996</v>
      </c>
    </row>
    <row r="462" spans="1:2">
      <c r="A462" s="2">
        <v>4840.0244548604041</v>
      </c>
      <c r="B462">
        <v>2</v>
      </c>
    </row>
    <row r="463" spans="1:2">
      <c r="A463" s="2">
        <v>7479.3250087258784</v>
      </c>
      <c r="B463">
        <v>10</v>
      </c>
    </row>
    <row r="464" spans="1:2">
      <c r="A464" s="2">
        <v>3739.6625043629392</v>
      </c>
      <c r="B464">
        <v>3.5</v>
      </c>
    </row>
    <row r="465" spans="1:2">
      <c r="A465" s="2">
        <v>42000</v>
      </c>
      <c r="B465">
        <v>5</v>
      </c>
    </row>
    <row r="466" spans="1:2">
      <c r="A466" s="2">
        <v>28000</v>
      </c>
      <c r="B466">
        <v>3</v>
      </c>
    </row>
    <row r="467" spans="1:2">
      <c r="A467" s="2">
        <v>6000</v>
      </c>
      <c r="B467">
        <v>5</v>
      </c>
    </row>
    <row r="468" spans="1:2">
      <c r="A468" s="2">
        <v>43867.345148271634</v>
      </c>
      <c r="B468">
        <v>10</v>
      </c>
    </row>
    <row r="469" spans="1:2">
      <c r="A469" s="2">
        <v>17807.916687442568</v>
      </c>
      <c r="B469">
        <v>25</v>
      </c>
    </row>
    <row r="470" spans="1:2">
      <c r="A470" s="2">
        <v>10684.750012465542</v>
      </c>
      <c r="B470">
        <v>12</v>
      </c>
    </row>
    <row r="471" spans="1:2">
      <c r="A471" s="2">
        <v>60000</v>
      </c>
      <c r="B471">
        <v>5</v>
      </c>
    </row>
    <row r="472" spans="1:2">
      <c r="A472" s="2">
        <v>8476.5683432226633</v>
      </c>
      <c r="B472">
        <v>8</v>
      </c>
    </row>
    <row r="473" spans="1:2">
      <c r="A473" s="2">
        <v>8700</v>
      </c>
      <c r="B473">
        <v>7</v>
      </c>
    </row>
    <row r="474" spans="1:2">
      <c r="A474" s="2">
        <v>3561.5833374885137</v>
      </c>
      <c r="B474">
        <v>8</v>
      </c>
    </row>
    <row r="475" spans="1:2">
      <c r="A475" s="2">
        <v>3205.4250037396623</v>
      </c>
      <c r="B475">
        <v>4</v>
      </c>
    </row>
    <row r="476" spans="1:2">
      <c r="A476" s="2">
        <v>4487.5950052355274</v>
      </c>
      <c r="B476">
        <v>5</v>
      </c>
    </row>
    <row r="477" spans="1:2">
      <c r="A477" s="2">
        <v>12465.541681209797</v>
      </c>
      <c r="B477">
        <v>5</v>
      </c>
    </row>
    <row r="478" spans="1:2">
      <c r="A478" s="2">
        <v>2400</v>
      </c>
      <c r="B478">
        <v>15</v>
      </c>
    </row>
    <row r="479" spans="1:2">
      <c r="A479" s="2">
        <v>55000</v>
      </c>
      <c r="B479">
        <v>6</v>
      </c>
    </row>
    <row r="480" spans="1:2">
      <c r="A480" s="2">
        <v>12000</v>
      </c>
      <c r="B480">
        <v>3</v>
      </c>
    </row>
    <row r="481" spans="1:2">
      <c r="A481" s="2">
        <v>55262.375596134938</v>
      </c>
      <c r="B481">
        <v>10</v>
      </c>
    </row>
    <row r="482" spans="1:2">
      <c r="A482" s="2">
        <v>21369.500024931083</v>
      </c>
      <c r="B482">
        <v>2</v>
      </c>
    </row>
    <row r="483" spans="1:2">
      <c r="A483" s="2">
        <v>40980.635073749385</v>
      </c>
      <c r="B483">
        <v>8</v>
      </c>
    </row>
    <row r="484" spans="1:2">
      <c r="A484" s="2">
        <v>50995.482820131787</v>
      </c>
      <c r="B484">
        <v>4</v>
      </c>
    </row>
    <row r="485" spans="1:2">
      <c r="A485" s="2">
        <v>20326.391023865726</v>
      </c>
      <c r="B485">
        <v>16</v>
      </c>
    </row>
    <row r="486" spans="1:2">
      <c r="A486" s="2">
        <v>12000</v>
      </c>
      <c r="B486">
        <v>8</v>
      </c>
    </row>
    <row r="487" spans="1:2">
      <c r="A487" s="2">
        <v>29261.227167098674</v>
      </c>
      <c r="B487">
        <v>20</v>
      </c>
    </row>
    <row r="488" spans="1:2">
      <c r="A488" s="2">
        <v>14630.613583549337</v>
      </c>
      <c r="B488">
        <v>10</v>
      </c>
    </row>
    <row r="489" spans="1:2">
      <c r="A489" s="2">
        <v>7265.630008476568</v>
      </c>
      <c r="B489">
        <v>5</v>
      </c>
    </row>
    <row r="490" spans="1:2">
      <c r="A490" s="2">
        <v>44132.991617883956</v>
      </c>
      <c r="B490">
        <v>16</v>
      </c>
    </row>
    <row r="491" spans="1:2">
      <c r="A491" s="2">
        <v>9438.1958443445619</v>
      </c>
      <c r="B491">
        <v>7</v>
      </c>
    </row>
    <row r="492" spans="1:2">
      <c r="A492" s="2">
        <v>18000</v>
      </c>
      <c r="B492">
        <v>7</v>
      </c>
    </row>
    <row r="493" spans="1:2">
      <c r="A493" s="2">
        <v>3561.5833374885137</v>
      </c>
      <c r="B493">
        <v>5</v>
      </c>
    </row>
    <row r="494" spans="1:2">
      <c r="A494" s="2">
        <v>3561.5833374885137</v>
      </c>
      <c r="B494">
        <v>3</v>
      </c>
    </row>
    <row r="495" spans="1:2">
      <c r="A495" s="2">
        <v>5100</v>
      </c>
      <c r="B495">
        <v>8</v>
      </c>
    </row>
    <row r="496" spans="1:2">
      <c r="A496" s="2">
        <v>21369.500024931083</v>
      </c>
      <c r="B496">
        <v>7</v>
      </c>
    </row>
    <row r="497" spans="1:2">
      <c r="A497" s="2">
        <v>5342.3750062327708</v>
      </c>
      <c r="B497">
        <v>1</v>
      </c>
    </row>
    <row r="498" spans="1:2">
      <c r="A498" s="2">
        <v>50000</v>
      </c>
      <c r="B498">
        <v>26</v>
      </c>
    </row>
    <row r="499" spans="1:2">
      <c r="A499" s="2">
        <v>28492.66669990811</v>
      </c>
      <c r="B499">
        <v>9</v>
      </c>
    </row>
    <row r="500" spans="1:2">
      <c r="A500" s="2">
        <v>24588.381044249632</v>
      </c>
      <c r="B500">
        <v>0</v>
      </c>
    </row>
    <row r="501" spans="1:2">
      <c r="A501" s="2">
        <v>7000</v>
      </c>
      <c r="B501">
        <v>5</v>
      </c>
    </row>
    <row r="502" spans="1:2">
      <c r="A502" s="2">
        <v>7799.8675090998449</v>
      </c>
      <c r="B502">
        <v>10</v>
      </c>
    </row>
    <row r="503" spans="1:2">
      <c r="A503" s="2">
        <v>78808.913603364199</v>
      </c>
      <c r="B503">
        <v>12</v>
      </c>
    </row>
    <row r="504" spans="1:2">
      <c r="A504" s="2">
        <v>6720</v>
      </c>
      <c r="B504">
        <v>6</v>
      </c>
    </row>
    <row r="505" spans="1:2">
      <c r="A505" s="2">
        <v>4451.9791718606421</v>
      </c>
      <c r="B505">
        <v>3.5</v>
      </c>
    </row>
    <row r="506" spans="1:2">
      <c r="A506" s="2">
        <v>47285.348162018527</v>
      </c>
      <c r="B506">
        <v>15</v>
      </c>
    </row>
    <row r="507" spans="1:2">
      <c r="A507" s="2">
        <v>7200</v>
      </c>
      <c r="B507">
        <v>10</v>
      </c>
    </row>
    <row r="508" spans="1:2">
      <c r="A508" s="2">
        <v>44519.791718606422</v>
      </c>
      <c r="B508">
        <v>9</v>
      </c>
    </row>
    <row r="509" spans="1:2">
      <c r="A509" s="2">
        <v>2493.1083362419595</v>
      </c>
      <c r="B509">
        <v>4</v>
      </c>
    </row>
    <row r="510" spans="1:2">
      <c r="A510" s="2">
        <v>31523.565441345683</v>
      </c>
      <c r="B510">
        <v>1</v>
      </c>
    </row>
    <row r="511" spans="1:2">
      <c r="A511" s="2">
        <v>21369.500024931083</v>
      </c>
      <c r="B511">
        <v>8</v>
      </c>
    </row>
    <row r="512" spans="1:2">
      <c r="A512" s="2">
        <v>126094.26176538273</v>
      </c>
      <c r="B512">
        <v>10</v>
      </c>
    </row>
    <row r="513" spans="1:2">
      <c r="A513" s="2">
        <v>99299.231140238902</v>
      </c>
      <c r="B513">
        <v>1</v>
      </c>
    </row>
    <row r="514" spans="1:2">
      <c r="A514" s="2">
        <v>86689.804963700633</v>
      </c>
      <c r="B514">
        <v>22</v>
      </c>
    </row>
    <row r="515" spans="1:2">
      <c r="A515" s="2">
        <v>50000</v>
      </c>
      <c r="B515">
        <v>30</v>
      </c>
    </row>
    <row r="516" spans="1:2">
      <c r="A516" s="2">
        <v>4273.9000049862161</v>
      </c>
      <c r="B516">
        <v>3</v>
      </c>
    </row>
    <row r="517" spans="1:2">
      <c r="A517" s="2">
        <v>4451.9791718606421</v>
      </c>
      <c r="B517">
        <v>3</v>
      </c>
    </row>
    <row r="518" spans="1:2">
      <c r="A518" s="2">
        <v>10684.750012465542</v>
      </c>
      <c r="B518">
        <v>10</v>
      </c>
    </row>
    <row r="519" spans="1:2">
      <c r="A519" s="2">
        <v>63835.220018725006</v>
      </c>
      <c r="B519">
        <v>25</v>
      </c>
    </row>
    <row r="520" spans="1:2">
      <c r="A520" s="2">
        <v>36252.100257547536</v>
      </c>
      <c r="B520">
        <v>5</v>
      </c>
    </row>
    <row r="521" spans="1:2">
      <c r="A521" s="2">
        <v>7960</v>
      </c>
      <c r="B521">
        <v>7</v>
      </c>
    </row>
    <row r="522" spans="1:2">
      <c r="A522" s="2">
        <v>8903.9583437212841</v>
      </c>
      <c r="B522">
        <v>23</v>
      </c>
    </row>
    <row r="523" spans="1:2">
      <c r="A523" s="2">
        <v>50815.977559664309</v>
      </c>
      <c r="B523">
        <v>3</v>
      </c>
    </row>
    <row r="524" spans="1:2">
      <c r="A524" s="2">
        <v>47285.348162018527</v>
      </c>
      <c r="B524">
        <v>4</v>
      </c>
    </row>
    <row r="525" spans="1:2">
      <c r="A525" s="2">
        <v>75656.557059229643</v>
      </c>
      <c r="B525">
        <v>10</v>
      </c>
    </row>
    <row r="526" spans="1:2">
      <c r="A526" s="2">
        <v>4273.9000049862161</v>
      </c>
      <c r="B526">
        <v>20</v>
      </c>
    </row>
    <row r="527" spans="1:2">
      <c r="A527" s="2">
        <v>47004.779242689488</v>
      </c>
      <c r="B527">
        <v>11</v>
      </c>
    </row>
    <row r="528" spans="1:2">
      <c r="A528" s="2">
        <v>47285.348162018527</v>
      </c>
      <c r="B528">
        <v>10</v>
      </c>
    </row>
    <row r="529" spans="1:2">
      <c r="A529" s="2">
        <v>91418.339779902482</v>
      </c>
      <c r="B529">
        <v>8</v>
      </c>
    </row>
    <row r="530" spans="1:2">
      <c r="A530" s="2">
        <v>124518.08349331544</v>
      </c>
      <c r="B530">
        <v>14</v>
      </c>
    </row>
    <row r="531" spans="1:2">
      <c r="A531" s="2">
        <v>69213.140283018583</v>
      </c>
      <c r="B531">
        <v>3</v>
      </c>
    </row>
    <row r="532" spans="1:2">
      <c r="A532" s="2">
        <v>3500</v>
      </c>
      <c r="B532">
        <v>4</v>
      </c>
    </row>
    <row r="533" spans="1:2">
      <c r="A533" s="2">
        <v>63047.130882691366</v>
      </c>
      <c r="B533">
        <v>20</v>
      </c>
    </row>
    <row r="534" spans="1:2">
      <c r="A534" s="2">
        <v>72412.768022521646</v>
      </c>
      <c r="B534">
        <v>15</v>
      </c>
    </row>
    <row r="535" spans="1:2">
      <c r="A535" s="2">
        <v>50815.977559664309</v>
      </c>
      <c r="B535">
        <v>10</v>
      </c>
    </row>
    <row r="536" spans="1:2">
      <c r="A536" s="2">
        <v>21369.500024931083</v>
      </c>
      <c r="B536">
        <v>5</v>
      </c>
    </row>
    <row r="537" spans="1:2">
      <c r="A537" s="2">
        <v>55166.239522354947</v>
      </c>
      <c r="B537">
        <v>6</v>
      </c>
    </row>
    <row r="538" spans="1:2">
      <c r="A538" s="2">
        <v>3205.4250037396623</v>
      </c>
      <c r="B538">
        <v>3</v>
      </c>
    </row>
    <row r="539" spans="1:2">
      <c r="A539" s="2">
        <v>10684.750012465542</v>
      </c>
      <c r="B539">
        <v>8</v>
      </c>
    </row>
    <row r="540" spans="1:2">
      <c r="A540" s="2">
        <v>5342.3750062327708</v>
      </c>
      <c r="B540">
        <v>5</v>
      </c>
    </row>
    <row r="541" spans="1:2">
      <c r="A541" s="2">
        <v>118213.37040504631</v>
      </c>
      <c r="B541">
        <v>10</v>
      </c>
    </row>
    <row r="542" spans="1:2">
      <c r="A542" s="2">
        <v>12192.177986291113</v>
      </c>
      <c r="B542">
        <v>15</v>
      </c>
    </row>
    <row r="543" spans="1:2">
      <c r="A543" s="2">
        <v>70928.022243027779</v>
      </c>
      <c r="B543">
        <v>8</v>
      </c>
    </row>
    <row r="544" spans="1:2">
      <c r="A544" s="2">
        <v>39404.456801682099</v>
      </c>
      <c r="B544">
        <v>3</v>
      </c>
    </row>
    <row r="545" spans="1:2">
      <c r="A545" s="2">
        <v>18987</v>
      </c>
      <c r="B545">
        <v>7</v>
      </c>
    </row>
    <row r="546" spans="1:2">
      <c r="A546" s="2">
        <v>44921.080753917595</v>
      </c>
      <c r="B546">
        <v>15</v>
      </c>
    </row>
    <row r="547" spans="1:2">
      <c r="A547" s="2">
        <v>60000</v>
      </c>
      <c r="B547">
        <v>14</v>
      </c>
    </row>
    <row r="548" spans="1:2">
      <c r="A548" s="2">
        <v>71243.257897441246</v>
      </c>
      <c r="B548">
        <v>5</v>
      </c>
    </row>
    <row r="549" spans="1:2">
      <c r="A549" s="2">
        <v>4487.5950052355274</v>
      </c>
      <c r="B549">
        <v>16</v>
      </c>
    </row>
    <row r="550" spans="1:2">
      <c r="A550" s="2">
        <v>4314.929445034084</v>
      </c>
      <c r="B550">
        <v>7</v>
      </c>
    </row>
    <row r="551" spans="1:2">
      <c r="A551" s="2">
        <v>3739.6625043629392</v>
      </c>
      <c r="B551">
        <v>1</v>
      </c>
    </row>
    <row r="552" spans="1:2">
      <c r="A552" s="2">
        <v>76223.966339496474</v>
      </c>
      <c r="B552">
        <v>4</v>
      </c>
    </row>
    <row r="553" spans="1:2">
      <c r="A553" s="2">
        <v>32666.305522511171</v>
      </c>
      <c r="B553">
        <v>12</v>
      </c>
    </row>
    <row r="554" spans="1:2">
      <c r="A554" s="2">
        <v>19000</v>
      </c>
      <c r="B554">
        <v>8</v>
      </c>
    </row>
    <row r="555" spans="1:2">
      <c r="A555" s="2">
        <v>63519.971949580387</v>
      </c>
      <c r="B555">
        <v>14</v>
      </c>
    </row>
    <row r="556" spans="1:2">
      <c r="A556" s="2">
        <v>16027.125018698311</v>
      </c>
      <c r="B556">
        <v>22</v>
      </c>
    </row>
    <row r="557" spans="1:2">
      <c r="A557" s="2">
        <v>7123.1666749770275</v>
      </c>
      <c r="B557">
        <v>9</v>
      </c>
    </row>
    <row r="558" spans="1:2">
      <c r="A558" s="2">
        <v>2675.675098121621</v>
      </c>
      <c r="B558">
        <v>5</v>
      </c>
    </row>
    <row r="559" spans="1:2">
      <c r="A559" s="2">
        <v>23642.674081009263</v>
      </c>
      <c r="B559">
        <v>2</v>
      </c>
    </row>
    <row r="560" spans="1:2">
      <c r="A560" s="2">
        <v>57167.974754622352</v>
      </c>
      <c r="B560">
        <v>14</v>
      </c>
    </row>
    <row r="561" spans="1:2">
      <c r="A561" s="2">
        <v>42739.000049862167</v>
      </c>
      <c r="B561">
        <v>10</v>
      </c>
    </row>
    <row r="562" spans="1:2">
      <c r="A562" s="2">
        <v>5120.2912876821438</v>
      </c>
      <c r="B562">
        <v>2</v>
      </c>
    </row>
    <row r="563" spans="1:2">
      <c r="A563" s="2">
        <v>127039.94389916077</v>
      </c>
      <c r="B563">
        <v>20</v>
      </c>
    </row>
    <row r="564" spans="1:2">
      <c r="A564" s="2">
        <v>90000</v>
      </c>
      <c r="B564">
        <v>5</v>
      </c>
    </row>
    <row r="565" spans="1:2">
      <c r="A565" s="2">
        <v>7123.1666749770275</v>
      </c>
      <c r="B565">
        <v>2</v>
      </c>
    </row>
    <row r="566" spans="1:2">
      <c r="A566" s="2">
        <v>10000</v>
      </c>
      <c r="B566">
        <v>5</v>
      </c>
    </row>
    <row r="567" spans="1:2">
      <c r="A567" s="2">
        <v>45709.169889951241</v>
      </c>
      <c r="B567">
        <v>14</v>
      </c>
    </row>
    <row r="568" spans="1:2">
      <c r="A568" s="2">
        <v>3561.5833374885137</v>
      </c>
      <c r="B568">
        <v>5</v>
      </c>
    </row>
    <row r="569" spans="1:2">
      <c r="A569" s="2">
        <v>38111.983169748237</v>
      </c>
      <c r="B569">
        <v>15</v>
      </c>
    </row>
    <row r="570" spans="1:2">
      <c r="A570" s="2">
        <v>60000</v>
      </c>
      <c r="B570">
        <v>4</v>
      </c>
    </row>
    <row r="571" spans="1:2">
      <c r="A571" s="2">
        <v>40000</v>
      </c>
      <c r="B571">
        <v>2</v>
      </c>
    </row>
    <row r="572" spans="1:2">
      <c r="A572" s="2">
        <v>15190.15293438851</v>
      </c>
      <c r="B572">
        <v>6</v>
      </c>
    </row>
    <row r="573" spans="1:2">
      <c r="A573" s="2">
        <v>114335.9495092447</v>
      </c>
      <c r="B573">
        <v>20</v>
      </c>
    </row>
    <row r="574" spans="1:2">
      <c r="A574" s="2">
        <v>36252.100257547536</v>
      </c>
      <c r="B574">
        <v>10</v>
      </c>
    </row>
    <row r="575" spans="1:2">
      <c r="A575" s="2">
        <v>47285.348162018527</v>
      </c>
      <c r="B575">
        <v>5</v>
      </c>
    </row>
    <row r="576" spans="1:2">
      <c r="A576" s="2">
        <v>88927.960729412545</v>
      </c>
      <c r="B576">
        <v>20</v>
      </c>
    </row>
    <row r="577" spans="1:2">
      <c r="A577" s="2">
        <v>6000</v>
      </c>
      <c r="B577">
        <v>5</v>
      </c>
    </row>
    <row r="578" spans="1:2">
      <c r="A578" s="2">
        <v>35000</v>
      </c>
      <c r="B578">
        <v>20</v>
      </c>
    </row>
    <row r="579" spans="1:2">
      <c r="A579" s="2">
        <v>55166.239522354947</v>
      </c>
      <c r="B579">
        <v>10</v>
      </c>
    </row>
    <row r="580" spans="1:2">
      <c r="A580" s="2">
        <v>1783.166904422254</v>
      </c>
      <c r="B580">
        <v>10</v>
      </c>
    </row>
    <row r="581" spans="1:2">
      <c r="A581" s="2">
        <v>13500</v>
      </c>
      <c r="B581">
        <v>13</v>
      </c>
    </row>
    <row r="582" spans="1:2">
      <c r="A582" s="2">
        <v>59106.685202523156</v>
      </c>
      <c r="B582">
        <v>5</v>
      </c>
    </row>
    <row r="583" spans="1:2">
      <c r="A583" s="2">
        <v>12608.005014709339</v>
      </c>
      <c r="B583">
        <v>5</v>
      </c>
    </row>
    <row r="584" spans="1:2">
      <c r="A584" s="2">
        <v>44654.095718350931</v>
      </c>
      <c r="B584">
        <v>15</v>
      </c>
    </row>
    <row r="585" spans="1:2">
      <c r="A585" s="2">
        <v>69000</v>
      </c>
      <c r="B585">
        <v>20</v>
      </c>
    </row>
    <row r="586" spans="1:2">
      <c r="A586" s="2">
        <v>6000</v>
      </c>
      <c r="B586">
        <v>6</v>
      </c>
    </row>
    <row r="587" spans="1:2">
      <c r="A587" s="2">
        <v>8903.9583437212841</v>
      </c>
      <c r="B587">
        <v>25</v>
      </c>
    </row>
    <row r="588" spans="1:2">
      <c r="A588" s="2">
        <v>30000</v>
      </c>
      <c r="B588">
        <v>17</v>
      </c>
    </row>
    <row r="589" spans="1:2">
      <c r="A589" s="2">
        <v>8600</v>
      </c>
      <c r="B589">
        <v>2</v>
      </c>
    </row>
    <row r="590" spans="1:2">
      <c r="A590" s="2">
        <v>81600</v>
      </c>
      <c r="B590">
        <v>4</v>
      </c>
    </row>
    <row r="591" spans="1:2">
      <c r="A591" s="2">
        <v>15404.364569961488</v>
      </c>
      <c r="B591">
        <v>3</v>
      </c>
    </row>
    <row r="592" spans="1:2">
      <c r="A592" s="2">
        <v>63918.498996971248</v>
      </c>
      <c r="B592">
        <v>20</v>
      </c>
    </row>
    <row r="593" spans="1:2">
      <c r="A593" s="2">
        <v>75000</v>
      </c>
      <c r="B593">
        <v>20</v>
      </c>
    </row>
    <row r="594" spans="1:2">
      <c r="A594" s="2">
        <v>59000</v>
      </c>
      <c r="B594">
        <v>14</v>
      </c>
    </row>
    <row r="595" spans="1:2">
      <c r="A595" s="2">
        <v>50000</v>
      </c>
      <c r="B595">
        <v>5</v>
      </c>
    </row>
    <row r="596" spans="1:2">
      <c r="A596" s="2">
        <v>126094.26176538273</v>
      </c>
      <c r="B596">
        <v>15</v>
      </c>
    </row>
    <row r="597" spans="1:2">
      <c r="A597" s="2">
        <v>26691.183012544854</v>
      </c>
      <c r="B597">
        <v>7</v>
      </c>
    </row>
    <row r="598" spans="1:2">
      <c r="A598" s="2">
        <v>8903.9583437212841</v>
      </c>
      <c r="B598">
        <v>0.8</v>
      </c>
    </row>
    <row r="599" spans="1:2">
      <c r="A599" s="2">
        <v>8725</v>
      </c>
      <c r="B599">
        <v>18</v>
      </c>
    </row>
    <row r="600" spans="1:2">
      <c r="A600" s="2">
        <v>50437.70470615309</v>
      </c>
      <c r="B600">
        <v>4</v>
      </c>
    </row>
    <row r="601" spans="1:2">
      <c r="A601" s="2">
        <v>67775.665698893223</v>
      </c>
      <c r="B601">
        <v>15</v>
      </c>
    </row>
    <row r="602" spans="1:2">
      <c r="A602" s="2">
        <v>52118.160720607324</v>
      </c>
      <c r="B602">
        <v>6</v>
      </c>
    </row>
    <row r="603" spans="1:2">
      <c r="A603" s="2">
        <v>3561.5833374885137</v>
      </c>
      <c r="B603">
        <v>6</v>
      </c>
    </row>
    <row r="604" spans="1:2">
      <c r="A604" s="2">
        <v>8013.5625093491553</v>
      </c>
      <c r="B604">
        <v>21</v>
      </c>
    </row>
    <row r="605" spans="1:2">
      <c r="A605" s="2">
        <v>28000</v>
      </c>
      <c r="B605">
        <v>5</v>
      </c>
    </row>
    <row r="606" spans="1:2">
      <c r="A606" s="2">
        <v>50064.150455673145</v>
      </c>
      <c r="B606">
        <v>2</v>
      </c>
    </row>
    <row r="607" spans="1:2">
      <c r="A607" s="2">
        <v>50437.70470615309</v>
      </c>
      <c r="B607">
        <v>9</v>
      </c>
    </row>
    <row r="608" spans="1:2">
      <c r="A608" s="2">
        <v>27840</v>
      </c>
      <c r="B608">
        <v>1</v>
      </c>
    </row>
    <row r="609" spans="1:2">
      <c r="A609" s="2">
        <v>6232.7708406048987</v>
      </c>
      <c r="B609">
        <v>1.5</v>
      </c>
    </row>
    <row r="610" spans="1:2">
      <c r="A610" s="2">
        <v>50000</v>
      </c>
      <c r="B610">
        <v>25</v>
      </c>
    </row>
    <row r="611" spans="1:2">
      <c r="A611" s="2">
        <v>48000</v>
      </c>
      <c r="B611">
        <v>10</v>
      </c>
    </row>
    <row r="612" spans="1:2">
      <c r="A612" s="2">
        <v>24000</v>
      </c>
      <c r="B612">
        <v>21</v>
      </c>
    </row>
    <row r="613" spans="1:2">
      <c r="A613" s="2">
        <v>75000</v>
      </c>
      <c r="B613">
        <v>12</v>
      </c>
    </row>
    <row r="614" spans="1:2">
      <c r="A614" s="2">
        <v>58799.349940520107</v>
      </c>
      <c r="B614">
        <v>2</v>
      </c>
    </row>
    <row r="615" spans="1:2">
      <c r="A615" s="2">
        <v>21228.177433598263</v>
      </c>
      <c r="B615">
        <v>8</v>
      </c>
    </row>
    <row r="616" spans="1:2">
      <c r="A616" s="2">
        <v>60000</v>
      </c>
      <c r="B616">
        <v>10</v>
      </c>
    </row>
    <row r="617" spans="1:2">
      <c r="A617" s="2">
        <v>18018.883790212141</v>
      </c>
      <c r="B617">
        <v>10</v>
      </c>
    </row>
    <row r="618" spans="1:2">
      <c r="A618" s="2">
        <v>7200</v>
      </c>
      <c r="B618">
        <v>7</v>
      </c>
    </row>
    <row r="619" spans="1:2">
      <c r="A619" s="2">
        <v>56000</v>
      </c>
      <c r="B619">
        <v>2</v>
      </c>
    </row>
    <row r="620" spans="1:2">
      <c r="A620" s="2">
        <v>9616.275011218986</v>
      </c>
      <c r="B620">
        <v>7.9</v>
      </c>
    </row>
    <row r="621" spans="1:2">
      <c r="A621" s="2">
        <v>51497.005988023957</v>
      </c>
      <c r="B621">
        <v>9</v>
      </c>
    </row>
    <row r="622" spans="1:2">
      <c r="A622" s="2">
        <v>104172.75399731184</v>
      </c>
      <c r="B622">
        <v>25</v>
      </c>
    </row>
    <row r="623" spans="1:2">
      <c r="A623" s="2">
        <v>88000</v>
      </c>
      <c r="B623">
        <v>2</v>
      </c>
    </row>
    <row r="624" spans="1:2">
      <c r="A624" s="2">
        <v>80000</v>
      </c>
      <c r="B624">
        <v>6</v>
      </c>
    </row>
    <row r="625" spans="1:2">
      <c r="A625" s="2">
        <v>19000</v>
      </c>
      <c r="B625">
        <v>20</v>
      </c>
    </row>
    <row r="626" spans="1:2">
      <c r="A626" s="2">
        <v>19055.991584874118</v>
      </c>
      <c r="B626">
        <v>3</v>
      </c>
    </row>
    <row r="627" spans="1:2">
      <c r="A627" s="2">
        <v>8547.8000099724322</v>
      </c>
      <c r="B627">
        <v>15</v>
      </c>
    </row>
    <row r="628" spans="1:2">
      <c r="A628" s="2">
        <v>19588.708356186824</v>
      </c>
      <c r="B628">
        <v>13</v>
      </c>
    </row>
    <row r="629" spans="1:2">
      <c r="A629" s="2">
        <v>61000</v>
      </c>
      <c r="B629">
        <v>1.5</v>
      </c>
    </row>
    <row r="630" spans="1:2">
      <c r="A630" s="2">
        <v>53590.061250287661</v>
      </c>
      <c r="B630">
        <v>10</v>
      </c>
    </row>
    <row r="631" spans="1:2">
      <c r="A631" s="2">
        <v>53590.061250287661</v>
      </c>
      <c r="B631">
        <v>10</v>
      </c>
    </row>
    <row r="632" spans="1:2">
      <c r="A632" s="2">
        <v>4451.9791718606421</v>
      </c>
      <c r="B632">
        <v>1</v>
      </c>
    </row>
    <row r="633" spans="1:2">
      <c r="A633" s="2">
        <v>25407.988779832154</v>
      </c>
      <c r="B633">
        <v>12</v>
      </c>
    </row>
    <row r="634" spans="1:2">
      <c r="A634" s="2">
        <v>23000</v>
      </c>
      <c r="B634">
        <v>14</v>
      </c>
    </row>
    <row r="635" spans="1:2">
      <c r="A635" s="2">
        <v>16027.125018698311</v>
      </c>
      <c r="B635">
        <v>13</v>
      </c>
    </row>
    <row r="636" spans="1:2">
      <c r="A636" s="2">
        <v>60000</v>
      </c>
      <c r="B636">
        <v>6</v>
      </c>
    </row>
    <row r="637" spans="1:2">
      <c r="A637" s="2">
        <v>4800</v>
      </c>
      <c r="B637">
        <v>5</v>
      </c>
    </row>
    <row r="638" spans="1:2">
      <c r="A638" s="2">
        <v>106815.148267971</v>
      </c>
      <c r="B638">
        <v>25</v>
      </c>
    </row>
    <row r="639" spans="1:2">
      <c r="A639" s="2">
        <v>8903.9583437212841</v>
      </c>
      <c r="B639">
        <v>3</v>
      </c>
    </row>
    <row r="640" spans="1:2">
      <c r="A640" s="2">
        <v>60000</v>
      </c>
      <c r="B640">
        <v>12</v>
      </c>
    </row>
    <row r="641" spans="1:2">
      <c r="A641" s="2">
        <v>46300.583387350678</v>
      </c>
      <c r="B641">
        <v>4</v>
      </c>
    </row>
    <row r="642" spans="1:2">
      <c r="A642" s="2">
        <v>13355.937515581925</v>
      </c>
      <c r="B642">
        <v>3</v>
      </c>
    </row>
    <row r="643" spans="1:2">
      <c r="A643" s="2">
        <v>74000</v>
      </c>
      <c r="B643">
        <v>10</v>
      </c>
    </row>
    <row r="644" spans="1:2">
      <c r="A644" s="2">
        <v>95856</v>
      </c>
      <c r="B644">
        <v>13</v>
      </c>
    </row>
    <row r="645" spans="1:2">
      <c r="A645" s="2">
        <v>40000</v>
      </c>
      <c r="B645">
        <v>15</v>
      </c>
    </row>
    <row r="646" spans="1:2">
      <c r="A646" s="2">
        <v>4400</v>
      </c>
      <c r="B646">
        <v>5</v>
      </c>
    </row>
    <row r="647" spans="1:2">
      <c r="A647" s="2">
        <v>90000</v>
      </c>
      <c r="B647">
        <v>30</v>
      </c>
    </row>
    <row r="648" spans="1:2">
      <c r="A648" s="2">
        <v>8013.5625093491553</v>
      </c>
      <c r="B648">
        <v>2</v>
      </c>
    </row>
    <row r="649" spans="1:2">
      <c r="A649" s="2">
        <v>17807.916687442568</v>
      </c>
      <c r="B649">
        <v>8.5</v>
      </c>
    </row>
    <row r="650" spans="1:2">
      <c r="A650" s="2">
        <v>12465.541681209797</v>
      </c>
      <c r="B650">
        <v>6</v>
      </c>
    </row>
    <row r="651" spans="1:2">
      <c r="A651" s="2">
        <v>80000</v>
      </c>
      <c r="B651">
        <v>6</v>
      </c>
    </row>
    <row r="652" spans="1:2">
      <c r="A652" s="2">
        <v>100000</v>
      </c>
      <c r="B652">
        <v>11</v>
      </c>
    </row>
    <row r="653" spans="1:2">
      <c r="A653" s="2">
        <v>49200</v>
      </c>
      <c r="B653">
        <v>25</v>
      </c>
    </row>
    <row r="654" spans="1:2">
      <c r="A654" s="2">
        <v>9000</v>
      </c>
      <c r="B654">
        <v>1</v>
      </c>
    </row>
    <row r="655" spans="1:2">
      <c r="A655" s="2">
        <v>5342.3750062327708</v>
      </c>
      <c r="B655">
        <v>6</v>
      </c>
    </row>
    <row r="656" spans="1:2">
      <c r="A656" s="2">
        <v>40000</v>
      </c>
      <c r="B656">
        <v>15</v>
      </c>
    </row>
    <row r="657" spans="1:2">
      <c r="A657" s="2">
        <v>40980.635073749385</v>
      </c>
      <c r="B657">
        <v>2</v>
      </c>
    </row>
    <row r="658" spans="1:2">
      <c r="A658" s="2">
        <v>45709.169889951241</v>
      </c>
      <c r="B658">
        <v>8</v>
      </c>
    </row>
    <row r="659" spans="1:2">
      <c r="A659" s="2">
        <v>7123.1666749770275</v>
      </c>
      <c r="B659">
        <v>1</v>
      </c>
    </row>
    <row r="660" spans="1:2">
      <c r="A660" s="2">
        <v>100000</v>
      </c>
      <c r="B660">
        <v>12</v>
      </c>
    </row>
    <row r="661" spans="1:2">
      <c r="A661" s="2">
        <v>78764.765217479682</v>
      </c>
      <c r="B661">
        <v>15</v>
      </c>
    </row>
    <row r="662" spans="1:2">
      <c r="A662" s="2">
        <v>152986.44846039536</v>
      </c>
      <c r="B662">
        <v>10</v>
      </c>
    </row>
    <row r="663" spans="1:2">
      <c r="A663" s="2">
        <v>44463.980364706273</v>
      </c>
      <c r="B663">
        <v>12</v>
      </c>
    </row>
    <row r="664" spans="1:2">
      <c r="A664" s="2">
        <v>38111.983169748237</v>
      </c>
      <c r="B664">
        <v>8</v>
      </c>
    </row>
    <row r="665" spans="1:2">
      <c r="A665" s="2">
        <v>118213.37040504631</v>
      </c>
      <c r="B665">
        <v>20</v>
      </c>
    </row>
    <row r="666" spans="1:2">
      <c r="A666" s="2">
        <v>39404.456801682099</v>
      </c>
      <c r="B666">
        <v>10</v>
      </c>
    </row>
    <row r="667" spans="1:2">
      <c r="A667" s="2">
        <v>90198.36016840415</v>
      </c>
      <c r="B667">
        <v>3</v>
      </c>
    </row>
    <row r="668" spans="1:2">
      <c r="A668" s="2">
        <v>47285.348162018527</v>
      </c>
      <c r="B668">
        <v>14</v>
      </c>
    </row>
    <row r="669" spans="1:2">
      <c r="A669" s="2">
        <v>56000</v>
      </c>
      <c r="B669">
        <v>1</v>
      </c>
    </row>
    <row r="670" spans="1:2">
      <c r="A670" s="2">
        <v>5082.6943786459069</v>
      </c>
      <c r="B670">
        <v>2</v>
      </c>
    </row>
    <row r="671" spans="1:2">
      <c r="A671" s="2">
        <v>53590.061250287661</v>
      </c>
      <c r="B671">
        <v>10</v>
      </c>
    </row>
    <row r="672" spans="1:2">
      <c r="A672" s="2">
        <v>76906.906752939132</v>
      </c>
      <c r="B672">
        <v>17</v>
      </c>
    </row>
    <row r="673" spans="1:2">
      <c r="A673" s="2">
        <v>85000</v>
      </c>
      <c r="B673">
        <v>5</v>
      </c>
    </row>
    <row r="674" spans="1:2">
      <c r="A674" s="2">
        <v>72000</v>
      </c>
      <c r="B674">
        <v>10</v>
      </c>
    </row>
    <row r="675" spans="1:2">
      <c r="A675" s="2">
        <v>55000</v>
      </c>
      <c r="B675">
        <v>7</v>
      </c>
    </row>
    <row r="676" spans="1:2">
      <c r="A676" s="2">
        <v>67775.665698893223</v>
      </c>
      <c r="B676">
        <v>25</v>
      </c>
    </row>
    <row r="677" spans="1:2">
      <c r="A677" s="2">
        <v>40586.590505732565</v>
      </c>
      <c r="B677">
        <v>1</v>
      </c>
    </row>
    <row r="678" spans="1:2">
      <c r="A678" s="2">
        <v>50846</v>
      </c>
      <c r="B678">
        <v>25</v>
      </c>
    </row>
    <row r="679" spans="1:2">
      <c r="A679" s="2">
        <v>63000</v>
      </c>
      <c r="B679">
        <v>16</v>
      </c>
    </row>
    <row r="680" spans="1:2">
      <c r="A680" s="2">
        <v>81592.772512210868</v>
      </c>
      <c r="B680">
        <v>5</v>
      </c>
    </row>
    <row r="681" spans="1:2">
      <c r="A681" s="2">
        <v>50700</v>
      </c>
      <c r="B681">
        <v>15</v>
      </c>
    </row>
    <row r="682" spans="1:2">
      <c r="A682" s="2">
        <v>31523.565441345683</v>
      </c>
      <c r="B682">
        <v>1</v>
      </c>
    </row>
    <row r="683" spans="1:2">
      <c r="A683" s="2">
        <v>70000</v>
      </c>
      <c r="B683">
        <v>6</v>
      </c>
    </row>
    <row r="684" spans="1:2">
      <c r="A684" s="2">
        <v>63918.498996971248</v>
      </c>
      <c r="B684">
        <v>15</v>
      </c>
    </row>
    <row r="685" spans="1:2">
      <c r="A685" s="2">
        <v>7261.724659606657</v>
      </c>
      <c r="B685">
        <v>2</v>
      </c>
    </row>
    <row r="686" spans="1:2">
      <c r="A686" s="2">
        <v>11404.820437438224</v>
      </c>
      <c r="B686">
        <v>2</v>
      </c>
    </row>
    <row r="687" spans="1:2">
      <c r="A687" s="2">
        <v>120000</v>
      </c>
      <c r="B687">
        <v>5</v>
      </c>
    </row>
    <row r="688" spans="1:2">
      <c r="A688" s="2">
        <v>91791.869076237213</v>
      </c>
      <c r="B688">
        <v>5</v>
      </c>
    </row>
    <row r="689" spans="1:2">
      <c r="A689" s="2">
        <v>112190.06220428993</v>
      </c>
      <c r="B689">
        <v>7</v>
      </c>
    </row>
    <row r="690" spans="1:2">
      <c r="A690" s="2">
        <v>40000</v>
      </c>
      <c r="B690">
        <v>18</v>
      </c>
    </row>
    <row r="691" spans="1:2">
      <c r="A691" s="2">
        <v>107000</v>
      </c>
      <c r="B691">
        <v>12</v>
      </c>
    </row>
    <row r="692" spans="1:2">
      <c r="A692" s="2">
        <v>82000</v>
      </c>
      <c r="B692">
        <v>10</v>
      </c>
    </row>
    <row r="693" spans="1:2">
      <c r="A693" s="2">
        <v>101990.96564026357</v>
      </c>
      <c r="B693">
        <v>15</v>
      </c>
    </row>
    <row r="694" spans="1:2">
      <c r="A694" s="2">
        <v>43000</v>
      </c>
      <c r="B694">
        <v>4</v>
      </c>
    </row>
    <row r="695" spans="1:2">
      <c r="A695" s="2">
        <v>69000</v>
      </c>
      <c r="B695">
        <v>20</v>
      </c>
    </row>
    <row r="696" spans="1:2">
      <c r="A696" s="2">
        <v>30000</v>
      </c>
      <c r="B696">
        <v>3</v>
      </c>
    </row>
    <row r="697" spans="1:2">
      <c r="A697" s="2">
        <v>48955.663507326513</v>
      </c>
      <c r="B697">
        <v>2</v>
      </c>
    </row>
    <row r="698" spans="1:2">
      <c r="A698" s="2">
        <v>70000</v>
      </c>
      <c r="B698">
        <v>8</v>
      </c>
    </row>
    <row r="699" spans="1:2">
      <c r="A699" s="2">
        <v>45000</v>
      </c>
      <c r="B699">
        <v>7</v>
      </c>
    </row>
    <row r="700" spans="1:2">
      <c r="A700" s="2">
        <v>35000</v>
      </c>
      <c r="B700">
        <v>12</v>
      </c>
    </row>
    <row r="701" spans="1:2">
      <c r="A701" s="2">
        <v>8903.9583437212841</v>
      </c>
      <c r="B701">
        <v>29</v>
      </c>
    </row>
    <row r="702" spans="1:2">
      <c r="A702" s="2">
        <v>28353.650809742252</v>
      </c>
      <c r="B702">
        <v>20</v>
      </c>
    </row>
    <row r="703" spans="1:2">
      <c r="A703" s="2">
        <v>11800</v>
      </c>
      <c r="B703">
        <v>10</v>
      </c>
    </row>
    <row r="704" spans="1:2">
      <c r="A704" s="2">
        <v>6410.8500074793246</v>
      </c>
      <c r="B704">
        <v>6</v>
      </c>
    </row>
    <row r="705" spans="1:2">
      <c r="A705" s="2">
        <v>50000</v>
      </c>
      <c r="B705">
        <v>3</v>
      </c>
    </row>
    <row r="706" spans="1:2">
      <c r="A706" s="2">
        <v>85000</v>
      </c>
      <c r="B706">
        <v>10</v>
      </c>
    </row>
    <row r="707" spans="1:2">
      <c r="A707" s="2">
        <v>17807.916687442568</v>
      </c>
      <c r="B707">
        <v>10</v>
      </c>
    </row>
    <row r="708" spans="1:2">
      <c r="A708" s="2">
        <v>16027.125018698311</v>
      </c>
      <c r="B708">
        <v>8</v>
      </c>
    </row>
    <row r="709" spans="1:2">
      <c r="A709" s="2">
        <v>192000</v>
      </c>
      <c r="B709">
        <v>27</v>
      </c>
    </row>
    <row r="710" spans="1:2">
      <c r="A710" s="2">
        <v>54000</v>
      </c>
      <c r="B710">
        <v>6</v>
      </c>
    </row>
    <row r="711" spans="1:2">
      <c r="A711" s="2">
        <v>18000</v>
      </c>
      <c r="B711">
        <v>12</v>
      </c>
    </row>
    <row r="712" spans="1:2">
      <c r="A712" s="2">
        <v>5342.3750062327708</v>
      </c>
      <c r="B712">
        <v>5</v>
      </c>
    </row>
    <row r="713" spans="1:2">
      <c r="A713" s="2">
        <v>7123.1666749770275</v>
      </c>
      <c r="B713">
        <v>3</v>
      </c>
    </row>
    <row r="714" spans="1:2">
      <c r="A714" s="2">
        <v>15000</v>
      </c>
      <c r="B714">
        <v>10</v>
      </c>
    </row>
    <row r="715" spans="1:2">
      <c r="A715" s="2">
        <v>14000</v>
      </c>
      <c r="B715">
        <v>12</v>
      </c>
    </row>
    <row r="716" spans="1:2">
      <c r="A716" s="2">
        <v>8000</v>
      </c>
      <c r="B716">
        <v>4</v>
      </c>
    </row>
    <row r="717" spans="1:2">
      <c r="A717" s="2">
        <v>12500</v>
      </c>
      <c r="B717">
        <v>7</v>
      </c>
    </row>
    <row r="718" spans="1:2">
      <c r="A718" s="2">
        <v>140000</v>
      </c>
      <c r="B718">
        <v>12</v>
      </c>
    </row>
    <row r="719" spans="1:2">
      <c r="A719" s="2">
        <v>12000</v>
      </c>
      <c r="B719">
        <v>1</v>
      </c>
    </row>
    <row r="720" spans="1:2">
      <c r="A720" s="2">
        <v>38111.983169748237</v>
      </c>
      <c r="B720">
        <v>15</v>
      </c>
    </row>
    <row r="721" spans="1:2">
      <c r="A721" s="2">
        <v>10684.750012465542</v>
      </c>
      <c r="B721">
        <v>2</v>
      </c>
    </row>
    <row r="722" spans="1:2">
      <c r="A722" s="2">
        <v>6232.7708406048987</v>
      </c>
      <c r="B722">
        <v>1.5</v>
      </c>
    </row>
    <row r="723" spans="1:2">
      <c r="A723" s="2">
        <v>45000</v>
      </c>
      <c r="B723">
        <v>8</v>
      </c>
    </row>
    <row r="724" spans="1:2">
      <c r="A724" s="2">
        <v>80000</v>
      </c>
      <c r="B724">
        <v>6</v>
      </c>
    </row>
    <row r="725" spans="1:2">
      <c r="A725" s="2">
        <v>26711.875031163851</v>
      </c>
      <c r="B725">
        <v>7</v>
      </c>
    </row>
    <row r="726" spans="1:2">
      <c r="A726" s="2">
        <v>100000</v>
      </c>
      <c r="B726">
        <v>17</v>
      </c>
    </row>
    <row r="727" spans="1:2">
      <c r="A727" s="2">
        <v>69353.856635379227</v>
      </c>
      <c r="B727">
        <v>10</v>
      </c>
    </row>
    <row r="728" spans="1:2">
      <c r="A728" s="2">
        <v>49975.573163729154</v>
      </c>
      <c r="B728">
        <v>30</v>
      </c>
    </row>
    <row r="729" spans="1:2">
      <c r="A729" s="2">
        <v>10239.552095279476</v>
      </c>
      <c r="B729">
        <v>5</v>
      </c>
    </row>
    <row r="730" spans="1:2">
      <c r="A730" s="2">
        <v>8903.9583437212841</v>
      </c>
      <c r="B730">
        <v>2</v>
      </c>
    </row>
    <row r="731" spans="1:2">
      <c r="A731" s="2">
        <v>36000</v>
      </c>
      <c r="B731">
        <v>10</v>
      </c>
    </row>
    <row r="732" spans="1:2">
      <c r="A732" s="2">
        <v>3739.6625043629392</v>
      </c>
      <c r="B732">
        <v>4.5</v>
      </c>
    </row>
    <row r="733" spans="1:2">
      <c r="A733" s="2">
        <v>61614.372791092981</v>
      </c>
      <c r="B733">
        <v>8</v>
      </c>
    </row>
    <row r="734" spans="1:2">
      <c r="A734" s="2">
        <v>3561.5833374885137</v>
      </c>
      <c r="B734">
        <v>3</v>
      </c>
    </row>
    <row r="735" spans="1:2">
      <c r="A735" s="2">
        <v>6410.8500074793246</v>
      </c>
      <c r="B735">
        <v>6</v>
      </c>
    </row>
    <row r="736" spans="1:2">
      <c r="A736" s="2">
        <v>36206.384011260823</v>
      </c>
      <c r="B736">
        <v>5</v>
      </c>
    </row>
    <row r="737" spans="1:2">
      <c r="A737" s="2">
        <v>13500</v>
      </c>
      <c r="B737">
        <v>20</v>
      </c>
    </row>
    <row r="738" spans="1:2">
      <c r="A738" s="2">
        <v>3000</v>
      </c>
      <c r="B738">
        <v>2</v>
      </c>
    </row>
    <row r="739" spans="1:2">
      <c r="A739" s="2">
        <v>21369.500024931083</v>
      </c>
      <c r="B739">
        <v>9</v>
      </c>
    </row>
    <row r="740" spans="1:2">
      <c r="A740" s="2">
        <v>10684.750012465542</v>
      </c>
      <c r="B740">
        <v>28</v>
      </c>
    </row>
    <row r="741" spans="1:2">
      <c r="A741" s="2">
        <v>176585.52201983347</v>
      </c>
      <c r="B741">
        <v>25</v>
      </c>
    </row>
    <row r="742" spans="1:2">
      <c r="A742" s="2">
        <v>54627.175876639136</v>
      </c>
      <c r="B742">
        <v>7</v>
      </c>
    </row>
    <row r="743" spans="1:2">
      <c r="A743" s="2">
        <v>30489.586535798586</v>
      </c>
      <c r="B743">
        <v>10</v>
      </c>
    </row>
    <row r="744" spans="1:2">
      <c r="A744" s="2">
        <v>5591.6858398569666</v>
      </c>
      <c r="B744">
        <v>0.1</v>
      </c>
    </row>
    <row r="745" spans="1:2">
      <c r="A745" s="2">
        <v>82000</v>
      </c>
      <c r="B745">
        <v>10</v>
      </c>
    </row>
    <row r="746" spans="1:2">
      <c r="A746" s="2">
        <v>10000</v>
      </c>
      <c r="B746">
        <v>0.5</v>
      </c>
    </row>
    <row r="747" spans="1:2">
      <c r="A747" s="2">
        <v>9000</v>
      </c>
      <c r="B747">
        <v>0.6</v>
      </c>
    </row>
    <row r="748" spans="1:2">
      <c r="A748" s="2">
        <v>9000</v>
      </c>
      <c r="B748">
        <v>1</v>
      </c>
    </row>
    <row r="749" spans="1:2">
      <c r="A749" s="2">
        <v>11753.225013712095</v>
      </c>
      <c r="B749">
        <v>7</v>
      </c>
    </row>
    <row r="750" spans="1:2">
      <c r="A750" s="2">
        <v>3632.815004238284</v>
      </c>
      <c r="B750">
        <v>2</v>
      </c>
    </row>
    <row r="751" spans="1:2">
      <c r="A751" s="2">
        <v>95279.957924370581</v>
      </c>
      <c r="B751">
        <v>16</v>
      </c>
    </row>
    <row r="752" spans="1:2">
      <c r="A752" s="2">
        <v>70928.022243027779</v>
      </c>
      <c r="B752">
        <v>4</v>
      </c>
    </row>
    <row r="753" spans="1:2">
      <c r="A753" s="2">
        <v>52086.37699865592</v>
      </c>
      <c r="B753">
        <v>12</v>
      </c>
    </row>
    <row r="754" spans="1:2">
      <c r="A754" s="2">
        <v>4897.177089046706</v>
      </c>
      <c r="B754">
        <v>4</v>
      </c>
    </row>
    <row r="755" spans="1:2">
      <c r="A755" s="2">
        <v>63807.047488395103</v>
      </c>
      <c r="B755">
        <v>15</v>
      </c>
    </row>
    <row r="756" spans="1:2">
      <c r="A756" s="2">
        <v>24000</v>
      </c>
      <c r="B756">
        <v>5</v>
      </c>
    </row>
    <row r="757" spans="1:2">
      <c r="A757" s="2">
        <v>60000</v>
      </c>
      <c r="B757">
        <v>20</v>
      </c>
    </row>
    <row r="758" spans="1:2">
      <c r="A758" s="2">
        <v>5342.3750062327708</v>
      </c>
      <c r="B758">
        <v>3</v>
      </c>
    </row>
    <row r="759" spans="1:2">
      <c r="A759" s="2">
        <v>8903.9583437212841</v>
      </c>
      <c r="B759">
        <v>5</v>
      </c>
    </row>
    <row r="760" spans="1:2">
      <c r="A760" s="2">
        <v>40980.635073749385</v>
      </c>
      <c r="B760">
        <v>2</v>
      </c>
    </row>
    <row r="761" spans="1:2">
      <c r="A761" s="2">
        <v>10684.750012465542</v>
      </c>
      <c r="B761">
        <v>7</v>
      </c>
    </row>
    <row r="762" spans="1:2">
      <c r="A762" s="2">
        <v>21369.500024931083</v>
      </c>
      <c r="B762">
        <v>21</v>
      </c>
    </row>
    <row r="763" spans="1:2">
      <c r="A763" s="2">
        <v>18000</v>
      </c>
      <c r="B763">
        <v>12</v>
      </c>
    </row>
    <row r="764" spans="1:2">
      <c r="A764" s="2">
        <v>41000</v>
      </c>
      <c r="B764">
        <v>4</v>
      </c>
    </row>
    <row r="765" spans="1:2">
      <c r="A765" s="2">
        <v>28492.66669990811</v>
      </c>
      <c r="B765">
        <v>4</v>
      </c>
    </row>
    <row r="766" spans="1:2">
      <c r="A766" s="2">
        <v>49500</v>
      </c>
      <c r="B766">
        <v>4.5</v>
      </c>
    </row>
    <row r="767" spans="1:2">
      <c r="A767" s="2">
        <v>6600</v>
      </c>
      <c r="B767">
        <v>6.4</v>
      </c>
    </row>
    <row r="768" spans="1:2">
      <c r="A768" s="2">
        <v>110332.47904470989</v>
      </c>
      <c r="B768">
        <v>15</v>
      </c>
    </row>
    <row r="769" spans="1:2">
      <c r="A769" s="2">
        <v>47285.348162018527</v>
      </c>
      <c r="B769">
        <v>6</v>
      </c>
    </row>
    <row r="770" spans="1:2">
      <c r="A770" s="2">
        <v>5300</v>
      </c>
      <c r="B770">
        <v>5</v>
      </c>
    </row>
    <row r="771" spans="1:2">
      <c r="A771" s="2">
        <v>43828.780645210471</v>
      </c>
      <c r="B771">
        <v>15</v>
      </c>
    </row>
    <row r="772" spans="1:2">
      <c r="A772" s="2">
        <v>80000</v>
      </c>
      <c r="B772">
        <v>14</v>
      </c>
    </row>
    <row r="773" spans="1:2">
      <c r="A773" s="2">
        <v>11518.711713336908</v>
      </c>
      <c r="B773">
        <v>3</v>
      </c>
    </row>
    <row r="774" spans="1:2">
      <c r="A774" s="2">
        <v>152986.44846039536</v>
      </c>
      <c r="B774">
        <v>5.5</v>
      </c>
    </row>
    <row r="775" spans="1:2">
      <c r="A775" s="2">
        <v>125000</v>
      </c>
      <c r="B775">
        <v>2</v>
      </c>
    </row>
    <row r="776" spans="1:2">
      <c r="A776" s="2">
        <v>101990.96564026357</v>
      </c>
      <c r="B776">
        <v>30</v>
      </c>
    </row>
    <row r="777" spans="1:2">
      <c r="A777" s="2">
        <v>105000</v>
      </c>
      <c r="B777">
        <v>15</v>
      </c>
    </row>
    <row r="778" spans="1:2">
      <c r="A778" s="2">
        <v>50815.977559664309</v>
      </c>
      <c r="B778">
        <v>20</v>
      </c>
    </row>
    <row r="779" spans="1:2">
      <c r="A779" s="2">
        <v>75000</v>
      </c>
      <c r="B779">
        <v>7</v>
      </c>
    </row>
    <row r="780" spans="1:2">
      <c r="A780" s="2">
        <v>4451.9791718606421</v>
      </c>
      <c r="B780">
        <v>8</v>
      </c>
    </row>
    <row r="781" spans="1:2">
      <c r="A781" s="2">
        <v>110000</v>
      </c>
      <c r="B781">
        <v>10</v>
      </c>
    </row>
    <row r="782" spans="1:2">
      <c r="A782" s="2">
        <v>42556.81334581667</v>
      </c>
      <c r="B782">
        <v>1</v>
      </c>
    </row>
    <row r="783" spans="1:2">
      <c r="A783" s="2">
        <v>8013.5625093491553</v>
      </c>
      <c r="B783">
        <v>7</v>
      </c>
    </row>
    <row r="784" spans="1:2">
      <c r="A784" s="2">
        <v>125000</v>
      </c>
      <c r="B784">
        <v>25</v>
      </c>
    </row>
    <row r="785" spans="1:2">
      <c r="A785" s="2">
        <v>60000</v>
      </c>
      <c r="B785">
        <v>12</v>
      </c>
    </row>
    <row r="786" spans="1:2">
      <c r="A786" s="2">
        <v>39355.495879248076</v>
      </c>
      <c r="B786">
        <v>5.6</v>
      </c>
    </row>
    <row r="787" spans="1:2">
      <c r="A787" s="2">
        <v>57167.974754622352</v>
      </c>
      <c r="B787">
        <v>12</v>
      </c>
    </row>
    <row r="788" spans="1:2">
      <c r="A788" s="2">
        <v>50694.322109187968</v>
      </c>
      <c r="B788">
        <v>8</v>
      </c>
    </row>
    <row r="789" spans="1:2">
      <c r="A789" s="2">
        <v>57500</v>
      </c>
      <c r="B789">
        <v>30</v>
      </c>
    </row>
    <row r="790" spans="1:2">
      <c r="A790" s="2">
        <v>78764.765217479682</v>
      </c>
      <c r="B790">
        <v>15</v>
      </c>
    </row>
    <row r="791" spans="1:2">
      <c r="A791" s="2">
        <v>80000</v>
      </c>
      <c r="B791">
        <v>10</v>
      </c>
    </row>
    <row r="792" spans="1:2">
      <c r="A792" s="2">
        <v>70928.022243027779</v>
      </c>
      <c r="B792">
        <v>15</v>
      </c>
    </row>
    <row r="793" spans="1:2">
      <c r="A793" s="2">
        <v>33000</v>
      </c>
      <c r="B793">
        <v>3</v>
      </c>
    </row>
    <row r="794" spans="1:2">
      <c r="A794" s="2">
        <v>100000</v>
      </c>
      <c r="B794">
        <v>1</v>
      </c>
    </row>
    <row r="795" spans="1:2">
      <c r="A795" s="2">
        <v>60000</v>
      </c>
      <c r="B795">
        <v>20</v>
      </c>
    </row>
    <row r="796" spans="1:2">
      <c r="A796" s="2">
        <v>95000</v>
      </c>
      <c r="B796">
        <v>7</v>
      </c>
    </row>
    <row r="797" spans="1:2">
      <c r="A797" s="2">
        <v>24000</v>
      </c>
      <c r="B797">
        <v>33</v>
      </c>
    </row>
    <row r="798" spans="1:2">
      <c r="A798" s="2">
        <v>50000</v>
      </c>
      <c r="B798">
        <v>0.5</v>
      </c>
    </row>
    <row r="799" spans="1:2">
      <c r="A799" s="2">
        <v>103000</v>
      </c>
      <c r="B799">
        <v>22</v>
      </c>
    </row>
    <row r="800" spans="1:2">
      <c r="A800" s="2">
        <v>36000</v>
      </c>
      <c r="B800">
        <v>8</v>
      </c>
    </row>
    <row r="801" spans="1:2">
      <c r="A801" s="2">
        <v>85000</v>
      </c>
      <c r="B801">
        <v>17</v>
      </c>
    </row>
    <row r="802" spans="1:2">
      <c r="A802" s="2">
        <v>100000</v>
      </c>
      <c r="B802">
        <v>20</v>
      </c>
    </row>
    <row r="803" spans="1:2">
      <c r="A803" s="2">
        <v>83000</v>
      </c>
      <c r="B803">
        <v>12</v>
      </c>
    </row>
    <row r="804" spans="1:2">
      <c r="A804" s="2">
        <v>85000</v>
      </c>
      <c r="B804">
        <v>25</v>
      </c>
    </row>
    <row r="805" spans="1:2">
      <c r="A805" s="2">
        <v>120000</v>
      </c>
      <c r="B805">
        <v>5</v>
      </c>
    </row>
    <row r="806" spans="1:2">
      <c r="A806" s="2">
        <v>69960</v>
      </c>
      <c r="B806">
        <v>22</v>
      </c>
    </row>
    <row r="807" spans="1:2">
      <c r="A807" s="2">
        <v>97000</v>
      </c>
      <c r="B807">
        <v>14</v>
      </c>
    </row>
    <row r="808" spans="1:2">
      <c r="A808" s="2">
        <v>94570.696324037053</v>
      </c>
      <c r="B808">
        <v>7</v>
      </c>
    </row>
    <row r="809" spans="1:2">
      <c r="A809" s="2">
        <v>39000</v>
      </c>
      <c r="B809">
        <v>6</v>
      </c>
    </row>
    <row r="810" spans="1:2">
      <c r="A810" s="2">
        <v>4451.9791718606421</v>
      </c>
      <c r="B810">
        <v>15</v>
      </c>
    </row>
    <row r="811" spans="1:2">
      <c r="A811" s="2">
        <v>62000</v>
      </c>
      <c r="B811">
        <v>25</v>
      </c>
    </row>
    <row r="812" spans="1:2">
      <c r="A812" s="2">
        <v>44000</v>
      </c>
      <c r="B812">
        <v>15</v>
      </c>
    </row>
    <row r="813" spans="1:2">
      <c r="A813" s="2">
        <v>150000</v>
      </c>
      <c r="B813">
        <v>30</v>
      </c>
    </row>
    <row r="814" spans="1:2">
      <c r="A814" s="2">
        <v>228671.89901848941</v>
      </c>
      <c r="B814">
        <v>15</v>
      </c>
    </row>
    <row r="815" spans="1:2">
      <c r="A815" s="2">
        <v>73500</v>
      </c>
      <c r="B815">
        <v>6</v>
      </c>
    </row>
    <row r="816" spans="1:2">
      <c r="A816" s="2">
        <v>77500</v>
      </c>
      <c r="B816">
        <v>7</v>
      </c>
    </row>
    <row r="817" spans="1:2">
      <c r="A817" s="2">
        <v>60800</v>
      </c>
      <c r="B817">
        <v>10</v>
      </c>
    </row>
    <row r="818" spans="1:2">
      <c r="A818" s="2">
        <v>136000</v>
      </c>
      <c r="B818">
        <v>10</v>
      </c>
    </row>
    <row r="819" spans="1:2">
      <c r="A819" s="2">
        <v>20000</v>
      </c>
      <c r="B819">
        <v>6</v>
      </c>
    </row>
    <row r="820" spans="1:2">
      <c r="A820" s="2">
        <v>95000</v>
      </c>
      <c r="B820">
        <v>14</v>
      </c>
    </row>
    <row r="821" spans="1:2">
      <c r="A821" s="2">
        <v>130000</v>
      </c>
      <c r="B821">
        <v>25</v>
      </c>
    </row>
    <row r="822" spans="1:2">
      <c r="A822" s="2">
        <v>65000</v>
      </c>
      <c r="B822">
        <v>10</v>
      </c>
    </row>
    <row r="823" spans="1:2">
      <c r="A823" s="2">
        <v>80000</v>
      </c>
      <c r="B823">
        <v>8</v>
      </c>
    </row>
    <row r="824" spans="1:2">
      <c r="A824" s="2">
        <v>37000</v>
      </c>
      <c r="B824">
        <v>30</v>
      </c>
    </row>
    <row r="825" spans="1:2">
      <c r="A825" s="2">
        <v>40000</v>
      </c>
      <c r="B825">
        <v>8</v>
      </c>
    </row>
    <row r="826" spans="1:2">
      <c r="A826" s="2">
        <v>49000</v>
      </c>
      <c r="B826">
        <v>10</v>
      </c>
    </row>
    <row r="827" spans="1:2">
      <c r="A827" s="2">
        <v>65000</v>
      </c>
      <c r="B827">
        <v>14</v>
      </c>
    </row>
    <row r="828" spans="1:2">
      <c r="A828" s="2">
        <v>55000</v>
      </c>
      <c r="B828">
        <v>1</v>
      </c>
    </row>
    <row r="829" spans="1:2">
      <c r="A829" s="2">
        <v>40000</v>
      </c>
      <c r="B829">
        <v>1</v>
      </c>
    </row>
    <row r="830" spans="1:2">
      <c r="A830" s="2">
        <v>60000</v>
      </c>
      <c r="B830">
        <v>15</v>
      </c>
    </row>
    <row r="831" spans="1:2">
      <c r="A831" s="2">
        <v>45734.379803697877</v>
      </c>
      <c r="B831">
        <v>4</v>
      </c>
    </row>
    <row r="832" spans="1:2">
      <c r="A832" s="2">
        <v>150000</v>
      </c>
      <c r="B832">
        <v>30</v>
      </c>
    </row>
    <row r="833" spans="1:2">
      <c r="A833" s="2">
        <v>88000</v>
      </c>
      <c r="B833">
        <v>21</v>
      </c>
    </row>
    <row r="834" spans="1:2">
      <c r="A834" s="2">
        <v>64500</v>
      </c>
      <c r="B834">
        <v>13</v>
      </c>
    </row>
    <row r="835" spans="1:2">
      <c r="A835" s="2">
        <v>57600</v>
      </c>
      <c r="B835">
        <v>20</v>
      </c>
    </row>
    <row r="836" spans="1:2">
      <c r="A836" s="2">
        <v>50000</v>
      </c>
      <c r="B836">
        <v>15</v>
      </c>
    </row>
    <row r="837" spans="1:2">
      <c r="A837" s="2">
        <v>120000</v>
      </c>
      <c r="B837">
        <v>10</v>
      </c>
    </row>
    <row r="838" spans="1:2">
      <c r="A838" s="2">
        <v>107000</v>
      </c>
      <c r="B838">
        <v>29</v>
      </c>
    </row>
    <row r="839" spans="1:2">
      <c r="A839" s="2">
        <v>40000</v>
      </c>
      <c r="B839">
        <v>6</v>
      </c>
    </row>
    <row r="840" spans="1:2">
      <c r="A840" s="2">
        <v>81000</v>
      </c>
      <c r="B840">
        <v>12</v>
      </c>
    </row>
    <row r="841" spans="1:2">
      <c r="A841" s="2">
        <v>45000</v>
      </c>
      <c r="B841">
        <v>20</v>
      </c>
    </row>
    <row r="842" spans="1:2">
      <c r="A842" s="2">
        <v>49000</v>
      </c>
      <c r="B842">
        <v>5</v>
      </c>
    </row>
    <row r="843" spans="1:2">
      <c r="A843" s="2">
        <v>13355.937515581925</v>
      </c>
      <c r="B843">
        <v>1</v>
      </c>
    </row>
    <row r="844" spans="1:2">
      <c r="A844" s="2">
        <v>72000</v>
      </c>
      <c r="B844">
        <v>20</v>
      </c>
    </row>
    <row r="845" spans="1:2">
      <c r="A845" s="2">
        <v>50000</v>
      </c>
      <c r="B845">
        <v>7</v>
      </c>
    </row>
    <row r="846" spans="1:2">
      <c r="A846" s="2">
        <v>57678</v>
      </c>
      <c r="B846">
        <v>2</v>
      </c>
    </row>
    <row r="847" spans="1:2">
      <c r="A847" s="2">
        <v>80442</v>
      </c>
      <c r="B847">
        <v>16</v>
      </c>
    </row>
    <row r="848" spans="1:2">
      <c r="A848" s="2">
        <v>75000</v>
      </c>
      <c r="B848">
        <v>9</v>
      </c>
    </row>
    <row r="849" spans="1:2">
      <c r="A849" s="2">
        <v>61000</v>
      </c>
      <c r="B849">
        <v>12</v>
      </c>
    </row>
    <row r="850" spans="1:2">
      <c r="A850" s="2">
        <v>77000</v>
      </c>
      <c r="B850">
        <v>10</v>
      </c>
    </row>
    <row r="851" spans="1:2">
      <c r="A851" s="2">
        <v>92000</v>
      </c>
      <c r="B851">
        <v>9</v>
      </c>
    </row>
    <row r="852" spans="1:2">
      <c r="A852" s="2">
        <v>72000</v>
      </c>
      <c r="B852">
        <v>10</v>
      </c>
    </row>
    <row r="853" spans="1:2">
      <c r="A853" s="2">
        <v>14000</v>
      </c>
      <c r="B853">
        <v>3</v>
      </c>
    </row>
    <row r="854" spans="1:2">
      <c r="A854" s="2">
        <v>111000</v>
      </c>
      <c r="B854">
        <v>10</v>
      </c>
    </row>
    <row r="855" spans="1:2">
      <c r="A855" s="2">
        <v>80000</v>
      </c>
      <c r="B855">
        <v>20</v>
      </c>
    </row>
    <row r="856" spans="1:2">
      <c r="A856" s="2">
        <v>57875.729234188344</v>
      </c>
      <c r="B856">
        <v>5.5</v>
      </c>
    </row>
    <row r="857" spans="1:2">
      <c r="A857" s="2">
        <v>25000</v>
      </c>
      <c r="B857">
        <v>8</v>
      </c>
    </row>
    <row r="858" spans="1:2">
      <c r="A858" s="2">
        <v>24000</v>
      </c>
      <c r="B858">
        <v>2</v>
      </c>
    </row>
    <row r="859" spans="1:2">
      <c r="A859" s="2">
        <v>61000</v>
      </c>
      <c r="B859">
        <v>25</v>
      </c>
    </row>
    <row r="860" spans="1:2">
      <c r="A860" s="2">
        <v>56095.031102144967</v>
      </c>
      <c r="B860">
        <v>11</v>
      </c>
    </row>
    <row r="861" spans="1:2">
      <c r="A861" s="2">
        <v>71393.675948184507</v>
      </c>
      <c r="B861">
        <v>5</v>
      </c>
    </row>
    <row r="862" spans="1:2">
      <c r="A862" s="2">
        <v>96230</v>
      </c>
      <c r="B862">
        <v>18</v>
      </c>
    </row>
    <row r="863" spans="1:2">
      <c r="A863" s="2">
        <v>75000</v>
      </c>
      <c r="B863">
        <v>1.5</v>
      </c>
    </row>
    <row r="864" spans="1:2">
      <c r="A864" s="2">
        <v>102000</v>
      </c>
      <c r="B864">
        <v>5</v>
      </c>
    </row>
    <row r="865" spans="1:2">
      <c r="A865" s="2">
        <v>19008.034062397041</v>
      </c>
      <c r="B865">
        <v>3</v>
      </c>
    </row>
    <row r="866" spans="1:2">
      <c r="A866" s="2">
        <v>4356</v>
      </c>
      <c r="B866">
        <v>5</v>
      </c>
    </row>
    <row r="867" spans="1:2">
      <c r="A867" s="2">
        <v>5342.3750062327708</v>
      </c>
      <c r="B867">
        <v>4</v>
      </c>
    </row>
    <row r="868" spans="1:2">
      <c r="A868" s="2">
        <v>67000</v>
      </c>
      <c r="B868">
        <v>20</v>
      </c>
    </row>
    <row r="869" spans="1:2">
      <c r="A869" s="2">
        <v>8547.8000099724322</v>
      </c>
      <c r="B869">
        <v>7</v>
      </c>
    </row>
    <row r="870" spans="1:2">
      <c r="A870" s="2">
        <v>16027.125018698311</v>
      </c>
      <c r="B870">
        <v>4</v>
      </c>
    </row>
    <row r="871" spans="1:2">
      <c r="A871" s="2">
        <v>10684.750012465542</v>
      </c>
      <c r="B871">
        <v>36</v>
      </c>
    </row>
    <row r="872" spans="1:2">
      <c r="A872" s="2">
        <v>30000</v>
      </c>
      <c r="B872">
        <v>8</v>
      </c>
    </row>
    <row r="873" spans="1:2">
      <c r="A873" s="2">
        <v>8903.9583437212841</v>
      </c>
      <c r="B873">
        <v>0</v>
      </c>
    </row>
    <row r="874" spans="1:2">
      <c r="A874" s="2">
        <v>20000</v>
      </c>
      <c r="B874">
        <v>10</v>
      </c>
    </row>
    <row r="875" spans="1:2">
      <c r="A875" s="2">
        <v>87712.230450626681</v>
      </c>
      <c r="B875">
        <v>10</v>
      </c>
    </row>
    <row r="876" spans="1:2">
      <c r="A876" s="2">
        <v>17807.916687442568</v>
      </c>
      <c r="B876">
        <v>6</v>
      </c>
    </row>
    <row r="877" spans="1:2">
      <c r="A877" s="2">
        <v>41000</v>
      </c>
      <c r="B877">
        <v>2</v>
      </c>
    </row>
    <row r="878" spans="1:2">
      <c r="A878" s="2">
        <v>60000</v>
      </c>
      <c r="B878">
        <v>4</v>
      </c>
    </row>
    <row r="879" spans="1:2">
      <c r="A879" s="2">
        <v>32187.34988380854</v>
      </c>
      <c r="B879">
        <v>2</v>
      </c>
    </row>
    <row r="880" spans="1:2">
      <c r="A880" s="2">
        <v>39879.404680246938</v>
      </c>
      <c r="B880">
        <v>5</v>
      </c>
    </row>
    <row r="881" spans="1:2">
      <c r="A881" s="2">
        <v>5698.5333399816218</v>
      </c>
      <c r="B881">
        <v>2</v>
      </c>
    </row>
    <row r="882" spans="1:2">
      <c r="A882" s="2">
        <v>7123.1666749770275</v>
      </c>
      <c r="B882">
        <v>6</v>
      </c>
    </row>
    <row r="883" spans="1:2">
      <c r="A883" s="2">
        <v>4451.9791718606421</v>
      </c>
      <c r="B883">
        <v>15</v>
      </c>
    </row>
    <row r="884" spans="1:2">
      <c r="A884" s="2">
        <v>6410.8500074793246</v>
      </c>
      <c r="B884">
        <v>6</v>
      </c>
    </row>
    <row r="885" spans="1:2">
      <c r="A885" s="2">
        <v>20479.104190558952</v>
      </c>
      <c r="B885">
        <v>12</v>
      </c>
    </row>
    <row r="886" spans="1:2">
      <c r="A886" s="2">
        <v>11040.908346214392</v>
      </c>
      <c r="B886">
        <v>5</v>
      </c>
    </row>
    <row r="887" spans="1:2">
      <c r="A887" s="2">
        <v>17807.916687442568</v>
      </c>
      <c r="B887">
        <v>7</v>
      </c>
    </row>
    <row r="888" spans="1:2">
      <c r="A888" s="2">
        <v>3561.5833374885137</v>
      </c>
      <c r="B888">
        <v>11</v>
      </c>
    </row>
    <row r="889" spans="1:2">
      <c r="A889" s="2">
        <v>26795.030625143831</v>
      </c>
      <c r="B889">
        <v>5</v>
      </c>
    </row>
    <row r="890" spans="1:2">
      <c r="A890" s="2">
        <v>20400</v>
      </c>
      <c r="B890">
        <v>10</v>
      </c>
    </row>
    <row r="891" spans="1:2">
      <c r="A891" s="2">
        <v>39404.456801682099</v>
      </c>
      <c r="B891">
        <v>35</v>
      </c>
    </row>
    <row r="892" spans="1:2">
      <c r="A892" s="2">
        <v>149907.13380100971</v>
      </c>
      <c r="B892">
        <v>7</v>
      </c>
    </row>
    <row r="893" spans="1:2">
      <c r="A893" s="2">
        <v>4095.8208381117906</v>
      </c>
      <c r="B893">
        <v>1.6</v>
      </c>
    </row>
    <row r="894" spans="1:2">
      <c r="A894" s="2">
        <v>127488.70705032947</v>
      </c>
      <c r="B894">
        <v>7</v>
      </c>
    </row>
    <row r="895" spans="1:2">
      <c r="A895" s="2">
        <v>58318.59606648951</v>
      </c>
      <c r="B895">
        <v>20</v>
      </c>
    </row>
    <row r="896" spans="1:2">
      <c r="A896" s="2">
        <v>9509.8988293070688</v>
      </c>
      <c r="B896">
        <v>2</v>
      </c>
    </row>
    <row r="897" spans="1:2">
      <c r="A897" s="2">
        <v>12821.700014958649</v>
      </c>
      <c r="B897">
        <v>3</v>
      </c>
    </row>
    <row r="898" spans="1:2">
      <c r="A898" s="2">
        <v>4000</v>
      </c>
      <c r="B898">
        <v>6</v>
      </c>
    </row>
    <row r="899" spans="1:2">
      <c r="A899" s="2">
        <v>42000</v>
      </c>
      <c r="B899">
        <v>2</v>
      </c>
    </row>
    <row r="900" spans="1:2">
      <c r="A900" s="2">
        <v>3200</v>
      </c>
      <c r="B900">
        <v>19</v>
      </c>
    </row>
    <row r="901" spans="1:2">
      <c r="A901" s="2">
        <v>60000</v>
      </c>
      <c r="B901">
        <v>10</v>
      </c>
    </row>
    <row r="902" spans="1:2">
      <c r="A902" s="2">
        <v>85000</v>
      </c>
      <c r="B902">
        <v>9</v>
      </c>
    </row>
    <row r="903" spans="1:2">
      <c r="A903" s="2">
        <v>109000</v>
      </c>
      <c r="B903">
        <v>15</v>
      </c>
    </row>
    <row r="904" spans="1:2">
      <c r="A904" s="2">
        <v>76223.966339496474</v>
      </c>
      <c r="B904">
        <v>14</v>
      </c>
    </row>
    <row r="905" spans="1:2">
      <c r="A905" s="2">
        <v>77000</v>
      </c>
      <c r="B905">
        <v>13</v>
      </c>
    </row>
    <row r="906" spans="1:2">
      <c r="A906" s="2">
        <v>25000</v>
      </c>
      <c r="B906">
        <v>4</v>
      </c>
    </row>
    <row r="907" spans="1:2">
      <c r="A907" s="2">
        <v>64000</v>
      </c>
      <c r="B907">
        <v>12</v>
      </c>
    </row>
    <row r="908" spans="1:2">
      <c r="A908" s="2">
        <v>231119.74856804207</v>
      </c>
      <c r="B908">
        <v>10</v>
      </c>
    </row>
    <row r="909" spans="1:2">
      <c r="A909" s="2">
        <v>76000</v>
      </c>
      <c r="B909">
        <v>10</v>
      </c>
    </row>
    <row r="910" spans="1:2">
      <c r="A910" s="2">
        <v>15761.782720672842</v>
      </c>
      <c r="B910">
        <v>8</v>
      </c>
    </row>
    <row r="911" spans="1:2">
      <c r="A911" s="2">
        <v>168285.09330643489</v>
      </c>
      <c r="B911">
        <v>17</v>
      </c>
    </row>
    <row r="912" spans="1:2">
      <c r="A912" s="2">
        <v>50000</v>
      </c>
      <c r="B912">
        <v>13</v>
      </c>
    </row>
    <row r="913" spans="1:2">
      <c r="A913" s="2">
        <v>7200</v>
      </c>
      <c r="B913">
        <v>8</v>
      </c>
    </row>
    <row r="914" spans="1:2">
      <c r="A914" s="2">
        <v>53356.776437647524</v>
      </c>
      <c r="B914">
        <v>7</v>
      </c>
    </row>
    <row r="915" spans="1:2">
      <c r="A915" s="2">
        <v>45000</v>
      </c>
      <c r="B915">
        <v>10</v>
      </c>
    </row>
    <row r="916" spans="1:2">
      <c r="A916" s="2">
        <v>5000</v>
      </c>
      <c r="B916">
        <v>4</v>
      </c>
    </row>
    <row r="917" spans="1:2">
      <c r="A917" s="2">
        <v>75473.31457379504</v>
      </c>
      <c r="B917">
        <v>20</v>
      </c>
    </row>
    <row r="918" spans="1:2">
      <c r="A918" s="2">
        <v>15000</v>
      </c>
      <c r="B918">
        <v>5</v>
      </c>
    </row>
    <row r="919" spans="1:2">
      <c r="A919" s="2">
        <v>42558.381206218859</v>
      </c>
      <c r="B919">
        <v>8</v>
      </c>
    </row>
    <row r="920" spans="1:2">
      <c r="A920" s="2">
        <v>61000</v>
      </c>
      <c r="B920">
        <v>5</v>
      </c>
    </row>
    <row r="921" spans="1:2">
      <c r="A921" s="2">
        <v>66000</v>
      </c>
      <c r="B921">
        <v>2</v>
      </c>
    </row>
    <row r="922" spans="1:2">
      <c r="A922" s="2">
        <v>4950.6008391090336</v>
      </c>
      <c r="B922">
        <v>8</v>
      </c>
    </row>
    <row r="923" spans="1:2">
      <c r="A923" s="2">
        <v>55000</v>
      </c>
      <c r="B923">
        <v>14</v>
      </c>
    </row>
    <row r="924" spans="1:2">
      <c r="A924" s="2">
        <v>32000</v>
      </c>
      <c r="B924">
        <v>10</v>
      </c>
    </row>
    <row r="925" spans="1:2">
      <c r="A925" s="2">
        <v>18000</v>
      </c>
      <c r="B925">
        <v>6</v>
      </c>
    </row>
    <row r="926" spans="1:2">
      <c r="A926" s="2">
        <v>11575.14584683767</v>
      </c>
      <c r="B926">
        <v>21</v>
      </c>
    </row>
    <row r="927" spans="1:2">
      <c r="A927" s="2">
        <v>63519.971949580387</v>
      </c>
      <c r="B927">
        <v>15</v>
      </c>
    </row>
    <row r="928" spans="1:2">
      <c r="A928" s="2">
        <v>71231.666749770273</v>
      </c>
      <c r="B928">
        <v>5</v>
      </c>
    </row>
    <row r="929" spans="1:2">
      <c r="A929" s="2">
        <v>10000</v>
      </c>
      <c r="B929">
        <v>1</v>
      </c>
    </row>
    <row r="930" spans="1:2">
      <c r="A930" s="2">
        <v>74300</v>
      </c>
      <c r="B930">
        <v>3</v>
      </c>
    </row>
    <row r="931" spans="1:2">
      <c r="A931" s="2">
        <v>26711.875031163851</v>
      </c>
      <c r="B931">
        <v>10</v>
      </c>
    </row>
    <row r="932" spans="1:2">
      <c r="A932" s="2">
        <v>9545.0433444692171</v>
      </c>
      <c r="B932">
        <v>4</v>
      </c>
    </row>
    <row r="933" spans="1:2">
      <c r="A933" s="2">
        <v>95000</v>
      </c>
      <c r="B933">
        <v>15</v>
      </c>
    </row>
    <row r="934" spans="1:2">
      <c r="A934" s="2">
        <v>64300</v>
      </c>
      <c r="B934">
        <v>15</v>
      </c>
    </row>
    <row r="935" spans="1:2">
      <c r="A935" s="2">
        <v>250000</v>
      </c>
      <c r="B935">
        <v>20</v>
      </c>
    </row>
    <row r="936" spans="1:2">
      <c r="A936" s="2">
        <v>89000</v>
      </c>
      <c r="B936">
        <v>10</v>
      </c>
    </row>
    <row r="937" spans="1:2">
      <c r="A937" s="2">
        <v>75000</v>
      </c>
      <c r="B937">
        <v>1.5</v>
      </c>
    </row>
    <row r="938" spans="1:2">
      <c r="A938" s="2">
        <v>45000</v>
      </c>
      <c r="B938">
        <v>5</v>
      </c>
    </row>
    <row r="939" spans="1:2">
      <c r="A939" s="2">
        <v>127500</v>
      </c>
      <c r="B939">
        <v>22</v>
      </c>
    </row>
    <row r="940" spans="1:2">
      <c r="A940" s="2">
        <v>170000</v>
      </c>
      <c r="B940">
        <v>18</v>
      </c>
    </row>
    <row r="941" spans="1:2">
      <c r="A941" s="2">
        <v>9600</v>
      </c>
      <c r="B941">
        <v>2</v>
      </c>
    </row>
    <row r="942" spans="1:2">
      <c r="A942" s="2">
        <v>62000</v>
      </c>
      <c r="B942">
        <v>27</v>
      </c>
    </row>
    <row r="943" spans="1:2">
      <c r="A943" s="2">
        <v>22000</v>
      </c>
      <c r="B943">
        <v>3</v>
      </c>
    </row>
    <row r="944" spans="1:2">
      <c r="A944" s="2">
        <v>45000</v>
      </c>
      <c r="B944">
        <v>8</v>
      </c>
    </row>
    <row r="945" spans="1:2">
      <c r="A945" s="2">
        <v>145000</v>
      </c>
      <c r="B945">
        <v>6</v>
      </c>
    </row>
    <row r="946" spans="1:2">
      <c r="A946" s="2">
        <v>89000</v>
      </c>
      <c r="B946">
        <v>14</v>
      </c>
    </row>
    <row r="947" spans="1:2">
      <c r="A947" s="2">
        <v>38000</v>
      </c>
      <c r="B947">
        <v>11</v>
      </c>
    </row>
    <row r="948" spans="1:2">
      <c r="A948" s="2">
        <v>49168.076151516347</v>
      </c>
      <c r="B948">
        <v>3</v>
      </c>
    </row>
    <row r="949" spans="1:2">
      <c r="A949" s="2">
        <v>8903.9583437212841</v>
      </c>
      <c r="B949">
        <v>8</v>
      </c>
    </row>
    <row r="950" spans="1:2">
      <c r="A950" s="2">
        <v>10000</v>
      </c>
      <c r="B950">
        <v>8</v>
      </c>
    </row>
    <row r="951" spans="1:2">
      <c r="A951" s="2">
        <v>105000</v>
      </c>
      <c r="B951">
        <v>30</v>
      </c>
    </row>
    <row r="952" spans="1:2">
      <c r="A952" s="2">
        <v>12000</v>
      </c>
      <c r="B952">
        <v>0</v>
      </c>
    </row>
    <row r="953" spans="1:2">
      <c r="A953" s="2">
        <v>3561.5833374885137</v>
      </c>
      <c r="B953">
        <v>3</v>
      </c>
    </row>
    <row r="954" spans="1:2">
      <c r="A954" s="2">
        <v>86692.320794224041</v>
      </c>
      <c r="B954">
        <v>5</v>
      </c>
    </row>
    <row r="955" spans="1:2">
      <c r="A955" s="2">
        <v>8000</v>
      </c>
      <c r="B955">
        <v>18</v>
      </c>
    </row>
    <row r="956" spans="1:2">
      <c r="A956" s="2">
        <v>6767.0083412281756</v>
      </c>
      <c r="B956">
        <v>6</v>
      </c>
    </row>
    <row r="957" spans="1:2">
      <c r="A957" s="2">
        <v>48073.437298052166</v>
      </c>
      <c r="B957">
        <v>14</v>
      </c>
    </row>
    <row r="958" spans="1:2">
      <c r="A958" s="2">
        <v>76223.966339496474</v>
      </c>
      <c r="B958">
        <v>15</v>
      </c>
    </row>
    <row r="959" spans="1:2">
      <c r="A959" s="2">
        <v>85333.333333333328</v>
      </c>
      <c r="B959">
        <v>15</v>
      </c>
    </row>
    <row r="960" spans="1:2">
      <c r="A960" s="2">
        <v>76223.981237173866</v>
      </c>
      <c r="B960">
        <v>8</v>
      </c>
    </row>
    <row r="961" spans="1:2">
      <c r="A961" s="2">
        <v>30000</v>
      </c>
      <c r="B961">
        <v>5</v>
      </c>
    </row>
    <row r="962" spans="1:2">
      <c r="A962" s="2">
        <v>34000</v>
      </c>
      <c r="B962">
        <v>4</v>
      </c>
    </row>
    <row r="963" spans="1:2">
      <c r="A963" s="2">
        <v>3205.4250037396623</v>
      </c>
      <c r="B963">
        <v>5</v>
      </c>
    </row>
    <row r="964" spans="1:2">
      <c r="A964" s="2">
        <v>45000</v>
      </c>
      <c r="B964">
        <v>5</v>
      </c>
    </row>
    <row r="965" spans="1:2">
      <c r="A965" s="2">
        <v>24864</v>
      </c>
      <c r="B965">
        <v>8</v>
      </c>
    </row>
    <row r="966" spans="1:2">
      <c r="A966" s="2">
        <v>47285.348162018527</v>
      </c>
      <c r="B966">
        <v>7</v>
      </c>
    </row>
    <row r="967" spans="1:2">
      <c r="A967" s="2">
        <v>17807.916687442568</v>
      </c>
      <c r="B967">
        <v>10</v>
      </c>
    </row>
    <row r="968" spans="1:2">
      <c r="A968" s="2">
        <v>55166.239522354947</v>
      </c>
      <c r="B968">
        <v>3</v>
      </c>
    </row>
    <row r="969" spans="1:2">
      <c r="A969" s="2">
        <v>69871.969144538423</v>
      </c>
      <c r="B969">
        <v>5</v>
      </c>
    </row>
    <row r="970" spans="1:2">
      <c r="A970" s="2">
        <v>70970</v>
      </c>
      <c r="B970">
        <v>17</v>
      </c>
    </row>
    <row r="971" spans="1:2">
      <c r="A971" s="2">
        <v>76223.966339496474</v>
      </c>
      <c r="B971">
        <v>7</v>
      </c>
    </row>
    <row r="972" spans="1:2">
      <c r="A972" s="2">
        <v>110000</v>
      </c>
      <c r="B972">
        <v>5</v>
      </c>
    </row>
    <row r="973" spans="1:2">
      <c r="A973" s="2">
        <v>14400</v>
      </c>
      <c r="B973">
        <v>15</v>
      </c>
    </row>
    <row r="974" spans="1:2">
      <c r="A974" s="2">
        <v>125000</v>
      </c>
      <c r="B974">
        <v>8</v>
      </c>
    </row>
    <row r="975" spans="1:2">
      <c r="A975" s="2">
        <v>72768.752704244194</v>
      </c>
      <c r="B975">
        <v>10</v>
      </c>
    </row>
    <row r="976" spans="1:2">
      <c r="A976" s="2">
        <v>59000</v>
      </c>
      <c r="B976">
        <v>15</v>
      </c>
    </row>
    <row r="977" spans="1:2">
      <c r="A977" s="2">
        <v>71500</v>
      </c>
      <c r="B977">
        <v>5</v>
      </c>
    </row>
    <row r="978" spans="1:2">
      <c r="A978" s="2">
        <v>39404.456801682099</v>
      </c>
      <c r="B978">
        <v>2</v>
      </c>
    </row>
    <row r="979" spans="1:2">
      <c r="A979" s="2">
        <v>88927.960729412545</v>
      </c>
      <c r="B979">
        <v>5</v>
      </c>
    </row>
    <row r="980" spans="1:2">
      <c r="A980" s="2">
        <v>90000</v>
      </c>
      <c r="B980">
        <v>25</v>
      </c>
    </row>
    <row r="981" spans="1:2">
      <c r="A981" s="2">
        <v>12465.541681209797</v>
      </c>
      <c r="B981">
        <v>30</v>
      </c>
    </row>
    <row r="982" spans="1:2">
      <c r="A982" s="2">
        <v>40000</v>
      </c>
      <c r="B982">
        <v>8</v>
      </c>
    </row>
    <row r="983" spans="1:2">
      <c r="A983" s="2">
        <v>30000</v>
      </c>
      <c r="B983">
        <v>4</v>
      </c>
    </row>
    <row r="984" spans="1:2">
      <c r="A984" s="2">
        <v>46325</v>
      </c>
      <c r="B984">
        <v>1</v>
      </c>
    </row>
    <row r="985" spans="1:2">
      <c r="A985" s="2">
        <v>15000</v>
      </c>
      <c r="B985">
        <v>8</v>
      </c>
    </row>
    <row r="986" spans="1:2">
      <c r="A986" s="2">
        <v>31200</v>
      </c>
      <c r="B986">
        <v>15</v>
      </c>
    </row>
    <row r="987" spans="1:2">
      <c r="A987" s="2">
        <v>8903.9583437212841</v>
      </c>
      <c r="B987">
        <v>9</v>
      </c>
    </row>
    <row r="988" spans="1:2">
      <c r="A988" s="2">
        <v>15840</v>
      </c>
      <c r="B988">
        <v>8</v>
      </c>
    </row>
    <row r="989" spans="1:2">
      <c r="A989" s="2">
        <v>15136.729184326183</v>
      </c>
      <c r="B989">
        <v>5</v>
      </c>
    </row>
    <row r="990" spans="1:2">
      <c r="A990" s="2">
        <v>41000</v>
      </c>
      <c r="B990">
        <v>10</v>
      </c>
    </row>
    <row r="991" spans="1:2">
      <c r="A991" s="2">
        <v>11000</v>
      </c>
      <c r="B991">
        <v>2</v>
      </c>
    </row>
    <row r="992" spans="1:2">
      <c r="A992" s="2">
        <v>55166.239522354947</v>
      </c>
      <c r="B992">
        <v>30</v>
      </c>
    </row>
    <row r="993" spans="1:2">
      <c r="A993" s="2">
        <v>5689.2125418690484</v>
      </c>
      <c r="B993">
        <v>15</v>
      </c>
    </row>
    <row r="994" spans="1:2">
      <c r="A994" s="2">
        <v>17728</v>
      </c>
      <c r="B994">
        <v>3</v>
      </c>
    </row>
    <row r="995" spans="1:2">
      <c r="A995" s="2">
        <v>13745.704467353951</v>
      </c>
      <c r="B995">
        <v>8</v>
      </c>
    </row>
    <row r="996" spans="1:2">
      <c r="A996" s="2">
        <v>50000</v>
      </c>
      <c r="B996">
        <v>15</v>
      </c>
    </row>
    <row r="997" spans="1:2">
      <c r="A997" s="2">
        <v>78668.921842426149</v>
      </c>
      <c r="B997">
        <v>7</v>
      </c>
    </row>
    <row r="998" spans="1:2">
      <c r="A998" s="2">
        <v>85000</v>
      </c>
      <c r="B998">
        <v>10</v>
      </c>
    </row>
    <row r="999" spans="1:2">
      <c r="A999" s="2">
        <v>101990.96564026357</v>
      </c>
      <c r="B999">
        <v>20</v>
      </c>
    </row>
    <row r="1000" spans="1:2">
      <c r="A1000" s="2">
        <v>100614.72928405051</v>
      </c>
      <c r="B1000">
        <v>6</v>
      </c>
    </row>
    <row r="1001" spans="1:2">
      <c r="A1001" s="2">
        <v>86692.320794224041</v>
      </c>
      <c r="B1001">
        <v>30</v>
      </c>
    </row>
    <row r="1002" spans="1:2">
      <c r="A1002" s="2">
        <v>122389.15876831629</v>
      </c>
      <c r="B1002">
        <v>5</v>
      </c>
    </row>
    <row r="1003" spans="1:2">
      <c r="A1003" s="2">
        <v>6410.8500074793246</v>
      </c>
      <c r="B1003">
        <v>8</v>
      </c>
    </row>
    <row r="1004" spans="1:2">
      <c r="A1004" s="2">
        <v>44000</v>
      </c>
      <c r="B1004">
        <v>3.5</v>
      </c>
    </row>
    <row r="1005" spans="1:2">
      <c r="A1005" s="2">
        <v>4451.9791718606421</v>
      </c>
      <c r="B1005">
        <v>2.5</v>
      </c>
    </row>
    <row r="1006" spans="1:2">
      <c r="A1006" s="2">
        <v>4500</v>
      </c>
      <c r="B1006">
        <v>6</v>
      </c>
    </row>
    <row r="1007" spans="1:2">
      <c r="A1007" s="2">
        <v>30273.458368652366</v>
      </c>
      <c r="B1007">
        <v>6</v>
      </c>
    </row>
    <row r="1008" spans="1:2">
      <c r="A1008" s="2">
        <v>52000</v>
      </c>
      <c r="B1008">
        <v>5</v>
      </c>
    </row>
    <row r="1009" spans="1:2">
      <c r="A1009" s="2">
        <v>75000</v>
      </c>
      <c r="B1009">
        <v>9</v>
      </c>
    </row>
    <row r="1010" spans="1:2">
      <c r="A1010" s="2">
        <v>17807.916687442568</v>
      </c>
      <c r="B1010">
        <v>4</v>
      </c>
    </row>
    <row r="1011" spans="1:2">
      <c r="A1011" s="2">
        <v>177600</v>
      </c>
      <c r="B1011">
        <v>6</v>
      </c>
    </row>
    <row r="1012" spans="1:2">
      <c r="A1012" s="2">
        <v>11575.14584683767</v>
      </c>
      <c r="B1012">
        <v>5</v>
      </c>
    </row>
    <row r="1013" spans="1:2">
      <c r="A1013" s="2">
        <v>26678.388218823762</v>
      </c>
      <c r="B1013">
        <v>10</v>
      </c>
    </row>
    <row r="1014" spans="1:2">
      <c r="A1014" s="2">
        <v>126094.26176538273</v>
      </c>
      <c r="B1014">
        <v>12</v>
      </c>
    </row>
    <row r="1015" spans="1:2">
      <c r="A1015" s="2">
        <v>6000</v>
      </c>
      <c r="B1015">
        <v>2</v>
      </c>
    </row>
    <row r="1016" spans="1:2">
      <c r="A1016" s="2">
        <v>10000</v>
      </c>
      <c r="B1016">
        <v>6</v>
      </c>
    </row>
    <row r="1017" spans="1:2">
      <c r="A1017" s="2">
        <v>50000</v>
      </c>
      <c r="B1017">
        <v>2</v>
      </c>
    </row>
    <row r="1018" spans="1:2">
      <c r="A1018" s="2">
        <v>10000</v>
      </c>
      <c r="B1018">
        <v>12</v>
      </c>
    </row>
    <row r="1019" spans="1:2">
      <c r="A1019" s="2">
        <v>50000</v>
      </c>
      <c r="B1019">
        <v>12</v>
      </c>
    </row>
    <row r="1020" spans="1:2">
      <c r="A1020" s="2">
        <v>20000</v>
      </c>
      <c r="B1020">
        <v>1</v>
      </c>
    </row>
    <row r="1021" spans="1:2">
      <c r="A1021" s="2">
        <v>31523.565441345683</v>
      </c>
      <c r="B1021">
        <v>3</v>
      </c>
    </row>
    <row r="1022" spans="1:2">
      <c r="A1022" s="2">
        <v>63519.971949580387</v>
      </c>
      <c r="B1022">
        <v>10</v>
      </c>
    </row>
    <row r="1023" spans="1:2">
      <c r="A1023" s="2">
        <v>35063.024516168378</v>
      </c>
      <c r="B1023">
        <v>15</v>
      </c>
    </row>
    <row r="1024" spans="1:2">
      <c r="A1024" s="2">
        <v>55000</v>
      </c>
      <c r="B1024">
        <v>2</v>
      </c>
    </row>
    <row r="1025" spans="1:2">
      <c r="A1025" s="2">
        <v>38000</v>
      </c>
      <c r="B1025">
        <v>1</v>
      </c>
    </row>
    <row r="1026" spans="1:2">
      <c r="A1026" s="2">
        <v>32054.250037396621</v>
      </c>
      <c r="B1026">
        <v>1</v>
      </c>
    </row>
    <row r="1027" spans="1:2">
      <c r="A1027" s="2">
        <v>35500</v>
      </c>
      <c r="B1027">
        <v>20</v>
      </c>
    </row>
    <row r="1028" spans="1:2">
      <c r="A1028" s="2">
        <v>62000</v>
      </c>
      <c r="B1028">
        <v>5</v>
      </c>
    </row>
    <row r="1029" spans="1:2">
      <c r="A1029" s="2">
        <v>33887.832849446611</v>
      </c>
      <c r="B1029">
        <v>1</v>
      </c>
    </row>
    <row r="1030" spans="1:2">
      <c r="A1030" s="2">
        <v>60000</v>
      </c>
      <c r="B1030">
        <v>1</v>
      </c>
    </row>
    <row r="1031" spans="1:2">
      <c r="A1031" s="2">
        <v>32884</v>
      </c>
      <c r="B1031">
        <v>10</v>
      </c>
    </row>
    <row r="1032" spans="1:2">
      <c r="A1032" s="2">
        <v>42000</v>
      </c>
      <c r="B1032">
        <v>2</v>
      </c>
    </row>
    <row r="1033" spans="1:2">
      <c r="A1033" s="2">
        <v>68000</v>
      </c>
      <c r="B1033">
        <v>12</v>
      </c>
    </row>
    <row r="1034" spans="1:2">
      <c r="A1034" s="2">
        <v>85000</v>
      </c>
      <c r="B1034">
        <v>8</v>
      </c>
    </row>
    <row r="1035" spans="1:2">
      <c r="A1035" s="2">
        <v>13000</v>
      </c>
      <c r="B1035">
        <v>4</v>
      </c>
    </row>
    <row r="1036" spans="1:2">
      <c r="A1036" s="2">
        <v>15000</v>
      </c>
      <c r="B1036">
        <v>5</v>
      </c>
    </row>
    <row r="1037" spans="1:2">
      <c r="A1037" s="2">
        <v>50000</v>
      </c>
      <c r="B1037">
        <v>8</v>
      </c>
    </row>
    <row r="1038" spans="1:2">
      <c r="A1038" s="2">
        <v>7000</v>
      </c>
      <c r="B1038">
        <v>1</v>
      </c>
    </row>
    <row r="1039" spans="1:2">
      <c r="A1039" s="2">
        <v>140000</v>
      </c>
      <c r="B1039">
        <v>12</v>
      </c>
    </row>
    <row r="1040" spans="1:2">
      <c r="A1040" s="2">
        <v>7123.1666749770275</v>
      </c>
      <c r="B1040">
        <v>2.5</v>
      </c>
    </row>
    <row r="1041" spans="1:2">
      <c r="A1041" s="2">
        <v>58318.59606648951</v>
      </c>
      <c r="B1041">
        <v>9</v>
      </c>
    </row>
    <row r="1042" spans="1:2">
      <c r="A1042" s="2">
        <v>12109.383347460946</v>
      </c>
      <c r="B1042">
        <v>2</v>
      </c>
    </row>
    <row r="1043" spans="1:2">
      <c r="A1043" s="2">
        <v>55000</v>
      </c>
      <c r="B1043">
        <v>1</v>
      </c>
    </row>
    <row r="1044" spans="1:2">
      <c r="A1044" s="2">
        <v>60000</v>
      </c>
      <c r="B1044">
        <v>16</v>
      </c>
    </row>
    <row r="1045" spans="1:2">
      <c r="A1045" s="2">
        <v>5698.5333399816218</v>
      </c>
      <c r="B1045">
        <v>5</v>
      </c>
    </row>
    <row r="1046" spans="1:2">
      <c r="A1046" s="2">
        <v>9376.2513877177607</v>
      </c>
      <c r="B1046">
        <v>7</v>
      </c>
    </row>
    <row r="1047" spans="1:2">
      <c r="A1047" s="2">
        <v>94570.696324037053</v>
      </c>
      <c r="B1047">
        <v>5</v>
      </c>
    </row>
    <row r="1048" spans="1:2">
      <c r="A1048" s="2">
        <v>36000</v>
      </c>
      <c r="B1048">
        <v>5</v>
      </c>
    </row>
    <row r="1049" spans="1:2">
      <c r="A1049" s="2">
        <v>65889.291743537498</v>
      </c>
      <c r="B1049">
        <v>4</v>
      </c>
    </row>
    <row r="1050" spans="1:2">
      <c r="A1050" s="2">
        <v>106000</v>
      </c>
      <c r="B1050">
        <v>7</v>
      </c>
    </row>
    <row r="1051" spans="1:2">
      <c r="A1051" s="2">
        <v>82888.5550559455</v>
      </c>
      <c r="B1051">
        <v>18</v>
      </c>
    </row>
    <row r="1052" spans="1:2">
      <c r="A1052" s="2">
        <v>59819.107020370408</v>
      </c>
      <c r="B1052">
        <v>10</v>
      </c>
    </row>
    <row r="1053" spans="1:2">
      <c r="A1053" s="2">
        <v>6545</v>
      </c>
      <c r="B1053">
        <v>9</v>
      </c>
    </row>
    <row r="1054" spans="1:2">
      <c r="A1054" s="2">
        <v>17807.916687442568</v>
      </c>
      <c r="B1054">
        <v>13</v>
      </c>
    </row>
    <row r="1055" spans="1:2">
      <c r="A1055" s="2">
        <v>54000</v>
      </c>
      <c r="B1055">
        <v>10</v>
      </c>
    </row>
    <row r="1056" spans="1:2">
      <c r="A1056" s="2">
        <v>100000</v>
      </c>
      <c r="B1056">
        <v>4</v>
      </c>
    </row>
    <row r="1057" spans="1:2">
      <c r="A1057" s="2">
        <v>49168.076151516347</v>
      </c>
      <c r="B1057">
        <v>5</v>
      </c>
    </row>
    <row r="1058" spans="1:2">
      <c r="A1058" s="2">
        <v>4019</v>
      </c>
      <c r="B1058">
        <v>3</v>
      </c>
    </row>
    <row r="1059" spans="1:2">
      <c r="A1059" s="2">
        <v>15000</v>
      </c>
      <c r="B1059">
        <v>5</v>
      </c>
    </row>
    <row r="1060" spans="1:2">
      <c r="A1060" s="2">
        <v>17807.916687442568</v>
      </c>
      <c r="B1060">
        <v>4</v>
      </c>
    </row>
    <row r="1061" spans="1:2">
      <c r="A1061" s="2">
        <v>12000</v>
      </c>
      <c r="B1061">
        <v>3</v>
      </c>
    </row>
    <row r="1062" spans="1:2">
      <c r="A1062" s="2">
        <v>2225.989585930321</v>
      </c>
      <c r="B1062">
        <v>4</v>
      </c>
    </row>
    <row r="1063" spans="1:2">
      <c r="A1063" s="2">
        <v>86000</v>
      </c>
      <c r="B1063">
        <v>3</v>
      </c>
    </row>
    <row r="1064" spans="1:2">
      <c r="A1064" s="2">
        <v>6054.6916737304728</v>
      </c>
      <c r="B1064">
        <v>5</v>
      </c>
    </row>
    <row r="1065" spans="1:2">
      <c r="A1065" s="2">
        <v>3360</v>
      </c>
      <c r="B1065">
        <v>3</v>
      </c>
    </row>
    <row r="1066" spans="1:2">
      <c r="A1066" s="2">
        <v>10000</v>
      </c>
      <c r="B1066">
        <v>1</v>
      </c>
    </row>
    <row r="1067" spans="1:2">
      <c r="A1067" s="2">
        <v>70000</v>
      </c>
      <c r="B1067">
        <v>9</v>
      </c>
    </row>
    <row r="1068" spans="1:2">
      <c r="A1068" s="2">
        <v>155000</v>
      </c>
      <c r="B1068">
        <v>14</v>
      </c>
    </row>
    <row r="1069" spans="1:2">
      <c r="A1069" s="2">
        <v>225000</v>
      </c>
      <c r="B1069">
        <v>15</v>
      </c>
    </row>
    <row r="1070" spans="1:2">
      <c r="A1070" s="2">
        <v>10000</v>
      </c>
      <c r="B1070">
        <v>2</v>
      </c>
    </row>
    <row r="1071" spans="1:2">
      <c r="A1071" s="2">
        <v>5342.3750062327708</v>
      </c>
      <c r="B1071">
        <v>8</v>
      </c>
    </row>
    <row r="1072" spans="1:2">
      <c r="A1072" s="2">
        <v>85672.4111378214</v>
      </c>
      <c r="B1072">
        <v>6</v>
      </c>
    </row>
    <row r="1073" spans="1:2">
      <c r="A1073" s="2">
        <v>4273.9000049862161</v>
      </c>
      <c r="B1073">
        <v>15</v>
      </c>
    </row>
    <row r="1074" spans="1:2">
      <c r="A1074" s="2">
        <v>8903.9583437212841</v>
      </c>
      <c r="B1074">
        <v>20</v>
      </c>
    </row>
    <row r="1075" spans="1:2">
      <c r="A1075" s="2">
        <v>66199.48742682593</v>
      </c>
      <c r="B1075">
        <v>23</v>
      </c>
    </row>
    <row r="1076" spans="1:2">
      <c r="A1076" s="2">
        <v>5698.5333399816218</v>
      </c>
      <c r="B1076">
        <v>2.5</v>
      </c>
    </row>
    <row r="1077" spans="1:2">
      <c r="A1077" s="2">
        <v>34675.92198548025</v>
      </c>
      <c r="B1077">
        <v>17</v>
      </c>
    </row>
    <row r="1078" spans="1:2">
      <c r="A1078" s="2">
        <v>31200</v>
      </c>
      <c r="B1078">
        <v>11</v>
      </c>
    </row>
    <row r="1079" spans="1:2">
      <c r="A1079" s="2">
        <v>55068.245289698301</v>
      </c>
      <c r="B1079">
        <v>1</v>
      </c>
    </row>
    <row r="1080" spans="1:2">
      <c r="A1080" s="2">
        <v>13000</v>
      </c>
      <c r="B1080">
        <v>6</v>
      </c>
    </row>
    <row r="1081" spans="1:2">
      <c r="A1081" s="2">
        <v>92000</v>
      </c>
      <c r="B1081">
        <v>12</v>
      </c>
    </row>
    <row r="1082" spans="1:2">
      <c r="A1082" s="2">
        <v>85000</v>
      </c>
      <c r="B1082">
        <v>10</v>
      </c>
    </row>
    <row r="1083" spans="1:2">
      <c r="A1083" s="2">
        <v>11000</v>
      </c>
      <c r="B1083">
        <v>8</v>
      </c>
    </row>
    <row r="1084" spans="1:2">
      <c r="A1084" s="2">
        <v>38111.983169748237</v>
      </c>
      <c r="B1084">
        <v>12</v>
      </c>
    </row>
    <row r="1085" spans="1:2">
      <c r="A1085" s="2">
        <v>49000</v>
      </c>
      <c r="B1085">
        <v>3</v>
      </c>
    </row>
    <row r="1086" spans="1:2">
      <c r="A1086" s="2">
        <v>59000</v>
      </c>
      <c r="B1086">
        <v>3</v>
      </c>
    </row>
    <row r="1087" spans="1:2">
      <c r="A1087" s="2">
        <v>55000</v>
      </c>
      <c r="B1087">
        <v>15</v>
      </c>
    </row>
    <row r="1088" spans="1:2">
      <c r="A1088" s="2">
        <v>75000</v>
      </c>
      <c r="B1088">
        <v>10</v>
      </c>
    </row>
    <row r="1089" spans="1:2">
      <c r="A1089" s="2">
        <v>50307.817784067665</v>
      </c>
      <c r="B1089">
        <v>5</v>
      </c>
    </row>
    <row r="1090" spans="1:2">
      <c r="A1090" s="2">
        <v>30500</v>
      </c>
      <c r="B1090">
        <v>8</v>
      </c>
    </row>
    <row r="1091" spans="1:2">
      <c r="A1091" s="2">
        <v>80000</v>
      </c>
      <c r="B1091">
        <v>2</v>
      </c>
    </row>
    <row r="1092" spans="1:2">
      <c r="A1092" s="2">
        <v>12000</v>
      </c>
      <c r="B1092">
        <v>1</v>
      </c>
    </row>
    <row r="1093" spans="1:2">
      <c r="A1093" s="2">
        <v>48500</v>
      </c>
      <c r="B1093">
        <v>6</v>
      </c>
    </row>
    <row r="1094" spans="1:2">
      <c r="A1094" s="2">
        <v>63047.130882691366</v>
      </c>
      <c r="B1094">
        <v>25</v>
      </c>
    </row>
    <row r="1095" spans="1:2">
      <c r="A1095" s="2">
        <v>3419.1200039889732</v>
      </c>
      <c r="B1095">
        <v>5</v>
      </c>
    </row>
    <row r="1096" spans="1:2">
      <c r="A1096" s="2">
        <v>87734.690296543267</v>
      </c>
      <c r="B1096">
        <v>6</v>
      </c>
    </row>
    <row r="1097" spans="1:2">
      <c r="A1097" s="2">
        <v>56628.754645950656</v>
      </c>
      <c r="B1097">
        <v>6</v>
      </c>
    </row>
    <row r="1098" spans="1:2">
      <c r="A1098" s="2">
        <v>8013.5625093491553</v>
      </c>
      <c r="B1098">
        <v>4</v>
      </c>
    </row>
    <row r="1099" spans="1:2">
      <c r="A1099" s="2">
        <v>3561.5833374885137</v>
      </c>
      <c r="B1099">
        <v>16</v>
      </c>
    </row>
    <row r="1100" spans="1:2">
      <c r="A1100" s="2">
        <v>62000</v>
      </c>
      <c r="B1100">
        <v>12</v>
      </c>
    </row>
    <row r="1101" spans="1:2">
      <c r="A1101" s="2">
        <v>26678.388218823762</v>
      </c>
      <c r="B1101">
        <v>5</v>
      </c>
    </row>
    <row r="1102" spans="1:2">
      <c r="A1102" s="2">
        <v>70928.022243027779</v>
      </c>
      <c r="B1102">
        <v>5</v>
      </c>
    </row>
    <row r="1103" spans="1:2">
      <c r="A1103" s="2">
        <v>41923.181486723057</v>
      </c>
      <c r="B1103">
        <v>6</v>
      </c>
    </row>
    <row r="1104" spans="1:2">
      <c r="A1104" s="2">
        <v>90000</v>
      </c>
      <c r="B1104">
        <v>8</v>
      </c>
    </row>
    <row r="1105" spans="1:2">
      <c r="A1105" s="2">
        <v>67700.452577525488</v>
      </c>
      <c r="B1105">
        <v>5</v>
      </c>
    </row>
    <row r="1106" spans="1:2">
      <c r="A1106" s="2">
        <v>85000</v>
      </c>
      <c r="B1106">
        <v>12</v>
      </c>
    </row>
    <row r="1107" spans="1:2">
      <c r="A1107" s="2">
        <v>78808.913603364199</v>
      </c>
      <c r="B1107">
        <v>10</v>
      </c>
    </row>
    <row r="1108" spans="1:2">
      <c r="A1108" s="2">
        <v>65000</v>
      </c>
      <c r="B1108">
        <v>8</v>
      </c>
    </row>
    <row r="1109" spans="1:2">
      <c r="A1109" s="2">
        <v>75000</v>
      </c>
      <c r="B1109">
        <v>3</v>
      </c>
    </row>
    <row r="1110" spans="1:2">
      <c r="A1110" s="2">
        <v>92000</v>
      </c>
      <c r="B1110">
        <v>9</v>
      </c>
    </row>
    <row r="1111" spans="1:2">
      <c r="A1111" s="2">
        <v>50815.977559664309</v>
      </c>
      <c r="B1111">
        <v>3</v>
      </c>
    </row>
    <row r="1112" spans="1:2">
      <c r="A1112" s="2">
        <v>55954.328658388586</v>
      </c>
      <c r="B1112">
        <v>8</v>
      </c>
    </row>
    <row r="1113" spans="1:2">
      <c r="A1113" s="2">
        <v>45000</v>
      </c>
      <c r="B1113">
        <v>4</v>
      </c>
    </row>
    <row r="1114" spans="1:2">
      <c r="A1114" s="2">
        <v>7123.1666749770275</v>
      </c>
      <c r="B1114">
        <v>4</v>
      </c>
    </row>
    <row r="1115" spans="1:2">
      <c r="A1115" s="2">
        <v>49443.946165553374</v>
      </c>
      <c r="B1115">
        <v>1.5</v>
      </c>
    </row>
    <row r="1116" spans="1:2">
      <c r="A1116" s="2">
        <v>45000</v>
      </c>
      <c r="B1116">
        <v>5</v>
      </c>
    </row>
    <row r="1117" spans="1:2">
      <c r="A1117" s="2">
        <v>60000</v>
      </c>
      <c r="B1117">
        <v>1</v>
      </c>
    </row>
    <row r="1118" spans="1:2">
      <c r="A1118" s="2">
        <v>65000</v>
      </c>
      <c r="B1118">
        <v>4</v>
      </c>
    </row>
    <row r="1119" spans="1:2">
      <c r="A1119" s="2">
        <v>73000</v>
      </c>
      <c r="B1119">
        <v>6</v>
      </c>
    </row>
    <row r="1120" spans="1:2">
      <c r="A1120" s="2">
        <v>54000</v>
      </c>
      <c r="B1120">
        <v>6</v>
      </c>
    </row>
    <row r="1121" spans="1:2">
      <c r="A1121" s="2">
        <v>81000</v>
      </c>
      <c r="B1121">
        <v>6</v>
      </c>
    </row>
    <row r="1122" spans="1:2">
      <c r="A1122" s="2">
        <v>10000</v>
      </c>
      <c r="B1122">
        <v>2</v>
      </c>
    </row>
    <row r="1123" spans="1:2">
      <c r="A1123" s="2">
        <v>42000</v>
      </c>
      <c r="B1123">
        <v>1</v>
      </c>
    </row>
    <row r="1124" spans="1:2">
      <c r="A1124" s="2">
        <v>81592.772512210868</v>
      </c>
      <c r="B1124">
        <v>5</v>
      </c>
    </row>
    <row r="1125" spans="1:2">
      <c r="A1125" s="2">
        <v>35401.014829091764</v>
      </c>
      <c r="B1125">
        <v>2</v>
      </c>
    </row>
    <row r="1126" spans="1:2">
      <c r="A1126" s="2">
        <v>8903.9583437212841</v>
      </c>
      <c r="B1126">
        <v>4</v>
      </c>
    </row>
    <row r="1127" spans="1:2">
      <c r="A1127" s="2">
        <v>10684.750012465542</v>
      </c>
      <c r="B1127">
        <v>5</v>
      </c>
    </row>
    <row r="1128" spans="1:2">
      <c r="A1128" s="2">
        <v>8400</v>
      </c>
      <c r="B1128">
        <v>14</v>
      </c>
    </row>
    <row r="1129" spans="1:2">
      <c r="A1129" s="2">
        <v>9794.354178093412</v>
      </c>
      <c r="B1129">
        <v>13</v>
      </c>
    </row>
    <row r="1130" spans="1:2">
      <c r="A1130" s="2">
        <v>14400</v>
      </c>
      <c r="B1130">
        <v>8</v>
      </c>
    </row>
    <row r="1131" spans="1:2">
      <c r="A1131" s="2">
        <v>2671.1875031163854</v>
      </c>
      <c r="B1131">
        <v>3</v>
      </c>
    </row>
    <row r="1132" spans="1:2">
      <c r="A1132" s="2">
        <v>22000</v>
      </c>
      <c r="B1132">
        <v>6</v>
      </c>
    </row>
    <row r="1133" spans="1:2">
      <c r="A1133" s="2">
        <v>100000</v>
      </c>
      <c r="B1133">
        <v>6</v>
      </c>
    </row>
    <row r="1134" spans="1:2">
      <c r="A1134" s="2">
        <v>63047.130882691366</v>
      </c>
      <c r="B1134">
        <v>15</v>
      </c>
    </row>
    <row r="1135" spans="1:2">
      <c r="A1135" s="2">
        <v>56742.417794422225</v>
      </c>
      <c r="B1135">
        <v>25</v>
      </c>
    </row>
    <row r="1136" spans="1:2">
      <c r="A1136" s="2">
        <v>25000</v>
      </c>
      <c r="B1136">
        <v>8</v>
      </c>
    </row>
    <row r="1137" spans="1:2">
      <c r="A1137" s="2">
        <v>8903.9583437212841</v>
      </c>
      <c r="B1137">
        <v>2</v>
      </c>
    </row>
    <row r="1138" spans="1:2">
      <c r="A1138" s="2">
        <v>42556.81334581667</v>
      </c>
      <c r="B1138">
        <v>2</v>
      </c>
    </row>
    <row r="1139" spans="1:2">
      <c r="A1139" s="2">
        <v>131770.4440860638</v>
      </c>
      <c r="B1139">
        <v>20</v>
      </c>
    </row>
    <row r="1140" spans="1:2">
      <c r="A1140" s="2">
        <v>68835.306612122877</v>
      </c>
      <c r="B1140">
        <v>2</v>
      </c>
    </row>
    <row r="1141" spans="1:2">
      <c r="A1141" s="2">
        <v>6000</v>
      </c>
      <c r="B1141">
        <v>5</v>
      </c>
    </row>
    <row r="1142" spans="1:2">
      <c r="A1142" s="2">
        <v>78808.913603364199</v>
      </c>
      <c r="B1142">
        <v>2</v>
      </c>
    </row>
    <row r="1143" spans="1:2">
      <c r="A1143" s="2">
        <v>7497.1329254133216</v>
      </c>
      <c r="B1143">
        <v>4</v>
      </c>
    </row>
    <row r="1144" spans="1:2">
      <c r="A1144" s="2">
        <v>10000</v>
      </c>
      <c r="B1144">
        <v>11</v>
      </c>
    </row>
    <row r="1145" spans="1:2">
      <c r="A1145" s="2">
        <v>6410.8500074793246</v>
      </c>
      <c r="B1145">
        <v>2</v>
      </c>
    </row>
    <row r="1146" spans="1:2">
      <c r="A1146" s="2">
        <v>63047.130882691366</v>
      </c>
      <c r="B1146">
        <v>5</v>
      </c>
    </row>
    <row r="1147" spans="1:2">
      <c r="A1147" s="2">
        <v>61194.579384158147</v>
      </c>
      <c r="B1147">
        <v>3</v>
      </c>
    </row>
    <row r="1148" spans="1:2">
      <c r="A1148" s="2">
        <v>115061.01386091174</v>
      </c>
      <c r="B1148">
        <v>8</v>
      </c>
    </row>
    <row r="1149" spans="1:2">
      <c r="A1149" s="2">
        <v>45000</v>
      </c>
      <c r="B1149">
        <v>2</v>
      </c>
    </row>
    <row r="1150" spans="1:2">
      <c r="A1150" s="2">
        <v>36000</v>
      </c>
      <c r="B1150">
        <v>4</v>
      </c>
    </row>
    <row r="1151" spans="1:2">
      <c r="A1151" s="2">
        <v>68000</v>
      </c>
      <c r="B1151">
        <v>2.5</v>
      </c>
    </row>
    <row r="1152" spans="1:2">
      <c r="A1152" s="2">
        <v>75000</v>
      </c>
      <c r="B1152">
        <v>5</v>
      </c>
    </row>
    <row r="1153" spans="1:2">
      <c r="A1153" s="2">
        <v>88000</v>
      </c>
      <c r="B1153">
        <v>10</v>
      </c>
    </row>
    <row r="1154" spans="1:2">
      <c r="A1154" s="2">
        <v>4594.4425053601826</v>
      </c>
      <c r="B1154">
        <v>4</v>
      </c>
    </row>
    <row r="1155" spans="1:2">
      <c r="A1155" s="2">
        <v>69000</v>
      </c>
      <c r="B1155">
        <v>15</v>
      </c>
    </row>
    <row r="1156" spans="1:2">
      <c r="A1156" s="2">
        <v>30000</v>
      </c>
      <c r="B1156">
        <v>1</v>
      </c>
    </row>
    <row r="1157" spans="1:2">
      <c r="A1157" s="2">
        <v>80000</v>
      </c>
      <c r="B1157">
        <v>7</v>
      </c>
    </row>
    <row r="1158" spans="1:2">
      <c r="A1158" s="2">
        <v>75000</v>
      </c>
      <c r="B1158">
        <v>1</v>
      </c>
    </row>
    <row r="1159" spans="1:2">
      <c r="A1159" s="2">
        <v>31200</v>
      </c>
      <c r="B1159">
        <v>4</v>
      </c>
    </row>
    <row r="1160" spans="1:2">
      <c r="A1160" s="2">
        <v>85000</v>
      </c>
      <c r="B1160">
        <v>20</v>
      </c>
    </row>
    <row r="1161" spans="1:2">
      <c r="A1161" s="2">
        <v>16917.52085307044</v>
      </c>
      <c r="B1161">
        <v>9</v>
      </c>
    </row>
    <row r="1162" spans="1:2">
      <c r="A1162" s="2">
        <v>3205.4250037396623</v>
      </c>
      <c r="B1162">
        <v>2</v>
      </c>
    </row>
    <row r="1163" spans="1:2">
      <c r="A1163" s="2">
        <v>60000</v>
      </c>
      <c r="B1163">
        <v>2</v>
      </c>
    </row>
    <row r="1164" spans="1:2">
      <c r="A1164" s="2">
        <v>60000</v>
      </c>
      <c r="B1164">
        <v>2</v>
      </c>
    </row>
    <row r="1165" spans="1:2">
      <c r="A1165" s="2">
        <v>14246.333349954055</v>
      </c>
      <c r="B1165">
        <v>0</v>
      </c>
    </row>
    <row r="1166" spans="1:2">
      <c r="A1166" s="2">
        <v>14246.333349954055</v>
      </c>
      <c r="B1166">
        <v>0</v>
      </c>
    </row>
    <row r="1167" spans="1:2">
      <c r="A1167" s="2">
        <v>28995</v>
      </c>
      <c r="B1167">
        <v>6</v>
      </c>
    </row>
    <row r="1168" spans="1:2">
      <c r="A1168" s="2">
        <v>21903.737525554359</v>
      </c>
      <c r="B1168">
        <v>3</v>
      </c>
    </row>
    <row r="1169" spans="1:2">
      <c r="A1169" s="2">
        <v>20122.945856810104</v>
      </c>
      <c r="B1169">
        <v>3</v>
      </c>
    </row>
    <row r="1170" spans="1:2">
      <c r="A1170" s="2">
        <v>70928.022243027779</v>
      </c>
      <c r="B1170">
        <v>20</v>
      </c>
    </row>
    <row r="1171" spans="1:2">
      <c r="A1171" s="2">
        <v>67000</v>
      </c>
      <c r="B1171">
        <v>16</v>
      </c>
    </row>
    <row r="1172" spans="1:2">
      <c r="A1172" s="2">
        <v>30000</v>
      </c>
      <c r="B1172">
        <v>4</v>
      </c>
    </row>
    <row r="1173" spans="1:2">
      <c r="A1173" s="2">
        <v>148102.22862117883</v>
      </c>
      <c r="B1173">
        <v>6</v>
      </c>
    </row>
    <row r="1174" spans="1:2">
      <c r="A1174" s="2">
        <v>71500</v>
      </c>
      <c r="B1174">
        <v>11</v>
      </c>
    </row>
    <row r="1175" spans="1:2">
      <c r="A1175" s="2">
        <v>67000</v>
      </c>
      <c r="B1175">
        <v>6</v>
      </c>
    </row>
    <row r="1176" spans="1:2">
      <c r="A1176" s="2">
        <v>40000</v>
      </c>
      <c r="B1176">
        <v>5</v>
      </c>
    </row>
    <row r="1177" spans="1:2">
      <c r="A1177" s="2">
        <v>65000</v>
      </c>
      <c r="B1177">
        <v>2</v>
      </c>
    </row>
    <row r="1178" spans="1:2">
      <c r="A1178" s="2">
        <v>72000</v>
      </c>
      <c r="B1178">
        <v>13</v>
      </c>
    </row>
    <row r="1179" spans="1:2">
      <c r="A1179" s="2">
        <v>52500</v>
      </c>
      <c r="B1179">
        <v>3</v>
      </c>
    </row>
    <row r="1180" spans="1:2">
      <c r="A1180" s="2">
        <v>5320</v>
      </c>
      <c r="B1180">
        <v>5</v>
      </c>
    </row>
    <row r="1181" spans="1:2">
      <c r="A1181" s="2">
        <v>18000</v>
      </c>
      <c r="B1181">
        <v>3</v>
      </c>
    </row>
    <row r="1182" spans="1:2">
      <c r="A1182" s="2">
        <v>2493.1083362419595</v>
      </c>
      <c r="B1182">
        <v>5</v>
      </c>
    </row>
    <row r="1183" spans="1:2">
      <c r="A1183" s="2">
        <v>21342.710575059013</v>
      </c>
      <c r="B1183">
        <v>15</v>
      </c>
    </row>
    <row r="1184" spans="1:2">
      <c r="A1184" s="2">
        <v>85000</v>
      </c>
      <c r="B1184">
        <v>15</v>
      </c>
    </row>
    <row r="1185" spans="1:2">
      <c r="A1185" s="2">
        <v>80000</v>
      </c>
      <c r="B1185">
        <v>9</v>
      </c>
    </row>
    <row r="1186" spans="1:2">
      <c r="A1186" s="2">
        <v>8903.9583437212841</v>
      </c>
      <c r="B1186">
        <v>0</v>
      </c>
    </row>
    <row r="1187" spans="1:2">
      <c r="A1187" s="2">
        <v>125000</v>
      </c>
      <c r="B1187">
        <v>10</v>
      </c>
    </row>
    <row r="1188" spans="1:2">
      <c r="A1188" s="2">
        <v>23150.291693675339</v>
      </c>
      <c r="B1188">
        <v>9</v>
      </c>
    </row>
    <row r="1189" spans="1:2">
      <c r="A1189" s="2">
        <v>12000</v>
      </c>
      <c r="B1189">
        <v>7</v>
      </c>
    </row>
    <row r="1190" spans="1:2">
      <c r="A1190" s="2">
        <v>30000</v>
      </c>
      <c r="B1190">
        <v>12</v>
      </c>
    </row>
    <row r="1191" spans="1:2">
      <c r="A1191" s="2">
        <v>91468.759607395754</v>
      </c>
      <c r="B1191">
        <v>3</v>
      </c>
    </row>
    <row r="1192" spans="1:2">
      <c r="A1192" s="2">
        <v>35148.775467100437</v>
      </c>
      <c r="B1192">
        <v>4</v>
      </c>
    </row>
    <row r="1193" spans="1:2">
      <c r="A1193" s="2">
        <v>49153.119414418252</v>
      </c>
      <c r="B1193">
        <v>7</v>
      </c>
    </row>
    <row r="1194" spans="1:2">
      <c r="A1194" s="2">
        <v>2671.1875031163854</v>
      </c>
      <c r="B1194">
        <v>1</v>
      </c>
    </row>
    <row r="1195" spans="1:2">
      <c r="A1195" s="2">
        <v>42556.81334581667</v>
      </c>
      <c r="B1195">
        <v>3</v>
      </c>
    </row>
    <row r="1196" spans="1:2">
      <c r="A1196" s="2">
        <v>42556.81334581667</v>
      </c>
      <c r="B1196">
        <v>3</v>
      </c>
    </row>
    <row r="1197" spans="1:2">
      <c r="A1197" s="2">
        <v>74461</v>
      </c>
      <c r="B1197">
        <v>9</v>
      </c>
    </row>
    <row r="1198" spans="1:2">
      <c r="A1198" s="2">
        <v>41768.724209783031</v>
      </c>
      <c r="B1198">
        <v>16</v>
      </c>
    </row>
    <row r="1199" spans="1:2">
      <c r="A1199" s="2">
        <v>8547.8000099724322</v>
      </c>
      <c r="B1199">
        <v>1</v>
      </c>
    </row>
    <row r="1200" spans="1:2">
      <c r="A1200" s="2">
        <v>2400</v>
      </c>
      <c r="B1200">
        <v>3</v>
      </c>
    </row>
    <row r="1201" spans="1:2">
      <c r="A1201" s="2">
        <v>3000</v>
      </c>
      <c r="B1201">
        <v>12</v>
      </c>
    </row>
    <row r="1202" spans="1:2">
      <c r="A1202" s="2">
        <v>11000</v>
      </c>
      <c r="B1202">
        <v>2</v>
      </c>
    </row>
    <row r="1203" spans="1:2">
      <c r="A1203" s="2">
        <v>40000</v>
      </c>
      <c r="B1203">
        <v>2</v>
      </c>
    </row>
    <row r="1204" spans="1:2">
      <c r="A1204" s="2">
        <v>3600</v>
      </c>
      <c r="B1204">
        <v>1</v>
      </c>
    </row>
    <row r="1205" spans="1:2">
      <c r="A1205" s="2">
        <v>56600</v>
      </c>
      <c r="B1205">
        <v>12</v>
      </c>
    </row>
    <row r="1206" spans="1:2">
      <c r="A1206" s="2">
        <v>33600</v>
      </c>
      <c r="B1206">
        <v>2</v>
      </c>
    </row>
    <row r="1207" spans="1:2">
      <c r="A1207" s="2">
        <v>33600</v>
      </c>
      <c r="B1207">
        <v>2</v>
      </c>
    </row>
    <row r="1208" spans="1:2">
      <c r="A1208" s="2">
        <v>100000</v>
      </c>
      <c r="B1208">
        <v>12</v>
      </c>
    </row>
    <row r="1209" spans="1:2">
      <c r="A1209" s="2">
        <v>39334.460921213074</v>
      </c>
      <c r="B1209">
        <v>1</v>
      </c>
    </row>
    <row r="1210" spans="1:2">
      <c r="A1210" s="2">
        <v>7123.1666749770275</v>
      </c>
      <c r="B1210">
        <v>3</v>
      </c>
    </row>
    <row r="1211" spans="1:2">
      <c r="A1211" s="2">
        <v>65000</v>
      </c>
      <c r="B1211">
        <v>14</v>
      </c>
    </row>
    <row r="1212" spans="1:2">
      <c r="A1212" s="2">
        <v>65000</v>
      </c>
      <c r="B1212">
        <v>10</v>
      </c>
    </row>
    <row r="1213" spans="1:2">
      <c r="A1213" s="2">
        <v>65000</v>
      </c>
      <c r="B1213">
        <v>13</v>
      </c>
    </row>
    <row r="1214" spans="1:2">
      <c r="A1214" s="2">
        <v>76702.198796365497</v>
      </c>
      <c r="B1214">
        <v>4</v>
      </c>
    </row>
    <row r="1215" spans="1:2">
      <c r="A1215" s="2">
        <v>63000</v>
      </c>
      <c r="B1215">
        <v>10</v>
      </c>
    </row>
    <row r="1216" spans="1:2">
      <c r="A1216" s="2">
        <v>87000</v>
      </c>
      <c r="B1216">
        <v>3</v>
      </c>
    </row>
    <row r="1217" spans="1:2">
      <c r="A1217" s="2">
        <v>45000</v>
      </c>
      <c r="B1217">
        <v>4</v>
      </c>
    </row>
    <row r="1218" spans="1:2">
      <c r="A1218" s="2">
        <v>85000</v>
      </c>
      <c r="B1218">
        <v>3</v>
      </c>
    </row>
    <row r="1219" spans="1:2">
      <c r="A1219" s="2">
        <v>159105.90639881117</v>
      </c>
      <c r="B1219">
        <v>12</v>
      </c>
    </row>
    <row r="1220" spans="1:2">
      <c r="A1220" s="2">
        <v>9972.4333449678379</v>
      </c>
      <c r="B1220">
        <v>4</v>
      </c>
    </row>
    <row r="1221" spans="1:2">
      <c r="A1221" s="2">
        <v>14000</v>
      </c>
      <c r="B1221">
        <v>5</v>
      </c>
    </row>
    <row r="1222" spans="1:2">
      <c r="A1222" s="2">
        <v>50437.70470615309</v>
      </c>
      <c r="B1222">
        <v>20</v>
      </c>
    </row>
    <row r="1223" spans="1:2">
      <c r="A1223" s="2">
        <v>50437.70470615309</v>
      </c>
      <c r="B1223">
        <v>1</v>
      </c>
    </row>
    <row r="1224" spans="1:2">
      <c r="A1224" s="2">
        <v>13603.016099449767</v>
      </c>
      <c r="B1224">
        <v>8</v>
      </c>
    </row>
    <row r="1225" spans="1:2">
      <c r="A1225" s="2">
        <v>147886.90017838217</v>
      </c>
      <c r="B1225">
        <v>15</v>
      </c>
    </row>
    <row r="1226" spans="1:2">
      <c r="A1226" s="2">
        <v>4986.216672483919</v>
      </c>
      <c r="B1226">
        <v>8</v>
      </c>
    </row>
    <row r="1227" spans="1:2">
      <c r="A1227" s="2">
        <v>4800</v>
      </c>
      <c r="B1227">
        <v>3</v>
      </c>
    </row>
    <row r="1228" spans="1:2">
      <c r="A1228" s="2">
        <v>8013.5625093491553</v>
      </c>
      <c r="B1228">
        <v>4</v>
      </c>
    </row>
    <row r="1229" spans="1:2">
      <c r="A1229" s="2">
        <v>80000</v>
      </c>
      <c r="B1229">
        <v>2</v>
      </c>
    </row>
    <row r="1230" spans="1:2">
      <c r="A1230" s="2">
        <v>57167.974754622352</v>
      </c>
      <c r="B1230">
        <v>14</v>
      </c>
    </row>
    <row r="1231" spans="1:2">
      <c r="A1231" s="2">
        <v>20000</v>
      </c>
      <c r="B1231">
        <v>2</v>
      </c>
    </row>
    <row r="1232" spans="1:2">
      <c r="A1232" s="2">
        <v>70000</v>
      </c>
      <c r="B1232">
        <v>5</v>
      </c>
    </row>
    <row r="1233" spans="1:2">
      <c r="A1233" s="2">
        <v>214000</v>
      </c>
      <c r="B1233">
        <v>20</v>
      </c>
    </row>
    <row r="1234" spans="1:2">
      <c r="A1234" s="2">
        <v>78000</v>
      </c>
      <c r="B1234">
        <v>5</v>
      </c>
    </row>
    <row r="1235" spans="1:2">
      <c r="A1235" s="2">
        <v>42307</v>
      </c>
      <c r="B1235">
        <v>25</v>
      </c>
    </row>
    <row r="1236" spans="1:2">
      <c r="A1236" s="2">
        <v>33250</v>
      </c>
      <c r="B1236">
        <v>20</v>
      </c>
    </row>
    <row r="1237" spans="1:2">
      <c r="A1237" s="2">
        <v>24391.669228638868</v>
      </c>
      <c r="B1237">
        <v>10</v>
      </c>
    </row>
    <row r="1238" spans="1:2">
      <c r="A1238" s="2">
        <v>120000</v>
      </c>
      <c r="B1238">
        <v>20</v>
      </c>
    </row>
    <row r="1239" spans="1:2">
      <c r="A1239" s="2">
        <v>20000</v>
      </c>
      <c r="B1239">
        <v>1</v>
      </c>
    </row>
    <row r="1240" spans="1:2">
      <c r="A1240" s="2">
        <v>15000</v>
      </c>
      <c r="B1240">
        <v>0.3</v>
      </c>
    </row>
    <row r="1241" spans="1:2">
      <c r="A1241" s="2">
        <v>17807.916687442568</v>
      </c>
      <c r="B1241">
        <v>10</v>
      </c>
    </row>
    <row r="1242" spans="1:2">
      <c r="A1242" s="2">
        <v>16027.125018698311</v>
      </c>
      <c r="B1242">
        <v>6</v>
      </c>
    </row>
    <row r="1243" spans="1:2">
      <c r="A1243" s="2">
        <v>56742.417794422225</v>
      </c>
      <c r="B1243">
        <v>7</v>
      </c>
    </row>
    <row r="1244" spans="1:2">
      <c r="A1244" s="2">
        <v>21369.500024931083</v>
      </c>
      <c r="B1244">
        <v>7</v>
      </c>
    </row>
    <row r="1245" spans="1:2">
      <c r="A1245" s="2">
        <v>7568.3645921630914</v>
      </c>
      <c r="B1245">
        <v>6</v>
      </c>
    </row>
    <row r="1246" spans="1:2">
      <c r="A1246" s="2">
        <v>78808.913603364199</v>
      </c>
      <c r="B1246">
        <v>10</v>
      </c>
    </row>
    <row r="1247" spans="1:2">
      <c r="A1247" s="2">
        <v>60000</v>
      </c>
      <c r="B1247">
        <v>15</v>
      </c>
    </row>
    <row r="1248" spans="1:2">
      <c r="A1248" s="2">
        <v>57000</v>
      </c>
      <c r="B1248">
        <v>9</v>
      </c>
    </row>
    <row r="1249" spans="1:2">
      <c r="A1249" s="2">
        <v>40000</v>
      </c>
      <c r="B1249">
        <v>0</v>
      </c>
    </row>
    <row r="1250" spans="1:2">
      <c r="A1250" s="2">
        <v>80000</v>
      </c>
      <c r="B1250">
        <v>9</v>
      </c>
    </row>
    <row r="1251" spans="1:2">
      <c r="A1251" s="2">
        <v>118000</v>
      </c>
      <c r="B1251">
        <v>6</v>
      </c>
    </row>
    <row r="1252" spans="1:2">
      <c r="A1252" s="2">
        <v>60000</v>
      </c>
      <c r="B1252">
        <v>5</v>
      </c>
    </row>
    <row r="1253" spans="1:2">
      <c r="A1253" s="2">
        <v>6720</v>
      </c>
      <c r="B1253">
        <v>5</v>
      </c>
    </row>
    <row r="1254" spans="1:2">
      <c r="A1254" s="2">
        <v>20640</v>
      </c>
      <c r="B1254">
        <v>3</v>
      </c>
    </row>
    <row r="1255" spans="1:2">
      <c r="A1255" s="2">
        <v>50000</v>
      </c>
      <c r="B1255">
        <v>15</v>
      </c>
    </row>
    <row r="1256" spans="1:2">
      <c r="A1256" s="2">
        <v>24000</v>
      </c>
      <c r="B1256">
        <v>23</v>
      </c>
    </row>
    <row r="1257" spans="1:2">
      <c r="A1257" s="2">
        <v>60000</v>
      </c>
      <c r="B1257">
        <v>3</v>
      </c>
    </row>
    <row r="1258" spans="1:2">
      <c r="A1258" s="2">
        <v>37500</v>
      </c>
      <c r="B1258">
        <v>0</v>
      </c>
    </row>
    <row r="1259" spans="1:2">
      <c r="A1259" s="2">
        <v>40000</v>
      </c>
      <c r="B1259">
        <v>1</v>
      </c>
    </row>
    <row r="1260" spans="1:2">
      <c r="A1260" s="2">
        <v>85000</v>
      </c>
      <c r="B1260">
        <v>15</v>
      </c>
    </row>
    <row r="1261" spans="1:2">
      <c r="A1261" s="2">
        <v>30000</v>
      </c>
      <c r="B1261">
        <v>1</v>
      </c>
    </row>
    <row r="1262" spans="1:2">
      <c r="A1262" s="2">
        <v>52801.972114254015</v>
      </c>
      <c r="B1262">
        <v>7</v>
      </c>
    </row>
    <row r="1263" spans="1:2">
      <c r="A1263" s="2">
        <v>29000</v>
      </c>
      <c r="B1263">
        <v>1</v>
      </c>
    </row>
    <row r="1264" spans="1:2">
      <c r="A1264" s="2">
        <v>48000</v>
      </c>
      <c r="B1264">
        <v>1</v>
      </c>
    </row>
    <row r="1265" spans="1:2">
      <c r="A1265" s="2">
        <v>48000</v>
      </c>
      <c r="B1265">
        <v>1</v>
      </c>
    </row>
    <row r="1266" spans="1:2">
      <c r="A1266" s="2">
        <v>8400</v>
      </c>
      <c r="B1266">
        <v>0.3</v>
      </c>
    </row>
    <row r="1267" spans="1:2">
      <c r="A1267" s="2">
        <v>4808.137505609493</v>
      </c>
      <c r="B1267">
        <v>5</v>
      </c>
    </row>
    <row r="1268" spans="1:2">
      <c r="A1268" s="2">
        <v>24931.083362419595</v>
      </c>
      <c r="B1268">
        <v>10</v>
      </c>
    </row>
    <row r="1269" spans="1:2">
      <c r="A1269" s="2">
        <v>12465.541681209797</v>
      </c>
      <c r="B1269">
        <v>4</v>
      </c>
    </row>
    <row r="1270" spans="1:2">
      <c r="A1270" s="2">
        <v>31523.565441345683</v>
      </c>
      <c r="B1270">
        <v>10</v>
      </c>
    </row>
    <row r="1271" spans="1:2">
      <c r="A1271" s="2">
        <v>17807.916687442568</v>
      </c>
      <c r="B1271">
        <v>10</v>
      </c>
    </row>
    <row r="1272" spans="1:2">
      <c r="A1272" s="2">
        <v>112000</v>
      </c>
      <c r="B1272">
        <v>8</v>
      </c>
    </row>
    <row r="1273" spans="1:2">
      <c r="A1273" s="2">
        <v>11000</v>
      </c>
      <c r="B1273">
        <v>8</v>
      </c>
    </row>
    <row r="1274" spans="1:2">
      <c r="A1274" s="2">
        <v>114335.9495092447</v>
      </c>
      <c r="B1274">
        <v>20</v>
      </c>
    </row>
    <row r="1275" spans="1:2">
      <c r="A1275" s="2">
        <v>16110</v>
      </c>
      <c r="B1275">
        <v>10</v>
      </c>
    </row>
    <row r="1276" spans="1:2">
      <c r="A1276" s="2">
        <v>72000</v>
      </c>
      <c r="B1276">
        <v>10</v>
      </c>
    </row>
    <row r="1277" spans="1:2">
      <c r="A1277" s="2">
        <v>60000</v>
      </c>
      <c r="B1277">
        <v>10</v>
      </c>
    </row>
    <row r="1278" spans="1:2">
      <c r="A1278" s="2">
        <v>67000</v>
      </c>
      <c r="B1278">
        <v>6</v>
      </c>
    </row>
    <row r="1279" spans="1:2">
      <c r="A1279" s="2">
        <v>54000</v>
      </c>
      <c r="B1279">
        <v>18</v>
      </c>
    </row>
    <row r="1280" spans="1:2">
      <c r="A1280" s="2">
        <v>38666</v>
      </c>
      <c r="B1280">
        <v>10</v>
      </c>
    </row>
    <row r="1281" spans="1:2">
      <c r="A1281" s="2">
        <v>63000</v>
      </c>
      <c r="B1281">
        <v>6</v>
      </c>
    </row>
    <row r="1282" spans="1:2">
      <c r="A1282" s="2">
        <v>63000</v>
      </c>
      <c r="B1282">
        <v>1</v>
      </c>
    </row>
    <row r="1283" spans="1:2">
      <c r="A1283" s="2">
        <v>6410.8500074793246</v>
      </c>
      <c r="B1283">
        <v>2</v>
      </c>
    </row>
    <row r="1284" spans="1:2">
      <c r="A1284" s="2">
        <v>10684.750012465542</v>
      </c>
      <c r="B1284">
        <v>12</v>
      </c>
    </row>
    <row r="1285" spans="1:2">
      <c r="A1285" s="2">
        <v>40000</v>
      </c>
      <c r="B1285">
        <v>5</v>
      </c>
    </row>
    <row r="1286" spans="1:2">
      <c r="A1286" s="2">
        <v>6232.7708406048987</v>
      </c>
      <c r="B1286">
        <v>6</v>
      </c>
    </row>
    <row r="1287" spans="1:2">
      <c r="A1287" s="2">
        <v>41712.231189497601</v>
      </c>
      <c r="B1287">
        <v>12</v>
      </c>
    </row>
    <row r="1288" spans="1:2">
      <c r="A1288" s="2">
        <v>12465.541681209797</v>
      </c>
      <c r="B1288">
        <v>9</v>
      </c>
    </row>
    <row r="1289" spans="1:2">
      <c r="A1289" s="2">
        <v>32311.654577379326</v>
      </c>
      <c r="B1289">
        <v>20</v>
      </c>
    </row>
    <row r="1290" spans="1:2">
      <c r="A1290" s="2">
        <v>7123.1666749770275</v>
      </c>
      <c r="B1290">
        <v>2</v>
      </c>
    </row>
    <row r="1291" spans="1:2">
      <c r="A1291" s="2">
        <v>100000</v>
      </c>
      <c r="B1291">
        <v>15</v>
      </c>
    </row>
    <row r="1292" spans="1:2">
      <c r="A1292" s="2">
        <v>59819.107020370408</v>
      </c>
      <c r="B1292">
        <v>4</v>
      </c>
    </row>
    <row r="1293" spans="1:2">
      <c r="A1293" s="2">
        <v>25000</v>
      </c>
      <c r="B1293">
        <v>1.5</v>
      </c>
    </row>
    <row r="1294" spans="1:2">
      <c r="A1294" s="2">
        <v>5000</v>
      </c>
      <c r="B1294">
        <v>10</v>
      </c>
    </row>
    <row r="1295" spans="1:2">
      <c r="A1295" s="2">
        <v>64254.308353366054</v>
      </c>
      <c r="B1295">
        <v>3</v>
      </c>
    </row>
    <row r="1296" spans="1:2">
      <c r="A1296" s="2">
        <v>76223.966339496474</v>
      </c>
      <c r="B1296">
        <v>6</v>
      </c>
    </row>
    <row r="1297" spans="1:2">
      <c r="A1297" s="2">
        <v>102542.54233725216</v>
      </c>
      <c r="B1297">
        <v>20</v>
      </c>
    </row>
    <row r="1298" spans="1:2">
      <c r="A1298" s="2">
        <v>46000</v>
      </c>
      <c r="B1298">
        <v>1</v>
      </c>
    </row>
    <row r="1299" spans="1:2">
      <c r="A1299" s="2">
        <v>5000</v>
      </c>
      <c r="B1299">
        <v>2</v>
      </c>
    </row>
    <row r="1300" spans="1:2">
      <c r="A1300" s="2">
        <v>77819.106783521114</v>
      </c>
      <c r="B1300">
        <v>3</v>
      </c>
    </row>
    <row r="1301" spans="1:2">
      <c r="A1301" s="2">
        <v>6232.7708406048987</v>
      </c>
      <c r="B1301">
        <v>27</v>
      </c>
    </row>
    <row r="1302" spans="1:2">
      <c r="A1302" s="2">
        <v>55166.239522354947</v>
      </c>
      <c r="B1302">
        <v>34</v>
      </c>
    </row>
    <row r="1303" spans="1:2">
      <c r="A1303" s="2">
        <v>45000</v>
      </c>
      <c r="B1303">
        <v>5</v>
      </c>
    </row>
    <row r="1304" spans="1:2">
      <c r="A1304" s="2">
        <v>60000</v>
      </c>
      <c r="B1304">
        <v>10</v>
      </c>
    </row>
    <row r="1305" spans="1:2">
      <c r="A1305" s="2">
        <v>43000</v>
      </c>
      <c r="B1305">
        <v>5</v>
      </c>
    </row>
    <row r="1306" spans="1:2">
      <c r="A1306" s="2">
        <v>35571.184291765021</v>
      </c>
      <c r="B1306">
        <v>8</v>
      </c>
    </row>
    <row r="1307" spans="1:2">
      <c r="A1307" s="2">
        <v>48000</v>
      </c>
      <c r="B1307">
        <v>12</v>
      </c>
    </row>
    <row r="1308" spans="1:2">
      <c r="A1308" s="2">
        <v>122389.15876831629</v>
      </c>
      <c r="B1308">
        <v>8</v>
      </c>
    </row>
    <row r="1309" spans="1:2">
      <c r="A1309" s="2">
        <v>4000</v>
      </c>
      <c r="B1309">
        <v>4</v>
      </c>
    </row>
    <row r="1310" spans="1:2">
      <c r="A1310" s="2">
        <v>4451.9791718606421</v>
      </c>
      <c r="B1310">
        <v>3</v>
      </c>
    </row>
    <row r="1311" spans="1:2">
      <c r="A1311" s="2">
        <v>2953.8461538461538</v>
      </c>
      <c r="B1311">
        <v>3</v>
      </c>
    </row>
    <row r="1312" spans="1:2">
      <c r="A1312" s="2">
        <v>39404.456801682099</v>
      </c>
      <c r="B1312">
        <v>3</v>
      </c>
    </row>
    <row r="1313" spans="1:2">
      <c r="A1313" s="2">
        <v>75473.31457379504</v>
      </c>
      <c r="B1313">
        <v>8</v>
      </c>
    </row>
    <row r="1314" spans="1:2">
      <c r="A1314" s="2">
        <v>13355.937515581925</v>
      </c>
      <c r="B1314">
        <v>5</v>
      </c>
    </row>
    <row r="1315" spans="1:2">
      <c r="A1315" s="2">
        <v>25000</v>
      </c>
      <c r="B1315">
        <v>10</v>
      </c>
    </row>
    <row r="1316" spans="1:2">
      <c r="A1316" s="2">
        <v>7479.3250087258784</v>
      </c>
      <c r="B1316">
        <v>2</v>
      </c>
    </row>
    <row r="1317" spans="1:2">
      <c r="A1317" s="2">
        <v>62000</v>
      </c>
      <c r="B1317">
        <v>4</v>
      </c>
    </row>
    <row r="1318" spans="1:2">
      <c r="A1318" s="2">
        <v>48000</v>
      </c>
      <c r="B1318">
        <v>1</v>
      </c>
    </row>
    <row r="1319" spans="1:2">
      <c r="A1319" s="2">
        <v>5000</v>
      </c>
      <c r="B1319">
        <v>3</v>
      </c>
    </row>
    <row r="1320" spans="1:2">
      <c r="A1320" s="2">
        <v>4914.9850057341491</v>
      </c>
      <c r="B1320">
        <v>6</v>
      </c>
    </row>
    <row r="1321" spans="1:2">
      <c r="A1321" s="2">
        <v>75000</v>
      </c>
      <c r="B1321">
        <v>3</v>
      </c>
    </row>
    <row r="1322" spans="1:2">
      <c r="A1322" s="2">
        <v>4451.9791718606421</v>
      </c>
      <c r="B1322">
        <v>1.6</v>
      </c>
    </row>
    <row r="1323" spans="1:2">
      <c r="A1323" s="2">
        <v>8400</v>
      </c>
      <c r="B1323">
        <v>6</v>
      </c>
    </row>
    <row r="1324" spans="1:2">
      <c r="A1324" s="2">
        <v>20000</v>
      </c>
      <c r="B1324">
        <v>5</v>
      </c>
    </row>
    <row r="1325" spans="1:2">
      <c r="A1325" s="2">
        <v>110000</v>
      </c>
      <c r="B1325">
        <v>10</v>
      </c>
    </row>
    <row r="1326" spans="1:2">
      <c r="A1326" s="2">
        <v>50000</v>
      </c>
      <c r="B1326">
        <v>3.5</v>
      </c>
    </row>
    <row r="1327" spans="1:2">
      <c r="A1327" s="2">
        <v>46000</v>
      </c>
      <c r="B1327">
        <v>8</v>
      </c>
    </row>
    <row r="1328" spans="1:2">
      <c r="A1328" s="2">
        <v>115000</v>
      </c>
      <c r="B1328">
        <v>15</v>
      </c>
    </row>
    <row r="1329" spans="1:2">
      <c r="A1329" s="2">
        <v>3205.4250037396623</v>
      </c>
      <c r="B1329">
        <v>3</v>
      </c>
    </row>
    <row r="1330" spans="1:2">
      <c r="A1330" s="2">
        <v>76223.966339496474</v>
      </c>
      <c r="B1330">
        <v>20</v>
      </c>
    </row>
    <row r="1331" spans="1:2">
      <c r="A1331" s="2">
        <v>52500</v>
      </c>
      <c r="B1331">
        <v>21</v>
      </c>
    </row>
    <row r="1332" spans="1:2">
      <c r="A1332" s="2">
        <v>100800</v>
      </c>
      <c r="B1332">
        <v>4</v>
      </c>
    </row>
    <row r="1333" spans="1:2">
      <c r="A1333" s="2">
        <v>21000</v>
      </c>
      <c r="B1333">
        <v>5</v>
      </c>
    </row>
    <row r="1334" spans="1:2">
      <c r="A1334" s="2">
        <v>40000</v>
      </c>
      <c r="B1334">
        <v>3</v>
      </c>
    </row>
    <row r="1335" spans="1:2">
      <c r="A1335" s="2">
        <v>46359</v>
      </c>
      <c r="B1335">
        <v>5</v>
      </c>
    </row>
    <row r="1336" spans="1:2">
      <c r="A1336" s="2">
        <v>70000</v>
      </c>
      <c r="B1336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Viz</vt:lpstr>
      <vt:lpstr>Calc</vt:lpstr>
      <vt:lpstr>Data</vt:lpstr>
      <vt:lpstr>xyData</vt:lpstr>
      <vt:lpstr>job_filter</vt:lpstr>
      <vt:lpstr>Job_List</vt:lpstr>
      <vt:lpstr>region_filter</vt:lpstr>
      <vt:lpstr>Region_List</vt:lpstr>
    </vt:vector>
  </TitlesOfParts>
  <Company>University of Alberta, School of 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Darkhorse Analytics</dc:creator>
  <cp:lastModifiedBy>Darkhorse Analytics</cp:lastModifiedBy>
  <dcterms:created xsi:type="dcterms:W3CDTF">2012-06-28T00:15:19Z</dcterms:created>
  <dcterms:modified xsi:type="dcterms:W3CDTF">2012-06-28T20:18:27Z</dcterms:modified>
</cp:coreProperties>
</file>