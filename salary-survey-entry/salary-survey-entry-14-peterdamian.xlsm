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8195" windowHeight="11820"/>
  </bookViews>
  <sheets>
    <sheet name="View" sheetId="1" r:id="rId1"/>
    <sheet name="Data" sheetId="2" r:id="rId2"/>
  </sheets>
  <definedNames>
    <definedName name="_xlnm.DataBase">tblSalaries[#All]</definedName>
  </definedNames>
  <calcPr calcId="145621"/>
</workbook>
</file>

<file path=xl/calcChain.xml><?xml version="1.0" encoding="utf-8"?>
<calcChain xmlns="http://schemas.openxmlformats.org/spreadsheetml/2006/main">
  <c r="Q35" i="2" l="1"/>
  <c r="Q33" i="2"/>
  <c r="Q31" i="2"/>
  <c r="Q29" i="2"/>
  <c r="Q27" i="2"/>
  <c r="Q25" i="2"/>
  <c r="Q23" i="2"/>
  <c r="Q21" i="2"/>
  <c r="Q19" i="2"/>
  <c r="Q17" i="2"/>
  <c r="Q14" i="2"/>
  <c r="Q12" i="2"/>
  <c r="Q10" i="2"/>
  <c r="Q8" i="2"/>
  <c r="Q5" i="2"/>
  <c r="Q4" i="2"/>
  <c r="Q3" i="2"/>
  <c r="Q2" i="2"/>
  <c r="K17" i="2" l="1"/>
  <c r="O19" i="1" s="1"/>
  <c r="K15" i="2"/>
  <c r="K14" i="2"/>
  <c r="K16" i="2" s="1"/>
  <c r="K11" i="2"/>
  <c r="O15" i="1" s="1"/>
  <c r="K9" i="2"/>
  <c r="K8" i="2"/>
  <c r="K10" i="2" s="1"/>
  <c r="K5" i="2"/>
  <c r="O11" i="1" s="1"/>
  <c r="K3" i="2"/>
  <c r="H15" i="2"/>
  <c r="K18" i="2" s="1"/>
  <c r="H9" i="2"/>
  <c r="K12" i="2" s="1"/>
  <c r="H3" i="2"/>
  <c r="K6" i="2" s="1"/>
  <c r="K2" i="2"/>
  <c r="K4" i="2" s="1"/>
  <c r="P15" i="1" l="1"/>
  <c r="P19" i="1"/>
  <c r="P11" i="1" l="1"/>
</calcChain>
</file>

<file path=xl/sharedStrings.xml><?xml version="1.0" encoding="utf-8"?>
<sst xmlns="http://schemas.openxmlformats.org/spreadsheetml/2006/main" count="7752" uniqueCount="2026">
  <si>
    <t>Unique ID</t>
  </si>
  <si>
    <t>Job Type</t>
  </si>
  <si>
    <t>ID0001</t>
  </si>
  <si>
    <t>Analyst</t>
  </si>
  <si>
    <t>India</t>
  </si>
  <si>
    <t>ID0002</t>
  </si>
  <si>
    <t>Controller</t>
  </si>
  <si>
    <t>ID0003</t>
  </si>
  <si>
    <t>USA</t>
  </si>
  <si>
    <t>ID0004</t>
  </si>
  <si>
    <t>Pakistan</t>
  </si>
  <si>
    <t>ID0005</t>
  </si>
  <si>
    <t>Engineer</t>
  </si>
  <si>
    <t>ID0006</t>
  </si>
  <si>
    <t>Iceland</t>
  </si>
  <si>
    <t>ID0007</t>
  </si>
  <si>
    <t>Manager</t>
  </si>
  <si>
    <t>Germany</t>
  </si>
  <si>
    <t>ID0008</t>
  </si>
  <si>
    <t>Ukraine</t>
  </si>
  <si>
    <t>ID0009</t>
  </si>
  <si>
    <t>CXO or Top Mgmt.</t>
  </si>
  <si>
    <t>Portugal</t>
  </si>
  <si>
    <t>ID0010</t>
  </si>
  <si>
    <t>Accountant</t>
  </si>
  <si>
    <t>ID0011</t>
  </si>
  <si>
    <t>Specialist</t>
  </si>
  <si>
    <t>Ireland</t>
  </si>
  <si>
    <t>ID0012</t>
  </si>
  <si>
    <t>Hungary</t>
  </si>
  <si>
    <t>ID0013</t>
  </si>
  <si>
    <t>ID0014</t>
  </si>
  <si>
    <t>ID0015</t>
  </si>
  <si>
    <t>ID0016</t>
  </si>
  <si>
    <t>ID0017</t>
  </si>
  <si>
    <t>Switzerland</t>
  </si>
  <si>
    <t>ID0018</t>
  </si>
  <si>
    <t>Reporting</t>
  </si>
  <si>
    <t>South Africa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</si>
  <si>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</si>
  <si>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</si>
  <si>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</si>
  <si>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</si>
  <si>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</si>
  <si>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</si>
  <si>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</si>
  <si>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</si>
  <si>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</si>
  <si>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Belgium</t>
  </si>
  <si>
    <t>ID0029</t>
  </si>
  <si>
    <t>ID0030</t>
  </si>
  <si>
    <t>ID0031</t>
  </si>
  <si>
    <t>Russia</t>
  </si>
  <si>
    <t>ID0032</t>
  </si>
  <si>
    <t>ID0033</t>
  </si>
  <si>
    <t>UK</t>
  </si>
  <si>
    <t>ID0035</t>
  </si>
  <si>
    <t>Poland</t>
  </si>
  <si>
    <t>ID0036</t>
  </si>
  <si>
    <t>Consultant</t>
  </si>
  <si>
    <t>ID0037</t>
  </si>
  <si>
    <t>ID0038</t>
  </si>
  <si>
    <t>ID0039</t>
  </si>
  <si>
    <t>ID0040</t>
  </si>
  <si>
    <t>ID0041</t>
  </si>
  <si>
    <t>Australia</t>
  </si>
  <si>
    <t>ID0042</t>
  </si>
  <si>
    <t>ID0043</t>
  </si>
  <si>
    <t>Canada</t>
  </si>
  <si>
    <t>ID0044</t>
  </si>
  <si>
    <t>ID0045</t>
  </si>
  <si>
    <t>Misc.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</si>
  <si>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</si>
  <si>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</si>
  <si>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</si>
  <si>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</si>
  <si>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</si>
  <si>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</si>
  <si>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</si>
  <si>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</si>
  <si>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</si>
  <si>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</si>
  <si>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</si>
  <si>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</si>
  <si>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</si>
  <si>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France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</si>
  <si>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</si>
  <si>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</si>
  <si>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</si>
  <si>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</si>
  <si>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</si>
  <si>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</si>
  <si>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</si>
  <si>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</si>
  <si>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</si>
  <si>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</si>
  <si>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</si>
  <si>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</si>
  <si>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</si>
  <si>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</si>
  <si>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</si>
  <si>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</si>
  <si>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</si>
  <si>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</si>
  <si>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</si>
  <si>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</si>
  <si>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</si>
  <si>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Saudi Arabia</t>
  </si>
  <si>
    <t>ID0080</t>
  </si>
  <si>
    <t>ID0081</t>
  </si>
  <si>
    <t>Panama</t>
  </si>
  <si>
    <t>ID0082</t>
  </si>
  <si>
    <t>ID0083</t>
  </si>
  <si>
    <t>ID0084</t>
  </si>
  <si>
    <t>ID0085</t>
  </si>
  <si>
    <t>ID0086</t>
  </si>
  <si>
    <t>Brazil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</si>
  <si>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</si>
  <si>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</si>
  <si>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</si>
  <si>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</si>
  <si>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</si>
  <si>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</si>
  <si>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</si>
  <si>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</si>
  <si>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</si>
  <si>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</si>
  <si>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</si>
  <si>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</si>
  <si>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</si>
  <si>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</si>
  <si>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</si>
  <si>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</si>
  <si>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</si>
  <si>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</si>
  <si>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</si>
  <si>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Mexico</t>
  </si>
  <si>
    <t>ID0106</t>
  </si>
  <si>
    <t>ID0107</t>
  </si>
  <si>
    <t>ID0108</t>
  </si>
  <si>
    <t>ID0109</t>
  </si>
  <si>
    <t>Greece</t>
  </si>
  <si>
    <t>ID0111</t>
  </si>
  <si>
    <t>ID0112</t>
  </si>
  <si>
    <t>ID0113</t>
  </si>
  <si>
    <t>ID0114</t>
  </si>
  <si>
    <t>ID0115</t>
  </si>
  <si>
    <t>UAE</t>
  </si>
  <si>
    <t>ID0116</t>
  </si>
  <si>
    <t>ID0117</t>
  </si>
  <si>
    <t>ID0118</t>
  </si>
  <si>
    <t>ID0119</t>
  </si>
  <si>
    <t>Colombia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</si>
  <si>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</si>
  <si>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</si>
  <si>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</si>
  <si>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</si>
  <si>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</si>
  <si>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</si>
  <si>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</si>
  <si>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</si>
  <si>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</si>
  <si>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</si>
  <si>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Turkey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</si>
  <si>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</si>
  <si>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</si>
  <si>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</si>
  <si>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</si>
  <si>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</si>
  <si>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</si>
  <si>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</si>
  <si>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</si>
  <si>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</si>
  <si>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</si>
  <si>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</si>
  <si>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</si>
  <si>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</si>
  <si>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</si>
  <si>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</si>
  <si>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</si>
  <si>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</si>
  <si>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</si>
  <si>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</si>
  <si>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</si>
  <si>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</si>
  <si>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</si>
  <si>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</si>
  <si>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</si>
  <si>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</si>
  <si>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</si>
  <si>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</si>
  <si>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</si>
  <si>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</si>
  <si>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</si>
  <si>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</si>
  <si>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</si>
  <si>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</si>
  <si>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</si>
  <si>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</si>
  <si>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</si>
  <si>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</si>
  <si>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</si>
  <si>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</si>
  <si>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</si>
  <si>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</si>
  <si>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</si>
  <si>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</si>
  <si>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</si>
  <si>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</si>
  <si>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</si>
  <si>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</si>
  <si>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</si>
  <si>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</si>
  <si>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</si>
  <si>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</si>
  <si>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</si>
  <si>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</si>
  <si>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</si>
  <si>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</si>
  <si>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</si>
  <si>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</si>
  <si>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</si>
  <si>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</si>
  <si>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</si>
  <si>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</si>
  <si>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</si>
  <si>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</si>
  <si>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</si>
  <si>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</si>
  <si>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</si>
  <si>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</si>
  <si>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</si>
  <si>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</si>
  <si>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</si>
  <si>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</si>
  <si>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</si>
  <si>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</si>
  <si>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</si>
  <si>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</si>
  <si>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</si>
  <si>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</si>
  <si>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</si>
  <si>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</si>
  <si>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</si>
  <si>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</si>
  <si>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Singapore</t>
  </si>
  <si>
    <t>ID0214</t>
  </si>
  <si>
    <t>ID0215</t>
  </si>
  <si>
    <t>ID0216</t>
  </si>
  <si>
    <t>ID0217</t>
  </si>
  <si>
    <t>ID0218</t>
  </si>
  <si>
    <t>ID0219</t>
  </si>
  <si>
    <t>ID0220</t>
  </si>
  <si>
    <t>Bermuda</t>
  </si>
  <si>
    <t>ID0221</t>
  </si>
  <si>
    <t>ID0222</t>
  </si>
  <si>
    <t>ID0223</t>
  </si>
  <si>
    <t>ID0224</t>
  </si>
  <si>
    <t>Thailand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</si>
  <si>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</si>
  <si>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</si>
  <si>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</si>
  <si>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</si>
  <si>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</si>
  <si>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</si>
  <si>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</si>
  <si>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</si>
  <si>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</si>
  <si>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</si>
  <si>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</si>
  <si>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</si>
  <si>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</si>
  <si>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</si>
  <si>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</si>
  <si>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</si>
  <si>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</si>
  <si>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</si>
  <si>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</si>
  <si>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</si>
  <si>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</si>
  <si>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</si>
  <si>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</si>
  <si>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</si>
  <si>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</si>
  <si>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</si>
  <si>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</si>
  <si>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</si>
  <si>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</si>
  <si>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</si>
  <si>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</si>
  <si>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</si>
  <si>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</si>
  <si>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</si>
  <si>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</si>
  <si>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</si>
  <si>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</si>
  <si>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</si>
  <si>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</si>
  <si>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</si>
  <si>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</si>
  <si>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</si>
  <si>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</si>
  <si>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</si>
  <si>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</si>
  <si>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</si>
  <si>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</si>
  <si>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</si>
  <si>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</si>
  <si>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</si>
  <si>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</si>
  <si>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</si>
  <si>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Philippines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</si>
  <si>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</si>
  <si>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</si>
  <si>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</si>
  <si>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</si>
  <si>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</si>
  <si>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</si>
  <si>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</si>
  <si>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</si>
  <si>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</si>
  <si>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</si>
  <si>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</si>
  <si>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Dubai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</si>
  <si>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</si>
  <si>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</si>
  <si>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</si>
  <si>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</si>
  <si>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</si>
  <si>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</si>
  <si>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</si>
  <si>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</si>
  <si>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</si>
  <si>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</si>
  <si>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</si>
  <si>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</si>
  <si>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</si>
  <si>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</si>
  <si>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</si>
  <si>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</si>
  <si>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</si>
  <si>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</si>
  <si>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</si>
  <si>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</si>
  <si>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</si>
  <si>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</si>
  <si>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</si>
  <si>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</si>
  <si>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</si>
  <si>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</si>
  <si>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</si>
  <si>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</si>
  <si>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</si>
  <si>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</si>
  <si>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</si>
  <si>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</si>
  <si>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</si>
  <si>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</si>
  <si>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</si>
  <si>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</si>
  <si>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</si>
  <si>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</si>
  <si>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</si>
  <si>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</si>
  <si>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</si>
  <si>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</si>
  <si>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</si>
  <si>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</si>
  <si>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</si>
  <si>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</si>
  <si>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</si>
  <si>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</si>
  <si>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</si>
  <si>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</si>
  <si>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Israel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</si>
  <si>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</si>
  <si>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</si>
  <si>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</si>
  <si>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</si>
  <si>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</si>
  <si>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</si>
  <si>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</si>
  <si>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</si>
  <si>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</si>
  <si>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</si>
  <si>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</si>
  <si>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</si>
  <si>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</si>
  <si>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</si>
  <si>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</si>
  <si>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</si>
  <si>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</si>
  <si>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</si>
  <si>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</si>
  <si>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</si>
  <si>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</si>
  <si>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</si>
  <si>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</si>
  <si>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</si>
  <si>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</si>
  <si>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Sweden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</si>
  <si>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</si>
  <si>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</si>
  <si>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</si>
  <si>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</si>
  <si>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</si>
  <si>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</si>
  <si>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</si>
  <si>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</si>
  <si>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</si>
  <si>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</si>
  <si>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</si>
  <si>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</si>
  <si>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</si>
  <si>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</si>
  <si>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</si>
  <si>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</si>
  <si>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</si>
  <si>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</si>
  <si>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</si>
  <si>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</si>
  <si>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</si>
  <si>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</si>
  <si>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</si>
  <si>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</si>
  <si>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</si>
  <si>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</si>
  <si>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</si>
  <si>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</si>
  <si>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</si>
  <si>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</si>
  <si>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</si>
  <si>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</si>
  <si>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</si>
  <si>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</si>
  <si>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Bangladesh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</si>
  <si>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</si>
  <si>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</si>
  <si>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</si>
  <si>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</si>
  <si>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</si>
  <si>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</si>
  <si>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</si>
  <si>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</si>
  <si>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</si>
  <si>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</si>
  <si>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</si>
  <si>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</si>
  <si>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</si>
  <si>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Romania</t>
  </si>
  <si>
    <t>ID0412</t>
  </si>
  <si>
    <t>Costa Rica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</si>
  <si>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</si>
  <si>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</si>
  <si>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</si>
  <si>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</si>
  <si>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</si>
  <si>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</si>
  <si>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</si>
  <si>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</si>
  <si>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</si>
  <si>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</si>
  <si>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</si>
  <si>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</si>
  <si>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</si>
  <si>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</si>
  <si>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Finland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</si>
  <si>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</si>
  <si>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</si>
  <si>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</si>
  <si>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</si>
  <si>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</si>
  <si>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</si>
  <si>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</si>
  <si>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</si>
  <si>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Dominican Republic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</si>
  <si>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</si>
  <si>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</si>
  <si>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</si>
  <si>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</si>
  <si>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</si>
  <si>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</si>
  <si>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</si>
  <si>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</si>
  <si>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</si>
  <si>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</si>
  <si>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</si>
  <si>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</si>
  <si>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</si>
  <si>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</si>
  <si>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</si>
  <si>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</si>
  <si>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</si>
  <si>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</si>
  <si>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</si>
  <si>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Somalia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</si>
  <si>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</si>
  <si>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</si>
  <si>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</si>
  <si>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</si>
  <si>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</si>
  <si>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</si>
  <si>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</si>
  <si>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</si>
  <si>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</si>
  <si>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</si>
  <si>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</si>
  <si>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</si>
  <si>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</si>
  <si>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</si>
  <si>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</si>
  <si>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</si>
  <si>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</si>
  <si>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</si>
  <si>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</si>
  <si>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</si>
  <si>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</si>
  <si>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</si>
  <si>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Estonia</t>
  </si>
  <si>
    <t>ID0477</t>
  </si>
  <si>
    <t>ID0478</t>
  </si>
  <si>
    <t>ID0479</t>
  </si>
  <si>
    <t>ID0480</t>
  </si>
  <si>
    <t>ID0481</t>
  </si>
  <si>
    <t>ID0482</t>
  </si>
  <si>
    <t>ID0484</t>
  </si>
  <si>
    <t>Norway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</si>
  <si>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</si>
  <si>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</si>
  <si>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</si>
  <si>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</si>
  <si>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</si>
  <si>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</si>
  <si>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</si>
  <si>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</si>
  <si>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</si>
  <si>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</si>
  <si>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</si>
  <si>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</si>
  <si>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</si>
  <si>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</si>
  <si>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</si>
  <si>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</si>
  <si>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</si>
  <si>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</si>
  <si>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</si>
  <si>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</si>
  <si>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</si>
  <si>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</si>
  <si>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</si>
  <si>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Spain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</si>
  <si>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</si>
  <si>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</si>
  <si>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</si>
  <si>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</si>
  <si>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</si>
  <si>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</si>
  <si>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</si>
  <si>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</si>
  <si>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</si>
  <si>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</si>
  <si>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</si>
  <si>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</si>
  <si>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</si>
  <si>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</si>
  <si>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</si>
  <si>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</si>
  <si>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</si>
  <si>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</si>
  <si>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</si>
  <si>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</si>
  <si>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</si>
  <si>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Netherlands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</si>
  <si>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</si>
  <si>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</si>
  <si>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</si>
  <si>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</si>
  <si>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</si>
  <si>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</si>
  <si>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</si>
  <si>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</si>
  <si>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Central America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</si>
  <si>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</si>
  <si>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</si>
  <si>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</si>
  <si>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</si>
  <si>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</si>
  <si>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</si>
  <si>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</si>
  <si>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</si>
  <si>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</si>
  <si>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</si>
  <si>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</si>
  <si>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</si>
  <si>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</si>
  <si>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</si>
  <si>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</si>
  <si>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</si>
  <si>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Japan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</si>
  <si>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</si>
  <si>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</si>
  <si>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</si>
  <si>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</si>
  <si>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</si>
  <si>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</si>
  <si>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</si>
  <si>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</si>
  <si>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</si>
  <si>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</si>
  <si>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</si>
  <si>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</si>
  <si>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</si>
  <si>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</si>
  <si>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</si>
  <si>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</si>
  <si>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</si>
  <si>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New Zealand</t>
  </si>
  <si>
    <t>ID0572</t>
  </si>
  <si>
    <t>ID0573</t>
  </si>
  <si>
    <t>ID0574</t>
  </si>
  <si>
    <t>ID0575</t>
  </si>
  <si>
    <t>ID0576</t>
  </si>
  <si>
    <t>ID0577</t>
  </si>
  <si>
    <t>Guyana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</si>
  <si>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</si>
  <si>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</si>
  <si>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</si>
  <si>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</si>
  <si>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</si>
  <si>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</si>
  <si>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</si>
  <si>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</si>
  <si>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</si>
  <si>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</si>
  <si>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</si>
  <si>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</si>
  <si>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</si>
  <si>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</si>
  <si>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</si>
  <si>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</si>
  <si>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</si>
  <si>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</si>
  <si>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</si>
  <si>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</si>
  <si>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</si>
  <si>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</si>
  <si>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</si>
  <si>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</si>
  <si>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</si>
  <si>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</si>
  <si>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</si>
  <si>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</si>
  <si>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</si>
  <si>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</si>
  <si>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</si>
  <si>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</si>
  <si>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</si>
  <si>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</si>
  <si>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</si>
  <si>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</si>
  <si>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Sri Lanka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</si>
  <si>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</si>
  <si>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</si>
  <si>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</si>
  <si>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</si>
  <si>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</si>
  <si>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</si>
  <si>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</si>
  <si>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</si>
  <si>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</si>
  <si>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</si>
  <si>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</si>
  <si>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</si>
  <si>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</si>
  <si>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Indonesia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</si>
  <si>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</si>
  <si>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</si>
  <si>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</si>
  <si>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</si>
  <si>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</si>
  <si>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</si>
  <si>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</si>
  <si>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</si>
  <si>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</si>
  <si>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</si>
  <si>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</si>
  <si>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</si>
  <si>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</si>
  <si>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</si>
  <si>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</si>
  <si>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</si>
  <si>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</si>
  <si>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</si>
  <si>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</si>
  <si>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</si>
  <si>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</si>
  <si>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</si>
  <si>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</si>
  <si>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</si>
  <si>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</si>
  <si>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</si>
  <si>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</si>
  <si>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</si>
  <si>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</si>
  <si>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</si>
  <si>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</si>
  <si>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</si>
  <si>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</si>
  <si>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</si>
  <si>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</si>
  <si>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</si>
  <si>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</si>
  <si>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</si>
  <si>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</si>
  <si>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</si>
  <si>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</si>
  <si>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</si>
  <si>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</si>
  <si>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</si>
  <si>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</si>
  <si>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</si>
  <si>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</si>
  <si>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</si>
  <si>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</si>
  <si>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</si>
  <si>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</si>
  <si>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</si>
  <si>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</si>
  <si>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</si>
  <si>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</si>
  <si>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</si>
  <si>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</si>
  <si>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</si>
  <si>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</si>
  <si>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</si>
  <si>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</si>
  <si>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</si>
  <si>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</si>
  <si>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</si>
  <si>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</si>
  <si>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</si>
  <si>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Cambodia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</si>
  <si>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</si>
  <si>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</si>
  <si>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</si>
  <si>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</si>
  <si>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</si>
  <si>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</si>
  <si>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</si>
  <si>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</si>
  <si>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</si>
  <si>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</si>
  <si>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</si>
  <si>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</si>
  <si>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</si>
  <si>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</si>
  <si>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</si>
  <si>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</si>
  <si>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</si>
  <si>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</si>
  <si>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</si>
  <si>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Lithuania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</si>
  <si>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</si>
  <si>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</si>
  <si>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</si>
  <si>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</si>
  <si>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</si>
  <si>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</si>
  <si>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</si>
  <si>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</si>
  <si>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</si>
  <si>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</si>
  <si>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</si>
  <si>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</si>
  <si>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</si>
  <si>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</si>
  <si>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</si>
  <si>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</si>
  <si>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</si>
  <si>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</si>
  <si>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</si>
  <si>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</si>
  <si>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</si>
  <si>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</si>
  <si>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</si>
  <si>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</si>
  <si>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</si>
  <si>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</si>
  <si>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Egypt</t>
  </si>
  <si>
    <t>ID0741</t>
  </si>
  <si>
    <t>ID0742</t>
  </si>
  <si>
    <t>Bhutan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</si>
  <si>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</si>
  <si>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</si>
  <si>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</si>
  <si>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</si>
  <si>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</si>
  <si>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</si>
  <si>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</si>
  <si>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</si>
  <si>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</si>
  <si>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</si>
  <si>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</si>
  <si>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</si>
  <si>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</si>
  <si>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</si>
  <si>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</si>
  <si>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</si>
  <si>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</si>
  <si>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Nigeria</t>
  </si>
  <si>
    <t>ID0760</t>
  </si>
  <si>
    <t>ID0761</t>
  </si>
  <si>
    <t>ID0762</t>
  </si>
  <si>
    <t>ID0763</t>
  </si>
  <si>
    <t>Denmark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</si>
  <si>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</si>
  <si>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</si>
  <si>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</si>
  <si>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</si>
  <si>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</si>
  <si>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</si>
  <si>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</si>
  <si>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</si>
  <si>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</si>
  <si>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</si>
  <si>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</si>
  <si>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</si>
  <si>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</si>
  <si>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</si>
  <si>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</si>
  <si>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</si>
  <si>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</si>
  <si>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</si>
  <si>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</si>
  <si>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</si>
  <si>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</si>
  <si>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</si>
  <si>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</si>
  <si>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</si>
  <si>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</si>
  <si>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</si>
  <si>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</si>
  <si>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</si>
  <si>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</si>
  <si>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</si>
  <si>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</si>
  <si>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</si>
  <si>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</si>
  <si>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</si>
  <si>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</si>
  <si>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</si>
  <si>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</si>
  <si>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</si>
  <si>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</si>
  <si>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</si>
  <si>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</si>
  <si>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</si>
  <si>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</si>
  <si>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</si>
  <si>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</si>
  <si>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</si>
  <si>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</si>
  <si>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</si>
  <si>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</si>
  <si>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Croatia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</si>
  <si>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</si>
  <si>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</si>
  <si>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</si>
  <si>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</si>
  <si>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</si>
  <si>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</si>
  <si>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</si>
  <si>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</si>
  <si>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</si>
  <si>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</si>
  <si>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</si>
  <si>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</si>
  <si>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</si>
  <si>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</si>
  <si>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</si>
  <si>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</si>
  <si>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</si>
  <si>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</si>
  <si>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</si>
  <si>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</si>
  <si>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</si>
  <si>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</si>
  <si>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</si>
  <si>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</si>
  <si>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</si>
  <si>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</si>
  <si>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</si>
  <si>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</si>
  <si>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</si>
  <si>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</si>
  <si>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</si>
  <si>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</si>
  <si>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</si>
  <si>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</si>
  <si>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</si>
  <si>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</si>
  <si>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</si>
  <si>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</si>
  <si>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</si>
  <si>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</si>
  <si>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</si>
  <si>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</si>
  <si>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</si>
  <si>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</si>
  <si>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</si>
  <si>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</si>
  <si>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</si>
  <si>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Uruguay</t>
  </si>
  <si>
    <t>ID0863</t>
  </si>
  <si>
    <t>ID0864</t>
  </si>
  <si>
    <t>Aruba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</si>
  <si>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</si>
  <si>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</si>
  <si>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</si>
  <si>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</si>
  <si>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</si>
  <si>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</si>
  <si>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</si>
  <si>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</si>
  <si>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</si>
  <si>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</si>
  <si>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</si>
  <si>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</si>
  <si>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</si>
  <si>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</si>
  <si>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</si>
  <si>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</si>
  <si>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Qatar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</si>
  <si>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</si>
  <si>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</si>
  <si>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</si>
  <si>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</si>
  <si>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</si>
  <si>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</si>
  <si>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</si>
  <si>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</si>
  <si>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</si>
  <si>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</si>
  <si>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</si>
  <si>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</si>
  <si>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</si>
  <si>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</si>
  <si>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</si>
  <si>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</si>
  <si>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</si>
  <si>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</si>
  <si>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</si>
  <si>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</si>
  <si>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</si>
  <si>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</si>
  <si>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 xml:space="preserve">Kuwait 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</si>
  <si>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</si>
  <si>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</si>
  <si>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</si>
  <si>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</si>
  <si>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</si>
  <si>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</si>
  <si>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</si>
  <si>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</si>
  <si>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</si>
  <si>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</si>
  <si>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</si>
  <si>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Czech Republic</t>
  </si>
  <si>
    <t>ID0915</t>
  </si>
  <si>
    <t>ID0916</t>
  </si>
  <si>
    <t>ID0917</t>
  </si>
  <si>
    <t>Zimbabwe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</si>
  <si>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</si>
  <si>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</si>
  <si>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</si>
  <si>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</si>
  <si>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</si>
  <si>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</si>
  <si>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</si>
  <si>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</si>
  <si>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</si>
  <si>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</si>
  <si>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</si>
  <si>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Slovenia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</si>
  <si>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</si>
  <si>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</si>
  <si>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</si>
  <si>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</si>
  <si>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</si>
  <si>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</si>
  <si>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</si>
  <si>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</si>
  <si>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</si>
  <si>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Albania</t>
  </si>
  <si>
    <t>ID0939</t>
  </si>
  <si>
    <t>ID0940</t>
  </si>
  <si>
    <t>ID0941</t>
  </si>
  <si>
    <t>Iran</t>
  </si>
  <si>
    <t>ID0943</t>
  </si>
  <si>
    <t>ID0944</t>
  </si>
  <si>
    <t>ID0945</t>
  </si>
  <si>
    <t>ID0946</t>
  </si>
  <si>
    <t>ID0948</t>
  </si>
  <si>
    <t>ID0949</t>
  </si>
  <si>
    <t>ID0950</t>
  </si>
  <si>
    <t>Zambia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</si>
  <si>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</si>
  <si>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</si>
  <si>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</si>
  <si>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</si>
  <si>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</si>
  <si>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</si>
  <si>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</si>
  <si>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</si>
  <si>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</si>
  <si>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</si>
  <si>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</si>
  <si>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</si>
  <si>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</si>
  <si>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</si>
  <si>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</si>
  <si>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</si>
  <si>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</si>
  <si>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</si>
  <si>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</si>
  <si>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</si>
  <si>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</si>
  <si>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</si>
  <si>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</si>
  <si>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</si>
  <si>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</si>
  <si>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</si>
  <si>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</si>
  <si>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</si>
  <si>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</si>
  <si>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</si>
  <si>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</si>
  <si>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</si>
  <si>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</si>
  <si>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</si>
  <si>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</si>
  <si>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</si>
  <si>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</si>
  <si>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</si>
  <si>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</si>
  <si>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</si>
  <si>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China</t>
  </si>
  <si>
    <t>ID0993</t>
  </si>
  <si>
    <t>ID0994</t>
  </si>
  <si>
    <t>ID0995</t>
  </si>
  <si>
    <t>ID0996</t>
  </si>
  <si>
    <t>ID0997</t>
  </si>
  <si>
    <t>Asia</t>
  </si>
  <si>
    <t>ID0998</t>
  </si>
  <si>
    <t>ID0999</t>
  </si>
  <si>
    <t>ID1000</t>
  </si>
  <si>
    <t>ID1001</t>
  </si>
  <si>
    <t>Malaysia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</si>
  <si>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</si>
  <si>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</si>
  <si>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</si>
  <si>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</si>
  <si>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</si>
  <si>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</si>
  <si>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</si>
  <si>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</si>
  <si>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</si>
  <si>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</si>
  <si>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</si>
  <si>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</si>
  <si>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</si>
  <si>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</si>
  <si>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</si>
  <si>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</si>
  <si>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</si>
  <si>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</si>
  <si>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Paraguay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</si>
  <si>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</si>
  <si>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</si>
  <si>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</si>
  <si>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</si>
  <si>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</si>
  <si>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</si>
  <si>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</si>
  <si>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</si>
  <si>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</si>
  <si>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</si>
  <si>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</si>
  <si>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</si>
  <si>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</si>
  <si>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</si>
  <si>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</si>
  <si>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</si>
  <si>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</si>
  <si>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Kuwait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</si>
  <si>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</si>
  <si>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</si>
  <si>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</si>
  <si>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</si>
  <si>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</si>
  <si>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</si>
  <si>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</si>
  <si>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</si>
  <si>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</si>
  <si>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</si>
  <si>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</si>
  <si>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</si>
  <si>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</si>
  <si>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</si>
  <si>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</si>
  <si>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</si>
  <si>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</si>
  <si>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</si>
  <si>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</si>
  <si>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</si>
  <si>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</si>
  <si>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</si>
  <si>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</si>
  <si>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</si>
  <si>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</si>
  <si>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</si>
  <si>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</si>
  <si>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</si>
  <si>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</si>
  <si>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</si>
  <si>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</si>
  <si>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</si>
  <si>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</si>
  <si>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</si>
  <si>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</si>
  <si>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</si>
  <si>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</si>
  <si>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</si>
  <si>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</si>
  <si>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</si>
  <si>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</si>
  <si>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</si>
  <si>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</si>
  <si>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</si>
  <si>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</si>
  <si>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</si>
  <si>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</si>
  <si>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</si>
  <si>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</si>
  <si>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</si>
  <si>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</si>
  <si>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</si>
  <si>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</si>
  <si>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</si>
  <si>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</si>
  <si>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</si>
  <si>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</si>
  <si>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</si>
  <si>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</si>
  <si>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</si>
  <si>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</si>
  <si>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</si>
  <si>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</si>
  <si>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</si>
  <si>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</si>
  <si>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</si>
  <si>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</si>
  <si>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</si>
  <si>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</si>
  <si>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</si>
  <si>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</si>
  <si>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</si>
  <si>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</si>
  <si>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</si>
  <si>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</si>
  <si>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</si>
  <si>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</si>
  <si>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</si>
  <si>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</si>
  <si>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</si>
  <si>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</si>
  <si>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</si>
  <si>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</si>
  <si>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</si>
  <si>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</si>
  <si>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</si>
  <si>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</si>
  <si>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</si>
  <si>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</si>
  <si>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</si>
  <si>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</si>
  <si>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</si>
  <si>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</si>
  <si>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</si>
  <si>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</si>
  <si>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</si>
  <si>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</si>
  <si>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</si>
  <si>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</si>
  <si>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</si>
  <si>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</si>
  <si>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</si>
  <si>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</si>
  <si>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</si>
  <si>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</si>
  <si>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</si>
  <si>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</si>
  <si>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</si>
  <si>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</si>
  <si>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</si>
  <si>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</si>
  <si>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</si>
  <si>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</si>
  <si>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</si>
  <si>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</si>
  <si>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</si>
  <si>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Montenegro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</si>
  <si>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</si>
  <si>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</si>
  <si>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</si>
  <si>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</si>
  <si>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</si>
  <si>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</si>
  <si>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</si>
  <si>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</si>
  <si>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</si>
  <si>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</si>
  <si>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</si>
  <si>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</si>
  <si>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</si>
  <si>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</si>
  <si>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</si>
  <si>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</si>
  <si>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</si>
  <si>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</si>
  <si>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</si>
  <si>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</si>
  <si>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</si>
  <si>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</si>
  <si>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</si>
  <si>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</si>
  <si>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</si>
  <si>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</si>
  <si>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</si>
  <si>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</si>
  <si>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</si>
  <si>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</si>
  <si>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</si>
  <si>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Argentina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</si>
  <si>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</si>
  <si>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</si>
  <si>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</si>
  <si>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</si>
  <si>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</si>
  <si>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</si>
  <si>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</si>
  <si>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</si>
  <si>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</si>
  <si>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Kenya</t>
  </si>
  <si>
    <t>ID1197</t>
  </si>
  <si>
    <t>ID1198</t>
  </si>
  <si>
    <t>ID1199</t>
  </si>
  <si>
    <t>ID1200</t>
  </si>
  <si>
    <t>ID1201</t>
  </si>
  <si>
    <t>Italy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</si>
  <si>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</si>
  <si>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</si>
  <si>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</si>
  <si>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</si>
  <si>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</si>
  <si>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</si>
  <si>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</si>
  <si>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</si>
  <si>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</si>
  <si>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</si>
  <si>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</si>
  <si>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</si>
  <si>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</si>
  <si>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</si>
  <si>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</si>
  <si>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</si>
  <si>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</si>
  <si>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</si>
  <si>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</si>
  <si>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</si>
  <si>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Latin America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</si>
  <si>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</si>
  <si>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</si>
  <si>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</si>
  <si>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</si>
  <si>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</si>
  <si>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</si>
  <si>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</si>
  <si>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</si>
  <si>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</si>
  <si>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</si>
  <si>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</si>
  <si>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</si>
  <si>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</si>
  <si>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</si>
  <si>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</si>
  <si>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</si>
  <si>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</si>
  <si>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</si>
  <si>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</si>
  <si>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</si>
  <si>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</si>
  <si>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</si>
  <si>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</si>
  <si>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</si>
  <si>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</si>
  <si>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</si>
  <si>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</si>
  <si>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</si>
  <si>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</si>
  <si>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</si>
  <si>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</si>
  <si>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</si>
  <si>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</si>
  <si>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</si>
  <si>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</si>
  <si>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</si>
  <si>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</si>
  <si>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</si>
  <si>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</si>
  <si>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Mongolia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</si>
  <si>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</si>
  <si>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</si>
  <si>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</si>
  <si>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</si>
  <si>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</si>
  <si>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</si>
  <si>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</si>
  <si>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</si>
  <si>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</si>
  <si>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</si>
  <si>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</si>
  <si>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</si>
  <si>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</si>
  <si>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</si>
  <si>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</si>
  <si>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</si>
  <si>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</si>
  <si>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</si>
  <si>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</si>
  <si>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</si>
  <si>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</si>
  <si>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</si>
  <si>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</si>
  <si>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</si>
  <si>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</si>
  <si>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</si>
  <si>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</si>
  <si>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</si>
  <si>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</si>
  <si>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Myanmar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</si>
  <si>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</si>
  <si>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</si>
  <si>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</si>
  <si>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</si>
  <si>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</si>
  <si>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</si>
  <si>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</si>
  <si>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</si>
  <si>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</si>
  <si>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</si>
  <si>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</si>
  <si>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</si>
  <si>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Uganda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</si>
  <si>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</si>
  <si>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</si>
  <si>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</si>
  <si>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</si>
  <si>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</si>
  <si>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</si>
  <si>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</si>
  <si>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</si>
  <si>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</si>
  <si>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</si>
  <si>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</si>
  <si>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</si>
  <si>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</si>
  <si>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</si>
  <si>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</si>
  <si>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</si>
  <si>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</si>
  <si>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</si>
  <si>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</si>
  <si>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</si>
  <si>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</si>
  <si>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</si>
  <si>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</si>
  <si>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</si>
  <si>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</si>
  <si>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</si>
  <si>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</si>
  <si>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</si>
  <si>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</si>
  <si>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</si>
  <si>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</si>
  <si>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CEE</t>
  </si>
  <si>
    <t>ID1338</t>
  </si>
  <si>
    <t>ID1339</t>
  </si>
  <si>
    <t>ID1340</t>
  </si>
  <si>
    <t>ID1341</t>
  </si>
  <si>
    <t>ID1342</t>
  </si>
  <si>
    <t>ID1343</t>
  </si>
  <si>
    <t>Ghana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</si>
  <si>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</si>
  <si>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</si>
  <si>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</si>
  <si>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</si>
  <si>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</si>
  <si>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</si>
  <si>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</si>
  <si>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</si>
  <si>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</si>
  <si>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</si>
  <si>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</si>
  <si>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</si>
  <si>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</si>
  <si>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</si>
  <si>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</si>
  <si>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Austria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</si>
  <si>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</si>
  <si>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</si>
  <si>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</si>
  <si>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</si>
  <si>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</si>
  <si>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</si>
  <si>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</si>
  <si>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</si>
  <si>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</si>
  <si>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</si>
  <si>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</si>
  <si>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</si>
  <si>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</si>
  <si>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</si>
  <si>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</si>
  <si>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</si>
  <si>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</si>
  <si>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</si>
  <si>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</si>
  <si>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</si>
  <si>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</si>
  <si>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</si>
  <si>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</si>
  <si>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</si>
  <si>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</si>
  <si>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</si>
  <si>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</si>
  <si>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</si>
  <si>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</si>
  <si>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</si>
  <si>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</si>
  <si>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</si>
  <si>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</si>
  <si>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</si>
  <si>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</si>
  <si>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</si>
  <si>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Europe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</si>
  <si>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</si>
  <si>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</si>
  <si>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</si>
  <si>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</si>
  <si>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</si>
  <si>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</si>
  <si>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</si>
  <si>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</si>
  <si>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</si>
  <si>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</si>
  <si>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</si>
  <si>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</si>
  <si>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</si>
  <si>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</si>
  <si>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</si>
  <si>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</si>
  <si>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</si>
  <si>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</si>
  <si>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</si>
  <si>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</si>
  <si>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</si>
  <si>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</si>
  <si>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</si>
  <si>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</si>
  <si>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</si>
  <si>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</si>
  <si>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</si>
  <si>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</si>
  <si>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</si>
  <si>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</si>
  <si>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</si>
  <si>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</si>
  <si>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</si>
  <si>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</si>
  <si>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</si>
  <si>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</si>
  <si>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</si>
  <si>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</si>
  <si>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</si>
  <si>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</si>
  <si>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</si>
  <si>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</si>
  <si>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</si>
  <si>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</si>
  <si>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</si>
  <si>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</si>
  <si>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</si>
  <si>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</si>
  <si>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</si>
  <si>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</si>
  <si>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</si>
  <si>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</si>
  <si>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</si>
  <si>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</si>
  <si>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</si>
  <si>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</si>
  <si>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</si>
  <si>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</si>
  <si>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</si>
  <si>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</si>
  <si>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</si>
  <si>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</si>
  <si>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</si>
  <si>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</si>
  <si>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</si>
  <si>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</si>
  <si>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</si>
  <si>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</si>
  <si>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</si>
  <si>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</si>
  <si>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</si>
  <si>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</si>
  <si>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</si>
  <si>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</si>
  <si>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</si>
  <si>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</si>
  <si>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</si>
  <si>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</si>
  <si>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</si>
  <si>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</si>
  <si>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</si>
  <si>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</si>
  <si>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</si>
  <si>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</si>
  <si>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</si>
  <si>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</si>
  <si>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</si>
  <si>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</si>
  <si>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</si>
  <si>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</si>
  <si>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</si>
  <si>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</si>
  <si>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</si>
  <si>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</si>
  <si>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</si>
  <si>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</si>
  <si>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</si>
  <si>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</si>
  <si>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</si>
  <si>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</si>
  <si>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</si>
  <si>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</si>
  <si>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</si>
  <si>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</si>
  <si>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</si>
  <si>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</si>
  <si>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</si>
  <si>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</si>
  <si>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</si>
  <si>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</si>
  <si>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</si>
  <si>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</si>
  <si>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</si>
  <si>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</si>
  <si>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</si>
  <si>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</si>
  <si>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</si>
  <si>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</si>
  <si>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</si>
  <si>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</si>
  <si>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</si>
  <si>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</si>
  <si>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</si>
  <si>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</si>
  <si>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</si>
  <si>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</si>
  <si>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</si>
  <si>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Bolivia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</si>
  <si>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</si>
  <si>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</si>
  <si>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</si>
  <si>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</si>
  <si>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</si>
  <si>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</si>
  <si>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</si>
  <si>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</si>
  <si>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</si>
  <si>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Vietnam</t>
  </si>
  <si>
    <t>ID1534</t>
  </si>
  <si>
    <t>ID1535</t>
  </si>
  <si>
    <t>MYS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</si>
  <si>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</si>
  <si>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</si>
  <si>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</si>
  <si>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</si>
  <si>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</si>
  <si>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</si>
  <si>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</si>
  <si>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</si>
  <si>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</si>
  <si>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</si>
  <si>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</si>
  <si>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</si>
  <si>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</si>
  <si>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Libya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</si>
  <si>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</si>
  <si>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</si>
  <si>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</si>
  <si>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</si>
  <si>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</si>
  <si>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</si>
  <si>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</si>
  <si>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</si>
  <si>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Bulgaria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</si>
  <si>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</si>
  <si>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</si>
  <si>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</si>
  <si>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</si>
  <si>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</si>
  <si>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</si>
  <si>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</si>
  <si>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</si>
  <si>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</si>
  <si>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</si>
  <si>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</si>
  <si>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</si>
  <si>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</si>
  <si>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</si>
  <si>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</si>
  <si>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Peru</t>
  </si>
  <si>
    <t>ID1574</t>
  </si>
  <si>
    <t>ID1575</t>
  </si>
  <si>
    <t>ID1576</t>
  </si>
  <si>
    <t>ID1577</t>
  </si>
  <si>
    <t>ID1578</t>
  </si>
  <si>
    <t>ID1579</t>
  </si>
  <si>
    <t>ID1580</t>
  </si>
  <si>
    <t>Morocco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</si>
  <si>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</si>
  <si>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</si>
  <si>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</si>
  <si>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</si>
  <si>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</si>
  <si>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</si>
  <si>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</si>
  <si>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</si>
  <si>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</si>
  <si>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</si>
  <si>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</si>
  <si>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</si>
  <si>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</si>
  <si>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</si>
  <si>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</si>
  <si>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</si>
  <si>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Lesotho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</si>
  <si>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</si>
  <si>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</si>
  <si>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</si>
  <si>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</si>
  <si>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</si>
  <si>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</si>
  <si>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</si>
  <si>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</si>
  <si>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</si>
  <si>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</si>
  <si>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</si>
  <si>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</si>
  <si>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</si>
  <si>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</si>
  <si>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</si>
  <si>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</si>
  <si>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</si>
  <si>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</si>
  <si>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</si>
  <si>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</si>
  <si>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</si>
  <si>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</si>
  <si>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</si>
  <si>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</si>
  <si>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</si>
  <si>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</si>
  <si>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</si>
  <si>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</si>
  <si>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</si>
  <si>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</si>
  <si>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</si>
  <si>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</si>
  <si>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</si>
  <si>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</si>
  <si>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</si>
  <si>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Mauritius</t>
  </si>
  <si>
    <t>ID1634</t>
  </si>
  <si>
    <t>ID1635</t>
  </si>
  <si>
    <t>Azerbaijan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</si>
  <si>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</si>
  <si>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</si>
  <si>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</si>
  <si>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</si>
  <si>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</si>
  <si>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</si>
  <si>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</si>
  <si>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</si>
  <si>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</si>
  <si>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</si>
  <si>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</si>
  <si>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</si>
  <si>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</si>
  <si>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</si>
  <si>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</si>
  <si>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</si>
  <si>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</si>
  <si>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</si>
  <si>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</si>
  <si>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</si>
  <si>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</si>
  <si>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</si>
  <si>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</si>
  <si>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</si>
  <si>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</si>
  <si>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</si>
  <si>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</si>
  <si>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</si>
  <si>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</si>
  <si>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</si>
  <si>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</si>
  <si>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</si>
  <si>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Slovakia</t>
  </si>
  <si>
    <t>ID1668</t>
  </si>
  <si>
    <t>ID1669</t>
  </si>
  <si>
    <t>ID1670</t>
  </si>
  <si>
    <t>Tunisia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</si>
  <si>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</si>
  <si>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</si>
  <si>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</si>
  <si>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</si>
  <si>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</si>
  <si>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</si>
  <si>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</si>
  <si>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</si>
  <si>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</si>
  <si>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</si>
  <si>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</si>
  <si>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</si>
  <si>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</si>
  <si>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</si>
  <si>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</si>
  <si>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</si>
  <si>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</si>
  <si>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</si>
  <si>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</si>
  <si>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</si>
  <si>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</si>
  <si>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</si>
  <si>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</si>
  <si>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</si>
  <si>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</si>
  <si>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</si>
  <si>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</si>
  <si>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</si>
  <si>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</si>
  <si>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</si>
  <si>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</si>
  <si>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</si>
  <si>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</si>
  <si>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</si>
  <si>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</si>
  <si>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</si>
  <si>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</si>
  <si>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</si>
  <si>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</si>
  <si>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</si>
  <si>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</si>
  <si>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</si>
  <si>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</si>
  <si>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</si>
  <si>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</si>
  <si>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</si>
  <si>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</si>
  <si>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</si>
  <si>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</si>
  <si>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</si>
  <si>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</si>
  <si>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</si>
  <si>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</si>
  <si>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</si>
  <si>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</si>
  <si>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</si>
  <si>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</si>
  <si>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</si>
  <si>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Armenia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</si>
  <si>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</si>
  <si>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</si>
  <si>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</si>
  <si>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</si>
  <si>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</si>
  <si>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</si>
  <si>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</si>
  <si>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</si>
  <si>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</si>
  <si>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</si>
  <si>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</si>
  <si>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</si>
  <si>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</si>
  <si>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</si>
  <si>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</si>
  <si>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</si>
  <si>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</si>
  <si>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</si>
  <si>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</si>
  <si>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</si>
  <si>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</si>
  <si>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</si>
  <si>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</si>
  <si>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</si>
  <si>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</si>
  <si>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</si>
  <si>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</si>
  <si>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</si>
  <si>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</si>
  <si>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</si>
  <si>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</si>
  <si>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</si>
  <si>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</si>
  <si>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</si>
  <si>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</si>
  <si>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</si>
  <si>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</si>
  <si>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</si>
  <si>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</si>
  <si>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</si>
  <si>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</si>
  <si>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</si>
  <si>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</si>
  <si>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</si>
  <si>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</si>
  <si>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</si>
  <si>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</si>
  <si>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</si>
  <si>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</si>
  <si>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</si>
  <si>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</si>
  <si>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</si>
  <si>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</si>
  <si>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</si>
  <si>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</si>
  <si>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</si>
  <si>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</si>
  <si>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</si>
  <si>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</si>
  <si>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</si>
  <si>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</si>
  <si>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</si>
  <si>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</si>
  <si>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</si>
  <si>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</si>
  <si>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</si>
  <si>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</si>
  <si>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</si>
  <si>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</si>
  <si>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</si>
  <si>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</si>
  <si>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</si>
  <si>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</si>
  <si>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</si>
  <si>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</si>
  <si>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</si>
  <si>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</si>
  <si>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</si>
  <si>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</si>
  <si>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</si>
  <si>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</si>
  <si>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</si>
  <si>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</si>
  <si>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</si>
  <si>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</si>
  <si>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</si>
  <si>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</si>
  <si>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</si>
  <si>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</si>
  <si>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</si>
  <si>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</si>
  <si>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</si>
  <si>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</si>
  <si>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</si>
  <si>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</si>
  <si>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</si>
  <si>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</si>
  <si>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</si>
  <si>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Hong Kong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</si>
  <si>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</si>
  <si>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</si>
  <si>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</si>
  <si>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</si>
  <si>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</si>
  <si>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</si>
  <si>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</si>
  <si>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</si>
  <si>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</si>
  <si>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</si>
  <si>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</si>
  <si>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</si>
  <si>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</si>
  <si>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</si>
  <si>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</si>
  <si>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</si>
  <si>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</si>
  <si>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</si>
  <si>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</si>
  <si>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</si>
  <si>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</si>
  <si>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</si>
  <si>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</si>
  <si>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</si>
  <si>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</si>
  <si>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</si>
  <si>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</si>
  <si>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Baltic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</si>
  <si>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</si>
  <si>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</si>
  <si>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</si>
  <si>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</si>
  <si>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</si>
  <si>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</si>
  <si>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</si>
  <si>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</si>
  <si>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</si>
  <si>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</si>
  <si>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</si>
  <si>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</si>
  <si>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</si>
  <si>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</si>
  <si>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</si>
  <si>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</si>
  <si>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</si>
  <si>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</si>
  <si>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</si>
  <si>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</si>
  <si>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</si>
  <si>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</si>
  <si>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</si>
  <si>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</si>
  <si>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</si>
  <si>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</si>
  <si>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</si>
  <si>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</si>
  <si>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</si>
  <si>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</si>
  <si>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</si>
  <si>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</si>
  <si>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</si>
  <si>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</si>
  <si>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</si>
  <si>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</si>
  <si>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</si>
  <si>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</si>
  <si>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</si>
  <si>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</si>
  <si>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</si>
  <si>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</si>
  <si>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</si>
  <si>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</si>
  <si>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</si>
  <si>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Ethiopia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</si>
  <si>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</si>
  <si>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</si>
  <si>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</si>
  <si>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</si>
  <si>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</si>
  <si>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</si>
  <si>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</si>
  <si>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</si>
  <si>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</si>
  <si>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</si>
  <si>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</si>
  <si>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</si>
  <si>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</si>
  <si>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</si>
  <si>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</si>
  <si>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</si>
  <si>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</si>
  <si>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</si>
  <si>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</si>
  <si>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</si>
  <si>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</si>
  <si>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Oman</t>
  </si>
  <si>
    <t>ID1929</t>
  </si>
  <si>
    <t>ID1930</t>
  </si>
  <si>
    <t>ID1931</t>
  </si>
  <si>
    <t>ID1932</t>
  </si>
  <si>
    <t>Experience</t>
  </si>
  <si>
    <t>Hours Per Day</t>
  </si>
  <si>
    <t>Country</t>
  </si>
  <si>
    <t>Salary</t>
  </si>
  <si>
    <t>1 or 2</t>
  </si>
  <si>
    <t>2 to 3</t>
  </si>
  <si>
    <t>4 to 6</t>
  </si>
  <si>
    <t>All 8</t>
  </si>
  <si>
    <t>Null</t>
  </si>
  <si>
    <t>Arabian Gulf</t>
  </si>
  <si>
    <t>Mozambique</t>
  </si>
  <si>
    <t>Unknown</t>
  </si>
  <si>
    <t>Georgia</t>
  </si>
  <si>
    <t>Max</t>
  </si>
  <si>
    <t>Min</t>
  </si>
  <si>
    <t>Average</t>
  </si>
  <si>
    <t>Count</t>
  </si>
  <si>
    <t>Total Count</t>
  </si>
  <si>
    <t>Scenario 1 :</t>
  </si>
  <si>
    <t/>
  </si>
  <si>
    <t>Scenario 2 :</t>
  </si>
  <si>
    <t>Scenario 3 :</t>
  </si>
  <si>
    <t>Total</t>
  </si>
  <si>
    <t>As % Of Selected Region</t>
  </si>
  <si>
    <t>&gt;50000</t>
  </si>
  <si>
    <t xml:space="preserve">Analyse And Compare </t>
  </si>
  <si>
    <t>Count :</t>
  </si>
  <si>
    <t xml:space="preserve">Max </t>
  </si>
  <si>
    <t xml:space="preserve">Ave </t>
  </si>
  <si>
    <t xml:space="preserve">Min </t>
  </si>
  <si>
    <t>(Blank entry selects all records of that criterion ie blank country is all countries. Salary and Experience cells accept &lt; , &lt;=, &gt;= and &gt; operators)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</si>
</sst>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4"/>
      <color theme="3" tint="-0.24994659260841701"/>
      <name val="Calibri"/>
      <family val="2"/>
      <scheme val="minor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/>
    <xf numFmtId="0" fontId="0" fillId="0" borderId="0" xfId="0" applyBorder="1" applyAlignment="1">
      <alignment horizontal="center"/>
    </xf>
    <xf numFmtId="3" fontId="0" fillId="0" borderId="2" xfId="0" applyNumberFormat="1" applyBorder="1"/>
    <xf numFmtId="0" fontId="0" fillId="0" borderId="3" xfId="0" applyBorder="1"/>
    <xf numFmtId="3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1" xfId="0" applyBorder="1"/>
    <xf numFmtId="0" fontId="0" fillId="0" borderId="11" xfId="0" applyBorder="1"/>
    <xf numFmtId="0" fontId="0" fillId="0" borderId="12" xfId="0" applyBorder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3" xfId="0" applyFill="1" applyBorder="1" applyAlignment="1">
      <alignment horizontal="right"/>
    </xf>
    <xf numFmtId="0" fontId="0" fillId="0" borderId="2" xfId="0" applyBorder="1"/>
    <xf numFmtId="1" fontId="0" fillId="0" borderId="4" xfId="0" applyNumberFormat="1" applyBorder="1"/>
    <xf numFmtId="0" fontId="0" fillId="0" borderId="14" xfId="0" applyBorder="1"/>
    <xf numFmtId="0" fontId="0" fillId="0" borderId="14" xfId="0" applyBorder="1" applyAlignment="1">
      <alignment horizontal="right"/>
    </xf>
    <xf numFmtId="1" fontId="0" fillId="0" borderId="6" xfId="0" applyNumberFormat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1" formatCode="0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Max Salary</c:v>
          </c:tx>
          <c:invertIfNegative val="0"/>
          <c:val>
            <c:numRef>
              <c:f>(Data!$K$2,Data!$K$8,Data!$K$14)</c:f>
              <c:numCache>
                <c:formatCode>#,##0</c:formatCode>
                <c:ptCount val="3"/>
                <c:pt idx="0">
                  <c:v>300000</c:v>
                </c:pt>
                <c:pt idx="1">
                  <c:v>300000</c:v>
                </c:pt>
                <c:pt idx="2">
                  <c:v>80135.625093491559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68704"/>
        <c:axId val="83038144"/>
      </c:barChart>
      <c:catAx>
        <c:axId val="120968704"/>
        <c:scaling>
          <c:orientation val="minMax"/>
        </c:scaling>
        <c:delete val="0"/>
        <c:axPos val="b"/>
        <c:majorTickMark val="out"/>
        <c:minorTickMark val="none"/>
        <c:tickLblPos val="nextTo"/>
        <c:crossAx val="83038144"/>
        <c:crosses val="autoZero"/>
        <c:auto val="1"/>
        <c:lblAlgn val="ctr"/>
        <c:lblOffset val="100"/>
        <c:noMultiLvlLbl val="0"/>
      </c:catAx>
      <c:valAx>
        <c:axId val="830381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096870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Ave Salary</c:v>
          </c:tx>
          <c:invertIfNegative val="0"/>
          <c:val>
            <c:numRef>
              <c:f>(Data!$K$4,Data!$K$10,Data!$K$16)</c:f>
              <c:numCache>
                <c:formatCode>#,##0</c:formatCode>
                <c:ptCount val="3"/>
                <c:pt idx="0">
                  <c:v>121023.26516669946</c:v>
                </c:pt>
                <c:pt idx="1">
                  <c:v>130621.62162162163</c:v>
                </c:pt>
                <c:pt idx="2">
                  <c:v>80135.625093491559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69728"/>
        <c:axId val="83039872"/>
      </c:barChart>
      <c:catAx>
        <c:axId val="12096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83039872"/>
        <c:crosses val="autoZero"/>
        <c:auto val="1"/>
        <c:lblAlgn val="ctr"/>
        <c:lblOffset val="100"/>
        <c:noMultiLvlLbl val="0"/>
      </c:catAx>
      <c:valAx>
        <c:axId val="830398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09697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 Salary</c:v>
          </c:tx>
          <c:invertIfNegative val="0"/>
          <c:val>
            <c:numRef>
              <c:f>(Data!$K$3,Data!$K$9,Data!$K$15)</c:f>
              <c:numCache>
                <c:formatCode>#,##0</c:formatCode>
                <c:ptCount val="3"/>
                <c:pt idx="0">
                  <c:v>54000</c:v>
                </c:pt>
                <c:pt idx="1">
                  <c:v>54000</c:v>
                </c:pt>
                <c:pt idx="2">
                  <c:v>80135.625093491559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70752"/>
        <c:axId val="83041600"/>
      </c:barChart>
      <c:catAx>
        <c:axId val="120970752"/>
        <c:scaling>
          <c:orientation val="minMax"/>
        </c:scaling>
        <c:delete val="0"/>
        <c:axPos val="b"/>
        <c:majorTickMark val="out"/>
        <c:minorTickMark val="none"/>
        <c:tickLblPos val="nextTo"/>
        <c:crossAx val="83041600"/>
        <c:crosses val="autoZero"/>
        <c:auto val="1"/>
        <c:lblAlgn val="ctr"/>
        <c:lblOffset val="100"/>
        <c:noMultiLvlLbl val="0"/>
      </c:catAx>
      <c:valAx>
        <c:axId val="830416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097075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Job Type</a:t>
            </a:r>
          </a:p>
        </c:rich>
      </c:tx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val>
            <c:numRef>
              <c:f>View!#REF!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(Data!$P$17,Data!$P$19,Data!$P$21,Data!$P$23,Data!$P$25,Data!$P$27,Data!$P$29,Data!$P$31,Data!$P$33,Data!$P$35)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(Data!$Q$17,Data!$Q$19,Data!$Q$21,Data!$Q$23,Data!$Q$25,Data!$Q$27,Data!$Q$29,Data!$Q$31,Data!$Q$33,Data!$Q$35)</c:f>
              <c:numCache>
                <c:formatCode>General</c:formatCode>
                <c:ptCount val="10"/>
                <c:pt idx="0">
                  <c:v>135</c:v>
                </c:pt>
                <c:pt idx="1">
                  <c:v>743</c:v>
                </c:pt>
                <c:pt idx="2">
                  <c:v>90</c:v>
                </c:pt>
                <c:pt idx="3">
                  <c:v>67</c:v>
                </c:pt>
                <c:pt idx="4">
                  <c:v>75</c:v>
                </c:pt>
                <c:pt idx="5">
                  <c:v>74</c:v>
                </c:pt>
                <c:pt idx="6">
                  <c:v>558</c:v>
                </c:pt>
                <c:pt idx="7">
                  <c:v>7</c:v>
                </c:pt>
                <c:pt idx="8">
                  <c:v>83</c:v>
                </c:pt>
                <c:pt idx="9">
                  <c:v>51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22758656"/>
        <c:axId val="122402432"/>
      </c:barChart>
      <c:catAx>
        <c:axId val="1227586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2402432"/>
        <c:crosses val="autoZero"/>
        <c:auto val="1"/>
        <c:lblAlgn val="ctr"/>
        <c:lblOffset val="100"/>
        <c:noMultiLvlLbl val="0"/>
      </c:catAx>
      <c:valAx>
        <c:axId val="1224024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758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3"/>
              </a:solidFill>
              <a:ln w="25400" cap="flat" cmpd="sng" algn="ctr">
                <a:solidFill>
                  <a:schemeClr val="accent3">
                    <a:shade val="50000"/>
                  </a:schemeClr>
                </a:solidFill>
                <a:prstDash val="solid"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 w="25400" cap="flat" cmpd="sng" algn="ctr">
                <a:solidFill>
                  <a:schemeClr val="accent2">
                    <a:shade val="50000"/>
                  </a:schemeClr>
                </a:solidFill>
                <a:prstDash val="solid"/>
              </a:ln>
              <a:effectLst/>
            </c:spPr>
          </c:dPt>
          <c:dLbls>
            <c:dLbl>
              <c:idx val="0"/>
              <c:layout/>
              <c:numFmt formatCode="#,##0" sourceLinked="0"/>
              <c:spPr/>
              <c:txPr>
                <a:bodyPr rot="0" vert="horz" anchor="t" anchorCtr="0"/>
                <a:lstStyle/>
                <a:p>
                  <a:pPr>
                    <a:defRPr sz="8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numFmt formatCode="#,##0" sourceLinked="0"/>
              <c:spPr/>
              <c:txPr>
                <a:bodyPr rot="0" vert="horz" anchor="t" anchorCtr="0"/>
                <a:lstStyle/>
                <a:p>
                  <a:pPr>
                    <a:defRPr sz="8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numFmt formatCode="#,##0" sourceLinked="0"/>
              <c:spPr/>
              <c:txPr>
                <a:bodyPr rot="0" vert="horz" anchor="t" anchorCtr="0"/>
                <a:lstStyle/>
                <a:p>
                  <a:pPr>
                    <a:defRPr sz="800" b="0">
                      <a:solidFill>
                        <a:sysClr val="windowText" lastClr="00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 rot="0" vert="horz" anchor="t" anchorCtr="0"/>
              <a:lstStyle/>
              <a:p>
                <a:pPr>
                  <a:defRPr b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(Data!$P$3,Data!$P$4,Data!$P$5)</c:f>
              <c:strCache>
                <c:ptCount val="3"/>
                <c:pt idx="0">
                  <c:v>Max </c:v>
                </c:pt>
                <c:pt idx="1">
                  <c:v>Ave </c:v>
                </c:pt>
                <c:pt idx="2">
                  <c:v>Min </c:v>
                </c:pt>
              </c:strCache>
            </c:strRef>
          </c:cat>
          <c:val>
            <c:numRef>
              <c:f>(Data!$Q$3,Data!$Q$4,Data!$Q$5)</c:f>
              <c:numCache>
                <c:formatCode>0</c:formatCode>
                <c:ptCount val="3"/>
                <c:pt idx="0">
                  <c:v>1229201.9037879086</c:v>
                </c:pt>
                <c:pt idx="1">
                  <c:v>49814.598255586949</c:v>
                </c:pt>
                <c:pt idx="2">
                  <c:v>1783.166904422254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2759168"/>
        <c:axId val="122404160"/>
      </c:barChart>
      <c:catAx>
        <c:axId val="1227591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2404160"/>
        <c:crosses val="autoZero"/>
        <c:auto val="1"/>
        <c:lblAlgn val="ctr"/>
        <c:lblOffset val="100"/>
        <c:noMultiLvlLbl val="0"/>
      </c:catAx>
      <c:valAx>
        <c:axId val="122404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275916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6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(Data!$P$8,Data!$P$10,Data!$P$12,Data!$P$14)</c:f>
              <c:strCache>
                <c:ptCount val="4"/>
                <c:pt idx="0">
                  <c:v>1 or 2</c:v>
                </c:pt>
                <c:pt idx="1">
                  <c:v>2 to 3</c:v>
                </c:pt>
                <c:pt idx="2">
                  <c:v>4 to 6</c:v>
                </c:pt>
                <c:pt idx="3">
                  <c:v>All 8</c:v>
                </c:pt>
              </c:strCache>
            </c:strRef>
          </c:cat>
          <c:val>
            <c:numRef>
              <c:f>(Data!$Q$8,Data!$Q$10,Data!$Q$12,Data!$Q$14)</c:f>
              <c:numCache>
                <c:formatCode>General</c:formatCode>
                <c:ptCount val="4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3830799074839593E-2"/>
          <c:w val="0.84879725085910651"/>
          <c:h val="0.9475722420353529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25400" cap="flat" cmpd="sng" algn="ctr">
                <a:solidFill>
                  <a:schemeClr val="accent3">
                    <a:shade val="50000"/>
                  </a:schemeClr>
                </a:solidFill>
                <a:prstDash val="solid"/>
              </a:ln>
              <a:effectLst/>
            </c:spPr>
          </c:dPt>
          <c:dLbls>
            <c:txPr>
              <a:bodyPr/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Data!$Q$2</c:f>
              <c:numCache>
                <c:formatCode>General</c:formatCode>
                <c:ptCount val="1"/>
                <c:pt idx="0">
                  <c:v>1883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40"/>
        <c:axId val="122759680"/>
        <c:axId val="123251520"/>
      </c:barChart>
      <c:catAx>
        <c:axId val="12275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3251520"/>
        <c:crosses val="autoZero"/>
        <c:auto val="1"/>
        <c:lblAlgn val="ctr"/>
        <c:lblOffset val="100"/>
        <c:noMultiLvlLbl val="0"/>
      </c:catAx>
      <c:valAx>
        <c:axId val="123251520"/>
        <c:scaling>
          <c:orientation val="minMax"/>
          <c:max val="1900"/>
          <c:min val="10"/>
        </c:scaling>
        <c:delete val="1"/>
        <c:axPos val="l"/>
        <c:numFmt formatCode="General" sourceLinked="1"/>
        <c:majorTickMark val="none"/>
        <c:minorTickMark val="none"/>
        <c:tickLblPos val="nextTo"/>
        <c:crossAx val="1227596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8.png"/><Relationship Id="rId9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20</xdr:row>
      <xdr:rowOff>14287</xdr:rowOff>
    </xdr:from>
    <xdr:to>
      <xdr:col>6</xdr:col>
      <xdr:colOff>21525</xdr:colOff>
      <xdr:row>35</xdr:row>
      <xdr:rowOff>180787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409575</xdr:colOff>
      <xdr:row>20</xdr:row>
      <xdr:rowOff>14287</xdr:rowOff>
    </xdr:from>
    <xdr:to>
      <xdr:col>11</xdr:col>
      <xdr:colOff>421575</xdr:colOff>
      <xdr:row>35</xdr:row>
      <xdr:rowOff>180787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200025</xdr:colOff>
      <xdr:row>20</xdr:row>
      <xdr:rowOff>14287</xdr:rowOff>
    </xdr:from>
    <xdr:to>
      <xdr:col>17</xdr:col>
      <xdr:colOff>669225</xdr:colOff>
      <xdr:row>35</xdr:row>
      <xdr:rowOff>180787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180975</xdr:rowOff>
        </xdr:from>
        <xdr:to>
          <xdr:col>4</xdr:col>
          <xdr:colOff>19050</xdr:colOff>
          <xdr:row>11</xdr:row>
          <xdr:rowOff>19050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180975</xdr:rowOff>
        </xdr:from>
        <xdr:to>
          <xdr:col>7</xdr:col>
          <xdr:colOff>19050</xdr:colOff>
          <xdr:row>11</xdr:row>
          <xdr:rowOff>19050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180975</xdr:rowOff>
        </xdr:from>
        <xdr:to>
          <xdr:col>9</xdr:col>
          <xdr:colOff>9525</xdr:colOff>
          <xdr:row>11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180975</xdr:rowOff>
        </xdr:from>
        <xdr:to>
          <xdr:col>4</xdr:col>
          <xdr:colOff>19050</xdr:colOff>
          <xdr:row>19</xdr:row>
          <xdr:rowOff>19050</xdr:rowOff>
        </xdr:to>
        <xdr:sp macro="" textlink="">
          <xdr:nvSpPr>
            <xdr:cNvPr id="1033" name="ComboBox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180975</xdr:rowOff>
        </xdr:from>
        <xdr:to>
          <xdr:col>7</xdr:col>
          <xdr:colOff>19050</xdr:colOff>
          <xdr:row>19</xdr:row>
          <xdr:rowOff>19050</xdr:rowOff>
        </xdr:to>
        <xdr:sp macro="" textlink="">
          <xdr:nvSpPr>
            <xdr:cNvPr id="1034" name="ComboBox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180975</xdr:rowOff>
        </xdr:from>
        <xdr:to>
          <xdr:col>9</xdr:col>
          <xdr:colOff>9525</xdr:colOff>
          <xdr:row>19</xdr:row>
          <xdr:rowOff>19050</xdr:rowOff>
        </xdr:to>
        <xdr:sp macro="" textlink="">
          <xdr:nvSpPr>
            <xdr:cNvPr id="1035" name="ComboBox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180975</xdr:rowOff>
        </xdr:from>
        <xdr:to>
          <xdr:col>4</xdr:col>
          <xdr:colOff>19050</xdr:colOff>
          <xdr:row>15</xdr:row>
          <xdr:rowOff>19050</xdr:rowOff>
        </xdr:to>
        <xdr:sp macro="" textlink="">
          <xdr:nvSpPr>
            <xdr:cNvPr id="1036" name="ComboBox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180975</xdr:rowOff>
        </xdr:from>
        <xdr:to>
          <xdr:col>7</xdr:col>
          <xdr:colOff>19050</xdr:colOff>
          <xdr:row>15</xdr:row>
          <xdr:rowOff>19050</xdr:rowOff>
        </xdr:to>
        <xdr:sp macro="" textlink="">
          <xdr:nvSpPr>
            <xdr:cNvPr id="1037" name="ComboBox5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180975</xdr:rowOff>
        </xdr:from>
        <xdr:to>
          <xdr:col>9</xdr:col>
          <xdr:colOff>9525</xdr:colOff>
          <xdr:row>15</xdr:row>
          <xdr:rowOff>19050</xdr:rowOff>
        </xdr:to>
        <xdr:sp macro="" textlink="">
          <xdr:nvSpPr>
            <xdr:cNvPr id="1038" name="ComboBox6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276224</xdr:colOff>
      <xdr:row>4</xdr:row>
      <xdr:rowOff>180975</xdr:rowOff>
    </xdr:from>
    <xdr:to>
      <xdr:col>18</xdr:col>
      <xdr:colOff>76199</xdr:colOff>
      <xdr:row>36</xdr:row>
      <xdr:rowOff>142875</xdr:rowOff>
    </xdr:to>
    <xdr:sp macro="" textlink="">
      <xdr:nvSpPr>
        <xdr:cNvPr id="13" name="Rectangle 12"/>
        <xdr:cNvSpPr/>
      </xdr:nvSpPr>
      <xdr:spPr>
        <a:xfrm>
          <a:off x="276224" y="942975"/>
          <a:ext cx="10086975" cy="6067425"/>
        </a:xfrm>
        <a:prstGeom prst="rect">
          <a:avLst/>
        </a:prstGeom>
        <a:solidFill>
          <a:sysClr val="window" lastClr="F0F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</xdr:col>
      <xdr:colOff>257174</xdr:colOff>
      <xdr:row>8</xdr:row>
      <xdr:rowOff>19049</xdr:rowOff>
    </xdr:from>
    <xdr:to>
      <xdr:col>14</xdr:col>
      <xdr:colOff>202746</xdr:colOff>
      <xdr:row>28</xdr:row>
      <xdr:rowOff>19050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00" t="2835" r="1288" b="3338"/>
        <a:stretch/>
      </xdr:blipFill>
      <xdr:spPr>
        <a:xfrm>
          <a:off x="1171574" y="1552574"/>
          <a:ext cx="6803572" cy="3810001"/>
        </a:xfrm>
        <a:prstGeom prst="rect">
          <a:avLst/>
        </a:prstGeom>
      </xdr:spPr>
    </xdr:pic>
    <xdr:clientData/>
  </xdr:twoCellAnchor>
  <xdr:twoCellAnchor editAs="absolute">
    <xdr:from>
      <xdr:col>0</xdr:col>
      <xdr:colOff>152400</xdr:colOff>
      <xdr:row>0</xdr:row>
      <xdr:rowOff>142876</xdr:rowOff>
    </xdr:from>
    <xdr:to>
      <xdr:col>18</xdr:col>
      <xdr:colOff>161925</xdr:colOff>
      <xdr:row>37</xdr:row>
      <xdr:rowOff>76201</xdr:rowOff>
    </xdr:to>
    <xdr:sp macro="" textlink="">
      <xdr:nvSpPr>
        <xdr:cNvPr id="4" name="Frame 3"/>
        <xdr:cNvSpPr/>
      </xdr:nvSpPr>
      <xdr:spPr>
        <a:xfrm>
          <a:off x="152400" y="142876"/>
          <a:ext cx="10296525" cy="6991350"/>
        </a:xfrm>
        <a:prstGeom prst="frame">
          <a:avLst>
            <a:gd name="adj1" fmla="val 92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</xdr:row>
      <xdr:rowOff>19050</xdr:rowOff>
    </xdr:from>
    <xdr:to>
      <xdr:col>12</xdr:col>
      <xdr:colOff>390525</xdr:colOff>
      <xdr:row>19</xdr:row>
      <xdr:rowOff>85725</xdr:rowOff>
    </xdr:to>
    <xdr:graphicFrame macro="">
      <xdr:nvGraphicFramePr>
        <xdr:cNvPr id="3" name="Chart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219075</xdr:colOff>
      <xdr:row>1</xdr:row>
      <xdr:rowOff>171450</xdr:rowOff>
    </xdr:from>
    <xdr:to>
      <xdr:col>4</xdr:col>
      <xdr:colOff>276225</xdr:colOff>
      <xdr:row>4</xdr:row>
      <xdr:rowOff>152400</xdr:rowOff>
    </xdr:to>
    <xdr:grpSp>
      <xdr:nvGrpSpPr>
        <xdr:cNvPr id="14" name="Group 13"/>
        <xdr:cNvGrpSpPr/>
      </xdr:nvGrpSpPr>
      <xdr:grpSpPr>
        <a:xfrm>
          <a:off x="523875" y="361950"/>
          <a:ext cx="1885950" cy="552450"/>
          <a:chOff x="304800" y="295275"/>
          <a:chExt cx="1885950" cy="552450"/>
        </a:xfrm>
      </xdr:grpSpPr>
      <xdr:sp macro="[0]!Overview" textlink="">
        <xdr:nvSpPr>
          <xdr:cNvPr id="10" name="Rectangle 9"/>
          <xdr:cNvSpPr/>
        </xdr:nvSpPr>
        <xdr:spPr>
          <a:xfrm>
            <a:off x="304800" y="295275"/>
            <a:ext cx="1885950" cy="552450"/>
          </a:xfrm>
          <a:prstGeom prst="rect">
            <a:avLst/>
          </a:prstGeom>
          <a:gradFill rotWithShape="1">
            <a:gsLst>
              <a:gs pos="0">
                <a:srgbClr val="4F81BD">
                  <a:tint val="50000"/>
                  <a:satMod val="300000"/>
                </a:srgbClr>
              </a:gs>
              <a:gs pos="35000">
                <a:srgbClr val="4F81BD">
                  <a:tint val="37000"/>
                  <a:satMod val="300000"/>
                </a:srgbClr>
              </a:gs>
              <a:gs pos="100000">
                <a:srgbClr val="4F81BD">
                  <a:tint val="15000"/>
                  <a:satMod val="350000"/>
                </a:srgbClr>
              </a:gs>
            </a:gsLst>
            <a:lin ang="16200000" scaled="1"/>
          </a:gradFill>
          <a:ln w="9525" cap="flat" cmpd="sng" algn="ctr">
            <a:solidFill>
              <a:srgbClr val="4F81BD">
                <a:shade val="95000"/>
                <a:satMod val="105000"/>
              </a:srgbClr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ZA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[0]!Overview" textlink="">
        <xdr:nvSpPr>
          <xdr:cNvPr id="11" name="TextBox 10"/>
          <xdr:cNvSpPr txBox="1"/>
        </xdr:nvSpPr>
        <xdr:spPr>
          <a:xfrm>
            <a:off x="428625" y="438150"/>
            <a:ext cx="16097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ZA" sz="1100" b="1">
                <a:solidFill>
                  <a:sysClr val="windowText" lastClr="000000"/>
                </a:solidFill>
              </a:rPr>
              <a:t>Overview</a:t>
            </a:r>
          </a:p>
        </xdr:txBody>
      </xdr:sp>
    </xdr:grpSp>
    <xdr:clientData/>
  </xdr:twoCellAnchor>
  <xdr:twoCellAnchor editAs="absolute">
    <xdr:from>
      <xdr:col>2</xdr:col>
      <xdr:colOff>28575</xdr:colOff>
      <xdr:row>6</xdr:row>
      <xdr:rowOff>57149</xdr:rowOff>
    </xdr:from>
    <xdr:to>
      <xdr:col>2</xdr:col>
      <xdr:colOff>136575</xdr:colOff>
      <xdr:row>6</xdr:row>
      <xdr:rowOff>165149</xdr:rowOff>
    </xdr:to>
    <xdr:sp macro="" textlink="">
      <xdr:nvSpPr>
        <xdr:cNvPr id="8" name="Oval 7"/>
        <xdr:cNvSpPr/>
      </xdr:nvSpPr>
      <xdr:spPr>
        <a:xfrm flipV="1">
          <a:off x="942975" y="12001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5</xdr:col>
      <xdr:colOff>90488</xdr:colOff>
      <xdr:row>1</xdr:row>
      <xdr:rowOff>171450</xdr:rowOff>
    </xdr:from>
    <xdr:to>
      <xdr:col>8</xdr:col>
      <xdr:colOff>147638</xdr:colOff>
      <xdr:row>4</xdr:row>
      <xdr:rowOff>152400</xdr:rowOff>
    </xdr:to>
    <xdr:grpSp>
      <xdr:nvGrpSpPr>
        <xdr:cNvPr id="24" name="Group 23"/>
        <xdr:cNvGrpSpPr/>
      </xdr:nvGrpSpPr>
      <xdr:grpSpPr>
        <a:xfrm>
          <a:off x="2833688" y="361950"/>
          <a:ext cx="1885950" cy="552450"/>
          <a:chOff x="304800" y="295275"/>
          <a:chExt cx="1885950" cy="552450"/>
        </a:xfrm>
      </xdr:grpSpPr>
      <xdr:sp macro="[0]!Analysis" textlink="">
        <xdr:nvSpPr>
          <xdr:cNvPr id="25" name="Rectangle 24"/>
          <xdr:cNvSpPr/>
        </xdr:nvSpPr>
        <xdr:spPr>
          <a:xfrm>
            <a:off x="304800" y="295275"/>
            <a:ext cx="1885950" cy="552450"/>
          </a:xfrm>
          <a:prstGeom prst="rect">
            <a:avLst/>
          </a:prstGeom>
          <a:gradFill rotWithShape="1">
            <a:gsLst>
              <a:gs pos="0">
                <a:srgbClr val="4F81BD">
                  <a:tint val="50000"/>
                  <a:satMod val="300000"/>
                </a:srgbClr>
              </a:gs>
              <a:gs pos="35000">
                <a:srgbClr val="4F81BD">
                  <a:tint val="37000"/>
                  <a:satMod val="300000"/>
                </a:srgbClr>
              </a:gs>
              <a:gs pos="100000">
                <a:srgbClr val="4F81BD">
                  <a:tint val="15000"/>
                  <a:satMod val="350000"/>
                </a:srgbClr>
              </a:gs>
            </a:gsLst>
            <a:lin ang="16200000" scaled="1"/>
          </a:gradFill>
          <a:ln w="9525" cap="flat" cmpd="sng" algn="ctr">
            <a:solidFill>
              <a:srgbClr val="4F81BD">
                <a:shade val="95000"/>
                <a:satMod val="105000"/>
              </a:srgbClr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ZA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[0]!Analysis" textlink="">
        <xdr:nvSpPr>
          <xdr:cNvPr id="26" name="TextBox 25"/>
          <xdr:cNvSpPr txBox="1"/>
        </xdr:nvSpPr>
        <xdr:spPr>
          <a:xfrm>
            <a:off x="428625" y="438150"/>
            <a:ext cx="16097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ZA" sz="1100" b="1">
                <a:solidFill>
                  <a:sysClr val="windowText" lastClr="000000"/>
                </a:solidFill>
              </a:rPr>
              <a:t>Analysis</a:t>
            </a:r>
          </a:p>
        </xdr:txBody>
      </xdr:sp>
    </xdr:grpSp>
    <xdr:clientData/>
  </xdr:twoCellAnchor>
  <xdr:twoCellAnchor editAs="absolute">
    <xdr:from>
      <xdr:col>8</xdr:col>
      <xdr:colOff>571500</xdr:colOff>
      <xdr:row>1</xdr:row>
      <xdr:rowOff>171450</xdr:rowOff>
    </xdr:from>
    <xdr:to>
      <xdr:col>12</xdr:col>
      <xdr:colOff>19050</xdr:colOff>
      <xdr:row>4</xdr:row>
      <xdr:rowOff>152400</xdr:rowOff>
    </xdr:to>
    <xdr:grpSp>
      <xdr:nvGrpSpPr>
        <xdr:cNvPr id="16" name="Group 15"/>
        <xdr:cNvGrpSpPr/>
      </xdr:nvGrpSpPr>
      <xdr:grpSpPr>
        <a:xfrm>
          <a:off x="5143500" y="361950"/>
          <a:ext cx="1885950" cy="552450"/>
          <a:chOff x="304800" y="295275"/>
          <a:chExt cx="1885950" cy="552450"/>
        </a:xfrm>
      </xdr:grpSpPr>
      <xdr:sp macro="[0]!DataForm" textlink="">
        <xdr:nvSpPr>
          <xdr:cNvPr id="17" name="Rectangle 16"/>
          <xdr:cNvSpPr/>
        </xdr:nvSpPr>
        <xdr:spPr>
          <a:xfrm>
            <a:off x="304800" y="295275"/>
            <a:ext cx="1885950" cy="552450"/>
          </a:xfrm>
          <a:prstGeom prst="rect">
            <a:avLst/>
          </a:prstGeom>
          <a:gradFill rotWithShape="1">
            <a:gsLst>
              <a:gs pos="0">
                <a:srgbClr val="4F81BD">
                  <a:tint val="50000"/>
                  <a:satMod val="300000"/>
                </a:srgbClr>
              </a:gs>
              <a:gs pos="35000">
                <a:srgbClr val="4F81BD">
                  <a:tint val="37000"/>
                  <a:satMod val="300000"/>
                </a:srgbClr>
              </a:gs>
              <a:gs pos="100000">
                <a:srgbClr val="4F81BD">
                  <a:tint val="15000"/>
                  <a:satMod val="350000"/>
                </a:srgbClr>
              </a:gs>
            </a:gsLst>
            <a:lin ang="16200000" scaled="1"/>
          </a:gradFill>
          <a:ln w="9525" cap="flat" cmpd="sng" algn="ctr">
            <a:solidFill>
              <a:srgbClr val="4F81BD">
                <a:shade val="95000"/>
                <a:satMod val="105000"/>
              </a:srgbClr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ZA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[0]!DataForm" textlink="">
        <xdr:nvSpPr>
          <xdr:cNvPr id="18" name="TextBox 17"/>
          <xdr:cNvSpPr txBox="1"/>
        </xdr:nvSpPr>
        <xdr:spPr>
          <a:xfrm>
            <a:off x="428625" y="438150"/>
            <a:ext cx="16097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ZA" sz="1100" b="1">
                <a:solidFill>
                  <a:sysClr val="windowText" lastClr="000000"/>
                </a:solidFill>
              </a:rPr>
              <a:t>Data</a:t>
            </a:r>
            <a:r>
              <a:rPr lang="en-ZA" sz="1100" b="1" baseline="0">
                <a:solidFill>
                  <a:sysClr val="windowText" lastClr="000000"/>
                </a:solidFill>
              </a:rPr>
              <a:t> Form</a:t>
            </a:r>
            <a:endParaRPr lang="en-ZA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342900</xdr:colOff>
      <xdr:row>24</xdr:row>
      <xdr:rowOff>28574</xdr:rowOff>
    </xdr:from>
    <xdr:to>
      <xdr:col>14</xdr:col>
      <xdr:colOff>219075</xdr:colOff>
      <xdr:row>36</xdr:row>
      <xdr:rowOff>166349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114300</xdr:colOff>
      <xdr:row>24</xdr:row>
      <xdr:rowOff>28574</xdr:rowOff>
    </xdr:from>
    <xdr:to>
      <xdr:col>17</xdr:col>
      <xdr:colOff>653100</xdr:colOff>
      <xdr:row>36</xdr:row>
      <xdr:rowOff>10574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13</xdr:col>
      <xdr:colOff>123825</xdr:colOff>
      <xdr:row>12</xdr:row>
      <xdr:rowOff>76199</xdr:rowOff>
    </xdr:from>
    <xdr:to>
      <xdr:col>17</xdr:col>
      <xdr:colOff>662625</xdr:colOff>
      <xdr:row>24</xdr:row>
      <xdr:rowOff>58199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12</xdr:col>
      <xdr:colOff>171449</xdr:colOff>
      <xdr:row>5</xdr:row>
      <xdr:rowOff>19050</xdr:rowOff>
    </xdr:from>
    <xdr:to>
      <xdr:col>18</xdr:col>
      <xdr:colOff>47624</xdr:colOff>
      <xdr:row>9</xdr:row>
      <xdr:rowOff>38101</xdr:rowOff>
    </xdr:to>
    <xdr:sp macro="" textlink="">
      <xdr:nvSpPr>
        <xdr:cNvPr id="27" name="TextBox 26"/>
        <xdr:cNvSpPr txBox="1"/>
      </xdr:nvSpPr>
      <xdr:spPr>
        <a:xfrm>
          <a:off x="7181849" y="971550"/>
          <a:ext cx="3152775" cy="79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3200" b="1">
              <a:solidFill>
                <a:schemeClr val="accent1">
                  <a:lumMod val="75000"/>
                </a:schemeClr>
              </a:solidFill>
              <a:effectLst>
                <a:reflection blurRad="6350" stA="50000" endA="300" endPos="50000" dist="29997" dir="5400000" sy="-100000" algn="bl" rotWithShape="0"/>
              </a:effectLst>
            </a:rPr>
            <a:t>World View</a:t>
          </a:r>
        </a:p>
      </xdr:txBody>
    </xdr:sp>
    <xdr:clientData/>
  </xdr:twoCellAnchor>
  <xdr:twoCellAnchor editAs="absolute">
    <xdr:from>
      <xdr:col>14</xdr:col>
      <xdr:colOff>561975</xdr:colOff>
      <xdr:row>11</xdr:row>
      <xdr:rowOff>180975</xdr:rowOff>
    </xdr:from>
    <xdr:to>
      <xdr:col>17</xdr:col>
      <xdr:colOff>0</xdr:colOff>
      <xdr:row>13</xdr:row>
      <xdr:rowOff>133350</xdr:rowOff>
    </xdr:to>
    <xdr:sp macro="" textlink="">
      <xdr:nvSpPr>
        <xdr:cNvPr id="28" name="TextBox 27"/>
        <xdr:cNvSpPr txBox="1"/>
      </xdr:nvSpPr>
      <xdr:spPr>
        <a:xfrm>
          <a:off x="8334375" y="2286000"/>
          <a:ext cx="12668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1400" b="1">
              <a:solidFill>
                <a:schemeClr val="accent1">
                  <a:lumMod val="75000"/>
                </a:schemeClr>
              </a:solidFill>
            </a:rPr>
            <a:t>Hours Worked</a:t>
          </a:r>
        </a:p>
      </xdr:txBody>
    </xdr:sp>
    <xdr:clientData/>
  </xdr:twoCellAnchor>
  <xdr:twoCellAnchor editAs="absolute">
    <xdr:from>
      <xdr:col>14</xdr:col>
      <xdr:colOff>581025</xdr:colOff>
      <xdr:row>23</xdr:row>
      <xdr:rowOff>47625</xdr:rowOff>
    </xdr:from>
    <xdr:to>
      <xdr:col>17</xdr:col>
      <xdr:colOff>19050</xdr:colOff>
      <xdr:row>25</xdr:row>
      <xdr:rowOff>0</xdr:rowOff>
    </xdr:to>
    <xdr:sp macro="" textlink="">
      <xdr:nvSpPr>
        <xdr:cNvPr id="38" name="TextBox 37"/>
        <xdr:cNvSpPr txBox="1"/>
      </xdr:nvSpPr>
      <xdr:spPr>
        <a:xfrm>
          <a:off x="8353425" y="4438650"/>
          <a:ext cx="12668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1400" b="1">
              <a:solidFill>
                <a:schemeClr val="accent1">
                  <a:lumMod val="75000"/>
                </a:schemeClr>
              </a:solidFill>
            </a:rPr>
            <a:t>Salary</a:t>
          </a:r>
        </a:p>
      </xdr:txBody>
    </xdr:sp>
    <xdr:clientData/>
  </xdr:twoCellAnchor>
  <xdr:twoCellAnchor editAs="absolute">
    <xdr:from>
      <xdr:col>2</xdr:col>
      <xdr:colOff>123825</xdr:colOff>
      <xdr:row>5</xdr:row>
      <xdr:rowOff>161925</xdr:rowOff>
    </xdr:from>
    <xdr:to>
      <xdr:col>6</xdr:col>
      <xdr:colOff>581025</xdr:colOff>
      <xdr:row>7</xdr:row>
      <xdr:rowOff>57150</xdr:rowOff>
    </xdr:to>
    <xdr:sp macro="" textlink="">
      <xdr:nvSpPr>
        <xdr:cNvPr id="29" name="TextBox 28"/>
        <xdr:cNvSpPr txBox="1"/>
      </xdr:nvSpPr>
      <xdr:spPr>
        <a:xfrm>
          <a:off x="1038225" y="1114425"/>
          <a:ext cx="28956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 b="1">
              <a:solidFill>
                <a:schemeClr val="accent1">
                  <a:lumMod val="75000"/>
                </a:schemeClr>
              </a:solidFill>
            </a:rPr>
            <a:t>Top 15 Countries By No. Of Respondents</a:t>
          </a:r>
        </a:p>
      </xdr:txBody>
    </xdr:sp>
    <xdr:clientData/>
  </xdr:twoCellAnchor>
  <xdr:twoCellAnchor editAs="absolute">
    <xdr:from>
      <xdr:col>8</xdr:col>
      <xdr:colOff>390525</xdr:colOff>
      <xdr:row>5</xdr:row>
      <xdr:rowOff>161925</xdr:rowOff>
    </xdr:from>
    <xdr:to>
      <xdr:col>9</xdr:col>
      <xdr:colOff>438150</xdr:colOff>
      <xdr:row>7</xdr:row>
      <xdr:rowOff>57150</xdr:rowOff>
    </xdr:to>
    <xdr:sp macro="" textlink="">
      <xdr:nvSpPr>
        <xdr:cNvPr id="41" name="TextBox 40"/>
        <xdr:cNvSpPr txBox="1"/>
      </xdr:nvSpPr>
      <xdr:spPr>
        <a:xfrm>
          <a:off x="4962525" y="1114425"/>
          <a:ext cx="6572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200" b="1">
              <a:solidFill>
                <a:schemeClr val="accent1">
                  <a:lumMod val="75000"/>
                </a:schemeClr>
              </a:solidFill>
            </a:rPr>
            <a:t>Reset</a:t>
          </a:r>
        </a:p>
      </xdr:txBody>
    </xdr:sp>
    <xdr:clientData/>
  </xdr:twoCellAnchor>
  <xdr:twoCellAnchor editAs="absolute">
    <xdr:from>
      <xdr:col>8</xdr:col>
      <xdr:colOff>295275</xdr:colOff>
      <xdr:row>6</xdr:row>
      <xdr:rowOff>57149</xdr:rowOff>
    </xdr:from>
    <xdr:to>
      <xdr:col>8</xdr:col>
      <xdr:colOff>403275</xdr:colOff>
      <xdr:row>6</xdr:row>
      <xdr:rowOff>165149</xdr:rowOff>
    </xdr:to>
    <xdr:sp macro="[0]!ResetWorldView" textlink="">
      <xdr:nvSpPr>
        <xdr:cNvPr id="42" name="Oval 41"/>
        <xdr:cNvSpPr/>
      </xdr:nvSpPr>
      <xdr:spPr>
        <a:xfrm flipV="1">
          <a:off x="4867275" y="1200149"/>
          <a:ext cx="108000" cy="108000"/>
        </a:xfrm>
        <a:prstGeom prst="ellipse">
          <a:avLst/>
        </a:prstGeom>
        <a:solidFill>
          <a:srgbClr val="FF0000"/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0</xdr:col>
      <xdr:colOff>0</xdr:colOff>
      <xdr:row>7</xdr:row>
      <xdr:rowOff>28575</xdr:rowOff>
    </xdr:from>
    <xdr:to>
      <xdr:col>3</xdr:col>
      <xdr:colOff>323850</xdr:colOff>
      <xdr:row>35</xdr:row>
      <xdr:rowOff>23813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123825</xdr:colOff>
      <xdr:row>34</xdr:row>
      <xdr:rowOff>57150</xdr:rowOff>
    </xdr:from>
    <xdr:to>
      <xdr:col>2</xdr:col>
      <xdr:colOff>476250</xdr:colOff>
      <xdr:row>36</xdr:row>
      <xdr:rowOff>9525</xdr:rowOff>
    </xdr:to>
    <xdr:sp macro="" textlink="">
      <xdr:nvSpPr>
        <xdr:cNvPr id="43" name="TextBox 42"/>
        <xdr:cNvSpPr txBox="1"/>
      </xdr:nvSpPr>
      <xdr:spPr>
        <a:xfrm>
          <a:off x="123825" y="6543675"/>
          <a:ext cx="12668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1400" b="1">
              <a:solidFill>
                <a:schemeClr val="accent1">
                  <a:lumMod val="75000"/>
                </a:schemeClr>
              </a:solidFill>
            </a:rPr>
            <a:t>Respondents</a:t>
          </a:r>
        </a:p>
      </xdr:txBody>
    </xdr:sp>
    <xdr:clientData/>
  </xdr:twoCellAnchor>
  <xdr:twoCellAnchor editAs="absolute">
    <xdr:from>
      <xdr:col>4</xdr:col>
      <xdr:colOff>276225</xdr:colOff>
      <xdr:row>15</xdr:row>
      <xdr:rowOff>161924</xdr:rowOff>
    </xdr:from>
    <xdr:to>
      <xdr:col>4</xdr:col>
      <xdr:colOff>384225</xdr:colOff>
      <xdr:row>16</xdr:row>
      <xdr:rowOff>79424</xdr:rowOff>
    </xdr:to>
    <xdr:sp macro="[0]!USA" textlink="">
      <xdr:nvSpPr>
        <xdr:cNvPr id="44" name="Oval 43"/>
        <xdr:cNvSpPr/>
      </xdr:nvSpPr>
      <xdr:spPr>
        <a:xfrm flipV="1">
          <a:off x="2409825" y="30289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11</xdr:col>
      <xdr:colOff>371475</xdr:colOff>
      <xdr:row>23</xdr:row>
      <xdr:rowOff>161924</xdr:rowOff>
    </xdr:from>
    <xdr:to>
      <xdr:col>11</xdr:col>
      <xdr:colOff>479475</xdr:colOff>
      <xdr:row>24</xdr:row>
      <xdr:rowOff>79424</xdr:rowOff>
    </xdr:to>
    <xdr:sp macro="[0]!Australia" textlink="">
      <xdr:nvSpPr>
        <xdr:cNvPr id="45" name="Oval 44"/>
        <xdr:cNvSpPr/>
      </xdr:nvSpPr>
      <xdr:spPr>
        <a:xfrm flipV="1">
          <a:off x="6772275" y="45529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7</xdr:col>
      <xdr:colOff>276225</xdr:colOff>
      <xdr:row>13</xdr:row>
      <xdr:rowOff>85724</xdr:rowOff>
    </xdr:from>
    <xdr:to>
      <xdr:col>7</xdr:col>
      <xdr:colOff>384225</xdr:colOff>
      <xdr:row>14</xdr:row>
      <xdr:rowOff>3224</xdr:rowOff>
    </xdr:to>
    <xdr:sp macro="[0]!UK" textlink="">
      <xdr:nvSpPr>
        <xdr:cNvPr id="46" name="Oval 45"/>
        <xdr:cNvSpPr/>
      </xdr:nvSpPr>
      <xdr:spPr>
        <a:xfrm flipV="1">
          <a:off x="4238625" y="25717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9</xdr:col>
      <xdr:colOff>161925</xdr:colOff>
      <xdr:row>17</xdr:row>
      <xdr:rowOff>152399</xdr:rowOff>
    </xdr:from>
    <xdr:to>
      <xdr:col>9</xdr:col>
      <xdr:colOff>269925</xdr:colOff>
      <xdr:row>18</xdr:row>
      <xdr:rowOff>69899</xdr:rowOff>
    </xdr:to>
    <xdr:sp macro="[0]!UAE" textlink="">
      <xdr:nvSpPr>
        <xdr:cNvPr id="47" name="Oval 46"/>
        <xdr:cNvSpPr/>
      </xdr:nvSpPr>
      <xdr:spPr>
        <a:xfrm flipV="1">
          <a:off x="5343525" y="34004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8</xdr:col>
      <xdr:colOff>171450</xdr:colOff>
      <xdr:row>23</xdr:row>
      <xdr:rowOff>161924</xdr:rowOff>
    </xdr:from>
    <xdr:to>
      <xdr:col>8</xdr:col>
      <xdr:colOff>279450</xdr:colOff>
      <xdr:row>24</xdr:row>
      <xdr:rowOff>79424</xdr:rowOff>
    </xdr:to>
    <xdr:sp macro="[0]!SouthAfrica" textlink="">
      <xdr:nvSpPr>
        <xdr:cNvPr id="48" name="Oval 47"/>
        <xdr:cNvSpPr/>
      </xdr:nvSpPr>
      <xdr:spPr>
        <a:xfrm flipV="1">
          <a:off x="4743450" y="45529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9</xdr:col>
      <xdr:colOff>438150</xdr:colOff>
      <xdr:row>17</xdr:row>
      <xdr:rowOff>133349</xdr:rowOff>
    </xdr:from>
    <xdr:to>
      <xdr:col>9</xdr:col>
      <xdr:colOff>546150</xdr:colOff>
      <xdr:row>18</xdr:row>
      <xdr:rowOff>50849</xdr:rowOff>
    </xdr:to>
    <xdr:sp macro="[0]!Pakistan" textlink="">
      <xdr:nvSpPr>
        <xdr:cNvPr id="49" name="Oval 48"/>
        <xdr:cNvSpPr/>
      </xdr:nvSpPr>
      <xdr:spPr>
        <a:xfrm flipV="1">
          <a:off x="5619750" y="338137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7</xdr:col>
      <xdr:colOff>409575</xdr:colOff>
      <xdr:row>13</xdr:row>
      <xdr:rowOff>190499</xdr:rowOff>
    </xdr:from>
    <xdr:to>
      <xdr:col>7</xdr:col>
      <xdr:colOff>517575</xdr:colOff>
      <xdr:row>14</xdr:row>
      <xdr:rowOff>107999</xdr:rowOff>
    </xdr:to>
    <xdr:sp macro="[0]!Netherlands" textlink="">
      <xdr:nvSpPr>
        <xdr:cNvPr id="50" name="Oval 49"/>
        <xdr:cNvSpPr/>
      </xdr:nvSpPr>
      <xdr:spPr>
        <a:xfrm flipV="1">
          <a:off x="4371975" y="26765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9</xdr:col>
      <xdr:colOff>590550</xdr:colOff>
      <xdr:row>18</xdr:row>
      <xdr:rowOff>95249</xdr:rowOff>
    </xdr:from>
    <xdr:to>
      <xdr:col>10</xdr:col>
      <xdr:colOff>88950</xdr:colOff>
      <xdr:row>19</xdr:row>
      <xdr:rowOff>12749</xdr:rowOff>
    </xdr:to>
    <xdr:sp macro="[0]!India" textlink="">
      <xdr:nvSpPr>
        <xdr:cNvPr id="51" name="Oval 50"/>
        <xdr:cNvSpPr/>
      </xdr:nvSpPr>
      <xdr:spPr>
        <a:xfrm flipV="1">
          <a:off x="5772150" y="353377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4</xdr:col>
      <xdr:colOff>142875</xdr:colOff>
      <xdr:row>13</xdr:row>
      <xdr:rowOff>47624</xdr:rowOff>
    </xdr:from>
    <xdr:to>
      <xdr:col>4</xdr:col>
      <xdr:colOff>250875</xdr:colOff>
      <xdr:row>13</xdr:row>
      <xdr:rowOff>155624</xdr:rowOff>
    </xdr:to>
    <xdr:sp macro="[0]!Canada" textlink="">
      <xdr:nvSpPr>
        <xdr:cNvPr id="52" name="Oval 51"/>
        <xdr:cNvSpPr/>
      </xdr:nvSpPr>
      <xdr:spPr>
        <a:xfrm flipV="1">
          <a:off x="2276475" y="2533649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6</xdr:col>
      <xdr:colOff>0</xdr:colOff>
      <xdr:row>21</xdr:row>
      <xdr:rowOff>190499</xdr:rowOff>
    </xdr:from>
    <xdr:to>
      <xdr:col>6</xdr:col>
      <xdr:colOff>108000</xdr:colOff>
      <xdr:row>22</xdr:row>
      <xdr:rowOff>107999</xdr:rowOff>
    </xdr:to>
    <xdr:sp macro="[0]!Brazil" textlink="">
      <xdr:nvSpPr>
        <xdr:cNvPr id="53" name="Oval 52"/>
        <xdr:cNvSpPr/>
      </xdr:nvSpPr>
      <xdr:spPr>
        <a:xfrm flipV="1">
          <a:off x="3352800" y="42005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8</xdr:col>
      <xdr:colOff>590550</xdr:colOff>
      <xdr:row>17</xdr:row>
      <xdr:rowOff>190499</xdr:rowOff>
    </xdr:from>
    <xdr:to>
      <xdr:col>9</xdr:col>
      <xdr:colOff>88950</xdr:colOff>
      <xdr:row>18</xdr:row>
      <xdr:rowOff>107999</xdr:rowOff>
    </xdr:to>
    <xdr:sp macro="[0]!SaudiArabia" textlink="">
      <xdr:nvSpPr>
        <xdr:cNvPr id="54" name="Oval 53"/>
        <xdr:cNvSpPr/>
      </xdr:nvSpPr>
      <xdr:spPr>
        <a:xfrm flipV="1">
          <a:off x="5162550" y="34385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10</xdr:col>
      <xdr:colOff>447675</xdr:colOff>
      <xdr:row>20</xdr:row>
      <xdr:rowOff>95249</xdr:rowOff>
    </xdr:from>
    <xdr:to>
      <xdr:col>10</xdr:col>
      <xdr:colOff>555675</xdr:colOff>
      <xdr:row>21</xdr:row>
      <xdr:rowOff>12749</xdr:rowOff>
    </xdr:to>
    <xdr:sp macro="[0]!Singapore" textlink="">
      <xdr:nvSpPr>
        <xdr:cNvPr id="55" name="Oval 54"/>
        <xdr:cNvSpPr/>
      </xdr:nvSpPr>
      <xdr:spPr>
        <a:xfrm flipV="1">
          <a:off x="6238875" y="391477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11</xdr:col>
      <xdr:colOff>200025</xdr:colOff>
      <xdr:row>19</xdr:row>
      <xdr:rowOff>76199</xdr:rowOff>
    </xdr:from>
    <xdr:to>
      <xdr:col>11</xdr:col>
      <xdr:colOff>308025</xdr:colOff>
      <xdr:row>19</xdr:row>
      <xdr:rowOff>184199</xdr:rowOff>
    </xdr:to>
    <xdr:sp macro="[0]!Philippines" textlink="">
      <xdr:nvSpPr>
        <xdr:cNvPr id="56" name="Oval 55"/>
        <xdr:cNvSpPr/>
      </xdr:nvSpPr>
      <xdr:spPr>
        <a:xfrm flipV="1">
          <a:off x="6600825" y="37052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12</xdr:col>
      <xdr:colOff>514350</xdr:colOff>
      <xdr:row>26</xdr:row>
      <xdr:rowOff>38099</xdr:rowOff>
    </xdr:from>
    <xdr:to>
      <xdr:col>13</xdr:col>
      <xdr:colOff>12750</xdr:colOff>
      <xdr:row>26</xdr:row>
      <xdr:rowOff>146099</xdr:rowOff>
    </xdr:to>
    <xdr:sp macro="[0]!NewZealand" textlink="">
      <xdr:nvSpPr>
        <xdr:cNvPr id="57" name="Oval 56"/>
        <xdr:cNvSpPr/>
      </xdr:nvSpPr>
      <xdr:spPr>
        <a:xfrm flipV="1">
          <a:off x="7524750" y="500062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absolute">
    <xdr:from>
      <xdr:col>7</xdr:col>
      <xdr:colOff>514350</xdr:colOff>
      <xdr:row>14</xdr:row>
      <xdr:rowOff>95249</xdr:rowOff>
    </xdr:from>
    <xdr:to>
      <xdr:col>8</xdr:col>
      <xdr:colOff>12750</xdr:colOff>
      <xdr:row>15</xdr:row>
      <xdr:rowOff>12749</xdr:rowOff>
    </xdr:to>
    <xdr:sp macro="[0]!Germany" textlink="">
      <xdr:nvSpPr>
        <xdr:cNvPr id="58" name="Oval 57"/>
        <xdr:cNvSpPr/>
      </xdr:nvSpPr>
      <xdr:spPr>
        <a:xfrm flipV="1">
          <a:off x="4476750" y="2771774"/>
          <a:ext cx="108000" cy="1080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ables/table1.xml><?xml version="1.0" encoding="utf-8"?>
<table xmlns="http://schemas.openxmlformats.org/spreadsheetml/2006/main" id="8" name="tblSalaries" displayName="tblSalaries" ref="A1:F1884" totalsRowShown="0">
  <autoFilter ref="A1:F1884"/>
  <sortState ref="A2:F1884">
    <sortCondition ref="A1:A1884"/>
  </sortState>
  <tableColumns count="6">
    <tableColumn id="1" name="Unique ID"/>
    <tableColumn id="13" name="Salary" dataDxfId="2"/>
    <tableColumn id="6" name="Job Type"/>
    <tableColumn id="10" name="Country" dataDxfId="1"/>
    <tableColumn id="9" name="Hours Per Day"/>
    <tableColumn id="12" name="Experie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:R31"/>
  <sheetViews>
    <sheetView showGridLines="0" showRowColHeaders="0" tabSelected="1" zoomScaleNormal="100" workbookViewId="0">
      <selection activeCell="C3" sqref="C3"/>
    </sheetView>
  </sheetViews>
  <sheetFormatPr defaultRowHeight="15" x14ac:dyDescent="0.25"/>
  <cols>
    <col min="1" max="1" width="4.5703125" customWidth="1"/>
    <col min="4" max="4" width="9.140625" customWidth="1"/>
    <col min="14" max="14" width="2.28515625" customWidth="1"/>
    <col min="18" max="18" width="10.28515625" customWidth="1"/>
  </cols>
  <sheetData>
    <row r="7" spans="2:18" ht="15.75" x14ac:dyDescent="0.25">
      <c r="B7" s="32" t="s">
        <v>2020</v>
      </c>
      <c r="C7" s="32"/>
      <c r="D7" s="32"/>
      <c r="E7" t="s">
        <v>2025</v>
      </c>
    </row>
    <row r="9" spans="2:18" x14ac:dyDescent="0.25">
      <c r="B9" t="s">
        <v>2013</v>
      </c>
    </row>
    <row r="10" spans="2:18" x14ac:dyDescent="0.25">
      <c r="B10" s="36" t="s">
        <v>1997</v>
      </c>
      <c r="C10" s="36"/>
      <c r="D10" s="36"/>
      <c r="E10" s="36" t="s">
        <v>1</v>
      </c>
      <c r="F10" s="36"/>
      <c r="G10" s="36"/>
      <c r="H10" s="36" t="s">
        <v>1996</v>
      </c>
      <c r="I10" s="36"/>
      <c r="J10" s="36" t="s">
        <v>1995</v>
      </c>
      <c r="K10" s="36"/>
      <c r="L10" s="36" t="s">
        <v>1998</v>
      </c>
      <c r="M10" s="36"/>
      <c r="N10" s="6"/>
      <c r="O10" s="13" t="s">
        <v>2017</v>
      </c>
      <c r="P10" s="36" t="s">
        <v>2018</v>
      </c>
      <c r="Q10" s="36"/>
      <c r="R10" s="36"/>
    </row>
    <row r="11" spans="2:18" x14ac:dyDescent="0.25">
      <c r="B11" t="s">
        <v>2014</v>
      </c>
      <c r="E11" t="s">
        <v>21</v>
      </c>
      <c r="H11" t="s">
        <v>2014</v>
      </c>
      <c r="J11" s="35"/>
      <c r="K11" s="35"/>
      <c r="L11" s="35" t="s">
        <v>2019</v>
      </c>
      <c r="M11" s="35"/>
      <c r="N11" s="14"/>
      <c r="O11" s="13">
        <f>Data!K5</f>
        <v>56</v>
      </c>
      <c r="P11" s="37">
        <f>Data!K5/Data!K6</f>
        <v>2.9739776951672861E-2</v>
      </c>
      <c r="Q11" s="37"/>
      <c r="R11" s="37"/>
    </row>
    <row r="12" spans="2:18" x14ac:dyDescent="0.25">
      <c r="O12" s="4"/>
    </row>
    <row r="13" spans="2:18" x14ac:dyDescent="0.25">
      <c r="B13" t="s">
        <v>2015</v>
      </c>
      <c r="O13" s="4"/>
    </row>
    <row r="14" spans="2:18" x14ac:dyDescent="0.25">
      <c r="B14" s="36" t="s">
        <v>1997</v>
      </c>
      <c r="C14" s="36"/>
      <c r="D14" s="36"/>
      <c r="E14" s="36" t="s">
        <v>1</v>
      </c>
      <c r="F14" s="36"/>
      <c r="G14" s="36"/>
      <c r="H14" s="36" t="s">
        <v>1996</v>
      </c>
      <c r="I14" s="36"/>
      <c r="J14" s="36" t="s">
        <v>1995</v>
      </c>
      <c r="K14" s="36"/>
      <c r="L14" s="36" t="s">
        <v>1998</v>
      </c>
      <c r="M14" s="36"/>
      <c r="N14" s="6"/>
      <c r="O14" s="13" t="s">
        <v>2017</v>
      </c>
      <c r="P14" s="36" t="s">
        <v>2018</v>
      </c>
      <c r="Q14" s="36"/>
      <c r="R14" s="36"/>
    </row>
    <row r="15" spans="2:18" x14ac:dyDescent="0.25">
      <c r="B15" t="s">
        <v>8</v>
      </c>
      <c r="E15" t="s">
        <v>21</v>
      </c>
      <c r="H15" t="s">
        <v>2014</v>
      </c>
      <c r="J15" s="35"/>
      <c r="K15" s="35"/>
      <c r="L15" s="35" t="s">
        <v>2019</v>
      </c>
      <c r="M15" s="35"/>
      <c r="N15" s="14"/>
      <c r="O15" s="13">
        <f>Data!K11</f>
        <v>37</v>
      </c>
      <c r="P15" s="37">
        <f>Data!K11/Data!K12</f>
        <v>5.9967585089141004E-2</v>
      </c>
      <c r="Q15" s="37"/>
      <c r="R15" s="37"/>
    </row>
    <row r="16" spans="2:18" x14ac:dyDescent="0.25">
      <c r="O16" s="4"/>
    </row>
    <row r="17" spans="2:18" x14ac:dyDescent="0.25">
      <c r="B17" t="s">
        <v>2016</v>
      </c>
      <c r="O17" s="4"/>
    </row>
    <row r="18" spans="2:18" x14ac:dyDescent="0.25">
      <c r="B18" s="38" t="s">
        <v>1997</v>
      </c>
      <c r="C18" s="39"/>
      <c r="D18" s="40"/>
      <c r="E18" s="38" t="s">
        <v>1</v>
      </c>
      <c r="F18" s="39"/>
      <c r="G18" s="40"/>
      <c r="H18" s="36" t="s">
        <v>1996</v>
      </c>
      <c r="I18" s="36"/>
      <c r="J18" s="38" t="s">
        <v>1995</v>
      </c>
      <c r="K18" s="40"/>
      <c r="L18" s="36" t="s">
        <v>1998</v>
      </c>
      <c r="M18" s="36"/>
      <c r="N18" s="6"/>
      <c r="O18" s="13" t="s">
        <v>2017</v>
      </c>
      <c r="P18" s="36" t="s">
        <v>2018</v>
      </c>
      <c r="Q18" s="36"/>
      <c r="R18" s="36"/>
    </row>
    <row r="19" spans="2:18" x14ac:dyDescent="0.25">
      <c r="B19" t="s">
        <v>4</v>
      </c>
      <c r="E19" t="s">
        <v>21</v>
      </c>
      <c r="J19" s="33"/>
      <c r="K19" s="34"/>
      <c r="L19" s="35" t="s">
        <v>2019</v>
      </c>
      <c r="M19" s="35"/>
      <c r="N19" s="14"/>
      <c r="O19" s="13">
        <f>Data!K17</f>
        <v>1</v>
      </c>
      <c r="P19" s="37">
        <f>Data!K17/Data!K18</f>
        <v>1.7699115044247787E-3</v>
      </c>
      <c r="Q19" s="37"/>
      <c r="R19" s="37"/>
    </row>
    <row r="29" spans="2:18" ht="15" customHeight="1" x14ac:dyDescent="0.25">
      <c r="C29" s="3"/>
      <c r="D29" s="3"/>
      <c r="E29" s="3"/>
      <c r="F29" s="3"/>
      <c r="G29" s="3"/>
      <c r="H29" s="3"/>
    </row>
    <row r="30" spans="2:18" ht="15" customHeight="1" x14ac:dyDescent="0.25">
      <c r="C30" s="3"/>
      <c r="D30" s="3"/>
      <c r="E30" s="3"/>
      <c r="F30" s="3"/>
      <c r="G30" s="3"/>
      <c r="H30" s="3"/>
    </row>
    <row r="31" spans="2:18" ht="15" customHeight="1" x14ac:dyDescent="0.25">
      <c r="C31" s="3"/>
      <c r="D31" s="3"/>
      <c r="E31" s="3"/>
      <c r="F31" s="3"/>
      <c r="G31" s="3"/>
      <c r="H31" s="3"/>
    </row>
  </sheetData>
  <mergeCells count="28">
    <mergeCell ref="B10:D10"/>
    <mergeCell ref="E10:G10"/>
    <mergeCell ref="H10:I10"/>
    <mergeCell ref="J10:K10"/>
    <mergeCell ref="J11:K11"/>
    <mergeCell ref="J18:K18"/>
    <mergeCell ref="L18:M18"/>
    <mergeCell ref="B14:D14"/>
    <mergeCell ref="E14:G14"/>
    <mergeCell ref="H14:I14"/>
    <mergeCell ref="J14:K14"/>
    <mergeCell ref="L14:M14"/>
    <mergeCell ref="B7:D7"/>
    <mergeCell ref="J19:K19"/>
    <mergeCell ref="L19:M19"/>
    <mergeCell ref="P10:R10"/>
    <mergeCell ref="P11:R11"/>
    <mergeCell ref="P14:R14"/>
    <mergeCell ref="P15:R15"/>
    <mergeCell ref="P18:R18"/>
    <mergeCell ref="P19:R19"/>
    <mergeCell ref="J15:K15"/>
    <mergeCell ref="L15:M15"/>
    <mergeCell ref="L10:M10"/>
    <mergeCell ref="L11:M11"/>
    <mergeCell ref="B18:D18"/>
    <mergeCell ref="E18:G18"/>
    <mergeCell ref="H18:I18"/>
  </mergeCells>
  <dataValidations count="1">
    <dataValidation operator="greaterThan" showErrorMessage="1" prompt="error" sqref="L11:O11 O15 O19"/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linkedCell="B11" listFillRange="Data!M1:M97" r:id="rId5">
            <anchor moveWithCells="1">
              <from>
                <xdr:col>1</xdr:col>
                <xdr:colOff>0</xdr:colOff>
                <xdr:row>9</xdr:row>
                <xdr:rowOff>180975</xdr:rowOff>
              </from>
              <to>
                <xdr:col>4</xdr:col>
                <xdr:colOff>19050</xdr:colOff>
                <xdr:row>11</xdr:row>
                <xdr:rowOff>19050</xdr:rowOff>
              </to>
            </anchor>
          </controlPr>
        </control>
      </mc:Choice>
      <mc:Fallback>
        <control shapeId="1026" r:id="rId4" name="ComboBox1"/>
      </mc:Fallback>
    </mc:AlternateContent>
    <mc:AlternateContent xmlns:mc="http://schemas.openxmlformats.org/markup-compatibility/2006">
      <mc:Choice Requires="x14">
        <control shapeId="1028" r:id="rId6" name="ComboBox2">
          <controlPr defaultSize="0" autoLine="0" linkedCell="E11" listFillRange="Data!N1:N11" r:id="rId7">
            <anchor moveWithCells="1">
              <from>
                <xdr:col>4</xdr:col>
                <xdr:colOff>0</xdr:colOff>
                <xdr:row>9</xdr:row>
                <xdr:rowOff>180975</xdr:rowOff>
              </from>
              <to>
                <xdr:col>7</xdr:col>
                <xdr:colOff>19050</xdr:colOff>
                <xdr:row>11</xdr:row>
                <xdr:rowOff>19050</xdr:rowOff>
              </to>
            </anchor>
          </controlPr>
        </control>
      </mc:Choice>
      <mc:Fallback>
        <control shapeId="1028" r:id="rId6" name="ComboBox2"/>
      </mc:Fallback>
    </mc:AlternateContent>
    <mc:AlternateContent xmlns:mc="http://schemas.openxmlformats.org/markup-compatibility/2006">
      <mc:Choice Requires="x14">
        <control shapeId="1029" r:id="rId8" name="ComboBox3">
          <controlPr defaultSize="0" autoLine="0" linkedCell="H11" listFillRange="Data!N12:N16" r:id="rId9">
            <anchor moveWithCells="1">
              <from>
                <xdr:col>7</xdr:col>
                <xdr:colOff>0</xdr:colOff>
                <xdr:row>9</xdr:row>
                <xdr:rowOff>180975</xdr:rowOff>
              </from>
              <to>
                <xdr:col>9</xdr:col>
                <xdr:colOff>9525</xdr:colOff>
                <xdr:row>11</xdr:row>
                <xdr:rowOff>19050</xdr:rowOff>
              </to>
            </anchor>
          </controlPr>
        </control>
      </mc:Choice>
      <mc:Fallback>
        <control shapeId="1029" r:id="rId8" name="ComboBox3"/>
      </mc:Fallback>
    </mc:AlternateContent>
    <mc:AlternateContent xmlns:mc="http://schemas.openxmlformats.org/markup-compatibility/2006">
      <mc:Choice Requires="x14">
        <control shapeId="1033" r:id="rId10" name="ComboBox7">
          <controlPr defaultSize="0" autoLine="0" linkedCell="B19" listFillRange="Data!M1:M97" r:id="rId11">
            <anchor moveWithCells="1">
              <from>
                <xdr:col>1</xdr:col>
                <xdr:colOff>0</xdr:colOff>
                <xdr:row>17</xdr:row>
                <xdr:rowOff>180975</xdr:rowOff>
              </from>
              <to>
                <xdr:col>4</xdr:col>
                <xdr:colOff>19050</xdr:colOff>
                <xdr:row>19</xdr:row>
                <xdr:rowOff>19050</xdr:rowOff>
              </to>
            </anchor>
          </controlPr>
        </control>
      </mc:Choice>
      <mc:Fallback>
        <control shapeId="1033" r:id="rId10" name="ComboBox7"/>
      </mc:Fallback>
    </mc:AlternateContent>
    <mc:AlternateContent xmlns:mc="http://schemas.openxmlformats.org/markup-compatibility/2006">
      <mc:Choice Requires="x14">
        <control shapeId="1034" r:id="rId12" name="ComboBox8">
          <controlPr defaultSize="0" autoLine="0" linkedCell="E19" listFillRange="Data!N1:N11" r:id="rId13">
            <anchor moveWithCells="1">
              <from>
                <xdr:col>4</xdr:col>
                <xdr:colOff>0</xdr:colOff>
                <xdr:row>17</xdr:row>
                <xdr:rowOff>180975</xdr:rowOff>
              </from>
              <to>
                <xdr:col>7</xdr:col>
                <xdr:colOff>19050</xdr:colOff>
                <xdr:row>19</xdr:row>
                <xdr:rowOff>19050</xdr:rowOff>
              </to>
            </anchor>
          </controlPr>
        </control>
      </mc:Choice>
      <mc:Fallback>
        <control shapeId="1034" r:id="rId12" name="ComboBox8"/>
      </mc:Fallback>
    </mc:AlternateContent>
    <mc:AlternateContent xmlns:mc="http://schemas.openxmlformats.org/markup-compatibility/2006">
      <mc:Choice Requires="x14">
        <control shapeId="1035" r:id="rId14" name="ComboBox9">
          <controlPr defaultSize="0" autoLine="0" linkedCell="H19" listFillRange="Data!N12:N16" r:id="rId9">
            <anchor moveWithCells="1">
              <from>
                <xdr:col>7</xdr:col>
                <xdr:colOff>0</xdr:colOff>
                <xdr:row>17</xdr:row>
                <xdr:rowOff>180975</xdr:rowOff>
              </from>
              <to>
                <xdr:col>9</xdr:col>
                <xdr:colOff>9525</xdr:colOff>
                <xdr:row>19</xdr:row>
                <xdr:rowOff>19050</xdr:rowOff>
              </to>
            </anchor>
          </controlPr>
        </control>
      </mc:Choice>
      <mc:Fallback>
        <control shapeId="1035" r:id="rId14" name="ComboBox9"/>
      </mc:Fallback>
    </mc:AlternateContent>
    <mc:AlternateContent xmlns:mc="http://schemas.openxmlformats.org/markup-compatibility/2006">
      <mc:Choice Requires="x14">
        <control shapeId="1036" r:id="rId15" name="ComboBox4">
          <controlPr defaultSize="0" autoLine="0" linkedCell="B15" listFillRange="Data!M1:M97" r:id="rId16">
            <anchor moveWithCells="1">
              <from>
                <xdr:col>1</xdr:col>
                <xdr:colOff>0</xdr:colOff>
                <xdr:row>13</xdr:row>
                <xdr:rowOff>180975</xdr:rowOff>
              </from>
              <to>
                <xdr:col>4</xdr:col>
                <xdr:colOff>19050</xdr:colOff>
                <xdr:row>15</xdr:row>
                <xdr:rowOff>19050</xdr:rowOff>
              </to>
            </anchor>
          </controlPr>
        </control>
      </mc:Choice>
      <mc:Fallback>
        <control shapeId="1036" r:id="rId15" name="ComboBox4"/>
      </mc:Fallback>
    </mc:AlternateContent>
    <mc:AlternateContent xmlns:mc="http://schemas.openxmlformats.org/markup-compatibility/2006">
      <mc:Choice Requires="x14">
        <control shapeId="1037" r:id="rId17" name="ComboBox5">
          <controlPr defaultSize="0" autoLine="0" linkedCell="E15" listFillRange="Data!N1:N11" r:id="rId18">
            <anchor moveWithCells="1">
              <from>
                <xdr:col>4</xdr:col>
                <xdr:colOff>0</xdr:colOff>
                <xdr:row>13</xdr:row>
                <xdr:rowOff>180975</xdr:rowOff>
              </from>
              <to>
                <xdr:col>7</xdr:col>
                <xdr:colOff>19050</xdr:colOff>
                <xdr:row>15</xdr:row>
                <xdr:rowOff>19050</xdr:rowOff>
              </to>
            </anchor>
          </controlPr>
        </control>
      </mc:Choice>
      <mc:Fallback>
        <control shapeId="1037" r:id="rId17" name="ComboBox5"/>
      </mc:Fallback>
    </mc:AlternateContent>
    <mc:AlternateContent xmlns:mc="http://schemas.openxmlformats.org/markup-compatibility/2006">
      <mc:Choice Requires="x14">
        <control shapeId="1038" r:id="rId19" name="ComboBox6">
          <controlPr defaultSize="0" autoLine="0" linkedCell="H15" listFillRange="Data!N12:N16" r:id="rId9">
            <anchor moveWithCells="1">
              <from>
                <xdr:col>7</xdr:col>
                <xdr:colOff>0</xdr:colOff>
                <xdr:row>13</xdr:row>
                <xdr:rowOff>180975</xdr:rowOff>
              </from>
              <to>
                <xdr:col>9</xdr:col>
                <xdr:colOff>9525</xdr:colOff>
                <xdr:row>15</xdr:row>
                <xdr:rowOff>19050</xdr:rowOff>
              </to>
            </anchor>
          </controlPr>
        </control>
      </mc:Choice>
      <mc:Fallback>
        <control shapeId="1038" r:id="rId19" name="ComboBox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884"/>
  <sheetViews>
    <sheetView workbookViewId="0">
      <selection activeCell="O3" sqref="O3"/>
    </sheetView>
  </sheetViews>
  <sheetFormatPr defaultRowHeight="15" x14ac:dyDescent="0.25"/>
  <cols>
    <col min="1" max="1" width="7.7109375" customWidth="1"/>
    <col min="2" max="2" width="7" style="1" customWidth="1"/>
    <col min="3" max="3" width="10.85546875" customWidth="1"/>
    <col min="4" max="4" width="10.7109375" customWidth="1"/>
    <col min="5" max="5" width="7" customWidth="1"/>
    <col min="6" max="6" width="6" customWidth="1"/>
    <col min="7" max="7" width="5.85546875" customWidth="1"/>
    <col min="8" max="8" width="15.7109375" customWidth="1"/>
    <col min="9" max="9" width="3.42578125" customWidth="1"/>
    <col min="10" max="10" width="11.42578125" customWidth="1"/>
    <col min="11" max="11" width="10.85546875" customWidth="1"/>
    <col min="12" max="12" width="1.85546875" customWidth="1"/>
    <col min="13" max="13" width="18.85546875" customWidth="1"/>
    <col min="14" max="14" width="17.28515625" customWidth="1"/>
    <col min="15" max="17" width="15.7109375" customWidth="1"/>
    <col min="18" max="18" width="12.85546875" customWidth="1"/>
    <col min="19" max="19" width="11.85546875" customWidth="1"/>
  </cols>
  <sheetData>
    <row r="1" spans="1:23" x14ac:dyDescent="0.25">
      <c r="A1" t="s">
        <v>0</v>
      </c>
      <c r="B1" s="1" t="s">
        <v>1998</v>
      </c>
      <c r="C1" t="s">
        <v>1</v>
      </c>
      <c r="D1" t="s">
        <v>1997</v>
      </c>
      <c r="E1" t="s">
        <v>1996</v>
      </c>
      <c r="F1" t="s">
        <v>1995</v>
      </c>
    </row>
    <row r="2" spans="1:23" x14ac:dyDescent="0.25">
      <c r="A2" t="s">
        <v>2</v>
      </c>
      <c r="B2" s="2">
        <v>5846</v>
      </c>
      <c r="C2" t="s">
        <v>3</v>
      </c>
      <c r="D2" t="s">
        <v>4</v>
      </c>
      <c r="E2" t="s">
        <v>2001</v>
      </c>
      <c r="H2" s="16" t="s">
        <v>1997</v>
      </c>
      <c r="J2" s="15" t="s">
        <v>2008</v>
      </c>
      <c r="K2" s="7">
        <f>DMAX(_xlnm.DataBase,2,View!B10:M11)</f>
        <v>300000</v>
      </c>
      <c r="M2" t="s">
        <v>993</v>
      </c>
      <c r="N2" t="s">
        <v>24</v>
      </c>
      <c r="O2" s="21" t="s">
        <v>1997</v>
      </c>
      <c r="P2" s="23" t="s">
        <v>2021</v>
      </c>
      <c r="Q2" s="24">
        <f>DCOUNT(_xlnm.DataBase,2,O2:O3)</f>
        <v>1883</v>
      </c>
      <c r="R2" s="18"/>
      <c r="S2" s="18"/>
      <c r="T2" s="18"/>
      <c r="U2" s="18"/>
      <c r="V2" s="18"/>
      <c r="W2" s="18"/>
    </row>
    <row r="3" spans="1:23" x14ac:dyDescent="0.25">
      <c r="A3" t="s">
        <v>5</v>
      </c>
      <c r="B3" s="2">
        <v>15000</v>
      </c>
      <c r="C3" t="s">
        <v>6</v>
      </c>
      <c r="D3" t="s">
        <v>864</v>
      </c>
      <c r="E3" t="s">
        <v>2002</v>
      </c>
      <c r="H3" s="17" t="str">
        <f>View!B11</f>
        <v/>
      </c>
      <c r="J3" s="8" t="s">
        <v>2009</v>
      </c>
      <c r="K3" s="9">
        <f>DMIN(_xlnm.DataBase,2,View!B10:M11)</f>
        <v>54000</v>
      </c>
      <c r="M3" t="s">
        <v>2004</v>
      </c>
      <c r="N3" t="s">
        <v>3</v>
      </c>
      <c r="O3" s="8"/>
      <c r="P3" s="20" t="s">
        <v>2022</v>
      </c>
      <c r="Q3" s="25">
        <f>DMAX(_xlnm.DataBase,2,O2:O3)</f>
        <v>1229201.9037879086</v>
      </c>
      <c r="R3" s="4"/>
      <c r="S3" s="4"/>
      <c r="T3" s="41"/>
      <c r="U3" s="41"/>
      <c r="V3" s="41"/>
      <c r="W3" s="41"/>
    </row>
    <row r="4" spans="1:23" x14ac:dyDescent="0.25">
      <c r="A4" t="s">
        <v>7</v>
      </c>
      <c r="B4" s="2">
        <v>58000</v>
      </c>
      <c r="C4" t="s">
        <v>3</v>
      </c>
      <c r="D4" t="s">
        <v>8</v>
      </c>
      <c r="E4" t="s">
        <v>2002</v>
      </c>
      <c r="J4" s="8" t="s">
        <v>2010</v>
      </c>
      <c r="K4" s="9">
        <f>IF(K2=0,K2,DAVERAGE(_xlnm.DataBase,2,View!B10:M11))</f>
        <v>121023.26516669946</v>
      </c>
      <c r="M4" t="s">
        <v>1243</v>
      </c>
      <c r="N4" t="s">
        <v>59</v>
      </c>
      <c r="O4" s="8"/>
      <c r="P4" s="20" t="s">
        <v>2023</v>
      </c>
      <c r="Q4" s="25">
        <f>DAVERAGE(_xlnm.DataBase,2,O2:O3)</f>
        <v>49814.598255586949</v>
      </c>
    </row>
    <row r="5" spans="1:23" x14ac:dyDescent="0.25">
      <c r="A5" t="s">
        <v>9</v>
      </c>
      <c r="B5" s="2">
        <v>48000</v>
      </c>
      <c r="C5" t="s">
        <v>6</v>
      </c>
      <c r="D5" t="s">
        <v>10</v>
      </c>
      <c r="E5" t="s">
        <v>2000</v>
      </c>
      <c r="J5" s="8" t="s">
        <v>2011</v>
      </c>
      <c r="K5" s="10">
        <f>DCOUNT(_xlnm.DataBase,2,View!B10:M11)</f>
        <v>56</v>
      </c>
      <c r="M5" t="s">
        <v>1795</v>
      </c>
      <c r="N5" t="s">
        <v>6</v>
      </c>
      <c r="O5" s="11"/>
      <c r="P5" s="27" t="s">
        <v>2024</v>
      </c>
      <c r="Q5" s="28">
        <f>DMIN(_xlnm.DataBase,2,O2:O3)</f>
        <v>1783.166904422254</v>
      </c>
    </row>
    <row r="6" spans="1:23" x14ac:dyDescent="0.25">
      <c r="A6" t="s">
        <v>11</v>
      </c>
      <c r="B6" s="2">
        <v>54000</v>
      </c>
      <c r="C6" t="s">
        <v>12</v>
      </c>
      <c r="D6" t="s">
        <v>8</v>
      </c>
      <c r="E6" t="s">
        <v>2002</v>
      </c>
      <c r="J6" s="11" t="s">
        <v>2012</v>
      </c>
      <c r="K6" s="12">
        <f>DCOUNT(_xlnm.DataBase,2,H2:H3)</f>
        <v>1883</v>
      </c>
      <c r="M6" t="s">
        <v>915</v>
      </c>
      <c r="N6" t="s">
        <v>21</v>
      </c>
    </row>
    <row r="7" spans="1:23" x14ac:dyDescent="0.25">
      <c r="A7" t="s">
        <v>13</v>
      </c>
      <c r="B7" s="2">
        <v>41731</v>
      </c>
      <c r="C7" t="s">
        <v>3</v>
      </c>
      <c r="D7" t="s">
        <v>14</v>
      </c>
      <c r="E7" t="s">
        <v>2002</v>
      </c>
      <c r="K7" s="5"/>
      <c r="M7" t="s">
        <v>65</v>
      </c>
      <c r="N7" t="s">
        <v>12</v>
      </c>
      <c r="O7" s="21" t="s">
        <v>1997</v>
      </c>
      <c r="P7" s="22" t="s">
        <v>1996</v>
      </c>
      <c r="Q7" s="30" t="s">
        <v>2011</v>
      </c>
    </row>
    <row r="8" spans="1:23" x14ac:dyDescent="0.25">
      <c r="A8" t="s">
        <v>15</v>
      </c>
      <c r="B8" s="2">
        <v>184207.91865378313</v>
      </c>
      <c r="C8" t="s">
        <v>16</v>
      </c>
      <c r="D8" t="s">
        <v>17</v>
      </c>
      <c r="E8" t="s">
        <v>1999</v>
      </c>
      <c r="H8" s="16" t="s">
        <v>1997</v>
      </c>
      <c r="J8" s="15" t="s">
        <v>2008</v>
      </c>
      <c r="K8" s="7">
        <f>DMAX(_xlnm.DataBase,2,View!B14:M15)</f>
        <v>300000</v>
      </c>
      <c r="M8" t="s">
        <v>1418</v>
      </c>
      <c r="N8" t="s">
        <v>16</v>
      </c>
      <c r="O8" s="8"/>
      <c r="P8" s="4" t="s">
        <v>1999</v>
      </c>
      <c r="Q8" s="10">
        <f>DCOUNT(_xlnm.DataBase,2,O7:P8)</f>
        <v>174</v>
      </c>
    </row>
    <row r="9" spans="1:23" x14ac:dyDescent="0.25">
      <c r="A9" t="s">
        <v>18</v>
      </c>
      <c r="B9" s="2">
        <v>12000</v>
      </c>
      <c r="C9" t="s">
        <v>3</v>
      </c>
      <c r="D9" t="s">
        <v>19</v>
      </c>
      <c r="E9" t="s">
        <v>2002</v>
      </c>
      <c r="H9" s="17" t="str">
        <f>View!B15</f>
        <v>USA</v>
      </c>
      <c r="J9" s="8" t="s">
        <v>2009</v>
      </c>
      <c r="K9" s="9">
        <f>DMIN(_xlnm.DataBase,2,View!B14:M15)</f>
        <v>54000</v>
      </c>
      <c r="M9" t="s">
        <v>1699</v>
      </c>
      <c r="N9" t="s">
        <v>71</v>
      </c>
      <c r="O9" s="29" t="s">
        <v>1997</v>
      </c>
      <c r="P9" s="19" t="s">
        <v>1996</v>
      </c>
      <c r="Q9" s="10"/>
    </row>
    <row r="10" spans="1:23" x14ac:dyDescent="0.25">
      <c r="A10" t="s">
        <v>20</v>
      </c>
      <c r="B10" s="2">
        <v>44000</v>
      </c>
      <c r="C10" t="s">
        <v>21</v>
      </c>
      <c r="D10" t="s">
        <v>22</v>
      </c>
      <c r="E10" t="s">
        <v>1999</v>
      </c>
      <c r="J10" s="8" t="s">
        <v>2010</v>
      </c>
      <c r="K10" s="9">
        <f>IF(K8=0,K8,DAVERAGE(_xlnm.DataBase,2,View!B14:M15))</f>
        <v>130621.62162162163</v>
      </c>
      <c r="M10" t="s">
        <v>1922</v>
      </c>
      <c r="N10" t="s">
        <v>37</v>
      </c>
      <c r="O10" s="8"/>
      <c r="P10" s="4" t="s">
        <v>2000</v>
      </c>
      <c r="Q10" s="10">
        <f>DCOUNT(_xlnm.DataBase,2,O9:P10)</f>
        <v>451</v>
      </c>
    </row>
    <row r="11" spans="1:23" x14ac:dyDescent="0.25">
      <c r="A11" t="s">
        <v>23</v>
      </c>
      <c r="B11" s="2">
        <v>12227.430201752599</v>
      </c>
      <c r="C11" t="s">
        <v>24</v>
      </c>
      <c r="D11" t="s">
        <v>10</v>
      </c>
      <c r="E11" t="s">
        <v>2002</v>
      </c>
      <c r="J11" s="8" t="s">
        <v>2011</v>
      </c>
      <c r="K11" s="10">
        <f>DCOUNT(_xlnm.DataBase,2,View!B14:M15)</f>
        <v>37</v>
      </c>
      <c r="M11" t="s">
        <v>435</v>
      </c>
      <c r="N11" t="s">
        <v>26</v>
      </c>
      <c r="O11" s="29" t="s">
        <v>1997</v>
      </c>
      <c r="P11" s="19" t="s">
        <v>1996</v>
      </c>
      <c r="Q11" s="10"/>
    </row>
    <row r="12" spans="1:23" x14ac:dyDescent="0.25">
      <c r="A12" t="s">
        <v>25</v>
      </c>
      <c r="B12" s="2">
        <v>65616.131023916547</v>
      </c>
      <c r="C12" t="s">
        <v>26</v>
      </c>
      <c r="D12" t="s">
        <v>27</v>
      </c>
      <c r="E12" t="s">
        <v>2000</v>
      </c>
      <c r="J12" s="11" t="s">
        <v>2012</v>
      </c>
      <c r="K12" s="12">
        <f>DCOUNT(_xlnm.DataBase,2,H8:H9)</f>
        <v>617</v>
      </c>
      <c r="M12" t="s">
        <v>48</v>
      </c>
      <c r="O12" s="8"/>
      <c r="P12" s="4" t="s">
        <v>2001</v>
      </c>
      <c r="Q12" s="10">
        <f>DCOUNT(_xlnm.DataBase,2,O11:P12)</f>
        <v>775</v>
      </c>
    </row>
    <row r="13" spans="1:23" x14ac:dyDescent="0.25">
      <c r="A13" t="s">
        <v>28</v>
      </c>
      <c r="B13" s="2">
        <v>14000</v>
      </c>
      <c r="C13" t="s">
        <v>12</v>
      </c>
      <c r="D13" t="s">
        <v>29</v>
      </c>
      <c r="E13" t="s">
        <v>2001</v>
      </c>
      <c r="M13" t="s">
        <v>253</v>
      </c>
      <c r="N13" t="s">
        <v>1999</v>
      </c>
      <c r="O13" s="29" t="s">
        <v>1997</v>
      </c>
      <c r="P13" s="19" t="s">
        <v>1996</v>
      </c>
      <c r="Q13" s="10"/>
    </row>
    <row r="14" spans="1:23" x14ac:dyDescent="0.25">
      <c r="A14" t="s">
        <v>30</v>
      </c>
      <c r="B14" s="2">
        <v>13338.129598894484</v>
      </c>
      <c r="C14" t="s">
        <v>3</v>
      </c>
      <c r="D14" t="s">
        <v>4</v>
      </c>
      <c r="E14" t="s">
        <v>2002</v>
      </c>
      <c r="H14" s="16" t="s">
        <v>1997</v>
      </c>
      <c r="J14" s="15" t="s">
        <v>2008</v>
      </c>
      <c r="K14" s="7">
        <f>DMAX(_xlnm.DataBase,2,View!B18:M19)</f>
        <v>80135.625093491559</v>
      </c>
      <c r="M14" t="s">
        <v>791</v>
      </c>
      <c r="N14" t="s">
        <v>2000</v>
      </c>
      <c r="O14" s="11"/>
      <c r="P14" s="26" t="s">
        <v>2002</v>
      </c>
      <c r="Q14" s="12">
        <f>DCOUNT(_xlnm.DataBase,2,O13:P14)</f>
        <v>476</v>
      </c>
    </row>
    <row r="15" spans="1:23" x14ac:dyDescent="0.25">
      <c r="A15" t="s">
        <v>31</v>
      </c>
      <c r="B15" s="2">
        <v>49000</v>
      </c>
      <c r="C15" t="s">
        <v>3</v>
      </c>
      <c r="D15" t="s">
        <v>8</v>
      </c>
      <c r="E15" t="s">
        <v>2002</v>
      </c>
      <c r="H15" s="17" t="str">
        <f>View!B19</f>
        <v>India</v>
      </c>
      <c r="J15" s="8" t="s">
        <v>2009</v>
      </c>
      <c r="K15" s="9">
        <f>DMIN(_xlnm.DataBase,2,View!B18:M19)</f>
        <v>80135.625093491559</v>
      </c>
      <c r="M15" t="s">
        <v>1583</v>
      </c>
      <c r="N15" t="s">
        <v>2001</v>
      </c>
    </row>
    <row r="16" spans="1:23" x14ac:dyDescent="0.25">
      <c r="A16" t="s">
        <v>32</v>
      </c>
      <c r="B16" s="2">
        <v>85000</v>
      </c>
      <c r="C16" t="s">
        <v>12</v>
      </c>
      <c r="D16" t="s">
        <v>8</v>
      </c>
      <c r="E16" t="s">
        <v>1999</v>
      </c>
      <c r="J16" s="8" t="s">
        <v>2010</v>
      </c>
      <c r="K16" s="9">
        <f>IF(K14=0,K14,DAVERAGE(_xlnm.DataBase,2,View!B18:M19))</f>
        <v>80135.625093491559</v>
      </c>
      <c r="M16" t="s">
        <v>116</v>
      </c>
      <c r="N16" t="s">
        <v>2002</v>
      </c>
      <c r="O16" s="21" t="s">
        <v>1997</v>
      </c>
      <c r="P16" s="22" t="s">
        <v>1</v>
      </c>
      <c r="Q16" s="30" t="s">
        <v>2011</v>
      </c>
    </row>
    <row r="17" spans="1:17" x14ac:dyDescent="0.25">
      <c r="A17" t="s">
        <v>33</v>
      </c>
      <c r="B17" s="2">
        <v>75000</v>
      </c>
      <c r="C17" t="s">
        <v>12</v>
      </c>
      <c r="D17" t="s">
        <v>8</v>
      </c>
      <c r="E17" t="s">
        <v>2002</v>
      </c>
      <c r="J17" s="8" t="s">
        <v>2011</v>
      </c>
      <c r="K17" s="10">
        <f>DCOUNT(_xlnm.DataBase,2,View!B18:M19)</f>
        <v>1</v>
      </c>
      <c r="M17" t="s">
        <v>1619</v>
      </c>
      <c r="O17" s="8"/>
      <c r="P17" s="4" t="s">
        <v>24</v>
      </c>
      <c r="Q17" s="10">
        <f>DCOUNT(_xlnm.DataBase,2,O16:P17)</f>
        <v>135</v>
      </c>
    </row>
    <row r="18" spans="1:17" x14ac:dyDescent="0.25">
      <c r="A18" t="s">
        <v>34</v>
      </c>
      <c r="B18" s="2">
        <v>107000</v>
      </c>
      <c r="C18" t="s">
        <v>16</v>
      </c>
      <c r="D18" t="s">
        <v>35</v>
      </c>
      <c r="E18" t="s">
        <v>2001</v>
      </c>
      <c r="J18" s="11" t="s">
        <v>2012</v>
      </c>
      <c r="K18" s="12">
        <f>DCOUNT(_xlnm.DataBase,2,H14:H15)</f>
        <v>565</v>
      </c>
      <c r="M18" t="s">
        <v>741</v>
      </c>
      <c r="O18" s="29" t="s">
        <v>1997</v>
      </c>
      <c r="P18" s="19" t="s">
        <v>1</v>
      </c>
      <c r="Q18" s="10"/>
    </row>
    <row r="19" spans="1:17" x14ac:dyDescent="0.25">
      <c r="A19" t="s">
        <v>36</v>
      </c>
      <c r="B19" s="2">
        <v>45000</v>
      </c>
      <c r="C19" t="s">
        <v>37</v>
      </c>
      <c r="D19" t="s">
        <v>38</v>
      </c>
      <c r="E19" t="s">
        <v>2002</v>
      </c>
      <c r="M19" t="s">
        <v>68</v>
      </c>
      <c r="O19" s="8"/>
      <c r="P19" s="4" t="s">
        <v>3</v>
      </c>
      <c r="Q19" s="10">
        <f>DCOUNT(_xlnm.DataBase,2,O18:P19)</f>
        <v>743</v>
      </c>
    </row>
    <row r="20" spans="1:17" x14ac:dyDescent="0.25">
      <c r="A20" t="s">
        <v>39</v>
      </c>
      <c r="B20" s="2">
        <v>9794.354178093412</v>
      </c>
      <c r="C20" t="s">
        <v>16</v>
      </c>
      <c r="D20" t="s">
        <v>4</v>
      </c>
      <c r="E20" t="s">
        <v>2000</v>
      </c>
      <c r="M20" t="s">
        <v>1046</v>
      </c>
      <c r="O20" s="29" t="s">
        <v>1997</v>
      </c>
      <c r="P20" s="19" t="s">
        <v>1</v>
      </c>
      <c r="Q20" s="10"/>
    </row>
    <row r="21" spans="1:17" x14ac:dyDescent="0.25">
      <c r="A21" t="s">
        <v>40</v>
      </c>
      <c r="B21" s="2">
        <v>50000</v>
      </c>
      <c r="C21" t="s">
        <v>16</v>
      </c>
      <c r="D21" t="s">
        <v>4</v>
      </c>
      <c r="E21" t="s">
        <v>1999</v>
      </c>
      <c r="M21" t="s">
        <v>152</v>
      </c>
      <c r="O21" s="8"/>
      <c r="P21" s="4" t="s">
        <v>59</v>
      </c>
      <c r="Q21" s="10">
        <f>DCOUNT(_xlnm.DataBase,2,O20:P21)</f>
        <v>90</v>
      </c>
    </row>
    <row r="22" spans="1:17" x14ac:dyDescent="0.25">
      <c r="A22" t="s">
        <v>41</v>
      </c>
      <c r="B22" s="2">
        <v>13500</v>
      </c>
      <c r="C22" t="s">
        <v>16</v>
      </c>
      <c r="D22" t="s">
        <v>4</v>
      </c>
      <c r="E22" t="s">
        <v>2001</v>
      </c>
      <c r="M22" t="s">
        <v>451</v>
      </c>
      <c r="O22" s="29" t="s">
        <v>1997</v>
      </c>
      <c r="P22" s="19" t="s">
        <v>1</v>
      </c>
      <c r="Q22" s="10"/>
    </row>
    <row r="23" spans="1:17" x14ac:dyDescent="0.25">
      <c r="A23" t="s">
        <v>42</v>
      </c>
      <c r="B23" s="2">
        <v>96000</v>
      </c>
      <c r="C23" t="s">
        <v>3</v>
      </c>
      <c r="D23" t="s">
        <v>8</v>
      </c>
      <c r="E23" t="s">
        <v>2000</v>
      </c>
      <c r="M23" t="s">
        <v>864</v>
      </c>
      <c r="O23" s="8"/>
      <c r="P23" s="4" t="s">
        <v>6</v>
      </c>
      <c r="Q23" s="10">
        <f>DCOUNT(_xlnm.DataBase,2,O22:P23)</f>
        <v>67</v>
      </c>
    </row>
    <row r="24" spans="1:17" x14ac:dyDescent="0.25">
      <c r="A24" t="s">
        <v>43</v>
      </c>
      <c r="B24" s="2">
        <v>17807.916687442568</v>
      </c>
      <c r="C24" t="s">
        <v>16</v>
      </c>
      <c r="D24" t="s">
        <v>4</v>
      </c>
      <c r="E24" t="s">
        <v>2001</v>
      </c>
      <c r="M24" t="s">
        <v>967</v>
      </c>
      <c r="O24" s="29" t="s">
        <v>1997</v>
      </c>
      <c r="P24" s="19" t="s">
        <v>1</v>
      </c>
      <c r="Q24" s="10"/>
    </row>
    <row r="25" spans="1:17" x14ac:dyDescent="0.25">
      <c r="A25" t="s">
        <v>44</v>
      </c>
      <c r="B25" s="2">
        <v>75000</v>
      </c>
      <c r="C25" t="s">
        <v>21</v>
      </c>
      <c r="D25" t="s">
        <v>8</v>
      </c>
      <c r="E25" t="s">
        <v>2001</v>
      </c>
      <c r="M25" t="s">
        <v>814</v>
      </c>
      <c r="O25" s="8"/>
      <c r="P25" s="4" t="s">
        <v>21</v>
      </c>
      <c r="Q25" s="10">
        <f>DCOUNT(_xlnm.DataBase,2,O24:P25)</f>
        <v>75</v>
      </c>
    </row>
    <row r="26" spans="1:17" x14ac:dyDescent="0.25">
      <c r="A26" t="s">
        <v>45</v>
      </c>
      <c r="B26" s="2">
        <v>40000</v>
      </c>
      <c r="C26" t="s">
        <v>16</v>
      </c>
      <c r="D26" t="s">
        <v>8</v>
      </c>
      <c r="E26" t="s">
        <v>2000</v>
      </c>
      <c r="M26" t="s">
        <v>475</v>
      </c>
      <c r="O26" s="29" t="s">
        <v>1997</v>
      </c>
      <c r="P26" s="19" t="s">
        <v>1</v>
      </c>
      <c r="Q26" s="10"/>
    </row>
    <row r="27" spans="1:17" x14ac:dyDescent="0.25">
      <c r="A27" t="s">
        <v>46</v>
      </c>
      <c r="B27" s="2">
        <v>60000</v>
      </c>
      <c r="C27" t="s">
        <v>3</v>
      </c>
      <c r="D27" t="s">
        <v>8</v>
      </c>
      <c r="E27" t="s">
        <v>2002</v>
      </c>
      <c r="M27" t="s">
        <v>323</v>
      </c>
      <c r="O27" s="8"/>
      <c r="P27" s="4" t="s">
        <v>12</v>
      </c>
      <c r="Q27" s="10">
        <f>DCOUNT(_xlnm.DataBase,2,O26:P27)</f>
        <v>74</v>
      </c>
    </row>
    <row r="28" spans="1:17" x14ac:dyDescent="0.25">
      <c r="A28" t="s">
        <v>47</v>
      </c>
      <c r="B28" s="2">
        <v>41160.941823328096</v>
      </c>
      <c r="C28" t="s">
        <v>16</v>
      </c>
      <c r="D28" t="s">
        <v>48</v>
      </c>
      <c r="E28" t="s">
        <v>2001</v>
      </c>
      <c r="M28" t="s">
        <v>788</v>
      </c>
      <c r="O28" s="29" t="s">
        <v>1997</v>
      </c>
      <c r="P28" s="19" t="s">
        <v>1</v>
      </c>
      <c r="Q28" s="10"/>
    </row>
    <row r="29" spans="1:17" x14ac:dyDescent="0.25">
      <c r="A29" t="s">
        <v>49</v>
      </c>
      <c r="B29" s="2">
        <v>16027.125018698311</v>
      </c>
      <c r="C29" t="s">
        <v>12</v>
      </c>
      <c r="D29" t="s">
        <v>4</v>
      </c>
      <c r="E29" t="s">
        <v>1999</v>
      </c>
      <c r="M29" t="s">
        <v>518</v>
      </c>
      <c r="O29" s="8"/>
      <c r="P29" s="4" t="s">
        <v>16</v>
      </c>
      <c r="Q29" s="10">
        <f>DCOUNT(_xlnm.DataBase,2,O28:P29)</f>
        <v>558</v>
      </c>
    </row>
    <row r="30" spans="1:17" x14ac:dyDescent="0.25">
      <c r="A30" t="s">
        <v>50</v>
      </c>
      <c r="B30" s="2">
        <v>10684.750012465542</v>
      </c>
      <c r="C30" t="s">
        <v>16</v>
      </c>
      <c r="D30" t="s">
        <v>4</v>
      </c>
      <c r="E30" t="s">
        <v>2001</v>
      </c>
      <c r="M30" t="s">
        <v>1968</v>
      </c>
      <c r="O30" s="29" t="s">
        <v>1997</v>
      </c>
      <c r="P30" s="19" t="s">
        <v>1</v>
      </c>
      <c r="Q30" s="10"/>
    </row>
    <row r="31" spans="1:17" x14ac:dyDescent="0.25">
      <c r="A31" t="s">
        <v>51</v>
      </c>
      <c r="B31" s="2">
        <v>41000</v>
      </c>
      <c r="C31" t="s">
        <v>16</v>
      </c>
      <c r="D31" t="s">
        <v>52</v>
      </c>
      <c r="E31" t="s">
        <v>2002</v>
      </c>
      <c r="M31" t="s">
        <v>466</v>
      </c>
      <c r="O31" s="8"/>
      <c r="P31" s="4" t="s">
        <v>71</v>
      </c>
      <c r="Q31" s="10">
        <f>DCOUNT(_xlnm.DataBase,2,O30:P31)</f>
        <v>7</v>
      </c>
    </row>
    <row r="32" spans="1:17" x14ac:dyDescent="0.25">
      <c r="A32" t="s">
        <v>53</v>
      </c>
      <c r="B32" s="2">
        <v>6410.8500074793246</v>
      </c>
      <c r="C32" t="s">
        <v>26</v>
      </c>
      <c r="D32" t="s">
        <v>4</v>
      </c>
      <c r="E32" t="s">
        <v>2001</v>
      </c>
      <c r="M32" t="s">
        <v>85</v>
      </c>
      <c r="O32" s="29" t="s">
        <v>1997</v>
      </c>
      <c r="P32" s="19" t="s">
        <v>1</v>
      </c>
      <c r="Q32" s="10"/>
    </row>
    <row r="33" spans="1:17" x14ac:dyDescent="0.25">
      <c r="A33" t="s">
        <v>54</v>
      </c>
      <c r="B33" s="2">
        <v>55166.239522354947</v>
      </c>
      <c r="C33" t="s">
        <v>3</v>
      </c>
      <c r="D33" t="s">
        <v>55</v>
      </c>
      <c r="E33" t="s">
        <v>2002</v>
      </c>
      <c r="M33" t="s">
        <v>2007</v>
      </c>
      <c r="O33" s="8"/>
      <c r="P33" s="4" t="s">
        <v>37</v>
      </c>
      <c r="Q33" s="10">
        <f>DCOUNT(_xlnm.DataBase,2,O32:P33)</f>
        <v>83</v>
      </c>
    </row>
    <row r="34" spans="1:17" x14ac:dyDescent="0.25">
      <c r="A34" t="s">
        <v>56</v>
      </c>
      <c r="B34" s="2">
        <v>19200</v>
      </c>
      <c r="C34" t="s">
        <v>3</v>
      </c>
      <c r="D34" t="s">
        <v>57</v>
      </c>
      <c r="E34" t="s">
        <v>2000</v>
      </c>
      <c r="M34" t="s">
        <v>17</v>
      </c>
      <c r="O34" s="29" t="s">
        <v>1997</v>
      </c>
      <c r="P34" s="19" t="s">
        <v>1</v>
      </c>
      <c r="Q34" s="10"/>
    </row>
    <row r="35" spans="1:17" x14ac:dyDescent="0.25">
      <c r="A35" t="s">
        <v>58</v>
      </c>
      <c r="B35" s="2">
        <v>8903.9583437212841</v>
      </c>
      <c r="C35" t="s">
        <v>59</v>
      </c>
      <c r="D35" t="s">
        <v>4</v>
      </c>
      <c r="E35" t="s">
        <v>2002</v>
      </c>
      <c r="M35" t="s">
        <v>1402</v>
      </c>
      <c r="O35" s="11"/>
      <c r="P35" s="26" t="s">
        <v>26</v>
      </c>
      <c r="Q35" s="12">
        <f>DCOUNT(_xlnm.DataBase,2,O34:P35)</f>
        <v>51</v>
      </c>
    </row>
    <row r="36" spans="1:17" x14ac:dyDescent="0.25">
      <c r="A36" t="s">
        <v>60</v>
      </c>
      <c r="B36" s="2">
        <v>150000</v>
      </c>
      <c r="C36" t="s">
        <v>16</v>
      </c>
      <c r="D36" t="s">
        <v>8</v>
      </c>
      <c r="E36" t="s">
        <v>2000</v>
      </c>
      <c r="M36" t="s">
        <v>141</v>
      </c>
    </row>
    <row r="37" spans="1:17" x14ac:dyDescent="0.25">
      <c r="A37" t="s">
        <v>61</v>
      </c>
      <c r="B37" s="2">
        <v>69000</v>
      </c>
      <c r="C37" t="s">
        <v>12</v>
      </c>
      <c r="D37" t="s">
        <v>8</v>
      </c>
      <c r="E37" t="s">
        <v>2001</v>
      </c>
      <c r="M37" t="s">
        <v>623</v>
      </c>
      <c r="P37" s="31"/>
    </row>
    <row r="38" spans="1:17" x14ac:dyDescent="0.25">
      <c r="A38" t="s">
        <v>62</v>
      </c>
      <c r="B38" s="2">
        <v>30000</v>
      </c>
      <c r="C38" t="s">
        <v>59</v>
      </c>
      <c r="D38" t="s">
        <v>8</v>
      </c>
      <c r="E38" t="s">
        <v>2000</v>
      </c>
      <c r="M38" t="s">
        <v>1894</v>
      </c>
    </row>
    <row r="39" spans="1:17" x14ac:dyDescent="0.25">
      <c r="A39" t="s">
        <v>63</v>
      </c>
      <c r="B39" s="2">
        <v>7123.1666749770275</v>
      </c>
      <c r="C39" t="s">
        <v>16</v>
      </c>
      <c r="D39" t="s">
        <v>4</v>
      </c>
      <c r="E39" t="s">
        <v>2001</v>
      </c>
      <c r="M39" t="s">
        <v>29</v>
      </c>
    </row>
    <row r="40" spans="1:17" x14ac:dyDescent="0.25">
      <c r="A40" t="s">
        <v>64</v>
      </c>
      <c r="B40" s="2">
        <v>71393.675948184507</v>
      </c>
      <c r="C40" t="s">
        <v>59</v>
      </c>
      <c r="D40" t="s">
        <v>65</v>
      </c>
      <c r="E40" t="s">
        <v>2000</v>
      </c>
      <c r="M40" t="s">
        <v>14</v>
      </c>
    </row>
    <row r="41" spans="1:17" x14ac:dyDescent="0.25">
      <c r="A41" t="s">
        <v>66</v>
      </c>
      <c r="B41" s="2">
        <v>14500</v>
      </c>
      <c r="C41" t="s">
        <v>3</v>
      </c>
      <c r="D41" t="s">
        <v>4</v>
      </c>
      <c r="E41" t="s">
        <v>2001</v>
      </c>
      <c r="M41" t="s">
        <v>4</v>
      </c>
    </row>
    <row r="42" spans="1:17" x14ac:dyDescent="0.25">
      <c r="A42" t="s">
        <v>67</v>
      </c>
      <c r="B42" s="2">
        <v>68835.306612122877</v>
      </c>
      <c r="C42" t="s">
        <v>12</v>
      </c>
      <c r="D42" t="s">
        <v>68</v>
      </c>
      <c r="E42" t="s">
        <v>2000</v>
      </c>
      <c r="M42" t="s">
        <v>674</v>
      </c>
    </row>
    <row r="43" spans="1:17" x14ac:dyDescent="0.25">
      <c r="A43" t="s">
        <v>69</v>
      </c>
      <c r="B43" s="2">
        <v>58000</v>
      </c>
      <c r="C43" t="s">
        <v>24</v>
      </c>
      <c r="D43" t="s">
        <v>8</v>
      </c>
      <c r="E43" t="s">
        <v>2001</v>
      </c>
      <c r="M43" t="s">
        <v>997</v>
      </c>
    </row>
    <row r="44" spans="1:17" x14ac:dyDescent="0.25">
      <c r="A44" t="s">
        <v>70</v>
      </c>
      <c r="B44" s="2">
        <v>90000</v>
      </c>
      <c r="C44" t="s">
        <v>71</v>
      </c>
      <c r="D44" t="s">
        <v>8</v>
      </c>
      <c r="E44" t="s">
        <v>1999</v>
      </c>
      <c r="M44" t="s">
        <v>27</v>
      </c>
    </row>
    <row r="45" spans="1:17" x14ac:dyDescent="0.25">
      <c r="A45" t="s">
        <v>72</v>
      </c>
      <c r="B45" s="2">
        <v>14246.333349954055</v>
      </c>
      <c r="C45" t="s">
        <v>16</v>
      </c>
      <c r="D45" t="s">
        <v>4</v>
      </c>
      <c r="E45" t="s">
        <v>2000</v>
      </c>
      <c r="M45" t="s">
        <v>374</v>
      </c>
    </row>
    <row r="46" spans="1:17" x14ac:dyDescent="0.25">
      <c r="A46" t="s">
        <v>73</v>
      </c>
      <c r="B46" s="2">
        <v>50437.70470615309</v>
      </c>
      <c r="C46" t="s">
        <v>3</v>
      </c>
      <c r="D46" t="s">
        <v>55</v>
      </c>
      <c r="E46" t="s">
        <v>2001</v>
      </c>
      <c r="M46" t="s">
        <v>1259</v>
      </c>
    </row>
    <row r="47" spans="1:17" x14ac:dyDescent="0.25">
      <c r="A47" t="s">
        <v>74</v>
      </c>
      <c r="B47" s="2">
        <v>12000</v>
      </c>
      <c r="C47" t="s">
        <v>59</v>
      </c>
      <c r="D47" t="s">
        <v>8</v>
      </c>
      <c r="E47" t="s">
        <v>1999</v>
      </c>
      <c r="M47" t="s">
        <v>598</v>
      </c>
    </row>
    <row r="48" spans="1:17" x14ac:dyDescent="0.25">
      <c r="A48" t="s">
        <v>75</v>
      </c>
      <c r="B48" s="2">
        <v>57167.974754622352</v>
      </c>
      <c r="C48" t="s">
        <v>16</v>
      </c>
      <c r="D48" t="s">
        <v>572</v>
      </c>
      <c r="E48" t="s">
        <v>2001</v>
      </c>
      <c r="M48" t="s">
        <v>1253</v>
      </c>
    </row>
    <row r="49" spans="1:13" x14ac:dyDescent="0.25">
      <c r="A49" t="s">
        <v>76</v>
      </c>
      <c r="B49" s="2">
        <v>100000</v>
      </c>
      <c r="C49" t="s">
        <v>3</v>
      </c>
      <c r="D49" t="s">
        <v>17</v>
      </c>
      <c r="E49" t="s">
        <v>2002</v>
      </c>
      <c r="M49" t="s">
        <v>955</v>
      </c>
    </row>
    <row r="50" spans="1:13" x14ac:dyDescent="0.25">
      <c r="A50" t="s">
        <v>77</v>
      </c>
      <c r="B50" s="2">
        <v>57000</v>
      </c>
      <c r="C50" t="s">
        <v>24</v>
      </c>
      <c r="D50" t="s">
        <v>8</v>
      </c>
      <c r="E50" t="s">
        <v>2000</v>
      </c>
      <c r="M50" t="s">
        <v>1280</v>
      </c>
    </row>
    <row r="51" spans="1:13" x14ac:dyDescent="0.25">
      <c r="A51" t="s">
        <v>78</v>
      </c>
      <c r="B51" s="2">
        <v>63047.130882691366</v>
      </c>
      <c r="C51" t="s">
        <v>24</v>
      </c>
      <c r="D51" t="s">
        <v>55</v>
      </c>
      <c r="E51" t="s">
        <v>2001</v>
      </c>
      <c r="M51" t="s">
        <v>1660</v>
      </c>
    </row>
    <row r="52" spans="1:13" x14ac:dyDescent="0.25">
      <c r="A52" t="s">
        <v>79</v>
      </c>
      <c r="B52" s="2">
        <v>30489.586535798586</v>
      </c>
      <c r="C52" t="s">
        <v>16</v>
      </c>
      <c r="D52" t="s">
        <v>17</v>
      </c>
      <c r="E52" t="s">
        <v>2002</v>
      </c>
      <c r="M52" t="s">
        <v>1610</v>
      </c>
    </row>
    <row r="53" spans="1:13" x14ac:dyDescent="0.25">
      <c r="A53" t="s">
        <v>80</v>
      </c>
      <c r="B53" s="2">
        <v>4320</v>
      </c>
      <c r="C53" t="s">
        <v>24</v>
      </c>
      <c r="D53" t="s">
        <v>4</v>
      </c>
      <c r="E53" t="s">
        <v>2000</v>
      </c>
      <c r="M53" t="s">
        <v>761</v>
      </c>
    </row>
    <row r="54" spans="1:13" x14ac:dyDescent="0.25">
      <c r="A54" t="s">
        <v>81</v>
      </c>
      <c r="B54" s="2">
        <v>62000</v>
      </c>
      <c r="C54" t="s">
        <v>3</v>
      </c>
      <c r="D54" t="s">
        <v>8</v>
      </c>
      <c r="E54" t="s">
        <v>2001</v>
      </c>
      <c r="M54" t="s">
        <v>1057</v>
      </c>
    </row>
    <row r="55" spans="1:13" x14ac:dyDescent="0.25">
      <c r="A55" t="s">
        <v>82</v>
      </c>
      <c r="B55" s="2">
        <v>7500</v>
      </c>
      <c r="C55" t="s">
        <v>3</v>
      </c>
      <c r="D55" t="s">
        <v>4</v>
      </c>
      <c r="E55" t="s">
        <v>2001</v>
      </c>
      <c r="M55" t="s">
        <v>1696</v>
      </c>
    </row>
    <row r="56" spans="1:13" x14ac:dyDescent="0.25">
      <c r="A56" t="s">
        <v>83</v>
      </c>
      <c r="B56" s="2">
        <v>28371.208897211112</v>
      </c>
      <c r="C56" t="s">
        <v>16</v>
      </c>
      <c r="D56" t="s">
        <v>55</v>
      </c>
      <c r="E56" t="s">
        <v>1999</v>
      </c>
      <c r="M56" t="s">
        <v>136</v>
      </c>
    </row>
    <row r="57" spans="1:13" x14ac:dyDescent="0.25">
      <c r="A57" t="s">
        <v>84</v>
      </c>
      <c r="B57" s="2">
        <v>62249.572510588783</v>
      </c>
      <c r="C57" t="s">
        <v>16</v>
      </c>
      <c r="D57" t="s">
        <v>85</v>
      </c>
      <c r="E57" t="s">
        <v>2000</v>
      </c>
      <c r="M57" t="s">
        <v>1320</v>
      </c>
    </row>
    <row r="58" spans="1:13" x14ac:dyDescent="0.25">
      <c r="A58" t="s">
        <v>86</v>
      </c>
      <c r="B58" s="2">
        <v>38000</v>
      </c>
      <c r="C58" t="s">
        <v>3</v>
      </c>
      <c r="D58" t="s">
        <v>8</v>
      </c>
      <c r="E58" t="s">
        <v>2001</v>
      </c>
      <c r="M58" t="s">
        <v>1211</v>
      </c>
    </row>
    <row r="59" spans="1:13" x14ac:dyDescent="0.25">
      <c r="A59" t="s">
        <v>87</v>
      </c>
      <c r="B59" s="2">
        <v>41000</v>
      </c>
      <c r="C59" t="s">
        <v>26</v>
      </c>
      <c r="D59" t="s">
        <v>8</v>
      </c>
      <c r="E59" t="s">
        <v>2001</v>
      </c>
      <c r="M59" t="s">
        <v>1643</v>
      </c>
    </row>
    <row r="60" spans="1:13" x14ac:dyDescent="0.25">
      <c r="A60" t="s">
        <v>88</v>
      </c>
      <c r="B60" s="2">
        <v>68000</v>
      </c>
      <c r="C60" t="s">
        <v>3</v>
      </c>
      <c r="D60" t="s">
        <v>8</v>
      </c>
      <c r="E60" t="s">
        <v>2002</v>
      </c>
      <c r="M60" t="s">
        <v>2005</v>
      </c>
    </row>
    <row r="61" spans="1:13" x14ac:dyDescent="0.25">
      <c r="A61" t="s">
        <v>89</v>
      </c>
      <c r="B61" s="2">
        <v>55068.245289698301</v>
      </c>
      <c r="C61" t="s">
        <v>3</v>
      </c>
      <c r="D61" t="s">
        <v>68</v>
      </c>
      <c r="E61" t="s">
        <v>2002</v>
      </c>
      <c r="M61" t="s">
        <v>1350</v>
      </c>
    </row>
    <row r="62" spans="1:13" x14ac:dyDescent="0.25">
      <c r="A62" t="s">
        <v>90</v>
      </c>
      <c r="B62" s="2">
        <v>61000</v>
      </c>
      <c r="C62" t="s">
        <v>16</v>
      </c>
      <c r="D62" t="s">
        <v>116</v>
      </c>
      <c r="E62" t="s">
        <v>2002</v>
      </c>
      <c r="M62" t="s">
        <v>572</v>
      </c>
    </row>
    <row r="63" spans="1:13" x14ac:dyDescent="0.25">
      <c r="A63" t="s">
        <v>91</v>
      </c>
      <c r="B63" s="2">
        <v>54627.175876639136</v>
      </c>
      <c r="C63" t="s">
        <v>59</v>
      </c>
      <c r="D63" t="s">
        <v>85</v>
      </c>
      <c r="E63" t="s">
        <v>2001</v>
      </c>
      <c r="M63" t="s">
        <v>616</v>
      </c>
    </row>
    <row r="64" spans="1:13" x14ac:dyDescent="0.25">
      <c r="A64" t="s">
        <v>92</v>
      </c>
      <c r="B64" s="2">
        <v>85000</v>
      </c>
      <c r="C64" t="s">
        <v>16</v>
      </c>
      <c r="D64" t="s">
        <v>8</v>
      </c>
      <c r="E64" t="s">
        <v>2001</v>
      </c>
      <c r="M64" t="s">
        <v>809</v>
      </c>
    </row>
    <row r="65" spans="1:13" x14ac:dyDescent="0.25">
      <c r="A65" t="s">
        <v>93</v>
      </c>
      <c r="B65" s="2">
        <v>48275.178681681093</v>
      </c>
      <c r="C65" t="s">
        <v>3</v>
      </c>
      <c r="D65" t="s">
        <v>572</v>
      </c>
      <c r="E65" t="s">
        <v>1999</v>
      </c>
      <c r="M65" t="s">
        <v>526</v>
      </c>
    </row>
    <row r="66" spans="1:13" x14ac:dyDescent="0.25">
      <c r="A66" t="s">
        <v>94</v>
      </c>
      <c r="B66" s="2">
        <v>86692.320794224041</v>
      </c>
      <c r="C66" t="s">
        <v>21</v>
      </c>
      <c r="D66" t="s">
        <v>65</v>
      </c>
      <c r="E66" t="s">
        <v>2001</v>
      </c>
      <c r="M66" t="s">
        <v>1990</v>
      </c>
    </row>
    <row r="67" spans="1:13" x14ac:dyDescent="0.25">
      <c r="A67" t="s">
        <v>95</v>
      </c>
      <c r="B67" s="2">
        <v>85087</v>
      </c>
      <c r="C67" t="s">
        <v>3</v>
      </c>
      <c r="D67" t="s">
        <v>8</v>
      </c>
      <c r="E67" t="s">
        <v>2000</v>
      </c>
      <c r="M67" t="s">
        <v>10</v>
      </c>
    </row>
    <row r="68" spans="1:13" x14ac:dyDescent="0.25">
      <c r="A68" t="s">
        <v>96</v>
      </c>
      <c r="B68" s="2">
        <v>50000</v>
      </c>
      <c r="C68" t="s">
        <v>3</v>
      </c>
      <c r="D68" t="s">
        <v>8</v>
      </c>
      <c r="E68" t="s">
        <v>2002</v>
      </c>
      <c r="M68" t="s">
        <v>110</v>
      </c>
    </row>
    <row r="69" spans="1:13" x14ac:dyDescent="0.25">
      <c r="A69" t="s">
        <v>97</v>
      </c>
      <c r="B69" s="2">
        <v>100000</v>
      </c>
      <c r="C69" t="s">
        <v>16</v>
      </c>
      <c r="D69" t="s">
        <v>38</v>
      </c>
      <c r="E69" t="s">
        <v>2001</v>
      </c>
      <c r="M69" t="s">
        <v>1076</v>
      </c>
    </row>
    <row r="70" spans="1:13" x14ac:dyDescent="0.25">
      <c r="A70" t="s">
        <v>98</v>
      </c>
      <c r="B70" s="2">
        <v>57000</v>
      </c>
      <c r="C70" t="s">
        <v>3</v>
      </c>
      <c r="D70" t="s">
        <v>8</v>
      </c>
      <c r="E70" t="s">
        <v>2001</v>
      </c>
      <c r="M70" t="s">
        <v>1635</v>
      </c>
    </row>
    <row r="71" spans="1:13" x14ac:dyDescent="0.25">
      <c r="A71" t="s">
        <v>99</v>
      </c>
      <c r="B71" s="2">
        <v>75000</v>
      </c>
      <c r="C71" t="s">
        <v>16</v>
      </c>
      <c r="D71" t="s">
        <v>8</v>
      </c>
      <c r="E71" t="s">
        <v>2002</v>
      </c>
      <c r="M71" t="s">
        <v>311</v>
      </c>
    </row>
    <row r="72" spans="1:13" x14ac:dyDescent="0.25">
      <c r="A72" t="s">
        <v>100</v>
      </c>
      <c r="B72" s="2">
        <v>101990.96564026357</v>
      </c>
      <c r="C72" t="s">
        <v>16</v>
      </c>
      <c r="D72" t="s">
        <v>65</v>
      </c>
      <c r="E72" t="s">
        <v>2001</v>
      </c>
      <c r="M72" t="s">
        <v>57</v>
      </c>
    </row>
    <row r="73" spans="1:13" x14ac:dyDescent="0.25">
      <c r="A73" t="s">
        <v>101</v>
      </c>
      <c r="B73" s="2">
        <v>33420</v>
      </c>
      <c r="C73" t="s">
        <v>16</v>
      </c>
      <c r="D73" t="s">
        <v>147</v>
      </c>
      <c r="E73" t="s">
        <v>2002</v>
      </c>
      <c r="M73" t="s">
        <v>22</v>
      </c>
    </row>
    <row r="74" spans="1:13" x14ac:dyDescent="0.25">
      <c r="A74" t="s">
        <v>102</v>
      </c>
      <c r="B74" s="2">
        <v>58460.842544152933</v>
      </c>
      <c r="C74" t="s">
        <v>26</v>
      </c>
      <c r="D74" t="s">
        <v>68</v>
      </c>
      <c r="E74" t="s">
        <v>2002</v>
      </c>
      <c r="M74" t="s">
        <v>932</v>
      </c>
    </row>
    <row r="75" spans="1:13" x14ac:dyDescent="0.25">
      <c r="A75" t="s">
        <v>103</v>
      </c>
      <c r="B75" s="2">
        <v>15000</v>
      </c>
      <c r="C75" t="s">
        <v>59</v>
      </c>
      <c r="D75" t="s">
        <v>8</v>
      </c>
      <c r="E75" t="s">
        <v>2002</v>
      </c>
      <c r="M75" t="s">
        <v>449</v>
      </c>
    </row>
    <row r="76" spans="1:13" x14ac:dyDescent="0.25">
      <c r="A76" t="s">
        <v>104</v>
      </c>
      <c r="B76" s="2">
        <v>60000</v>
      </c>
      <c r="C76" t="s">
        <v>3</v>
      </c>
      <c r="D76" t="s">
        <v>68</v>
      </c>
      <c r="E76" t="s">
        <v>1999</v>
      </c>
      <c r="M76" t="s">
        <v>52</v>
      </c>
    </row>
    <row r="77" spans="1:13" x14ac:dyDescent="0.25">
      <c r="A77" t="s">
        <v>105</v>
      </c>
      <c r="B77" s="2">
        <v>157617.8272067284</v>
      </c>
      <c r="C77" t="s">
        <v>3</v>
      </c>
      <c r="D77" t="s">
        <v>55</v>
      </c>
      <c r="E77" t="s">
        <v>2000</v>
      </c>
      <c r="M77" t="s">
        <v>107</v>
      </c>
    </row>
    <row r="78" spans="1:13" x14ac:dyDescent="0.25">
      <c r="A78" t="s">
        <v>106</v>
      </c>
      <c r="B78" s="2">
        <v>18000</v>
      </c>
      <c r="C78" t="s">
        <v>3</v>
      </c>
      <c r="D78" t="s">
        <v>107</v>
      </c>
      <c r="E78" t="s">
        <v>2002</v>
      </c>
      <c r="M78" t="s">
        <v>245</v>
      </c>
    </row>
    <row r="79" spans="1:13" x14ac:dyDescent="0.25">
      <c r="A79" t="s">
        <v>108</v>
      </c>
      <c r="B79" s="2">
        <v>50000</v>
      </c>
      <c r="C79" t="s">
        <v>16</v>
      </c>
      <c r="D79" t="s">
        <v>8</v>
      </c>
      <c r="E79" t="s">
        <v>2000</v>
      </c>
      <c r="M79" t="s">
        <v>983</v>
      </c>
    </row>
    <row r="80" spans="1:13" x14ac:dyDescent="0.25">
      <c r="A80" t="s">
        <v>109</v>
      </c>
      <c r="B80" s="2">
        <v>26000</v>
      </c>
      <c r="C80" t="s">
        <v>3</v>
      </c>
      <c r="D80" t="s">
        <v>110</v>
      </c>
      <c r="E80" t="s">
        <v>2002</v>
      </c>
      <c r="M80" t="s">
        <v>495</v>
      </c>
    </row>
    <row r="81" spans="1:13" x14ac:dyDescent="0.25">
      <c r="A81" t="s">
        <v>111</v>
      </c>
      <c r="B81" s="2">
        <v>47285.348162018527</v>
      </c>
      <c r="C81" t="s">
        <v>16</v>
      </c>
      <c r="D81" t="s">
        <v>55</v>
      </c>
      <c r="E81" t="s">
        <v>2001</v>
      </c>
      <c r="M81" t="s">
        <v>38</v>
      </c>
    </row>
    <row r="82" spans="1:13" x14ac:dyDescent="0.25">
      <c r="A82" t="s">
        <v>112</v>
      </c>
      <c r="B82" s="2">
        <v>150000</v>
      </c>
      <c r="C82" t="s">
        <v>21</v>
      </c>
      <c r="D82" t="s">
        <v>8</v>
      </c>
      <c r="E82" t="s">
        <v>2002</v>
      </c>
      <c r="M82" t="s">
        <v>550</v>
      </c>
    </row>
    <row r="83" spans="1:13" x14ac:dyDescent="0.25">
      <c r="A83" t="s">
        <v>113</v>
      </c>
      <c r="B83" s="2">
        <v>120000</v>
      </c>
      <c r="C83" t="s">
        <v>16</v>
      </c>
      <c r="D83" t="s">
        <v>8</v>
      </c>
      <c r="E83" t="s">
        <v>2001</v>
      </c>
      <c r="M83" t="s">
        <v>660</v>
      </c>
    </row>
    <row r="84" spans="1:13" x14ac:dyDescent="0.25">
      <c r="A84" t="s">
        <v>114</v>
      </c>
      <c r="B84" s="2">
        <v>8903.9583437212841</v>
      </c>
      <c r="C84" t="s">
        <v>59</v>
      </c>
      <c r="D84" t="s">
        <v>4</v>
      </c>
      <c r="E84" t="s">
        <v>2002</v>
      </c>
      <c r="M84" t="s">
        <v>400</v>
      </c>
    </row>
    <row r="85" spans="1:13" x14ac:dyDescent="0.25">
      <c r="A85" t="s">
        <v>115</v>
      </c>
      <c r="B85" s="2">
        <v>31330</v>
      </c>
      <c r="C85" t="s">
        <v>3</v>
      </c>
      <c r="D85" t="s">
        <v>116</v>
      </c>
      <c r="E85" t="s">
        <v>2002</v>
      </c>
      <c r="M85" t="s">
        <v>35</v>
      </c>
    </row>
    <row r="86" spans="1:13" x14ac:dyDescent="0.25">
      <c r="A86" t="s">
        <v>117</v>
      </c>
      <c r="B86" s="2">
        <v>110000</v>
      </c>
      <c r="C86" t="s">
        <v>12</v>
      </c>
      <c r="D86" t="s">
        <v>8</v>
      </c>
      <c r="E86" t="s">
        <v>2000</v>
      </c>
      <c r="M86" t="s">
        <v>258</v>
      </c>
    </row>
    <row r="87" spans="1:13" x14ac:dyDescent="0.25">
      <c r="A87" t="s">
        <v>118</v>
      </c>
      <c r="B87" s="2">
        <v>81000</v>
      </c>
      <c r="C87" t="s">
        <v>59</v>
      </c>
      <c r="D87" t="s">
        <v>55</v>
      </c>
      <c r="E87" t="s">
        <v>2001</v>
      </c>
      <c r="M87" t="s">
        <v>1736</v>
      </c>
    </row>
    <row r="88" spans="1:13" x14ac:dyDescent="0.25">
      <c r="A88" t="s">
        <v>119</v>
      </c>
      <c r="B88" s="2">
        <v>40000</v>
      </c>
      <c r="C88" t="s">
        <v>3</v>
      </c>
      <c r="D88" t="s">
        <v>8</v>
      </c>
      <c r="E88" t="s">
        <v>2001</v>
      </c>
      <c r="M88" t="s">
        <v>163</v>
      </c>
    </row>
    <row r="89" spans="1:13" x14ac:dyDescent="0.25">
      <c r="A89" t="s">
        <v>120</v>
      </c>
      <c r="B89" s="2">
        <v>41301.183967273726</v>
      </c>
      <c r="C89" t="s">
        <v>3</v>
      </c>
      <c r="D89" t="s">
        <v>68</v>
      </c>
      <c r="E89" t="s">
        <v>2001</v>
      </c>
      <c r="M89" t="s">
        <v>147</v>
      </c>
    </row>
    <row r="90" spans="1:13" x14ac:dyDescent="0.25">
      <c r="A90" t="s">
        <v>121</v>
      </c>
      <c r="B90" s="2">
        <v>125000</v>
      </c>
      <c r="C90" t="s">
        <v>21</v>
      </c>
      <c r="D90" t="s">
        <v>8</v>
      </c>
      <c r="E90" t="s">
        <v>2001</v>
      </c>
      <c r="M90" t="s">
        <v>1363</v>
      </c>
    </row>
    <row r="91" spans="1:13" x14ac:dyDescent="0.25">
      <c r="A91" t="s">
        <v>122</v>
      </c>
      <c r="B91" s="2">
        <v>36000</v>
      </c>
      <c r="C91" t="s">
        <v>16</v>
      </c>
      <c r="D91" t="s">
        <v>8</v>
      </c>
      <c r="E91" t="s">
        <v>2000</v>
      </c>
      <c r="M91" t="s">
        <v>55</v>
      </c>
    </row>
    <row r="92" spans="1:13" x14ac:dyDescent="0.25">
      <c r="A92" t="s">
        <v>123</v>
      </c>
      <c r="B92" s="2">
        <v>2564.3400029917298</v>
      </c>
      <c r="C92" t="s">
        <v>59</v>
      </c>
      <c r="D92" t="s">
        <v>4</v>
      </c>
      <c r="E92" t="s">
        <v>1999</v>
      </c>
      <c r="M92" t="s">
        <v>19</v>
      </c>
    </row>
    <row r="93" spans="1:13" x14ac:dyDescent="0.25">
      <c r="A93" t="s">
        <v>124</v>
      </c>
      <c r="B93" s="2">
        <v>75000</v>
      </c>
      <c r="C93" t="s">
        <v>3</v>
      </c>
      <c r="D93" t="s">
        <v>8</v>
      </c>
      <c r="E93" t="s">
        <v>1999</v>
      </c>
      <c r="M93" t="s">
        <v>912</v>
      </c>
    </row>
    <row r="94" spans="1:13" x14ac:dyDescent="0.25">
      <c r="A94" t="s">
        <v>125</v>
      </c>
      <c r="B94" s="2">
        <v>95000</v>
      </c>
      <c r="C94" t="s">
        <v>21</v>
      </c>
      <c r="D94" t="s">
        <v>8</v>
      </c>
      <c r="E94" t="s">
        <v>2001</v>
      </c>
      <c r="M94" t="s">
        <v>8</v>
      </c>
    </row>
    <row r="95" spans="1:13" x14ac:dyDescent="0.25">
      <c r="A95" t="s">
        <v>126</v>
      </c>
      <c r="B95" s="2">
        <v>24000</v>
      </c>
      <c r="C95" t="s">
        <v>16</v>
      </c>
      <c r="D95" t="s">
        <v>8</v>
      </c>
      <c r="E95" t="s">
        <v>2000</v>
      </c>
      <c r="M95" t="s">
        <v>1593</v>
      </c>
    </row>
    <row r="96" spans="1:13" x14ac:dyDescent="0.25">
      <c r="A96" t="s">
        <v>127</v>
      </c>
      <c r="B96" s="2">
        <v>91000</v>
      </c>
      <c r="C96" t="s">
        <v>16</v>
      </c>
      <c r="D96" t="s">
        <v>8</v>
      </c>
      <c r="E96" t="s">
        <v>1999</v>
      </c>
      <c r="M96" t="s">
        <v>1005</v>
      </c>
    </row>
    <row r="97" spans="1:13" x14ac:dyDescent="0.25">
      <c r="A97" t="s">
        <v>128</v>
      </c>
      <c r="B97" s="2">
        <v>40000</v>
      </c>
      <c r="C97" t="s">
        <v>3</v>
      </c>
      <c r="D97" t="s">
        <v>8</v>
      </c>
      <c r="E97" t="s">
        <v>2001</v>
      </c>
      <c r="M97" t="s">
        <v>971</v>
      </c>
    </row>
    <row r="98" spans="1:13" x14ac:dyDescent="0.25">
      <c r="A98" t="s">
        <v>129</v>
      </c>
      <c r="B98" s="2">
        <v>57000</v>
      </c>
      <c r="C98" t="s">
        <v>16</v>
      </c>
      <c r="D98" t="s">
        <v>8</v>
      </c>
      <c r="E98" t="s">
        <v>2001</v>
      </c>
    </row>
    <row r="99" spans="1:13" x14ac:dyDescent="0.25">
      <c r="A99" t="s">
        <v>130</v>
      </c>
      <c r="B99" s="2">
        <v>74000</v>
      </c>
      <c r="C99" t="s">
        <v>59</v>
      </c>
      <c r="D99" t="s">
        <v>8</v>
      </c>
      <c r="E99" t="s">
        <v>2001</v>
      </c>
    </row>
    <row r="100" spans="1:13" x14ac:dyDescent="0.25">
      <c r="A100" t="s">
        <v>131</v>
      </c>
      <c r="B100" s="2">
        <v>80000</v>
      </c>
      <c r="C100" t="s">
        <v>3</v>
      </c>
      <c r="D100" t="s">
        <v>8</v>
      </c>
      <c r="E100" t="s">
        <v>2001</v>
      </c>
    </row>
    <row r="101" spans="1:13" x14ac:dyDescent="0.25">
      <c r="A101" t="s">
        <v>132</v>
      </c>
      <c r="B101" s="2">
        <v>90000</v>
      </c>
      <c r="C101" t="s">
        <v>26</v>
      </c>
      <c r="D101" t="s">
        <v>8</v>
      </c>
      <c r="E101" t="s">
        <v>2001</v>
      </c>
    </row>
    <row r="102" spans="1:13" x14ac:dyDescent="0.25">
      <c r="A102" t="s">
        <v>133</v>
      </c>
      <c r="B102" s="2">
        <v>21000</v>
      </c>
      <c r="C102" t="s">
        <v>3</v>
      </c>
      <c r="D102" t="s">
        <v>2004</v>
      </c>
      <c r="E102" t="s">
        <v>1999</v>
      </c>
    </row>
    <row r="103" spans="1:13" x14ac:dyDescent="0.25">
      <c r="A103" t="s">
        <v>134</v>
      </c>
      <c r="B103" s="2">
        <v>52000</v>
      </c>
      <c r="C103" t="s">
        <v>16</v>
      </c>
      <c r="D103" t="s">
        <v>8</v>
      </c>
      <c r="E103" t="s">
        <v>2001</v>
      </c>
    </row>
    <row r="104" spans="1:13" x14ac:dyDescent="0.25">
      <c r="A104" t="s">
        <v>135</v>
      </c>
      <c r="B104" s="2">
        <v>19200</v>
      </c>
      <c r="C104" t="s">
        <v>3</v>
      </c>
      <c r="D104" t="s">
        <v>136</v>
      </c>
      <c r="E104" t="s">
        <v>2001</v>
      </c>
    </row>
    <row r="105" spans="1:13" x14ac:dyDescent="0.25">
      <c r="A105" t="s">
        <v>137</v>
      </c>
      <c r="B105" s="2">
        <v>36000</v>
      </c>
      <c r="C105" t="s">
        <v>3</v>
      </c>
      <c r="D105" t="s">
        <v>8</v>
      </c>
      <c r="E105" t="s">
        <v>2001</v>
      </c>
    </row>
    <row r="106" spans="1:13" x14ac:dyDescent="0.25">
      <c r="A106" t="s">
        <v>138</v>
      </c>
      <c r="B106" s="2">
        <v>57400</v>
      </c>
      <c r="C106" t="s">
        <v>3</v>
      </c>
      <c r="D106" t="s">
        <v>8</v>
      </c>
      <c r="E106" t="s">
        <v>2001</v>
      </c>
    </row>
    <row r="107" spans="1:13" x14ac:dyDescent="0.25">
      <c r="A107" t="s">
        <v>139</v>
      </c>
      <c r="B107" s="2">
        <v>66000</v>
      </c>
      <c r="C107" t="s">
        <v>3</v>
      </c>
      <c r="D107" t="s">
        <v>8</v>
      </c>
      <c r="E107" t="s">
        <v>2000</v>
      </c>
    </row>
    <row r="108" spans="1:13" x14ac:dyDescent="0.25">
      <c r="A108" t="s">
        <v>140</v>
      </c>
      <c r="B108" s="2">
        <v>44463.980364706273</v>
      </c>
      <c r="C108" t="s">
        <v>16</v>
      </c>
      <c r="D108" t="s">
        <v>141</v>
      </c>
      <c r="E108" t="s">
        <v>2001</v>
      </c>
    </row>
    <row r="109" spans="1:13" x14ac:dyDescent="0.25">
      <c r="A109" t="s">
        <v>142</v>
      </c>
      <c r="B109" s="2">
        <v>85000</v>
      </c>
      <c r="C109" t="s">
        <v>3</v>
      </c>
      <c r="D109" t="s">
        <v>8</v>
      </c>
      <c r="E109" t="s">
        <v>2001</v>
      </c>
    </row>
    <row r="110" spans="1:13" x14ac:dyDescent="0.25">
      <c r="A110" t="s">
        <v>143</v>
      </c>
      <c r="B110" s="2">
        <v>50000</v>
      </c>
      <c r="C110" t="s">
        <v>26</v>
      </c>
      <c r="D110" t="s">
        <v>8</v>
      </c>
      <c r="E110" t="s">
        <v>2001</v>
      </c>
    </row>
    <row r="111" spans="1:13" x14ac:dyDescent="0.25">
      <c r="A111" t="s">
        <v>144</v>
      </c>
      <c r="B111" s="2">
        <v>58000</v>
      </c>
      <c r="C111" t="s">
        <v>16</v>
      </c>
      <c r="D111" t="s">
        <v>8</v>
      </c>
      <c r="E111" t="s">
        <v>2001</v>
      </c>
    </row>
    <row r="112" spans="1:13" x14ac:dyDescent="0.25">
      <c r="A112" t="s">
        <v>145</v>
      </c>
      <c r="B112" s="2">
        <v>37900</v>
      </c>
      <c r="C112" t="s">
        <v>24</v>
      </c>
      <c r="D112" t="s">
        <v>8</v>
      </c>
      <c r="E112" t="s">
        <v>2002</v>
      </c>
    </row>
    <row r="113" spans="1:5" x14ac:dyDescent="0.25">
      <c r="A113" t="s">
        <v>146</v>
      </c>
      <c r="B113" s="2">
        <v>48000</v>
      </c>
      <c r="C113" t="s">
        <v>16</v>
      </c>
      <c r="D113" t="s">
        <v>147</v>
      </c>
      <c r="E113" t="s">
        <v>2000</v>
      </c>
    </row>
    <row r="114" spans="1:5" x14ac:dyDescent="0.25">
      <c r="A114" t="s">
        <v>148</v>
      </c>
      <c r="B114" s="2">
        <v>67000</v>
      </c>
      <c r="C114" t="s">
        <v>3</v>
      </c>
      <c r="D114" t="s">
        <v>8</v>
      </c>
      <c r="E114" t="s">
        <v>2001</v>
      </c>
    </row>
    <row r="115" spans="1:5" x14ac:dyDescent="0.25">
      <c r="A115" t="s">
        <v>149</v>
      </c>
      <c r="B115" s="2">
        <v>85000</v>
      </c>
      <c r="C115" t="s">
        <v>6</v>
      </c>
      <c r="D115" t="s">
        <v>147</v>
      </c>
      <c r="E115" t="s">
        <v>2001</v>
      </c>
    </row>
    <row r="116" spans="1:5" x14ac:dyDescent="0.25">
      <c r="A116" t="s">
        <v>150</v>
      </c>
      <c r="B116" s="2">
        <v>56160</v>
      </c>
      <c r="C116" t="s">
        <v>3</v>
      </c>
      <c r="D116" t="s">
        <v>8</v>
      </c>
      <c r="E116" t="s">
        <v>2001</v>
      </c>
    </row>
    <row r="117" spans="1:5" x14ac:dyDescent="0.25">
      <c r="A117" t="s">
        <v>151</v>
      </c>
      <c r="B117" s="2">
        <v>24000</v>
      </c>
      <c r="C117" t="s">
        <v>16</v>
      </c>
      <c r="D117" t="s">
        <v>152</v>
      </c>
      <c r="E117" t="s">
        <v>2002</v>
      </c>
    </row>
    <row r="118" spans="1:5" x14ac:dyDescent="0.25">
      <c r="A118" t="s">
        <v>153</v>
      </c>
      <c r="B118" s="2">
        <v>52000</v>
      </c>
      <c r="C118" t="s">
        <v>3</v>
      </c>
      <c r="D118" t="s">
        <v>8</v>
      </c>
      <c r="E118" t="s">
        <v>2003</v>
      </c>
    </row>
    <row r="119" spans="1:5" x14ac:dyDescent="0.25">
      <c r="A119" t="s">
        <v>154</v>
      </c>
      <c r="B119" s="2">
        <v>59001.691381819612</v>
      </c>
      <c r="C119" t="s">
        <v>3</v>
      </c>
      <c r="D119" t="s">
        <v>68</v>
      </c>
      <c r="E119" t="s">
        <v>2003</v>
      </c>
    </row>
    <row r="120" spans="1:5" x14ac:dyDescent="0.25">
      <c r="A120" t="s">
        <v>155</v>
      </c>
      <c r="B120" s="2">
        <v>70000</v>
      </c>
      <c r="C120" t="s">
        <v>24</v>
      </c>
      <c r="D120" t="s">
        <v>8</v>
      </c>
      <c r="E120" t="s">
        <v>2002</v>
      </c>
    </row>
    <row r="121" spans="1:5" x14ac:dyDescent="0.25">
      <c r="A121" t="s">
        <v>156</v>
      </c>
      <c r="B121" s="2">
        <v>50000</v>
      </c>
      <c r="C121" t="s">
        <v>26</v>
      </c>
      <c r="D121" t="s">
        <v>8</v>
      </c>
      <c r="E121" t="s">
        <v>2001</v>
      </c>
    </row>
    <row r="122" spans="1:5" x14ac:dyDescent="0.25">
      <c r="A122" t="s">
        <v>157</v>
      </c>
      <c r="B122" s="2">
        <v>40958.208381117904</v>
      </c>
      <c r="C122" t="s">
        <v>3</v>
      </c>
      <c r="D122" t="s">
        <v>4</v>
      </c>
      <c r="E122" t="s">
        <v>1999</v>
      </c>
    </row>
    <row r="123" spans="1:5" x14ac:dyDescent="0.25">
      <c r="A123" t="s">
        <v>158</v>
      </c>
      <c r="B123" s="2">
        <v>80000</v>
      </c>
      <c r="C123" t="s">
        <v>3</v>
      </c>
      <c r="D123" t="s">
        <v>8</v>
      </c>
      <c r="E123" t="s">
        <v>2001</v>
      </c>
    </row>
    <row r="124" spans="1:5" x14ac:dyDescent="0.25">
      <c r="A124" t="s">
        <v>159</v>
      </c>
      <c r="B124" s="2">
        <v>128000</v>
      </c>
      <c r="C124" t="s">
        <v>16</v>
      </c>
      <c r="D124" t="s">
        <v>8</v>
      </c>
      <c r="E124" t="s">
        <v>2002</v>
      </c>
    </row>
    <row r="125" spans="1:5" x14ac:dyDescent="0.25">
      <c r="A125" t="s">
        <v>160</v>
      </c>
      <c r="B125" s="2">
        <v>44000</v>
      </c>
      <c r="C125" t="s">
        <v>16</v>
      </c>
      <c r="D125" t="s">
        <v>8</v>
      </c>
      <c r="E125" t="s">
        <v>1999</v>
      </c>
    </row>
    <row r="126" spans="1:5" x14ac:dyDescent="0.25">
      <c r="A126" t="s">
        <v>161</v>
      </c>
      <c r="B126" s="2">
        <v>65000</v>
      </c>
      <c r="C126" t="s">
        <v>24</v>
      </c>
      <c r="D126" t="s">
        <v>8</v>
      </c>
      <c r="E126" t="s">
        <v>2002</v>
      </c>
    </row>
    <row r="127" spans="1:5" x14ac:dyDescent="0.25">
      <c r="A127" t="s">
        <v>162</v>
      </c>
      <c r="B127" s="2">
        <v>36000</v>
      </c>
      <c r="C127" t="s">
        <v>24</v>
      </c>
      <c r="D127" t="s">
        <v>163</v>
      </c>
      <c r="E127" t="s">
        <v>2001</v>
      </c>
    </row>
    <row r="128" spans="1:5" x14ac:dyDescent="0.25">
      <c r="A128" t="s">
        <v>164</v>
      </c>
      <c r="B128" s="2">
        <v>12000</v>
      </c>
      <c r="C128" t="s">
        <v>59</v>
      </c>
      <c r="D128" t="s">
        <v>10</v>
      </c>
      <c r="E128" t="s">
        <v>1999</v>
      </c>
    </row>
    <row r="129" spans="1:5" x14ac:dyDescent="0.25">
      <c r="A129" t="s">
        <v>165</v>
      </c>
      <c r="B129" s="2">
        <v>44383.603963142654</v>
      </c>
      <c r="C129" t="s">
        <v>3</v>
      </c>
      <c r="D129" t="s">
        <v>55</v>
      </c>
      <c r="E129" t="s">
        <v>2002</v>
      </c>
    </row>
    <row r="130" spans="1:5" x14ac:dyDescent="0.25">
      <c r="A130" t="s">
        <v>166</v>
      </c>
      <c r="B130" s="2">
        <v>45000</v>
      </c>
      <c r="C130" t="s">
        <v>3</v>
      </c>
      <c r="D130" t="s">
        <v>8</v>
      </c>
      <c r="E130" t="s">
        <v>2001</v>
      </c>
    </row>
    <row r="131" spans="1:5" x14ac:dyDescent="0.25">
      <c r="A131" t="s">
        <v>167</v>
      </c>
      <c r="B131" s="2">
        <v>54000</v>
      </c>
      <c r="C131" t="s">
        <v>3</v>
      </c>
      <c r="D131" t="s">
        <v>8</v>
      </c>
      <c r="E131" t="s">
        <v>2000</v>
      </c>
    </row>
    <row r="132" spans="1:5" x14ac:dyDescent="0.25">
      <c r="A132" t="s">
        <v>168</v>
      </c>
      <c r="B132" s="2">
        <v>110332.47904470989</v>
      </c>
      <c r="C132" t="s">
        <v>16</v>
      </c>
      <c r="D132" t="s">
        <v>55</v>
      </c>
      <c r="E132" t="s">
        <v>2000</v>
      </c>
    </row>
    <row r="133" spans="1:5" x14ac:dyDescent="0.25">
      <c r="A133" t="s">
        <v>169</v>
      </c>
      <c r="B133" s="2">
        <v>71000</v>
      </c>
      <c r="C133" t="s">
        <v>3</v>
      </c>
      <c r="D133" t="s">
        <v>8</v>
      </c>
      <c r="E133" t="s">
        <v>2001</v>
      </c>
    </row>
    <row r="134" spans="1:5" x14ac:dyDescent="0.25">
      <c r="A134" t="s">
        <v>170</v>
      </c>
      <c r="B134" s="2">
        <v>14246.333349954055</v>
      </c>
      <c r="C134" t="s">
        <v>16</v>
      </c>
      <c r="D134" t="s">
        <v>4</v>
      </c>
      <c r="E134" t="s">
        <v>2000</v>
      </c>
    </row>
    <row r="135" spans="1:5" x14ac:dyDescent="0.25">
      <c r="A135" t="s">
        <v>171</v>
      </c>
      <c r="B135" s="2">
        <v>68835.306612122877</v>
      </c>
      <c r="C135" t="s">
        <v>16</v>
      </c>
      <c r="D135" t="s">
        <v>68</v>
      </c>
      <c r="E135" t="s">
        <v>2001</v>
      </c>
    </row>
    <row r="136" spans="1:5" x14ac:dyDescent="0.25">
      <c r="A136" t="s">
        <v>172</v>
      </c>
      <c r="B136" s="2">
        <v>49168.076151516347</v>
      </c>
      <c r="C136" t="s">
        <v>16</v>
      </c>
      <c r="D136" t="s">
        <v>68</v>
      </c>
      <c r="E136" t="s">
        <v>2001</v>
      </c>
    </row>
    <row r="137" spans="1:5" x14ac:dyDescent="0.25">
      <c r="A137" t="s">
        <v>173</v>
      </c>
      <c r="B137" s="2">
        <v>40000</v>
      </c>
      <c r="C137" t="s">
        <v>3</v>
      </c>
      <c r="D137" t="s">
        <v>8</v>
      </c>
      <c r="E137" t="s">
        <v>2001</v>
      </c>
    </row>
    <row r="138" spans="1:5" x14ac:dyDescent="0.25">
      <c r="A138" t="s">
        <v>174</v>
      </c>
      <c r="B138" s="2">
        <v>60968.414427880263</v>
      </c>
      <c r="C138" t="s">
        <v>3</v>
      </c>
      <c r="D138" t="s">
        <v>68</v>
      </c>
      <c r="E138" t="s">
        <v>2000</v>
      </c>
    </row>
    <row r="139" spans="1:5" x14ac:dyDescent="0.25">
      <c r="A139" t="s">
        <v>175</v>
      </c>
      <c r="B139" s="2">
        <v>5983.4600069807029</v>
      </c>
      <c r="C139" t="s">
        <v>37</v>
      </c>
      <c r="D139" t="s">
        <v>4</v>
      </c>
      <c r="E139" t="s">
        <v>2001</v>
      </c>
    </row>
    <row r="140" spans="1:5" x14ac:dyDescent="0.25">
      <c r="A140" t="s">
        <v>176</v>
      </c>
      <c r="B140" s="2">
        <v>53000</v>
      </c>
      <c r="C140" t="s">
        <v>3</v>
      </c>
      <c r="D140" t="s">
        <v>8</v>
      </c>
      <c r="E140" t="s">
        <v>2001</v>
      </c>
    </row>
    <row r="141" spans="1:5" x14ac:dyDescent="0.25">
      <c r="A141" t="s">
        <v>177</v>
      </c>
      <c r="B141" s="2">
        <v>104000</v>
      </c>
      <c r="C141" t="s">
        <v>21</v>
      </c>
      <c r="D141" t="s">
        <v>8</v>
      </c>
      <c r="E141" t="s">
        <v>2000</v>
      </c>
    </row>
    <row r="142" spans="1:5" x14ac:dyDescent="0.25">
      <c r="A142" t="s">
        <v>178</v>
      </c>
      <c r="B142" s="2">
        <v>57000</v>
      </c>
      <c r="C142" t="s">
        <v>12</v>
      </c>
      <c r="D142" t="s">
        <v>8</v>
      </c>
      <c r="E142" t="s">
        <v>2001</v>
      </c>
    </row>
    <row r="143" spans="1:5" x14ac:dyDescent="0.25">
      <c r="A143" t="s">
        <v>179</v>
      </c>
      <c r="B143" s="2">
        <v>45000</v>
      </c>
      <c r="C143" t="s">
        <v>3</v>
      </c>
      <c r="D143" t="s">
        <v>8</v>
      </c>
      <c r="E143" t="s">
        <v>2000</v>
      </c>
    </row>
    <row r="144" spans="1:5" x14ac:dyDescent="0.25">
      <c r="A144" t="s">
        <v>180</v>
      </c>
      <c r="B144" s="2">
        <v>92000</v>
      </c>
      <c r="C144" t="s">
        <v>3</v>
      </c>
      <c r="D144" t="s">
        <v>8</v>
      </c>
      <c r="E144" t="s">
        <v>2001</v>
      </c>
    </row>
    <row r="145" spans="1:5" x14ac:dyDescent="0.25">
      <c r="A145" t="s">
        <v>181</v>
      </c>
      <c r="B145" s="2">
        <v>88000</v>
      </c>
      <c r="C145" t="s">
        <v>16</v>
      </c>
      <c r="D145" t="s">
        <v>8</v>
      </c>
      <c r="E145" t="s">
        <v>2001</v>
      </c>
    </row>
    <row r="146" spans="1:5" x14ac:dyDescent="0.25">
      <c r="A146" t="s">
        <v>182</v>
      </c>
      <c r="B146" s="2">
        <v>80000</v>
      </c>
      <c r="C146" t="s">
        <v>3</v>
      </c>
      <c r="D146" t="s">
        <v>8</v>
      </c>
      <c r="E146" t="s">
        <v>2000</v>
      </c>
    </row>
    <row r="147" spans="1:5" x14ac:dyDescent="0.25">
      <c r="A147" t="s">
        <v>183</v>
      </c>
      <c r="B147" s="2">
        <v>69000</v>
      </c>
      <c r="C147" t="s">
        <v>59</v>
      </c>
      <c r="D147" t="s">
        <v>8</v>
      </c>
      <c r="E147" t="s">
        <v>2001</v>
      </c>
    </row>
    <row r="148" spans="1:5" x14ac:dyDescent="0.25">
      <c r="A148" t="s">
        <v>184</v>
      </c>
      <c r="B148" s="2">
        <v>50000</v>
      </c>
      <c r="C148" t="s">
        <v>3</v>
      </c>
      <c r="D148" t="s">
        <v>136</v>
      </c>
      <c r="E148" t="s">
        <v>2002</v>
      </c>
    </row>
    <row r="149" spans="1:5" x14ac:dyDescent="0.25">
      <c r="A149" t="s">
        <v>185</v>
      </c>
      <c r="B149" s="2">
        <v>35000</v>
      </c>
      <c r="C149" t="s">
        <v>16</v>
      </c>
      <c r="D149" t="s">
        <v>8</v>
      </c>
      <c r="E149" t="s">
        <v>2000</v>
      </c>
    </row>
    <row r="150" spans="1:5" x14ac:dyDescent="0.25">
      <c r="A150" t="s">
        <v>186</v>
      </c>
      <c r="B150" s="2">
        <v>96000</v>
      </c>
      <c r="C150" t="s">
        <v>3</v>
      </c>
      <c r="D150" t="s">
        <v>8</v>
      </c>
      <c r="E150" t="s">
        <v>2001</v>
      </c>
    </row>
    <row r="151" spans="1:5" x14ac:dyDescent="0.25">
      <c r="A151" t="s">
        <v>187</v>
      </c>
      <c r="B151" s="2">
        <v>65000</v>
      </c>
      <c r="C151" t="s">
        <v>24</v>
      </c>
      <c r="D151" t="s">
        <v>8</v>
      </c>
      <c r="E151" t="s">
        <v>2002</v>
      </c>
    </row>
    <row r="152" spans="1:5" x14ac:dyDescent="0.25">
      <c r="A152" t="s">
        <v>188</v>
      </c>
      <c r="B152" s="2">
        <v>37440</v>
      </c>
      <c r="C152" t="s">
        <v>3</v>
      </c>
      <c r="D152" t="s">
        <v>8</v>
      </c>
      <c r="E152" t="s">
        <v>2002</v>
      </c>
    </row>
    <row r="153" spans="1:5" x14ac:dyDescent="0.25">
      <c r="A153" t="s">
        <v>189</v>
      </c>
      <c r="B153" s="2">
        <v>15500</v>
      </c>
      <c r="C153" t="s">
        <v>24</v>
      </c>
      <c r="D153" t="s">
        <v>136</v>
      </c>
      <c r="E153" t="s">
        <v>2002</v>
      </c>
    </row>
    <row r="154" spans="1:5" x14ac:dyDescent="0.25">
      <c r="A154" t="s">
        <v>190</v>
      </c>
      <c r="B154" s="2">
        <v>90000</v>
      </c>
      <c r="C154" t="s">
        <v>3</v>
      </c>
      <c r="D154" t="s">
        <v>8</v>
      </c>
      <c r="E154" t="s">
        <v>2000</v>
      </c>
    </row>
    <row r="155" spans="1:5" x14ac:dyDescent="0.25">
      <c r="A155" t="s">
        <v>191</v>
      </c>
      <c r="B155" s="2">
        <v>66500</v>
      </c>
      <c r="C155" t="s">
        <v>3</v>
      </c>
      <c r="D155" t="s">
        <v>8</v>
      </c>
      <c r="E155" t="s">
        <v>2002</v>
      </c>
    </row>
    <row r="156" spans="1:5" x14ac:dyDescent="0.25">
      <c r="A156" t="s">
        <v>192</v>
      </c>
      <c r="B156" s="2">
        <v>100000</v>
      </c>
      <c r="C156" t="s">
        <v>24</v>
      </c>
      <c r="D156" t="s">
        <v>8</v>
      </c>
      <c r="E156" t="s">
        <v>2002</v>
      </c>
    </row>
    <row r="157" spans="1:5" x14ac:dyDescent="0.25">
      <c r="A157" t="s">
        <v>193</v>
      </c>
      <c r="B157" s="2">
        <v>50831.74927416991</v>
      </c>
      <c r="C157" t="s">
        <v>16</v>
      </c>
      <c r="D157" t="s">
        <v>55</v>
      </c>
      <c r="E157" t="s">
        <v>2001</v>
      </c>
    </row>
    <row r="158" spans="1:5" x14ac:dyDescent="0.25">
      <c r="A158" t="s">
        <v>194</v>
      </c>
      <c r="B158" s="2">
        <v>7479.3250087258784</v>
      </c>
      <c r="C158" t="s">
        <v>16</v>
      </c>
      <c r="D158" t="s">
        <v>4</v>
      </c>
      <c r="E158" t="s">
        <v>1999</v>
      </c>
    </row>
    <row r="159" spans="1:5" x14ac:dyDescent="0.25">
      <c r="A159" t="s">
        <v>195</v>
      </c>
      <c r="B159" s="2">
        <v>75000</v>
      </c>
      <c r="C159" t="s">
        <v>3</v>
      </c>
      <c r="D159" t="s">
        <v>8</v>
      </c>
      <c r="E159" t="s">
        <v>1999</v>
      </c>
    </row>
    <row r="160" spans="1:5" x14ac:dyDescent="0.25">
      <c r="A160" t="s">
        <v>196</v>
      </c>
      <c r="B160" s="2">
        <v>58000</v>
      </c>
      <c r="C160" t="s">
        <v>16</v>
      </c>
      <c r="D160" t="s">
        <v>68</v>
      </c>
      <c r="E160" t="s">
        <v>1999</v>
      </c>
    </row>
    <row r="161" spans="1:5" x14ac:dyDescent="0.25">
      <c r="A161" t="s">
        <v>197</v>
      </c>
      <c r="B161" s="2">
        <v>55000</v>
      </c>
      <c r="C161" t="s">
        <v>16</v>
      </c>
      <c r="D161" t="s">
        <v>8</v>
      </c>
      <c r="E161" t="s">
        <v>2000</v>
      </c>
    </row>
    <row r="162" spans="1:5" x14ac:dyDescent="0.25">
      <c r="A162" t="s">
        <v>198</v>
      </c>
      <c r="B162" s="2">
        <v>60000</v>
      </c>
      <c r="C162" t="s">
        <v>3</v>
      </c>
      <c r="D162" t="s">
        <v>8</v>
      </c>
      <c r="E162" t="s">
        <v>2001</v>
      </c>
    </row>
    <row r="163" spans="1:5" x14ac:dyDescent="0.25">
      <c r="A163" t="s">
        <v>199</v>
      </c>
      <c r="B163" s="2">
        <v>23150.291693675339</v>
      </c>
      <c r="C163" t="s">
        <v>16</v>
      </c>
      <c r="D163" t="s">
        <v>4</v>
      </c>
      <c r="E163" t="s">
        <v>2001</v>
      </c>
    </row>
    <row r="164" spans="1:5" x14ac:dyDescent="0.25">
      <c r="A164" t="s">
        <v>200</v>
      </c>
      <c r="B164" s="2">
        <v>105219.68296424497</v>
      </c>
      <c r="C164" t="s">
        <v>16</v>
      </c>
      <c r="D164" t="s">
        <v>68</v>
      </c>
      <c r="E164" t="s">
        <v>2000</v>
      </c>
    </row>
    <row r="165" spans="1:5" x14ac:dyDescent="0.25">
      <c r="A165" t="s">
        <v>201</v>
      </c>
      <c r="B165" s="2">
        <v>145000</v>
      </c>
      <c r="C165" t="s">
        <v>6</v>
      </c>
      <c r="D165" t="s">
        <v>35</v>
      </c>
      <c r="E165" t="s">
        <v>2002</v>
      </c>
    </row>
    <row r="166" spans="1:5" x14ac:dyDescent="0.25">
      <c r="A166" t="s">
        <v>202</v>
      </c>
      <c r="B166" s="2">
        <v>22880</v>
      </c>
      <c r="C166" t="s">
        <v>24</v>
      </c>
      <c r="D166" t="s">
        <v>8</v>
      </c>
      <c r="E166" t="s">
        <v>2001</v>
      </c>
    </row>
    <row r="167" spans="1:5" x14ac:dyDescent="0.25">
      <c r="A167" t="s">
        <v>203</v>
      </c>
      <c r="B167" s="2">
        <v>80000</v>
      </c>
      <c r="C167" t="s">
        <v>59</v>
      </c>
      <c r="D167" t="s">
        <v>8</v>
      </c>
      <c r="E167" t="s">
        <v>2001</v>
      </c>
    </row>
    <row r="168" spans="1:5" x14ac:dyDescent="0.25">
      <c r="A168" t="s">
        <v>204</v>
      </c>
      <c r="B168" s="2">
        <v>8903.9583437212841</v>
      </c>
      <c r="C168" t="s">
        <v>3</v>
      </c>
      <c r="D168" t="s">
        <v>4</v>
      </c>
      <c r="E168" t="s">
        <v>2000</v>
      </c>
    </row>
    <row r="169" spans="1:5" x14ac:dyDescent="0.25">
      <c r="A169" t="s">
        <v>205</v>
      </c>
      <c r="B169" s="2">
        <v>88502.537072729421</v>
      </c>
      <c r="C169" t="s">
        <v>3</v>
      </c>
      <c r="D169" t="s">
        <v>68</v>
      </c>
      <c r="E169" t="s">
        <v>2001</v>
      </c>
    </row>
    <row r="170" spans="1:5" x14ac:dyDescent="0.25">
      <c r="A170" t="s">
        <v>206</v>
      </c>
      <c r="B170" s="2">
        <v>3205.4250037396623</v>
      </c>
      <c r="C170" t="s">
        <v>3</v>
      </c>
      <c r="D170" t="s">
        <v>4</v>
      </c>
      <c r="E170" t="s">
        <v>2001</v>
      </c>
    </row>
    <row r="171" spans="1:5" x14ac:dyDescent="0.25">
      <c r="A171" t="s">
        <v>207</v>
      </c>
      <c r="B171" s="2">
        <v>46584</v>
      </c>
      <c r="C171" t="s">
        <v>3</v>
      </c>
      <c r="D171" t="s">
        <v>8</v>
      </c>
      <c r="E171" t="s">
        <v>2001</v>
      </c>
    </row>
    <row r="172" spans="1:5" x14ac:dyDescent="0.25">
      <c r="A172" t="s">
        <v>208</v>
      </c>
      <c r="B172" s="2">
        <v>67000</v>
      </c>
      <c r="C172" t="s">
        <v>3</v>
      </c>
      <c r="D172" t="s">
        <v>8</v>
      </c>
      <c r="E172" t="s">
        <v>2001</v>
      </c>
    </row>
    <row r="173" spans="1:5" x14ac:dyDescent="0.25">
      <c r="A173" t="s">
        <v>209</v>
      </c>
      <c r="B173" s="2">
        <v>19588.708356186824</v>
      </c>
      <c r="C173" t="s">
        <v>16</v>
      </c>
      <c r="D173" t="s">
        <v>4</v>
      </c>
      <c r="E173" t="s">
        <v>2001</v>
      </c>
    </row>
    <row r="174" spans="1:5" x14ac:dyDescent="0.25">
      <c r="A174" t="s">
        <v>210</v>
      </c>
      <c r="B174" s="2">
        <v>92000</v>
      </c>
      <c r="C174" t="s">
        <v>12</v>
      </c>
      <c r="D174" t="s">
        <v>8</v>
      </c>
      <c r="E174" t="s">
        <v>2001</v>
      </c>
    </row>
    <row r="175" spans="1:5" x14ac:dyDescent="0.25">
      <c r="A175" t="s">
        <v>211</v>
      </c>
      <c r="B175" s="2">
        <v>75000</v>
      </c>
      <c r="C175" t="s">
        <v>26</v>
      </c>
      <c r="D175" t="s">
        <v>8</v>
      </c>
      <c r="E175" t="s">
        <v>2002</v>
      </c>
    </row>
    <row r="176" spans="1:5" x14ac:dyDescent="0.25">
      <c r="A176" t="s">
        <v>212</v>
      </c>
      <c r="B176" s="2">
        <v>3205.4250037396623</v>
      </c>
      <c r="C176" t="s">
        <v>3</v>
      </c>
      <c r="D176" t="s">
        <v>4</v>
      </c>
      <c r="E176" t="s">
        <v>2001</v>
      </c>
    </row>
    <row r="177" spans="1:5" x14ac:dyDescent="0.25">
      <c r="A177" t="s">
        <v>213</v>
      </c>
      <c r="B177" s="2">
        <v>29159.298033244755</v>
      </c>
      <c r="C177" t="s">
        <v>16</v>
      </c>
      <c r="D177" t="s">
        <v>55</v>
      </c>
      <c r="E177" t="s">
        <v>2002</v>
      </c>
    </row>
    <row r="178" spans="1:5" x14ac:dyDescent="0.25">
      <c r="A178" t="s">
        <v>214</v>
      </c>
      <c r="B178" s="2">
        <v>40000</v>
      </c>
      <c r="C178" t="s">
        <v>3</v>
      </c>
      <c r="D178" t="s">
        <v>8</v>
      </c>
      <c r="E178" t="s">
        <v>2002</v>
      </c>
    </row>
    <row r="179" spans="1:5" x14ac:dyDescent="0.25">
      <c r="A179" t="s">
        <v>215</v>
      </c>
      <c r="B179" s="2">
        <v>111680</v>
      </c>
      <c r="C179" t="s">
        <v>3</v>
      </c>
      <c r="D179" t="s">
        <v>8</v>
      </c>
      <c r="E179" t="s">
        <v>2000</v>
      </c>
    </row>
    <row r="180" spans="1:5" x14ac:dyDescent="0.25">
      <c r="A180" t="s">
        <v>216</v>
      </c>
      <c r="B180" s="2">
        <v>41406</v>
      </c>
      <c r="C180" t="s">
        <v>3</v>
      </c>
      <c r="D180" t="s">
        <v>68</v>
      </c>
      <c r="E180" t="s">
        <v>1999</v>
      </c>
    </row>
    <row r="181" spans="1:5" x14ac:dyDescent="0.25">
      <c r="A181" t="s">
        <v>217</v>
      </c>
      <c r="B181" s="2">
        <v>70000</v>
      </c>
      <c r="C181" t="s">
        <v>16</v>
      </c>
      <c r="D181" t="s">
        <v>8</v>
      </c>
      <c r="E181" t="s">
        <v>2001</v>
      </c>
    </row>
    <row r="182" spans="1:5" x14ac:dyDescent="0.25">
      <c r="A182" t="s">
        <v>218</v>
      </c>
      <c r="B182" s="2">
        <v>40700</v>
      </c>
      <c r="C182" t="s">
        <v>3</v>
      </c>
      <c r="D182" t="s">
        <v>8</v>
      </c>
      <c r="E182" t="s">
        <v>1999</v>
      </c>
    </row>
    <row r="183" spans="1:5" x14ac:dyDescent="0.25">
      <c r="A183" t="s">
        <v>219</v>
      </c>
      <c r="B183" s="2">
        <v>40000</v>
      </c>
      <c r="C183" t="s">
        <v>3</v>
      </c>
      <c r="D183" t="s">
        <v>8</v>
      </c>
      <c r="E183" t="s">
        <v>2001</v>
      </c>
    </row>
    <row r="184" spans="1:5" x14ac:dyDescent="0.25">
      <c r="A184" t="s">
        <v>220</v>
      </c>
      <c r="B184" s="2">
        <v>60000</v>
      </c>
      <c r="C184" t="s">
        <v>24</v>
      </c>
      <c r="D184" t="s">
        <v>8</v>
      </c>
      <c r="E184" t="s">
        <v>2001</v>
      </c>
    </row>
    <row r="185" spans="1:5" x14ac:dyDescent="0.25">
      <c r="A185" t="s">
        <v>221</v>
      </c>
      <c r="B185" s="2">
        <v>90469.260118790073</v>
      </c>
      <c r="C185" t="s">
        <v>59</v>
      </c>
      <c r="D185" t="s">
        <v>68</v>
      </c>
      <c r="E185" t="s">
        <v>2002</v>
      </c>
    </row>
    <row r="186" spans="1:5" x14ac:dyDescent="0.25">
      <c r="A186" t="s">
        <v>222</v>
      </c>
      <c r="B186" s="2">
        <v>13636</v>
      </c>
      <c r="C186" t="s">
        <v>16</v>
      </c>
      <c r="D186" t="s">
        <v>4</v>
      </c>
      <c r="E186" t="s">
        <v>2002</v>
      </c>
    </row>
    <row r="187" spans="1:5" x14ac:dyDescent="0.25">
      <c r="A187" t="s">
        <v>223</v>
      </c>
      <c r="B187" s="2">
        <v>80000</v>
      </c>
      <c r="C187" t="s">
        <v>16</v>
      </c>
      <c r="D187" t="s">
        <v>8</v>
      </c>
      <c r="E187" t="s">
        <v>2000</v>
      </c>
    </row>
    <row r="188" spans="1:5" x14ac:dyDescent="0.25">
      <c r="A188" t="s">
        <v>224</v>
      </c>
      <c r="B188" s="2">
        <v>59001.691381819612</v>
      </c>
      <c r="C188" t="s">
        <v>3</v>
      </c>
      <c r="D188" t="s">
        <v>68</v>
      </c>
      <c r="E188" t="s">
        <v>2000</v>
      </c>
    </row>
    <row r="189" spans="1:5" x14ac:dyDescent="0.25">
      <c r="A189" t="s">
        <v>225</v>
      </c>
      <c r="B189" s="2">
        <v>28000</v>
      </c>
      <c r="C189" t="s">
        <v>3</v>
      </c>
      <c r="D189" t="s">
        <v>8</v>
      </c>
      <c r="E189" t="s">
        <v>2001</v>
      </c>
    </row>
    <row r="190" spans="1:5" x14ac:dyDescent="0.25">
      <c r="A190" t="s">
        <v>226</v>
      </c>
      <c r="B190" s="2">
        <v>60000</v>
      </c>
      <c r="C190" t="s">
        <v>3</v>
      </c>
      <c r="D190" t="s">
        <v>8</v>
      </c>
      <c r="E190" t="s">
        <v>2001</v>
      </c>
    </row>
    <row r="191" spans="1:5" x14ac:dyDescent="0.25">
      <c r="A191" t="s">
        <v>227</v>
      </c>
      <c r="B191" s="2">
        <v>96000</v>
      </c>
      <c r="C191" t="s">
        <v>26</v>
      </c>
      <c r="D191" t="s">
        <v>8</v>
      </c>
      <c r="E191" t="s">
        <v>2000</v>
      </c>
    </row>
    <row r="192" spans="1:5" x14ac:dyDescent="0.25">
      <c r="A192" t="s">
        <v>228</v>
      </c>
      <c r="B192" s="2">
        <v>67000</v>
      </c>
      <c r="C192" t="s">
        <v>3</v>
      </c>
      <c r="D192" t="s">
        <v>8</v>
      </c>
      <c r="E192" t="s">
        <v>2001</v>
      </c>
    </row>
    <row r="193" spans="1:5" x14ac:dyDescent="0.25">
      <c r="A193" t="s">
        <v>229</v>
      </c>
      <c r="B193" s="2">
        <v>70000</v>
      </c>
      <c r="C193" t="s">
        <v>3</v>
      </c>
      <c r="D193" t="s">
        <v>8</v>
      </c>
      <c r="E193" t="s">
        <v>2001</v>
      </c>
    </row>
    <row r="194" spans="1:5" x14ac:dyDescent="0.25">
      <c r="A194" t="s">
        <v>230</v>
      </c>
      <c r="B194" s="2">
        <v>4149.2445881741187</v>
      </c>
      <c r="C194" t="s">
        <v>16</v>
      </c>
      <c r="D194" t="s">
        <v>4</v>
      </c>
      <c r="E194" t="s">
        <v>2002</v>
      </c>
    </row>
    <row r="195" spans="1:5" x14ac:dyDescent="0.25">
      <c r="A195" t="s">
        <v>231</v>
      </c>
      <c r="B195" s="2">
        <v>99000</v>
      </c>
      <c r="C195" t="s">
        <v>6</v>
      </c>
      <c r="D195" t="s">
        <v>8</v>
      </c>
      <c r="E195" t="s">
        <v>2001</v>
      </c>
    </row>
    <row r="196" spans="1:5" x14ac:dyDescent="0.25">
      <c r="A196" t="s">
        <v>232</v>
      </c>
      <c r="B196" s="2">
        <v>90000</v>
      </c>
      <c r="C196" t="s">
        <v>16</v>
      </c>
      <c r="D196" t="s">
        <v>8</v>
      </c>
      <c r="E196" t="s">
        <v>2000</v>
      </c>
    </row>
    <row r="197" spans="1:5" x14ac:dyDescent="0.25">
      <c r="A197" t="s">
        <v>233</v>
      </c>
      <c r="B197" s="2">
        <v>4897.177089046706</v>
      </c>
      <c r="C197" t="s">
        <v>3</v>
      </c>
      <c r="D197" t="s">
        <v>4</v>
      </c>
      <c r="E197" t="s">
        <v>2000</v>
      </c>
    </row>
    <row r="198" spans="1:5" x14ac:dyDescent="0.25">
      <c r="A198" t="s">
        <v>234</v>
      </c>
      <c r="B198" s="2">
        <v>3419.1200039889732</v>
      </c>
      <c r="C198" t="s">
        <v>3</v>
      </c>
      <c r="D198" t="s">
        <v>4</v>
      </c>
      <c r="E198" t="s">
        <v>2002</v>
      </c>
    </row>
    <row r="199" spans="1:5" x14ac:dyDescent="0.25">
      <c r="A199" t="s">
        <v>235</v>
      </c>
      <c r="B199" s="2">
        <v>51000</v>
      </c>
      <c r="C199" t="s">
        <v>16</v>
      </c>
      <c r="D199" t="s">
        <v>8</v>
      </c>
      <c r="E199" t="s">
        <v>2001</v>
      </c>
    </row>
    <row r="200" spans="1:5" x14ac:dyDescent="0.25">
      <c r="A200" t="s">
        <v>236</v>
      </c>
      <c r="B200" s="2">
        <v>100000</v>
      </c>
      <c r="C200" t="s">
        <v>16</v>
      </c>
      <c r="D200" t="s">
        <v>8</v>
      </c>
      <c r="E200" t="s">
        <v>2002</v>
      </c>
    </row>
    <row r="201" spans="1:5" x14ac:dyDescent="0.25">
      <c r="A201" t="s">
        <v>237</v>
      </c>
      <c r="B201" s="2">
        <v>32054.250037396621</v>
      </c>
      <c r="C201" t="s">
        <v>16</v>
      </c>
      <c r="D201" t="s">
        <v>4</v>
      </c>
      <c r="E201" t="s">
        <v>1999</v>
      </c>
    </row>
    <row r="202" spans="1:5" x14ac:dyDescent="0.25">
      <c r="A202" t="s">
        <v>238</v>
      </c>
      <c r="B202" s="2">
        <v>47285.348162018527</v>
      </c>
      <c r="C202" t="s">
        <v>3</v>
      </c>
      <c r="D202" t="s">
        <v>55</v>
      </c>
      <c r="E202" t="s">
        <v>2000</v>
      </c>
    </row>
    <row r="203" spans="1:5" x14ac:dyDescent="0.25">
      <c r="A203" t="s">
        <v>239</v>
      </c>
      <c r="B203" s="2">
        <v>63519.971949580387</v>
      </c>
      <c r="C203" t="s">
        <v>3</v>
      </c>
      <c r="D203" t="s">
        <v>27</v>
      </c>
      <c r="E203" t="s">
        <v>2001</v>
      </c>
    </row>
    <row r="204" spans="1:5" x14ac:dyDescent="0.25">
      <c r="A204" t="s">
        <v>240</v>
      </c>
      <c r="B204" s="2">
        <v>108160</v>
      </c>
      <c r="C204" t="s">
        <v>3</v>
      </c>
      <c r="D204" t="s">
        <v>8</v>
      </c>
      <c r="E204" t="s">
        <v>2001</v>
      </c>
    </row>
    <row r="205" spans="1:5" x14ac:dyDescent="0.25">
      <c r="A205" t="s">
        <v>241</v>
      </c>
      <c r="B205" s="2">
        <v>50000</v>
      </c>
      <c r="C205" t="s">
        <v>16</v>
      </c>
      <c r="D205" t="s">
        <v>8</v>
      </c>
      <c r="E205" t="s">
        <v>2001</v>
      </c>
    </row>
    <row r="206" spans="1:5" x14ac:dyDescent="0.25">
      <c r="A206" t="s">
        <v>242</v>
      </c>
      <c r="B206" s="2">
        <v>400000</v>
      </c>
      <c r="C206" t="s">
        <v>16</v>
      </c>
      <c r="D206" t="s">
        <v>8</v>
      </c>
      <c r="E206" t="s">
        <v>1999</v>
      </c>
    </row>
    <row r="207" spans="1:5" x14ac:dyDescent="0.25">
      <c r="A207" t="s">
        <v>243</v>
      </c>
      <c r="B207" s="2">
        <v>43000</v>
      </c>
      <c r="C207" t="s">
        <v>3</v>
      </c>
      <c r="D207" t="s">
        <v>8</v>
      </c>
      <c r="E207" t="s">
        <v>2002</v>
      </c>
    </row>
    <row r="208" spans="1:5" x14ac:dyDescent="0.25">
      <c r="A208" t="s">
        <v>244</v>
      </c>
      <c r="B208" s="2">
        <v>27000</v>
      </c>
      <c r="C208" t="s">
        <v>3</v>
      </c>
      <c r="D208" t="s">
        <v>245</v>
      </c>
      <c r="E208" t="s">
        <v>2002</v>
      </c>
    </row>
    <row r="209" spans="1:5" x14ac:dyDescent="0.25">
      <c r="A209" t="s">
        <v>246</v>
      </c>
      <c r="B209" s="2">
        <v>41000</v>
      </c>
      <c r="C209" t="s">
        <v>16</v>
      </c>
      <c r="D209" t="s">
        <v>8</v>
      </c>
      <c r="E209" t="s">
        <v>2002</v>
      </c>
    </row>
    <row r="210" spans="1:5" x14ac:dyDescent="0.25">
      <c r="A210" t="s">
        <v>247</v>
      </c>
      <c r="B210" s="2">
        <v>100000</v>
      </c>
      <c r="C210" t="s">
        <v>21</v>
      </c>
      <c r="D210" t="s">
        <v>8</v>
      </c>
      <c r="E210" t="s">
        <v>2001</v>
      </c>
    </row>
    <row r="211" spans="1:5" x14ac:dyDescent="0.25">
      <c r="A211" t="s">
        <v>248</v>
      </c>
      <c r="B211" s="2">
        <v>42140</v>
      </c>
      <c r="C211" t="s">
        <v>3</v>
      </c>
      <c r="D211" t="s">
        <v>8</v>
      </c>
      <c r="E211" t="s">
        <v>2001</v>
      </c>
    </row>
    <row r="212" spans="1:5" x14ac:dyDescent="0.25">
      <c r="A212" t="s">
        <v>249</v>
      </c>
      <c r="B212" s="2">
        <v>80000</v>
      </c>
      <c r="C212" t="s">
        <v>3</v>
      </c>
      <c r="D212" t="s">
        <v>8</v>
      </c>
      <c r="E212" t="s">
        <v>2001</v>
      </c>
    </row>
    <row r="213" spans="1:5" x14ac:dyDescent="0.25">
      <c r="A213" t="s">
        <v>250</v>
      </c>
      <c r="B213" s="2">
        <v>41600</v>
      </c>
      <c r="C213" t="s">
        <v>16</v>
      </c>
      <c r="D213" t="s">
        <v>8</v>
      </c>
      <c r="E213" t="s">
        <v>2001</v>
      </c>
    </row>
    <row r="214" spans="1:5" x14ac:dyDescent="0.25">
      <c r="A214" t="s">
        <v>251</v>
      </c>
      <c r="B214" s="2">
        <v>45000</v>
      </c>
      <c r="C214" t="s">
        <v>24</v>
      </c>
      <c r="D214" t="s">
        <v>8</v>
      </c>
      <c r="E214" t="s">
        <v>2000</v>
      </c>
    </row>
    <row r="215" spans="1:5" x14ac:dyDescent="0.25">
      <c r="A215" t="s">
        <v>252</v>
      </c>
      <c r="B215" s="2">
        <v>78000</v>
      </c>
      <c r="C215" t="s">
        <v>24</v>
      </c>
      <c r="D215" t="s">
        <v>253</v>
      </c>
      <c r="E215" t="s">
        <v>2001</v>
      </c>
    </row>
    <row r="216" spans="1:5" x14ac:dyDescent="0.25">
      <c r="A216" t="s">
        <v>254</v>
      </c>
      <c r="B216" s="2">
        <v>8903.9583437212841</v>
      </c>
      <c r="C216" t="s">
        <v>16</v>
      </c>
      <c r="D216" t="s">
        <v>4</v>
      </c>
      <c r="E216" t="s">
        <v>2001</v>
      </c>
    </row>
    <row r="217" spans="1:5" x14ac:dyDescent="0.25">
      <c r="A217" t="s">
        <v>255</v>
      </c>
      <c r="B217" s="2">
        <v>6232.7708406048987</v>
      </c>
      <c r="C217" t="s">
        <v>24</v>
      </c>
      <c r="D217" t="s">
        <v>4</v>
      </c>
      <c r="E217" t="s">
        <v>2001</v>
      </c>
    </row>
    <row r="218" spans="1:5" x14ac:dyDescent="0.25">
      <c r="A218" t="s">
        <v>256</v>
      </c>
      <c r="B218" s="2">
        <v>72500</v>
      </c>
      <c r="C218" t="s">
        <v>6</v>
      </c>
      <c r="D218" t="s">
        <v>8</v>
      </c>
      <c r="E218" t="s">
        <v>2001</v>
      </c>
    </row>
    <row r="219" spans="1:5" x14ac:dyDescent="0.25">
      <c r="A219" t="s">
        <v>257</v>
      </c>
      <c r="B219" s="2">
        <v>138000</v>
      </c>
      <c r="C219" t="s">
        <v>12</v>
      </c>
      <c r="D219" t="s">
        <v>258</v>
      </c>
      <c r="E219" t="s">
        <v>2001</v>
      </c>
    </row>
    <row r="220" spans="1:5" x14ac:dyDescent="0.25">
      <c r="A220" t="s">
        <v>259</v>
      </c>
      <c r="B220" s="2">
        <v>8547.8000099724322</v>
      </c>
      <c r="C220" t="s">
        <v>16</v>
      </c>
      <c r="D220" t="s">
        <v>4</v>
      </c>
      <c r="E220" t="s">
        <v>2001</v>
      </c>
    </row>
    <row r="221" spans="1:5" x14ac:dyDescent="0.25">
      <c r="A221" t="s">
        <v>260</v>
      </c>
      <c r="B221" s="2">
        <v>80000</v>
      </c>
      <c r="C221" t="s">
        <v>3</v>
      </c>
      <c r="D221" t="s">
        <v>8</v>
      </c>
      <c r="E221" t="s">
        <v>2001</v>
      </c>
    </row>
    <row r="222" spans="1:5" x14ac:dyDescent="0.25">
      <c r="A222" t="s">
        <v>261</v>
      </c>
      <c r="B222" s="2">
        <v>50000</v>
      </c>
      <c r="C222" t="s">
        <v>16</v>
      </c>
      <c r="D222" t="s">
        <v>8</v>
      </c>
      <c r="E222" t="s">
        <v>2001</v>
      </c>
    </row>
    <row r="223" spans="1:5" x14ac:dyDescent="0.25">
      <c r="A223" t="s">
        <v>262</v>
      </c>
      <c r="B223" s="2">
        <v>44251.268536364711</v>
      </c>
      <c r="C223" t="s">
        <v>26</v>
      </c>
      <c r="D223" t="s">
        <v>68</v>
      </c>
      <c r="E223" t="s">
        <v>1999</v>
      </c>
    </row>
    <row r="224" spans="1:5" x14ac:dyDescent="0.25">
      <c r="A224" t="s">
        <v>263</v>
      </c>
      <c r="B224" s="2">
        <v>67775.665698893223</v>
      </c>
      <c r="C224" t="s">
        <v>16</v>
      </c>
      <c r="D224" t="s">
        <v>55</v>
      </c>
      <c r="E224" t="s">
        <v>2000</v>
      </c>
    </row>
    <row r="225" spans="1:5" x14ac:dyDescent="0.25">
      <c r="A225" t="s">
        <v>264</v>
      </c>
      <c r="B225" s="2">
        <v>3561.5833374885137</v>
      </c>
      <c r="C225" t="s">
        <v>3</v>
      </c>
      <c r="D225" t="s">
        <v>4</v>
      </c>
      <c r="E225" t="s">
        <v>1999</v>
      </c>
    </row>
    <row r="226" spans="1:5" x14ac:dyDescent="0.25">
      <c r="A226" t="s">
        <v>265</v>
      </c>
      <c r="B226" s="2">
        <v>65000</v>
      </c>
      <c r="C226" t="s">
        <v>26</v>
      </c>
      <c r="D226" t="s">
        <v>8</v>
      </c>
      <c r="E226" t="s">
        <v>2000</v>
      </c>
    </row>
    <row r="227" spans="1:5" x14ac:dyDescent="0.25">
      <c r="A227" t="s">
        <v>266</v>
      </c>
      <c r="B227" s="2">
        <v>114000</v>
      </c>
      <c r="C227" t="s">
        <v>21</v>
      </c>
      <c r="D227" t="s">
        <v>8</v>
      </c>
      <c r="E227" t="s">
        <v>2000</v>
      </c>
    </row>
    <row r="228" spans="1:5" x14ac:dyDescent="0.25">
      <c r="A228" t="s">
        <v>267</v>
      </c>
      <c r="B228" s="2">
        <v>95000</v>
      </c>
      <c r="C228" t="s">
        <v>21</v>
      </c>
      <c r="D228" t="s">
        <v>8</v>
      </c>
      <c r="E228" t="s">
        <v>2001</v>
      </c>
    </row>
    <row r="229" spans="1:5" x14ac:dyDescent="0.25">
      <c r="A229" t="s">
        <v>268</v>
      </c>
      <c r="B229" s="2">
        <v>52500</v>
      </c>
      <c r="C229" t="s">
        <v>3</v>
      </c>
      <c r="D229" t="s">
        <v>8</v>
      </c>
      <c r="E229" t="s">
        <v>2001</v>
      </c>
    </row>
    <row r="230" spans="1:5" x14ac:dyDescent="0.25">
      <c r="A230" t="s">
        <v>269</v>
      </c>
      <c r="B230" s="2">
        <v>70928.022243027779</v>
      </c>
      <c r="C230" t="s">
        <v>16</v>
      </c>
      <c r="D230" t="s">
        <v>55</v>
      </c>
      <c r="E230" t="s">
        <v>2000</v>
      </c>
    </row>
    <row r="231" spans="1:5" x14ac:dyDescent="0.25">
      <c r="A231" t="s">
        <v>270</v>
      </c>
      <c r="B231" s="2">
        <v>60000</v>
      </c>
      <c r="C231" t="s">
        <v>3</v>
      </c>
      <c r="D231" t="s">
        <v>8</v>
      </c>
      <c r="E231" t="s">
        <v>2001</v>
      </c>
    </row>
    <row r="232" spans="1:5" x14ac:dyDescent="0.25">
      <c r="A232" t="s">
        <v>271</v>
      </c>
      <c r="B232" s="2">
        <v>65250</v>
      </c>
      <c r="C232" t="s">
        <v>24</v>
      </c>
      <c r="D232" t="s">
        <v>8</v>
      </c>
      <c r="E232" t="s">
        <v>2001</v>
      </c>
    </row>
    <row r="233" spans="1:5" x14ac:dyDescent="0.25">
      <c r="A233" t="s">
        <v>272</v>
      </c>
      <c r="B233" s="2">
        <v>21369.500024931083</v>
      </c>
      <c r="C233" t="s">
        <v>16</v>
      </c>
      <c r="D233" t="s">
        <v>4</v>
      </c>
      <c r="E233" t="s">
        <v>2000</v>
      </c>
    </row>
    <row r="234" spans="1:5" x14ac:dyDescent="0.25">
      <c r="A234" t="s">
        <v>273</v>
      </c>
      <c r="B234" s="2">
        <v>98336.152303032693</v>
      </c>
      <c r="C234" t="s">
        <v>16</v>
      </c>
      <c r="D234" t="s">
        <v>68</v>
      </c>
      <c r="E234" t="s">
        <v>2000</v>
      </c>
    </row>
    <row r="235" spans="1:5" x14ac:dyDescent="0.25">
      <c r="A235" t="s">
        <v>274</v>
      </c>
      <c r="B235" s="2">
        <v>15244.793267899293</v>
      </c>
      <c r="C235" t="s">
        <v>26</v>
      </c>
      <c r="D235" t="s">
        <v>22</v>
      </c>
      <c r="E235" t="s">
        <v>2002</v>
      </c>
    </row>
    <row r="236" spans="1:5" x14ac:dyDescent="0.25">
      <c r="A236" t="s">
        <v>275</v>
      </c>
      <c r="B236" s="2">
        <v>73000</v>
      </c>
      <c r="C236" t="s">
        <v>3</v>
      </c>
      <c r="D236" t="s">
        <v>8</v>
      </c>
      <c r="E236" t="s">
        <v>2001</v>
      </c>
    </row>
    <row r="237" spans="1:5" x14ac:dyDescent="0.25">
      <c r="A237" t="s">
        <v>276</v>
      </c>
      <c r="B237" s="2">
        <v>50000</v>
      </c>
      <c r="C237" t="s">
        <v>3</v>
      </c>
      <c r="D237" t="s">
        <v>8</v>
      </c>
      <c r="E237" t="s">
        <v>2002</v>
      </c>
    </row>
    <row r="238" spans="1:5" x14ac:dyDescent="0.25">
      <c r="A238" t="s">
        <v>277</v>
      </c>
      <c r="B238" s="2">
        <v>79000</v>
      </c>
      <c r="C238" t="s">
        <v>24</v>
      </c>
      <c r="D238" t="s">
        <v>8</v>
      </c>
      <c r="E238" t="s">
        <v>2000</v>
      </c>
    </row>
    <row r="239" spans="1:5" x14ac:dyDescent="0.25">
      <c r="A239" t="s">
        <v>278</v>
      </c>
      <c r="B239" s="2">
        <v>90000</v>
      </c>
      <c r="C239" t="s">
        <v>16</v>
      </c>
      <c r="D239" t="s">
        <v>8</v>
      </c>
      <c r="E239" t="s">
        <v>2001</v>
      </c>
    </row>
    <row r="240" spans="1:5" x14ac:dyDescent="0.25">
      <c r="A240" t="s">
        <v>279</v>
      </c>
      <c r="B240" s="2">
        <v>70000</v>
      </c>
      <c r="C240" t="s">
        <v>16</v>
      </c>
      <c r="D240" t="s">
        <v>8</v>
      </c>
      <c r="E240" t="s">
        <v>2000</v>
      </c>
    </row>
    <row r="241" spans="1:5" x14ac:dyDescent="0.25">
      <c r="A241" t="s">
        <v>280</v>
      </c>
      <c r="B241" s="2">
        <v>63918.498996971248</v>
      </c>
      <c r="C241" t="s">
        <v>16</v>
      </c>
      <c r="D241" t="s">
        <v>68</v>
      </c>
      <c r="E241" t="s">
        <v>2001</v>
      </c>
    </row>
    <row r="242" spans="1:5" x14ac:dyDescent="0.25">
      <c r="A242" t="s">
        <v>281</v>
      </c>
      <c r="B242" s="2">
        <v>80000</v>
      </c>
      <c r="C242" t="s">
        <v>3</v>
      </c>
      <c r="D242" t="s">
        <v>8</v>
      </c>
      <c r="E242" t="s">
        <v>2001</v>
      </c>
    </row>
    <row r="243" spans="1:5" x14ac:dyDescent="0.25">
      <c r="A243" t="s">
        <v>282</v>
      </c>
      <c r="B243" s="2">
        <v>140000</v>
      </c>
      <c r="C243" t="s">
        <v>16</v>
      </c>
      <c r="D243" t="s">
        <v>8</v>
      </c>
      <c r="E243" t="s">
        <v>2001</v>
      </c>
    </row>
    <row r="244" spans="1:5" x14ac:dyDescent="0.25">
      <c r="A244" t="s">
        <v>283</v>
      </c>
      <c r="B244" s="2">
        <v>96000</v>
      </c>
      <c r="C244" t="s">
        <v>59</v>
      </c>
      <c r="D244" t="s">
        <v>57</v>
      </c>
      <c r="E244" t="s">
        <v>2000</v>
      </c>
    </row>
    <row r="245" spans="1:5" x14ac:dyDescent="0.25">
      <c r="A245" t="s">
        <v>284</v>
      </c>
      <c r="B245" s="2">
        <v>20000</v>
      </c>
      <c r="C245" t="s">
        <v>16</v>
      </c>
      <c r="D245" t="s">
        <v>4</v>
      </c>
      <c r="E245" t="s">
        <v>2001</v>
      </c>
    </row>
    <row r="246" spans="1:5" x14ac:dyDescent="0.25">
      <c r="A246" t="s">
        <v>285</v>
      </c>
      <c r="B246" s="2">
        <v>47700</v>
      </c>
      <c r="C246" t="s">
        <v>3</v>
      </c>
      <c r="D246" t="s">
        <v>8</v>
      </c>
      <c r="E246" t="s">
        <v>2001</v>
      </c>
    </row>
    <row r="247" spans="1:5" x14ac:dyDescent="0.25">
      <c r="A247" t="s">
        <v>286</v>
      </c>
      <c r="B247" s="2">
        <v>25000</v>
      </c>
      <c r="C247" t="s">
        <v>16</v>
      </c>
      <c r="D247" t="s">
        <v>4</v>
      </c>
      <c r="E247" t="s">
        <v>1999</v>
      </c>
    </row>
    <row r="248" spans="1:5" x14ac:dyDescent="0.25">
      <c r="A248" t="s">
        <v>287</v>
      </c>
      <c r="B248" s="2">
        <v>52500</v>
      </c>
      <c r="C248" t="s">
        <v>3</v>
      </c>
      <c r="D248" t="s">
        <v>8</v>
      </c>
      <c r="E248" t="s">
        <v>2001</v>
      </c>
    </row>
    <row r="249" spans="1:5" x14ac:dyDescent="0.25">
      <c r="A249" t="s">
        <v>288</v>
      </c>
      <c r="B249" s="2">
        <v>40000</v>
      </c>
      <c r="C249" t="s">
        <v>3</v>
      </c>
      <c r="D249" t="s">
        <v>8</v>
      </c>
      <c r="E249" t="s">
        <v>2002</v>
      </c>
    </row>
    <row r="250" spans="1:5" x14ac:dyDescent="0.25">
      <c r="A250" t="s">
        <v>289</v>
      </c>
      <c r="B250" s="2">
        <v>31000</v>
      </c>
      <c r="C250" t="s">
        <v>3</v>
      </c>
      <c r="D250" t="s">
        <v>8</v>
      </c>
      <c r="E250" t="s">
        <v>2001</v>
      </c>
    </row>
    <row r="251" spans="1:5" x14ac:dyDescent="0.25">
      <c r="A251" t="s">
        <v>290</v>
      </c>
      <c r="B251" s="2">
        <v>83033.071372504521</v>
      </c>
      <c r="C251" t="s">
        <v>59</v>
      </c>
      <c r="D251" t="s">
        <v>55</v>
      </c>
      <c r="E251" t="s">
        <v>2002</v>
      </c>
    </row>
    <row r="252" spans="1:5" x14ac:dyDescent="0.25">
      <c r="A252" t="s">
        <v>291</v>
      </c>
      <c r="B252" s="2">
        <v>130000</v>
      </c>
      <c r="C252" t="s">
        <v>16</v>
      </c>
      <c r="D252" t="s">
        <v>8</v>
      </c>
      <c r="E252" t="s">
        <v>2001</v>
      </c>
    </row>
    <row r="253" spans="1:5" x14ac:dyDescent="0.25">
      <c r="A253" t="s">
        <v>292</v>
      </c>
      <c r="B253" s="2">
        <v>8369.7208430980063</v>
      </c>
      <c r="C253" t="s">
        <v>3</v>
      </c>
      <c r="D253" t="s">
        <v>4</v>
      </c>
      <c r="E253" t="s">
        <v>2002</v>
      </c>
    </row>
    <row r="254" spans="1:5" x14ac:dyDescent="0.25">
      <c r="A254" t="s">
        <v>293</v>
      </c>
      <c r="B254" s="2">
        <v>51000</v>
      </c>
      <c r="C254" t="s">
        <v>3</v>
      </c>
      <c r="D254" t="s">
        <v>8</v>
      </c>
      <c r="E254" t="s">
        <v>2000</v>
      </c>
    </row>
    <row r="255" spans="1:5" x14ac:dyDescent="0.25">
      <c r="A255" t="s">
        <v>294</v>
      </c>
      <c r="B255" s="2">
        <v>94570.696324037053</v>
      </c>
      <c r="C255" t="s">
        <v>3</v>
      </c>
      <c r="D255" t="s">
        <v>55</v>
      </c>
      <c r="E255" t="s">
        <v>2002</v>
      </c>
    </row>
    <row r="256" spans="1:5" x14ac:dyDescent="0.25">
      <c r="A256" t="s">
        <v>295</v>
      </c>
      <c r="B256" s="2">
        <v>34191.200039889729</v>
      </c>
      <c r="C256" t="s">
        <v>16</v>
      </c>
      <c r="D256" t="s">
        <v>4</v>
      </c>
      <c r="E256" t="s">
        <v>2000</v>
      </c>
    </row>
    <row r="257" spans="1:5" x14ac:dyDescent="0.25">
      <c r="A257" t="s">
        <v>296</v>
      </c>
      <c r="B257" s="2">
        <v>44132.991617883956</v>
      </c>
      <c r="C257" t="s">
        <v>3</v>
      </c>
      <c r="D257" t="s">
        <v>55</v>
      </c>
      <c r="E257" t="s">
        <v>2002</v>
      </c>
    </row>
    <row r="258" spans="1:5" x14ac:dyDescent="0.25">
      <c r="A258" t="s">
        <v>297</v>
      </c>
      <c r="B258" s="2">
        <v>73000</v>
      </c>
      <c r="C258" t="s">
        <v>26</v>
      </c>
      <c r="D258" t="s">
        <v>8</v>
      </c>
      <c r="E258" t="s">
        <v>2001</v>
      </c>
    </row>
    <row r="259" spans="1:5" x14ac:dyDescent="0.25">
      <c r="A259" t="s">
        <v>298</v>
      </c>
      <c r="B259" s="2">
        <v>62400</v>
      </c>
      <c r="C259" t="s">
        <v>24</v>
      </c>
      <c r="D259" t="s">
        <v>8</v>
      </c>
      <c r="E259" t="s">
        <v>2002</v>
      </c>
    </row>
    <row r="260" spans="1:5" x14ac:dyDescent="0.25">
      <c r="A260" t="s">
        <v>299</v>
      </c>
      <c r="B260" s="2">
        <v>27600</v>
      </c>
      <c r="C260" t="s">
        <v>59</v>
      </c>
      <c r="D260" t="s">
        <v>245</v>
      </c>
      <c r="E260" t="s">
        <v>2002</v>
      </c>
    </row>
    <row r="261" spans="1:5" x14ac:dyDescent="0.25">
      <c r="A261" t="s">
        <v>300</v>
      </c>
      <c r="B261" s="2">
        <v>54000</v>
      </c>
      <c r="C261" t="s">
        <v>16</v>
      </c>
      <c r="D261" t="s">
        <v>8</v>
      </c>
      <c r="E261" t="s">
        <v>2002</v>
      </c>
    </row>
    <row r="262" spans="1:5" x14ac:dyDescent="0.25">
      <c r="A262" t="s">
        <v>301</v>
      </c>
      <c r="B262" s="2">
        <v>4914.9850057341491</v>
      </c>
      <c r="C262" t="s">
        <v>3</v>
      </c>
      <c r="D262" t="s">
        <v>4</v>
      </c>
      <c r="E262" t="s">
        <v>2002</v>
      </c>
    </row>
    <row r="263" spans="1:5" x14ac:dyDescent="0.25">
      <c r="A263" t="s">
        <v>302</v>
      </c>
      <c r="B263" s="2">
        <v>77000</v>
      </c>
      <c r="C263" t="s">
        <v>24</v>
      </c>
      <c r="D263" t="s">
        <v>8</v>
      </c>
      <c r="E263" t="s">
        <v>2001</v>
      </c>
    </row>
    <row r="264" spans="1:5" x14ac:dyDescent="0.25">
      <c r="A264" t="s">
        <v>303</v>
      </c>
      <c r="B264" s="2">
        <v>76000</v>
      </c>
      <c r="C264" t="s">
        <v>16</v>
      </c>
      <c r="D264" t="s">
        <v>8</v>
      </c>
      <c r="E264" t="s">
        <v>2002</v>
      </c>
    </row>
    <row r="265" spans="1:5" x14ac:dyDescent="0.25">
      <c r="A265" t="s">
        <v>304</v>
      </c>
      <c r="B265" s="2">
        <v>103000</v>
      </c>
      <c r="C265" t="s">
        <v>21</v>
      </c>
      <c r="D265" t="s">
        <v>8</v>
      </c>
      <c r="E265" t="s">
        <v>2000</v>
      </c>
    </row>
    <row r="266" spans="1:5" x14ac:dyDescent="0.25">
      <c r="A266" t="s">
        <v>305</v>
      </c>
      <c r="B266" s="2">
        <v>7600</v>
      </c>
      <c r="C266" t="s">
        <v>26</v>
      </c>
      <c r="D266" t="s">
        <v>19</v>
      </c>
      <c r="E266" t="s">
        <v>1999</v>
      </c>
    </row>
    <row r="267" spans="1:5" x14ac:dyDescent="0.25">
      <c r="A267" t="s">
        <v>306</v>
      </c>
      <c r="B267" s="2">
        <v>40000</v>
      </c>
      <c r="C267" t="s">
        <v>3</v>
      </c>
      <c r="D267" t="s">
        <v>8</v>
      </c>
      <c r="E267" t="s">
        <v>2001</v>
      </c>
    </row>
    <row r="268" spans="1:5" x14ac:dyDescent="0.25">
      <c r="A268" t="s">
        <v>307</v>
      </c>
      <c r="B268" s="2">
        <v>80000</v>
      </c>
      <c r="C268" t="s">
        <v>21</v>
      </c>
      <c r="D268" t="s">
        <v>8</v>
      </c>
      <c r="E268" t="s">
        <v>2000</v>
      </c>
    </row>
    <row r="269" spans="1:5" x14ac:dyDescent="0.25">
      <c r="A269" t="s">
        <v>308</v>
      </c>
      <c r="B269" s="2">
        <v>55000</v>
      </c>
      <c r="C269" t="s">
        <v>3</v>
      </c>
      <c r="D269" t="s">
        <v>8</v>
      </c>
      <c r="E269" t="s">
        <v>2002</v>
      </c>
    </row>
    <row r="270" spans="1:5" x14ac:dyDescent="0.25">
      <c r="A270" t="s">
        <v>309</v>
      </c>
      <c r="B270" s="2">
        <v>99000</v>
      </c>
      <c r="C270" t="s">
        <v>3</v>
      </c>
      <c r="D270" t="s">
        <v>8</v>
      </c>
      <c r="E270" t="s">
        <v>2000</v>
      </c>
    </row>
    <row r="271" spans="1:5" x14ac:dyDescent="0.25">
      <c r="A271" t="s">
        <v>310</v>
      </c>
      <c r="B271" s="2">
        <v>9956.1219482708348</v>
      </c>
      <c r="C271" t="s">
        <v>16</v>
      </c>
      <c r="D271" t="s">
        <v>311</v>
      </c>
      <c r="E271" t="s">
        <v>2001</v>
      </c>
    </row>
    <row r="272" spans="1:5" x14ac:dyDescent="0.25">
      <c r="A272" t="s">
        <v>312</v>
      </c>
      <c r="B272" s="2">
        <v>75000</v>
      </c>
      <c r="C272" t="s">
        <v>3</v>
      </c>
      <c r="D272" t="s">
        <v>8</v>
      </c>
      <c r="E272" t="s">
        <v>2001</v>
      </c>
    </row>
    <row r="273" spans="1:5" x14ac:dyDescent="0.25">
      <c r="A273" t="s">
        <v>313</v>
      </c>
      <c r="B273" s="2">
        <v>80000</v>
      </c>
      <c r="C273" t="s">
        <v>16</v>
      </c>
      <c r="D273" t="s">
        <v>8</v>
      </c>
      <c r="E273" t="s">
        <v>2000</v>
      </c>
    </row>
    <row r="274" spans="1:5" x14ac:dyDescent="0.25">
      <c r="A274" t="s">
        <v>314</v>
      </c>
      <c r="B274" s="2">
        <v>20000</v>
      </c>
      <c r="C274" t="s">
        <v>3</v>
      </c>
      <c r="D274" t="s">
        <v>4</v>
      </c>
      <c r="E274" t="s">
        <v>2002</v>
      </c>
    </row>
    <row r="275" spans="1:5" x14ac:dyDescent="0.25">
      <c r="A275" t="s">
        <v>315</v>
      </c>
      <c r="B275" s="2">
        <v>40000</v>
      </c>
      <c r="C275" t="s">
        <v>3</v>
      </c>
      <c r="D275" t="s">
        <v>8</v>
      </c>
      <c r="E275" t="s">
        <v>2002</v>
      </c>
    </row>
    <row r="276" spans="1:5" x14ac:dyDescent="0.25">
      <c r="A276" t="s">
        <v>316</v>
      </c>
      <c r="B276" s="2">
        <v>46000</v>
      </c>
      <c r="C276" t="s">
        <v>3</v>
      </c>
      <c r="D276" t="s">
        <v>8</v>
      </c>
      <c r="E276" t="s">
        <v>2002</v>
      </c>
    </row>
    <row r="277" spans="1:5" x14ac:dyDescent="0.25">
      <c r="A277" t="s">
        <v>317</v>
      </c>
      <c r="B277" s="2">
        <v>14000</v>
      </c>
      <c r="C277" t="s">
        <v>3</v>
      </c>
      <c r="D277" t="s">
        <v>116</v>
      </c>
      <c r="E277" t="s">
        <v>1999</v>
      </c>
    </row>
    <row r="278" spans="1:5" x14ac:dyDescent="0.25">
      <c r="A278" t="s">
        <v>318</v>
      </c>
      <c r="B278" s="2">
        <v>70000</v>
      </c>
      <c r="C278" t="s">
        <v>12</v>
      </c>
      <c r="D278" t="s">
        <v>8</v>
      </c>
      <c r="E278" t="s">
        <v>2002</v>
      </c>
    </row>
    <row r="279" spans="1:5" x14ac:dyDescent="0.25">
      <c r="A279" t="s">
        <v>319</v>
      </c>
      <c r="B279" s="2">
        <v>36000</v>
      </c>
      <c r="C279" t="s">
        <v>26</v>
      </c>
      <c r="D279" t="s">
        <v>52</v>
      </c>
      <c r="E279" t="s">
        <v>2001</v>
      </c>
    </row>
    <row r="280" spans="1:5" x14ac:dyDescent="0.25">
      <c r="A280" t="s">
        <v>320</v>
      </c>
      <c r="B280" s="2">
        <v>15000</v>
      </c>
      <c r="C280" t="s">
        <v>16</v>
      </c>
      <c r="D280" t="s">
        <v>8</v>
      </c>
      <c r="E280" t="s">
        <v>2000</v>
      </c>
    </row>
    <row r="281" spans="1:5" x14ac:dyDescent="0.25">
      <c r="A281" t="s">
        <v>321</v>
      </c>
      <c r="B281" s="2">
        <v>26711.875031163851</v>
      </c>
      <c r="C281" t="s">
        <v>59</v>
      </c>
      <c r="D281" t="s">
        <v>4</v>
      </c>
      <c r="E281" t="s">
        <v>2002</v>
      </c>
    </row>
    <row r="282" spans="1:5" x14ac:dyDescent="0.25">
      <c r="A282" t="s">
        <v>322</v>
      </c>
      <c r="B282" s="2">
        <v>27221.92126875931</v>
      </c>
      <c r="C282" t="s">
        <v>24</v>
      </c>
      <c r="D282" t="s">
        <v>323</v>
      </c>
      <c r="E282" t="s">
        <v>2001</v>
      </c>
    </row>
    <row r="283" spans="1:5" x14ac:dyDescent="0.25">
      <c r="A283" t="s">
        <v>324</v>
      </c>
      <c r="B283" s="2">
        <v>22000</v>
      </c>
      <c r="C283" t="s">
        <v>37</v>
      </c>
      <c r="D283" t="s">
        <v>4</v>
      </c>
      <c r="E283" t="s">
        <v>2002</v>
      </c>
    </row>
    <row r="284" spans="1:5" x14ac:dyDescent="0.25">
      <c r="A284" t="s">
        <v>325</v>
      </c>
      <c r="B284" s="2">
        <v>68000</v>
      </c>
      <c r="C284" t="s">
        <v>16</v>
      </c>
      <c r="D284" t="s">
        <v>8</v>
      </c>
      <c r="E284" t="s">
        <v>2002</v>
      </c>
    </row>
    <row r="285" spans="1:5" x14ac:dyDescent="0.25">
      <c r="A285" t="s">
        <v>326</v>
      </c>
      <c r="B285" s="2">
        <v>97000</v>
      </c>
      <c r="C285" t="s">
        <v>3</v>
      </c>
      <c r="D285" t="s">
        <v>8</v>
      </c>
      <c r="E285" t="s">
        <v>2002</v>
      </c>
    </row>
    <row r="286" spans="1:5" x14ac:dyDescent="0.25">
      <c r="A286" t="s">
        <v>327</v>
      </c>
      <c r="B286" s="2">
        <v>48861.526434085805</v>
      </c>
      <c r="C286" t="s">
        <v>12</v>
      </c>
      <c r="D286" t="s">
        <v>55</v>
      </c>
      <c r="E286" t="s">
        <v>2000</v>
      </c>
    </row>
    <row r="287" spans="1:5" x14ac:dyDescent="0.25">
      <c r="A287" t="s">
        <v>328</v>
      </c>
      <c r="B287" s="2">
        <v>65000</v>
      </c>
      <c r="C287" t="s">
        <v>3</v>
      </c>
      <c r="D287" t="s">
        <v>8</v>
      </c>
      <c r="E287" t="s">
        <v>2001</v>
      </c>
    </row>
    <row r="288" spans="1:5" x14ac:dyDescent="0.25">
      <c r="A288" t="s">
        <v>329</v>
      </c>
      <c r="B288" s="2">
        <v>43200</v>
      </c>
      <c r="C288" t="s">
        <v>16</v>
      </c>
      <c r="D288" t="s">
        <v>107</v>
      </c>
      <c r="E288" t="s">
        <v>2001</v>
      </c>
    </row>
    <row r="289" spans="1:5" x14ac:dyDescent="0.25">
      <c r="A289" t="s">
        <v>330</v>
      </c>
      <c r="B289" s="2">
        <v>8013.5625093491553</v>
      </c>
      <c r="C289" t="s">
        <v>3</v>
      </c>
      <c r="D289" t="s">
        <v>4</v>
      </c>
      <c r="E289" t="s">
        <v>2001</v>
      </c>
    </row>
    <row r="290" spans="1:5" x14ac:dyDescent="0.25">
      <c r="A290" t="s">
        <v>331</v>
      </c>
      <c r="B290" s="2">
        <v>50000</v>
      </c>
      <c r="C290" t="s">
        <v>3</v>
      </c>
      <c r="D290" t="s">
        <v>8</v>
      </c>
      <c r="E290" t="s">
        <v>2002</v>
      </c>
    </row>
    <row r="291" spans="1:5" x14ac:dyDescent="0.25">
      <c r="A291" t="s">
        <v>332</v>
      </c>
      <c r="B291" s="2">
        <v>45000</v>
      </c>
      <c r="C291" t="s">
        <v>3</v>
      </c>
      <c r="D291" t="s">
        <v>8</v>
      </c>
      <c r="E291" t="s">
        <v>2001</v>
      </c>
    </row>
    <row r="292" spans="1:5" x14ac:dyDescent="0.25">
      <c r="A292" t="s">
        <v>333</v>
      </c>
      <c r="B292" s="2">
        <v>3205.4250037396623</v>
      </c>
      <c r="C292" t="s">
        <v>16</v>
      </c>
      <c r="D292" t="s">
        <v>4</v>
      </c>
      <c r="E292" t="s">
        <v>2001</v>
      </c>
    </row>
    <row r="293" spans="1:5" x14ac:dyDescent="0.25">
      <c r="A293" t="s">
        <v>334</v>
      </c>
      <c r="B293" s="2">
        <v>60000</v>
      </c>
      <c r="C293" t="s">
        <v>16</v>
      </c>
      <c r="D293" t="s">
        <v>8</v>
      </c>
      <c r="E293" t="s">
        <v>2002</v>
      </c>
    </row>
    <row r="294" spans="1:5" x14ac:dyDescent="0.25">
      <c r="A294" t="s">
        <v>335</v>
      </c>
      <c r="B294" s="2">
        <v>31000</v>
      </c>
      <c r="C294" t="s">
        <v>26</v>
      </c>
      <c r="D294" t="s">
        <v>8</v>
      </c>
      <c r="E294" t="s">
        <v>2000</v>
      </c>
    </row>
    <row r="295" spans="1:5" x14ac:dyDescent="0.25">
      <c r="A295" t="s">
        <v>336</v>
      </c>
      <c r="B295" s="2">
        <v>75000</v>
      </c>
      <c r="C295" t="s">
        <v>3</v>
      </c>
      <c r="D295" t="s">
        <v>8</v>
      </c>
      <c r="E295" t="s">
        <v>2001</v>
      </c>
    </row>
    <row r="296" spans="1:5" x14ac:dyDescent="0.25">
      <c r="A296" t="s">
        <v>337</v>
      </c>
      <c r="B296" s="2">
        <v>16000</v>
      </c>
      <c r="C296" t="s">
        <v>21</v>
      </c>
      <c r="D296" t="s">
        <v>8</v>
      </c>
      <c r="E296" t="s">
        <v>1999</v>
      </c>
    </row>
    <row r="297" spans="1:5" x14ac:dyDescent="0.25">
      <c r="A297" t="s">
        <v>338</v>
      </c>
      <c r="B297" s="2">
        <v>36000</v>
      </c>
      <c r="C297" t="s">
        <v>3</v>
      </c>
      <c r="D297" t="s">
        <v>8</v>
      </c>
      <c r="E297" t="s">
        <v>2002</v>
      </c>
    </row>
    <row r="298" spans="1:5" x14ac:dyDescent="0.25">
      <c r="A298" t="s">
        <v>339</v>
      </c>
      <c r="B298" s="2">
        <v>41301.183967273726</v>
      </c>
      <c r="C298" t="s">
        <v>3</v>
      </c>
      <c r="D298" t="s">
        <v>68</v>
      </c>
      <c r="E298" t="s">
        <v>2002</v>
      </c>
    </row>
    <row r="299" spans="1:5" x14ac:dyDescent="0.25">
      <c r="A299" t="s">
        <v>340</v>
      </c>
      <c r="B299" s="2">
        <v>53000</v>
      </c>
      <c r="C299" t="s">
        <v>3</v>
      </c>
      <c r="D299" t="s">
        <v>8</v>
      </c>
      <c r="E299" t="s">
        <v>2001</v>
      </c>
    </row>
    <row r="300" spans="1:5" x14ac:dyDescent="0.25">
      <c r="A300" t="s">
        <v>341</v>
      </c>
      <c r="B300" s="2">
        <v>82575.963534454509</v>
      </c>
      <c r="C300" t="s">
        <v>6</v>
      </c>
      <c r="D300" t="s">
        <v>17</v>
      </c>
      <c r="E300" t="s">
        <v>2002</v>
      </c>
    </row>
    <row r="301" spans="1:5" x14ac:dyDescent="0.25">
      <c r="A301" t="s">
        <v>342</v>
      </c>
      <c r="B301" s="2">
        <v>67000</v>
      </c>
      <c r="C301" t="s">
        <v>3</v>
      </c>
      <c r="D301" t="s">
        <v>8</v>
      </c>
      <c r="E301" t="s">
        <v>2001</v>
      </c>
    </row>
    <row r="302" spans="1:5" x14ac:dyDescent="0.25">
      <c r="A302" t="s">
        <v>343</v>
      </c>
      <c r="B302" s="2">
        <v>12000</v>
      </c>
      <c r="C302" t="s">
        <v>3</v>
      </c>
      <c r="D302" t="s">
        <v>4</v>
      </c>
      <c r="E302" t="s">
        <v>2002</v>
      </c>
    </row>
    <row r="303" spans="1:5" x14ac:dyDescent="0.25">
      <c r="A303" t="s">
        <v>344</v>
      </c>
      <c r="B303" s="2">
        <v>85000</v>
      </c>
      <c r="C303" t="s">
        <v>6</v>
      </c>
      <c r="D303" t="s">
        <v>8</v>
      </c>
      <c r="E303" t="s">
        <v>2002</v>
      </c>
    </row>
    <row r="304" spans="1:5" x14ac:dyDescent="0.25">
      <c r="A304" t="s">
        <v>345</v>
      </c>
      <c r="B304" s="2">
        <v>254079.88779832155</v>
      </c>
      <c r="C304" t="s">
        <v>37</v>
      </c>
      <c r="D304" t="s">
        <v>572</v>
      </c>
      <c r="E304" t="s">
        <v>2002</v>
      </c>
    </row>
    <row r="305" spans="1:5" x14ac:dyDescent="0.25">
      <c r="A305" t="s">
        <v>346</v>
      </c>
      <c r="B305" s="2">
        <v>40000</v>
      </c>
      <c r="C305" t="s">
        <v>16</v>
      </c>
      <c r="D305" t="s">
        <v>8</v>
      </c>
      <c r="E305" t="s">
        <v>2001</v>
      </c>
    </row>
    <row r="306" spans="1:5" x14ac:dyDescent="0.25">
      <c r="A306" t="s">
        <v>347</v>
      </c>
      <c r="B306" s="2">
        <v>31523.565441345683</v>
      </c>
      <c r="C306" t="s">
        <v>12</v>
      </c>
      <c r="D306" t="s">
        <v>55</v>
      </c>
      <c r="E306" t="s">
        <v>1999</v>
      </c>
    </row>
    <row r="307" spans="1:5" x14ac:dyDescent="0.25">
      <c r="A307" t="s">
        <v>348</v>
      </c>
      <c r="B307" s="2">
        <v>41000</v>
      </c>
      <c r="C307" t="s">
        <v>3</v>
      </c>
      <c r="D307" t="s">
        <v>8</v>
      </c>
      <c r="E307" t="s">
        <v>2001</v>
      </c>
    </row>
    <row r="308" spans="1:5" x14ac:dyDescent="0.25">
      <c r="A308" t="s">
        <v>349</v>
      </c>
      <c r="B308" s="2">
        <v>24931.083362419595</v>
      </c>
      <c r="C308" t="s">
        <v>16</v>
      </c>
      <c r="D308" t="s">
        <v>4</v>
      </c>
      <c r="E308" t="s">
        <v>1999</v>
      </c>
    </row>
    <row r="309" spans="1:5" x14ac:dyDescent="0.25">
      <c r="A309" t="s">
        <v>350</v>
      </c>
      <c r="B309" s="2">
        <v>125000</v>
      </c>
      <c r="C309" t="s">
        <v>16</v>
      </c>
      <c r="D309" t="s">
        <v>8</v>
      </c>
      <c r="E309" t="s">
        <v>2001</v>
      </c>
    </row>
    <row r="310" spans="1:5" x14ac:dyDescent="0.25">
      <c r="A310" t="s">
        <v>351</v>
      </c>
      <c r="B310" s="2">
        <v>59001.691381819612</v>
      </c>
      <c r="C310" t="s">
        <v>3</v>
      </c>
      <c r="D310" t="s">
        <v>68</v>
      </c>
      <c r="E310" t="s">
        <v>2002</v>
      </c>
    </row>
    <row r="311" spans="1:5" x14ac:dyDescent="0.25">
      <c r="A311" t="s">
        <v>352</v>
      </c>
      <c r="B311" s="2">
        <v>10956.982885192734</v>
      </c>
      <c r="C311" t="s">
        <v>3</v>
      </c>
      <c r="D311" t="s">
        <v>136</v>
      </c>
      <c r="E311" t="s">
        <v>2002</v>
      </c>
    </row>
    <row r="312" spans="1:5" x14ac:dyDescent="0.25">
      <c r="A312" t="s">
        <v>353</v>
      </c>
      <c r="B312" s="2">
        <v>70000</v>
      </c>
      <c r="C312" t="s">
        <v>3</v>
      </c>
      <c r="D312" t="s">
        <v>8</v>
      </c>
      <c r="E312" t="s">
        <v>2000</v>
      </c>
    </row>
    <row r="313" spans="1:5" x14ac:dyDescent="0.25">
      <c r="A313" t="s">
        <v>354</v>
      </c>
      <c r="B313" s="2">
        <v>400000</v>
      </c>
      <c r="C313" t="s">
        <v>26</v>
      </c>
      <c r="D313" t="s">
        <v>8</v>
      </c>
      <c r="E313" t="s">
        <v>2002</v>
      </c>
    </row>
    <row r="314" spans="1:5" x14ac:dyDescent="0.25">
      <c r="A314" t="s">
        <v>355</v>
      </c>
      <c r="B314" s="2">
        <v>55000</v>
      </c>
      <c r="C314" t="s">
        <v>3</v>
      </c>
      <c r="D314" t="s">
        <v>8</v>
      </c>
      <c r="E314" t="s">
        <v>2001</v>
      </c>
    </row>
    <row r="315" spans="1:5" x14ac:dyDescent="0.25">
      <c r="A315" t="s">
        <v>356</v>
      </c>
      <c r="B315" s="2">
        <v>60000</v>
      </c>
      <c r="C315" t="s">
        <v>3</v>
      </c>
      <c r="D315" t="s">
        <v>8</v>
      </c>
      <c r="E315" t="s">
        <v>2001</v>
      </c>
    </row>
    <row r="316" spans="1:5" x14ac:dyDescent="0.25">
      <c r="A316" t="s">
        <v>357</v>
      </c>
      <c r="B316" s="2">
        <v>17807.916687442568</v>
      </c>
      <c r="C316" t="s">
        <v>16</v>
      </c>
      <c r="D316" t="s">
        <v>4</v>
      </c>
      <c r="E316" t="s">
        <v>2001</v>
      </c>
    </row>
    <row r="317" spans="1:5" x14ac:dyDescent="0.25">
      <c r="A317" t="s">
        <v>358</v>
      </c>
      <c r="B317" s="2">
        <v>40000</v>
      </c>
      <c r="C317" t="s">
        <v>16</v>
      </c>
      <c r="D317" t="s">
        <v>29</v>
      </c>
      <c r="E317" t="s">
        <v>2001</v>
      </c>
    </row>
    <row r="318" spans="1:5" x14ac:dyDescent="0.25">
      <c r="A318" t="s">
        <v>359</v>
      </c>
      <c r="B318" s="2">
        <v>137500</v>
      </c>
      <c r="C318" t="s">
        <v>3</v>
      </c>
      <c r="D318" t="s">
        <v>8</v>
      </c>
      <c r="E318" t="s">
        <v>2001</v>
      </c>
    </row>
    <row r="319" spans="1:5" x14ac:dyDescent="0.25">
      <c r="A319" t="s">
        <v>360</v>
      </c>
      <c r="B319" s="2">
        <v>4545</v>
      </c>
      <c r="C319" t="s">
        <v>3</v>
      </c>
      <c r="D319" t="s">
        <v>116</v>
      </c>
      <c r="E319" t="s">
        <v>2002</v>
      </c>
    </row>
    <row r="320" spans="1:5" x14ac:dyDescent="0.25">
      <c r="A320" t="s">
        <v>361</v>
      </c>
      <c r="B320" s="2">
        <v>45709.169889951241</v>
      </c>
      <c r="C320" t="s">
        <v>3</v>
      </c>
      <c r="D320" t="s">
        <v>55</v>
      </c>
      <c r="E320" t="s">
        <v>2001</v>
      </c>
    </row>
    <row r="321" spans="1:5" x14ac:dyDescent="0.25">
      <c r="A321" t="s">
        <v>362</v>
      </c>
      <c r="B321" s="2">
        <v>47000</v>
      </c>
      <c r="C321" t="s">
        <v>26</v>
      </c>
      <c r="D321" t="s">
        <v>8</v>
      </c>
      <c r="E321" t="s">
        <v>2001</v>
      </c>
    </row>
    <row r="322" spans="1:5" x14ac:dyDescent="0.25">
      <c r="A322" t="s">
        <v>363</v>
      </c>
      <c r="B322" s="2">
        <v>65000</v>
      </c>
      <c r="C322" t="s">
        <v>3</v>
      </c>
      <c r="D322" t="s">
        <v>8</v>
      </c>
      <c r="E322" t="s">
        <v>2002</v>
      </c>
    </row>
    <row r="323" spans="1:5" x14ac:dyDescent="0.25">
      <c r="A323" t="s">
        <v>364</v>
      </c>
      <c r="B323" s="2">
        <v>10809.503829551191</v>
      </c>
      <c r="C323" t="s">
        <v>37</v>
      </c>
      <c r="D323" t="s">
        <v>311</v>
      </c>
      <c r="E323" t="s">
        <v>2001</v>
      </c>
    </row>
    <row r="324" spans="1:5" x14ac:dyDescent="0.25">
      <c r="A324" t="s">
        <v>365</v>
      </c>
      <c r="B324" s="2">
        <v>92000</v>
      </c>
      <c r="C324" t="s">
        <v>16</v>
      </c>
      <c r="D324" t="s">
        <v>8</v>
      </c>
      <c r="E324" t="s">
        <v>2001</v>
      </c>
    </row>
    <row r="325" spans="1:5" x14ac:dyDescent="0.25">
      <c r="A325" t="s">
        <v>366</v>
      </c>
      <c r="B325" s="2">
        <v>22000</v>
      </c>
      <c r="C325" t="s">
        <v>16</v>
      </c>
      <c r="D325" t="s">
        <v>136</v>
      </c>
      <c r="E325" t="s">
        <v>2001</v>
      </c>
    </row>
    <row r="326" spans="1:5" x14ac:dyDescent="0.25">
      <c r="A326" t="s">
        <v>367</v>
      </c>
      <c r="B326" s="2">
        <v>108000</v>
      </c>
      <c r="C326" t="s">
        <v>16</v>
      </c>
      <c r="D326" t="s">
        <v>8</v>
      </c>
      <c r="E326" t="s">
        <v>2000</v>
      </c>
    </row>
    <row r="327" spans="1:5" x14ac:dyDescent="0.25">
      <c r="A327" t="s">
        <v>368</v>
      </c>
      <c r="B327" s="2">
        <v>61000</v>
      </c>
      <c r="C327" t="s">
        <v>3</v>
      </c>
      <c r="D327" t="s">
        <v>8</v>
      </c>
      <c r="E327" t="s">
        <v>1999</v>
      </c>
    </row>
    <row r="328" spans="1:5" x14ac:dyDescent="0.25">
      <c r="A328" t="s">
        <v>369</v>
      </c>
      <c r="B328" s="2">
        <v>63918.498996971248</v>
      </c>
      <c r="C328" t="s">
        <v>16</v>
      </c>
      <c r="D328" t="s">
        <v>68</v>
      </c>
      <c r="E328" t="s">
        <v>2000</v>
      </c>
    </row>
    <row r="329" spans="1:5" x14ac:dyDescent="0.25">
      <c r="A329" t="s">
        <v>370</v>
      </c>
      <c r="B329" s="2">
        <v>50000</v>
      </c>
      <c r="C329" t="s">
        <v>3</v>
      </c>
      <c r="D329" t="s">
        <v>8</v>
      </c>
      <c r="E329" t="s">
        <v>2002</v>
      </c>
    </row>
    <row r="330" spans="1:5" x14ac:dyDescent="0.25">
      <c r="A330" t="s">
        <v>371</v>
      </c>
      <c r="B330" s="2">
        <v>150000</v>
      </c>
      <c r="C330" t="s">
        <v>24</v>
      </c>
      <c r="D330" t="s">
        <v>8</v>
      </c>
      <c r="E330" t="s">
        <v>2002</v>
      </c>
    </row>
    <row r="331" spans="1:5" x14ac:dyDescent="0.25">
      <c r="A331" t="s">
        <v>372</v>
      </c>
      <c r="B331" s="2">
        <v>7123.1666749770275</v>
      </c>
      <c r="C331" t="s">
        <v>3</v>
      </c>
      <c r="D331" t="s">
        <v>4</v>
      </c>
      <c r="E331" t="s">
        <v>2001</v>
      </c>
    </row>
    <row r="332" spans="1:5" x14ac:dyDescent="0.25">
      <c r="A332" t="s">
        <v>373</v>
      </c>
      <c r="B332" s="2">
        <v>150000</v>
      </c>
      <c r="C332" t="s">
        <v>16</v>
      </c>
      <c r="D332" t="s">
        <v>374</v>
      </c>
      <c r="E332" t="s">
        <v>2001</v>
      </c>
    </row>
    <row r="333" spans="1:5" x14ac:dyDescent="0.25">
      <c r="A333" t="s">
        <v>375</v>
      </c>
      <c r="B333" s="2">
        <v>45000</v>
      </c>
      <c r="C333" t="s">
        <v>26</v>
      </c>
      <c r="D333" t="s">
        <v>8</v>
      </c>
      <c r="E333" t="s">
        <v>2001</v>
      </c>
    </row>
    <row r="334" spans="1:5" x14ac:dyDescent="0.25">
      <c r="A334" t="s">
        <v>376</v>
      </c>
      <c r="B334" s="2">
        <v>135000</v>
      </c>
      <c r="C334" t="s">
        <v>16</v>
      </c>
      <c r="D334" t="s">
        <v>8</v>
      </c>
      <c r="E334" t="s">
        <v>2002</v>
      </c>
    </row>
    <row r="335" spans="1:5" x14ac:dyDescent="0.25">
      <c r="A335" t="s">
        <v>377</v>
      </c>
      <c r="B335" s="2">
        <v>6410.8500074793246</v>
      </c>
      <c r="C335" t="s">
        <v>3</v>
      </c>
      <c r="D335" t="s">
        <v>4</v>
      </c>
      <c r="E335" t="s">
        <v>2000</v>
      </c>
    </row>
    <row r="336" spans="1:5" x14ac:dyDescent="0.25">
      <c r="A336" t="s">
        <v>378</v>
      </c>
      <c r="B336" s="2">
        <v>29000</v>
      </c>
      <c r="C336" t="s">
        <v>16</v>
      </c>
      <c r="D336" t="s">
        <v>8</v>
      </c>
      <c r="E336" t="s">
        <v>2001</v>
      </c>
    </row>
    <row r="337" spans="1:5" x14ac:dyDescent="0.25">
      <c r="A337" t="s">
        <v>379</v>
      </c>
      <c r="B337" s="2">
        <v>13000</v>
      </c>
      <c r="C337" t="s">
        <v>16</v>
      </c>
      <c r="D337" t="s">
        <v>4</v>
      </c>
      <c r="E337" t="s">
        <v>2002</v>
      </c>
    </row>
    <row r="338" spans="1:5" x14ac:dyDescent="0.25">
      <c r="A338" t="s">
        <v>380</v>
      </c>
      <c r="B338" s="2">
        <v>63000</v>
      </c>
      <c r="C338" t="s">
        <v>3</v>
      </c>
      <c r="D338" t="s">
        <v>8</v>
      </c>
      <c r="E338" t="s">
        <v>2002</v>
      </c>
    </row>
    <row r="339" spans="1:5" x14ac:dyDescent="0.25">
      <c r="A339" t="s">
        <v>381</v>
      </c>
      <c r="B339" s="2">
        <v>95000</v>
      </c>
      <c r="C339" t="s">
        <v>3</v>
      </c>
      <c r="D339" t="s">
        <v>8</v>
      </c>
      <c r="E339" t="s">
        <v>2001</v>
      </c>
    </row>
    <row r="340" spans="1:5" x14ac:dyDescent="0.25">
      <c r="A340" t="s">
        <v>382</v>
      </c>
      <c r="B340" s="2">
        <v>100000</v>
      </c>
      <c r="C340" t="s">
        <v>3</v>
      </c>
      <c r="D340" t="s">
        <v>55</v>
      </c>
      <c r="E340" t="s">
        <v>2001</v>
      </c>
    </row>
    <row r="341" spans="1:5" x14ac:dyDescent="0.25">
      <c r="A341" t="s">
        <v>383</v>
      </c>
      <c r="B341" s="2">
        <v>3800</v>
      </c>
      <c r="C341" t="s">
        <v>37</v>
      </c>
      <c r="D341" t="s">
        <v>4</v>
      </c>
      <c r="E341" t="s">
        <v>2001</v>
      </c>
    </row>
    <row r="342" spans="1:5" x14ac:dyDescent="0.25">
      <c r="A342" t="s">
        <v>384</v>
      </c>
      <c r="B342" s="2">
        <v>11400</v>
      </c>
      <c r="C342" t="s">
        <v>59</v>
      </c>
      <c r="D342" t="s">
        <v>116</v>
      </c>
      <c r="E342" t="s">
        <v>2001</v>
      </c>
    </row>
    <row r="343" spans="1:5" x14ac:dyDescent="0.25">
      <c r="A343" t="s">
        <v>385</v>
      </c>
      <c r="B343" s="2">
        <v>55068.245289698301</v>
      </c>
      <c r="C343" t="s">
        <v>3</v>
      </c>
      <c r="D343" t="s">
        <v>68</v>
      </c>
      <c r="E343" t="s">
        <v>2001</v>
      </c>
    </row>
    <row r="344" spans="1:5" x14ac:dyDescent="0.25">
      <c r="A344" t="s">
        <v>386</v>
      </c>
      <c r="B344" s="2">
        <v>53000</v>
      </c>
      <c r="C344" t="s">
        <v>16</v>
      </c>
      <c r="D344" t="s">
        <v>8</v>
      </c>
      <c r="E344" t="s">
        <v>2000</v>
      </c>
    </row>
    <row r="345" spans="1:5" x14ac:dyDescent="0.25">
      <c r="A345" t="s">
        <v>387</v>
      </c>
      <c r="B345" s="2">
        <v>130000</v>
      </c>
      <c r="C345" t="s">
        <v>12</v>
      </c>
      <c r="D345" t="s">
        <v>8</v>
      </c>
      <c r="E345" t="s">
        <v>2001</v>
      </c>
    </row>
    <row r="346" spans="1:5" x14ac:dyDescent="0.25">
      <c r="A346" t="s">
        <v>388</v>
      </c>
      <c r="B346" s="2">
        <v>6588.9291743537506</v>
      </c>
      <c r="C346" t="s">
        <v>3</v>
      </c>
      <c r="D346" t="s">
        <v>4</v>
      </c>
      <c r="E346" t="s">
        <v>2002</v>
      </c>
    </row>
    <row r="347" spans="1:5" x14ac:dyDescent="0.25">
      <c r="A347" t="s">
        <v>389</v>
      </c>
      <c r="B347" s="2">
        <v>157337.8436848523</v>
      </c>
      <c r="C347" t="s">
        <v>59</v>
      </c>
      <c r="D347" t="s">
        <v>68</v>
      </c>
      <c r="E347" t="s">
        <v>2000</v>
      </c>
    </row>
    <row r="348" spans="1:5" x14ac:dyDescent="0.25">
      <c r="A348" t="s">
        <v>390</v>
      </c>
      <c r="B348" s="2">
        <v>44200</v>
      </c>
      <c r="C348" t="s">
        <v>3</v>
      </c>
      <c r="D348" t="s">
        <v>8</v>
      </c>
      <c r="E348" t="s">
        <v>2002</v>
      </c>
    </row>
    <row r="349" spans="1:5" x14ac:dyDescent="0.25">
      <c r="A349" t="s">
        <v>391</v>
      </c>
      <c r="B349" s="2">
        <v>56000</v>
      </c>
      <c r="C349" t="s">
        <v>16</v>
      </c>
      <c r="D349" t="s">
        <v>8</v>
      </c>
      <c r="E349" t="s">
        <v>2000</v>
      </c>
    </row>
    <row r="350" spans="1:5" x14ac:dyDescent="0.25">
      <c r="A350" t="s">
        <v>392</v>
      </c>
      <c r="B350" s="2">
        <v>72500</v>
      </c>
      <c r="C350" t="s">
        <v>12</v>
      </c>
      <c r="D350" t="s">
        <v>8</v>
      </c>
      <c r="E350" t="s">
        <v>2000</v>
      </c>
    </row>
    <row r="351" spans="1:5" x14ac:dyDescent="0.25">
      <c r="A351" t="s">
        <v>393</v>
      </c>
      <c r="B351" s="2">
        <v>73752.11422727452</v>
      </c>
      <c r="C351" t="s">
        <v>3</v>
      </c>
      <c r="D351" t="s">
        <v>68</v>
      </c>
      <c r="E351" t="s">
        <v>2001</v>
      </c>
    </row>
    <row r="352" spans="1:5" x14ac:dyDescent="0.25">
      <c r="A352" t="s">
        <v>394</v>
      </c>
      <c r="B352" s="2">
        <v>170000</v>
      </c>
      <c r="C352" t="s">
        <v>3</v>
      </c>
      <c r="D352" t="s">
        <v>55</v>
      </c>
      <c r="E352" t="s">
        <v>2003</v>
      </c>
    </row>
    <row r="353" spans="1:5" x14ac:dyDescent="0.25">
      <c r="A353" t="s">
        <v>395</v>
      </c>
      <c r="B353" s="2">
        <v>68000</v>
      </c>
      <c r="C353" t="s">
        <v>16</v>
      </c>
      <c r="D353" t="s">
        <v>8</v>
      </c>
      <c r="E353" t="s">
        <v>2000</v>
      </c>
    </row>
    <row r="354" spans="1:5" x14ac:dyDescent="0.25">
      <c r="A354" t="s">
        <v>396</v>
      </c>
      <c r="B354" s="2">
        <v>75000</v>
      </c>
      <c r="C354" t="s">
        <v>3</v>
      </c>
      <c r="D354" t="s">
        <v>8</v>
      </c>
      <c r="E354" t="s">
        <v>2002</v>
      </c>
    </row>
    <row r="355" spans="1:5" x14ac:dyDescent="0.25">
      <c r="A355" t="s">
        <v>397</v>
      </c>
      <c r="B355" s="2">
        <v>62500</v>
      </c>
      <c r="C355" t="s">
        <v>21</v>
      </c>
      <c r="D355" t="s">
        <v>8</v>
      </c>
      <c r="E355" t="s">
        <v>2002</v>
      </c>
    </row>
    <row r="356" spans="1:5" x14ac:dyDescent="0.25">
      <c r="A356" t="s">
        <v>398</v>
      </c>
      <c r="B356" s="2">
        <v>25000</v>
      </c>
      <c r="C356" t="s">
        <v>16</v>
      </c>
      <c r="D356" t="s">
        <v>4</v>
      </c>
      <c r="E356" t="s">
        <v>2001</v>
      </c>
    </row>
    <row r="357" spans="1:5" x14ac:dyDescent="0.25">
      <c r="A357" t="s">
        <v>399</v>
      </c>
      <c r="B357" s="2">
        <v>68954.520184280962</v>
      </c>
      <c r="C357" t="s">
        <v>59</v>
      </c>
      <c r="D357" t="s">
        <v>400</v>
      </c>
      <c r="E357" t="s">
        <v>1999</v>
      </c>
    </row>
    <row r="358" spans="1:5" x14ac:dyDescent="0.25">
      <c r="A358" t="s">
        <v>401</v>
      </c>
      <c r="B358" s="2">
        <v>85000</v>
      </c>
      <c r="C358" t="s">
        <v>3</v>
      </c>
      <c r="D358" t="s">
        <v>8</v>
      </c>
      <c r="E358" t="s">
        <v>2001</v>
      </c>
    </row>
    <row r="359" spans="1:5" x14ac:dyDescent="0.25">
      <c r="A359" t="s">
        <v>402</v>
      </c>
      <c r="B359" s="2">
        <v>67775.665698893223</v>
      </c>
      <c r="C359" t="s">
        <v>16</v>
      </c>
      <c r="D359" t="s">
        <v>55</v>
      </c>
      <c r="E359" t="s">
        <v>2001</v>
      </c>
    </row>
    <row r="360" spans="1:5" x14ac:dyDescent="0.25">
      <c r="A360" t="s">
        <v>403</v>
      </c>
      <c r="B360" s="2">
        <v>89000</v>
      </c>
      <c r="C360" t="s">
        <v>16</v>
      </c>
      <c r="D360" t="s">
        <v>8</v>
      </c>
      <c r="E360" t="s">
        <v>2001</v>
      </c>
    </row>
    <row r="361" spans="1:5" x14ac:dyDescent="0.25">
      <c r="A361" t="s">
        <v>404</v>
      </c>
      <c r="B361" s="2">
        <v>35000</v>
      </c>
      <c r="C361" t="s">
        <v>3</v>
      </c>
      <c r="D361" t="s">
        <v>116</v>
      </c>
      <c r="E361" t="s">
        <v>2002</v>
      </c>
    </row>
    <row r="362" spans="1:5" x14ac:dyDescent="0.25">
      <c r="A362" t="s">
        <v>405</v>
      </c>
      <c r="B362" s="2">
        <v>47500</v>
      </c>
      <c r="C362" t="s">
        <v>16</v>
      </c>
      <c r="D362" t="s">
        <v>8</v>
      </c>
      <c r="E362" t="s">
        <v>2002</v>
      </c>
    </row>
    <row r="363" spans="1:5" x14ac:dyDescent="0.25">
      <c r="A363" t="s">
        <v>406</v>
      </c>
      <c r="B363" s="2">
        <v>130000</v>
      </c>
      <c r="C363" t="s">
        <v>16</v>
      </c>
      <c r="D363" t="s">
        <v>8</v>
      </c>
      <c r="E363" t="s">
        <v>2000</v>
      </c>
    </row>
    <row r="364" spans="1:5" x14ac:dyDescent="0.25">
      <c r="A364" t="s">
        <v>407</v>
      </c>
      <c r="B364" s="2">
        <v>18000</v>
      </c>
      <c r="C364" t="s">
        <v>21</v>
      </c>
      <c r="D364" t="s">
        <v>4</v>
      </c>
      <c r="E364" t="s">
        <v>2000</v>
      </c>
    </row>
    <row r="365" spans="1:5" x14ac:dyDescent="0.25">
      <c r="A365" t="s">
        <v>408</v>
      </c>
      <c r="B365" s="2">
        <v>8547.8000099724322</v>
      </c>
      <c r="C365" t="s">
        <v>16</v>
      </c>
      <c r="D365" t="s">
        <v>4</v>
      </c>
      <c r="E365" t="s">
        <v>1999</v>
      </c>
    </row>
    <row r="366" spans="1:5" x14ac:dyDescent="0.25">
      <c r="A366" t="s">
        <v>409</v>
      </c>
      <c r="B366" s="2">
        <v>41932</v>
      </c>
      <c r="C366" t="s">
        <v>16</v>
      </c>
      <c r="D366" t="s">
        <v>8</v>
      </c>
      <c r="E366" t="s">
        <v>2000</v>
      </c>
    </row>
    <row r="367" spans="1:5" x14ac:dyDescent="0.25">
      <c r="A367" t="s">
        <v>410</v>
      </c>
      <c r="B367" s="2">
        <v>220700</v>
      </c>
      <c r="C367" t="s">
        <v>59</v>
      </c>
      <c r="D367" t="s">
        <v>116</v>
      </c>
      <c r="E367" t="s">
        <v>2002</v>
      </c>
    </row>
    <row r="368" spans="1:5" x14ac:dyDescent="0.25">
      <c r="A368" t="s">
        <v>411</v>
      </c>
      <c r="B368" s="2">
        <v>194000</v>
      </c>
      <c r="C368" t="s">
        <v>21</v>
      </c>
      <c r="D368" t="s">
        <v>8</v>
      </c>
      <c r="E368" t="s">
        <v>2000</v>
      </c>
    </row>
    <row r="369" spans="1:5" x14ac:dyDescent="0.25">
      <c r="A369" t="s">
        <v>412</v>
      </c>
      <c r="B369" s="2">
        <v>160271.25018698312</v>
      </c>
      <c r="C369" t="s">
        <v>3</v>
      </c>
      <c r="D369" t="s">
        <v>4</v>
      </c>
      <c r="E369" t="s">
        <v>2001</v>
      </c>
    </row>
    <row r="370" spans="1:5" x14ac:dyDescent="0.25">
      <c r="A370" t="s">
        <v>413</v>
      </c>
      <c r="B370" s="2">
        <v>8903.9583437212841</v>
      </c>
      <c r="C370" t="s">
        <v>16</v>
      </c>
      <c r="D370" t="s">
        <v>4</v>
      </c>
      <c r="E370" t="s">
        <v>2000</v>
      </c>
    </row>
    <row r="371" spans="1:5" x14ac:dyDescent="0.25">
      <c r="A371" t="s">
        <v>414</v>
      </c>
      <c r="B371" s="2">
        <v>78668.921842426149</v>
      </c>
      <c r="C371" t="s">
        <v>3</v>
      </c>
      <c r="D371" t="s">
        <v>68</v>
      </c>
      <c r="E371" t="s">
        <v>2001</v>
      </c>
    </row>
    <row r="372" spans="1:5" x14ac:dyDescent="0.25">
      <c r="A372" t="s">
        <v>415</v>
      </c>
      <c r="B372" s="2">
        <v>22867.189901848938</v>
      </c>
      <c r="C372" t="s">
        <v>16</v>
      </c>
      <c r="D372" t="s">
        <v>22</v>
      </c>
      <c r="E372" t="s">
        <v>2000</v>
      </c>
    </row>
    <row r="373" spans="1:5" x14ac:dyDescent="0.25">
      <c r="A373" t="s">
        <v>416</v>
      </c>
      <c r="B373" s="2">
        <v>94570.696324037053</v>
      </c>
      <c r="C373" t="s">
        <v>21</v>
      </c>
      <c r="D373" t="s">
        <v>55</v>
      </c>
      <c r="E373" t="s">
        <v>2000</v>
      </c>
    </row>
    <row r="374" spans="1:5" x14ac:dyDescent="0.25">
      <c r="A374" t="s">
        <v>417</v>
      </c>
      <c r="B374" s="2">
        <v>95000</v>
      </c>
      <c r="C374" t="s">
        <v>3</v>
      </c>
      <c r="D374" t="s">
        <v>8</v>
      </c>
      <c r="E374" t="s">
        <v>2002</v>
      </c>
    </row>
    <row r="375" spans="1:5" x14ac:dyDescent="0.25">
      <c r="A375" t="s">
        <v>418</v>
      </c>
      <c r="B375" s="2">
        <v>9616.275011218986</v>
      </c>
      <c r="C375" t="s">
        <v>12</v>
      </c>
      <c r="D375" t="s">
        <v>4</v>
      </c>
      <c r="E375" t="s">
        <v>2001</v>
      </c>
    </row>
    <row r="376" spans="1:5" x14ac:dyDescent="0.25">
      <c r="A376" t="s">
        <v>419</v>
      </c>
      <c r="B376" s="2">
        <v>48000</v>
      </c>
      <c r="C376" t="s">
        <v>3</v>
      </c>
      <c r="D376" t="s">
        <v>8</v>
      </c>
      <c r="E376" t="s">
        <v>1999</v>
      </c>
    </row>
    <row r="377" spans="1:5" x14ac:dyDescent="0.25">
      <c r="A377" t="s">
        <v>420</v>
      </c>
      <c r="B377" s="2">
        <v>46000</v>
      </c>
      <c r="C377" t="s">
        <v>3</v>
      </c>
      <c r="D377" t="s">
        <v>8</v>
      </c>
      <c r="E377" t="s">
        <v>2001</v>
      </c>
    </row>
    <row r="378" spans="1:5" x14ac:dyDescent="0.25">
      <c r="A378" t="s">
        <v>421</v>
      </c>
      <c r="B378" s="2">
        <v>15000</v>
      </c>
      <c r="C378" t="s">
        <v>37</v>
      </c>
      <c r="D378" t="s">
        <v>19</v>
      </c>
      <c r="E378" t="s">
        <v>2000</v>
      </c>
    </row>
    <row r="379" spans="1:5" x14ac:dyDescent="0.25">
      <c r="A379" t="s">
        <v>422</v>
      </c>
      <c r="B379" s="2">
        <v>11040.908346214392</v>
      </c>
      <c r="C379" t="s">
        <v>16</v>
      </c>
      <c r="D379" t="s">
        <v>4</v>
      </c>
      <c r="E379" t="s">
        <v>1999</v>
      </c>
    </row>
    <row r="380" spans="1:5" x14ac:dyDescent="0.25">
      <c r="A380" t="s">
        <v>423</v>
      </c>
      <c r="B380" s="2">
        <v>44132.991617883956</v>
      </c>
      <c r="C380" t="s">
        <v>16</v>
      </c>
      <c r="D380" t="s">
        <v>55</v>
      </c>
      <c r="E380" t="s">
        <v>2000</v>
      </c>
    </row>
    <row r="381" spans="1:5" x14ac:dyDescent="0.25">
      <c r="A381" t="s">
        <v>424</v>
      </c>
      <c r="B381" s="2">
        <v>47000</v>
      </c>
      <c r="C381" t="s">
        <v>16</v>
      </c>
      <c r="D381" t="s">
        <v>8</v>
      </c>
      <c r="E381" t="s">
        <v>2000</v>
      </c>
    </row>
    <row r="382" spans="1:5" x14ac:dyDescent="0.25">
      <c r="A382" t="s">
        <v>425</v>
      </c>
      <c r="B382" s="2">
        <v>44000</v>
      </c>
      <c r="C382" t="s">
        <v>3</v>
      </c>
      <c r="D382" t="s">
        <v>8</v>
      </c>
      <c r="E382" t="s">
        <v>2000</v>
      </c>
    </row>
    <row r="383" spans="1:5" x14ac:dyDescent="0.25">
      <c r="A383" t="s">
        <v>426</v>
      </c>
      <c r="B383" s="2">
        <v>55000</v>
      </c>
      <c r="C383" t="s">
        <v>24</v>
      </c>
      <c r="D383" t="s">
        <v>8</v>
      </c>
      <c r="E383" t="s">
        <v>2001</v>
      </c>
    </row>
    <row r="384" spans="1:5" x14ac:dyDescent="0.25">
      <c r="A384" t="s">
        <v>427</v>
      </c>
      <c r="B384" s="2">
        <v>12000</v>
      </c>
      <c r="C384" t="s">
        <v>37</v>
      </c>
      <c r="D384" t="s">
        <v>38</v>
      </c>
      <c r="E384" t="s">
        <v>2001</v>
      </c>
    </row>
    <row r="385" spans="1:5" x14ac:dyDescent="0.25">
      <c r="A385" t="s">
        <v>428</v>
      </c>
      <c r="B385" s="2">
        <v>50000</v>
      </c>
      <c r="C385" t="s">
        <v>16</v>
      </c>
      <c r="D385" t="s">
        <v>8</v>
      </c>
      <c r="E385" t="s">
        <v>2000</v>
      </c>
    </row>
    <row r="386" spans="1:5" x14ac:dyDescent="0.25">
      <c r="A386" t="s">
        <v>429</v>
      </c>
      <c r="B386" s="2">
        <v>13355.937515581925</v>
      </c>
      <c r="C386" t="s">
        <v>3</v>
      </c>
      <c r="D386" t="s">
        <v>4</v>
      </c>
      <c r="E386" t="s">
        <v>1999</v>
      </c>
    </row>
    <row r="387" spans="1:5" x14ac:dyDescent="0.25">
      <c r="A387" t="s">
        <v>430</v>
      </c>
      <c r="B387" s="2">
        <v>99147</v>
      </c>
      <c r="C387" t="s">
        <v>26</v>
      </c>
      <c r="D387" t="s">
        <v>52</v>
      </c>
      <c r="E387" t="s">
        <v>2001</v>
      </c>
    </row>
    <row r="388" spans="1:5" x14ac:dyDescent="0.25">
      <c r="A388" t="s">
        <v>431</v>
      </c>
      <c r="B388" s="2">
        <v>45880</v>
      </c>
      <c r="C388" t="s">
        <v>16</v>
      </c>
      <c r="D388" t="s">
        <v>8</v>
      </c>
      <c r="E388" t="s">
        <v>2002</v>
      </c>
    </row>
    <row r="389" spans="1:5" x14ac:dyDescent="0.25">
      <c r="A389" t="s">
        <v>432</v>
      </c>
      <c r="B389" s="2">
        <v>70000</v>
      </c>
      <c r="C389" t="s">
        <v>16</v>
      </c>
      <c r="D389" t="s">
        <v>8</v>
      </c>
      <c r="E389" t="s">
        <v>2001</v>
      </c>
    </row>
    <row r="390" spans="1:5" x14ac:dyDescent="0.25">
      <c r="A390" t="s">
        <v>433</v>
      </c>
      <c r="B390" s="2">
        <v>100000</v>
      </c>
      <c r="C390" t="s">
        <v>3</v>
      </c>
      <c r="D390" t="s">
        <v>8</v>
      </c>
      <c r="E390" t="s">
        <v>2002</v>
      </c>
    </row>
    <row r="391" spans="1:5" x14ac:dyDescent="0.25">
      <c r="A391" t="s">
        <v>434</v>
      </c>
      <c r="B391" s="2">
        <v>17598.017290051986</v>
      </c>
      <c r="C391" t="s">
        <v>3</v>
      </c>
      <c r="D391" t="s">
        <v>435</v>
      </c>
      <c r="E391" t="s">
        <v>2000</v>
      </c>
    </row>
    <row r="392" spans="1:5" x14ac:dyDescent="0.25">
      <c r="A392" t="s">
        <v>436</v>
      </c>
      <c r="B392" s="2">
        <v>85000</v>
      </c>
      <c r="C392" t="s">
        <v>12</v>
      </c>
      <c r="D392" t="s">
        <v>8</v>
      </c>
      <c r="E392" t="s">
        <v>2000</v>
      </c>
    </row>
    <row r="393" spans="1:5" x14ac:dyDescent="0.25">
      <c r="A393" t="s">
        <v>437</v>
      </c>
      <c r="B393" s="2">
        <v>47000</v>
      </c>
      <c r="C393" t="s">
        <v>16</v>
      </c>
      <c r="D393" t="s">
        <v>8</v>
      </c>
      <c r="E393" t="s">
        <v>2001</v>
      </c>
    </row>
    <row r="394" spans="1:5" x14ac:dyDescent="0.25">
      <c r="A394" t="s">
        <v>438</v>
      </c>
      <c r="B394" s="2">
        <v>40000</v>
      </c>
      <c r="C394" t="s">
        <v>16</v>
      </c>
      <c r="D394" t="s">
        <v>8</v>
      </c>
      <c r="E394" t="s">
        <v>2000</v>
      </c>
    </row>
    <row r="395" spans="1:5" x14ac:dyDescent="0.25">
      <c r="A395" t="s">
        <v>439</v>
      </c>
      <c r="B395" s="2">
        <v>30000</v>
      </c>
      <c r="C395" t="s">
        <v>21</v>
      </c>
      <c r="D395" t="s">
        <v>4</v>
      </c>
      <c r="E395" t="s">
        <v>2000</v>
      </c>
    </row>
    <row r="396" spans="1:5" x14ac:dyDescent="0.25">
      <c r="A396" t="s">
        <v>440</v>
      </c>
      <c r="B396" s="2">
        <v>70802.029658183528</v>
      </c>
      <c r="C396" t="s">
        <v>6</v>
      </c>
      <c r="D396" t="s">
        <v>68</v>
      </c>
      <c r="E396" t="s">
        <v>2001</v>
      </c>
    </row>
    <row r="397" spans="1:5" x14ac:dyDescent="0.25">
      <c r="A397" t="s">
        <v>441</v>
      </c>
      <c r="B397" s="2">
        <v>34000</v>
      </c>
      <c r="C397" t="s">
        <v>3</v>
      </c>
      <c r="D397" t="s">
        <v>8</v>
      </c>
      <c r="E397" t="s">
        <v>2001</v>
      </c>
    </row>
    <row r="398" spans="1:5" x14ac:dyDescent="0.25">
      <c r="A398" t="s">
        <v>442</v>
      </c>
      <c r="B398" s="2">
        <v>52000</v>
      </c>
      <c r="C398" t="s">
        <v>3</v>
      </c>
      <c r="D398" t="s">
        <v>8</v>
      </c>
      <c r="E398" t="s">
        <v>2001</v>
      </c>
    </row>
    <row r="399" spans="1:5" x14ac:dyDescent="0.25">
      <c r="A399" t="s">
        <v>443</v>
      </c>
      <c r="B399" s="2">
        <v>5342.3750062327708</v>
      </c>
      <c r="C399" t="s">
        <v>12</v>
      </c>
      <c r="D399" t="s">
        <v>4</v>
      </c>
      <c r="E399" t="s">
        <v>1999</v>
      </c>
    </row>
    <row r="400" spans="1:5" x14ac:dyDescent="0.25">
      <c r="A400" t="s">
        <v>444</v>
      </c>
      <c r="B400" s="2">
        <v>7123.1666749770275</v>
      </c>
      <c r="C400" t="s">
        <v>3</v>
      </c>
      <c r="D400" t="s">
        <v>4</v>
      </c>
      <c r="E400" t="s">
        <v>2001</v>
      </c>
    </row>
    <row r="401" spans="1:5" x14ac:dyDescent="0.25">
      <c r="A401" t="s">
        <v>445</v>
      </c>
      <c r="B401" s="2">
        <v>63586</v>
      </c>
      <c r="C401" t="s">
        <v>16</v>
      </c>
      <c r="D401" t="s">
        <v>147</v>
      </c>
      <c r="E401" t="s">
        <v>2000</v>
      </c>
    </row>
    <row r="402" spans="1:5" x14ac:dyDescent="0.25">
      <c r="A402" t="s">
        <v>446</v>
      </c>
      <c r="B402" s="2">
        <v>55166.239522354947</v>
      </c>
      <c r="C402" t="s">
        <v>24</v>
      </c>
      <c r="D402" t="s">
        <v>55</v>
      </c>
      <c r="E402" t="s">
        <v>2001</v>
      </c>
    </row>
    <row r="403" spans="1:5" x14ac:dyDescent="0.25">
      <c r="A403" t="s">
        <v>447</v>
      </c>
      <c r="B403" s="2">
        <v>60000</v>
      </c>
      <c r="C403" t="s">
        <v>3</v>
      </c>
      <c r="D403" t="s">
        <v>8</v>
      </c>
      <c r="E403" t="s">
        <v>2001</v>
      </c>
    </row>
    <row r="404" spans="1:5" x14ac:dyDescent="0.25">
      <c r="A404" t="s">
        <v>448</v>
      </c>
      <c r="B404" s="2">
        <v>19200</v>
      </c>
      <c r="C404" t="s">
        <v>16</v>
      </c>
      <c r="D404" t="s">
        <v>449</v>
      </c>
      <c r="E404" t="s">
        <v>2002</v>
      </c>
    </row>
    <row r="405" spans="1:5" x14ac:dyDescent="0.25">
      <c r="A405" t="s">
        <v>450</v>
      </c>
      <c r="B405" s="2">
        <v>28109.627547434993</v>
      </c>
      <c r="C405" t="s">
        <v>3</v>
      </c>
      <c r="D405" t="s">
        <v>451</v>
      </c>
      <c r="E405" t="s">
        <v>2002</v>
      </c>
    </row>
    <row r="406" spans="1:5" x14ac:dyDescent="0.25">
      <c r="A406" t="s">
        <v>452</v>
      </c>
      <c r="B406" s="2">
        <v>56000</v>
      </c>
      <c r="C406" t="s">
        <v>3</v>
      </c>
      <c r="D406" t="s">
        <v>8</v>
      </c>
      <c r="E406" t="s">
        <v>2001</v>
      </c>
    </row>
    <row r="407" spans="1:5" x14ac:dyDescent="0.25">
      <c r="A407" t="s">
        <v>453</v>
      </c>
      <c r="B407" s="2">
        <v>52000</v>
      </c>
      <c r="C407" t="s">
        <v>24</v>
      </c>
      <c r="D407" t="s">
        <v>8</v>
      </c>
      <c r="E407" t="s">
        <v>2001</v>
      </c>
    </row>
    <row r="408" spans="1:5" x14ac:dyDescent="0.25">
      <c r="A408" t="s">
        <v>454</v>
      </c>
      <c r="B408" s="2">
        <v>51613</v>
      </c>
      <c r="C408" t="s">
        <v>3</v>
      </c>
      <c r="D408" t="s">
        <v>8</v>
      </c>
      <c r="E408" t="s">
        <v>2002</v>
      </c>
    </row>
    <row r="409" spans="1:5" x14ac:dyDescent="0.25">
      <c r="A409" t="s">
        <v>455</v>
      </c>
      <c r="B409" s="2">
        <v>35000</v>
      </c>
      <c r="C409" t="s">
        <v>3</v>
      </c>
      <c r="D409" t="s">
        <v>52</v>
      </c>
      <c r="E409" t="s">
        <v>2001</v>
      </c>
    </row>
    <row r="410" spans="1:5" x14ac:dyDescent="0.25">
      <c r="A410" t="s">
        <v>456</v>
      </c>
      <c r="B410" s="2">
        <v>56000</v>
      </c>
      <c r="C410" t="s">
        <v>16</v>
      </c>
      <c r="D410" t="s">
        <v>8</v>
      </c>
      <c r="E410" t="s">
        <v>2002</v>
      </c>
    </row>
    <row r="411" spans="1:5" x14ac:dyDescent="0.25">
      <c r="A411" t="s">
        <v>457</v>
      </c>
      <c r="B411" s="2">
        <v>115000</v>
      </c>
      <c r="C411" t="s">
        <v>59</v>
      </c>
      <c r="D411" t="s">
        <v>8</v>
      </c>
      <c r="E411" t="s">
        <v>2000</v>
      </c>
    </row>
    <row r="412" spans="1:5" x14ac:dyDescent="0.25">
      <c r="A412" t="s">
        <v>458</v>
      </c>
      <c r="B412" s="2">
        <v>104027.76595644075</v>
      </c>
      <c r="C412" t="s">
        <v>16</v>
      </c>
      <c r="D412" t="s">
        <v>55</v>
      </c>
      <c r="E412" t="s">
        <v>1999</v>
      </c>
    </row>
    <row r="413" spans="1:5" x14ac:dyDescent="0.25">
      <c r="A413" t="s">
        <v>459</v>
      </c>
      <c r="B413" s="2">
        <v>3561.5833374885137</v>
      </c>
      <c r="C413" t="s">
        <v>59</v>
      </c>
      <c r="D413" t="s">
        <v>4</v>
      </c>
      <c r="E413" t="s">
        <v>1999</v>
      </c>
    </row>
    <row r="414" spans="1:5" x14ac:dyDescent="0.25">
      <c r="A414" t="s">
        <v>460</v>
      </c>
      <c r="B414" s="2">
        <v>72000</v>
      </c>
      <c r="C414" t="s">
        <v>21</v>
      </c>
      <c r="D414" t="s">
        <v>8</v>
      </c>
      <c r="E414" t="s">
        <v>2001</v>
      </c>
    </row>
    <row r="415" spans="1:5" x14ac:dyDescent="0.25">
      <c r="A415" t="s">
        <v>461</v>
      </c>
      <c r="B415" s="2">
        <v>90000</v>
      </c>
      <c r="C415" t="s">
        <v>3</v>
      </c>
      <c r="D415" t="s">
        <v>8</v>
      </c>
      <c r="E415" t="s">
        <v>2002</v>
      </c>
    </row>
    <row r="416" spans="1:5" x14ac:dyDescent="0.25">
      <c r="A416" t="s">
        <v>462</v>
      </c>
      <c r="B416" s="2">
        <v>8500</v>
      </c>
      <c r="C416" t="s">
        <v>24</v>
      </c>
      <c r="D416" t="s">
        <v>449</v>
      </c>
      <c r="E416" t="s">
        <v>2000</v>
      </c>
    </row>
    <row r="417" spans="1:5" x14ac:dyDescent="0.25">
      <c r="A417" t="s">
        <v>463</v>
      </c>
      <c r="B417" s="2">
        <v>12000</v>
      </c>
      <c r="C417" t="s">
        <v>3</v>
      </c>
      <c r="D417" t="s">
        <v>997</v>
      </c>
      <c r="E417" t="s">
        <v>2000</v>
      </c>
    </row>
    <row r="418" spans="1:5" x14ac:dyDescent="0.25">
      <c r="A418" t="s">
        <v>464</v>
      </c>
      <c r="B418" s="2">
        <v>250000</v>
      </c>
      <c r="C418" t="s">
        <v>59</v>
      </c>
      <c r="D418" t="s">
        <v>8</v>
      </c>
      <c r="E418" t="s">
        <v>2002</v>
      </c>
    </row>
    <row r="419" spans="1:5" x14ac:dyDescent="0.25">
      <c r="A419" t="s">
        <v>465</v>
      </c>
      <c r="B419" s="2">
        <v>89944.280280605832</v>
      </c>
      <c r="C419" t="s">
        <v>3</v>
      </c>
      <c r="D419" t="s">
        <v>466</v>
      </c>
      <c r="E419" t="s">
        <v>2002</v>
      </c>
    </row>
    <row r="420" spans="1:5" x14ac:dyDescent="0.25">
      <c r="A420" t="s">
        <v>467</v>
      </c>
      <c r="B420" s="2">
        <v>4273.9000049862161</v>
      </c>
      <c r="C420" t="s">
        <v>16</v>
      </c>
      <c r="D420" t="s">
        <v>4</v>
      </c>
      <c r="E420" t="s">
        <v>2002</v>
      </c>
    </row>
    <row r="421" spans="1:5" x14ac:dyDescent="0.25">
      <c r="A421" t="s">
        <v>468</v>
      </c>
      <c r="B421" s="2">
        <v>30000</v>
      </c>
      <c r="C421" t="s">
        <v>16</v>
      </c>
      <c r="D421" t="s">
        <v>8</v>
      </c>
      <c r="E421" t="s">
        <v>2000</v>
      </c>
    </row>
    <row r="422" spans="1:5" x14ac:dyDescent="0.25">
      <c r="A422" t="s">
        <v>469</v>
      </c>
      <c r="B422" s="2">
        <v>30000</v>
      </c>
      <c r="C422" t="s">
        <v>37</v>
      </c>
      <c r="D422" t="s">
        <v>449</v>
      </c>
      <c r="E422" t="s">
        <v>1999</v>
      </c>
    </row>
    <row r="423" spans="1:5" x14ac:dyDescent="0.25">
      <c r="A423" t="s">
        <v>470</v>
      </c>
      <c r="B423" s="2">
        <v>24000</v>
      </c>
      <c r="C423" t="s">
        <v>12</v>
      </c>
      <c r="D423" t="s">
        <v>8</v>
      </c>
      <c r="E423" t="s">
        <v>1999</v>
      </c>
    </row>
    <row r="424" spans="1:5" x14ac:dyDescent="0.25">
      <c r="A424" t="s">
        <v>471</v>
      </c>
      <c r="B424" s="2">
        <v>60000</v>
      </c>
      <c r="C424" t="s">
        <v>16</v>
      </c>
      <c r="D424" t="s">
        <v>8</v>
      </c>
      <c r="E424" t="s">
        <v>2001</v>
      </c>
    </row>
    <row r="425" spans="1:5" x14ac:dyDescent="0.25">
      <c r="A425" t="s">
        <v>472</v>
      </c>
      <c r="B425" s="2">
        <v>76600</v>
      </c>
      <c r="C425" t="s">
        <v>3</v>
      </c>
      <c r="D425" t="s">
        <v>8</v>
      </c>
      <c r="E425" t="s">
        <v>2000</v>
      </c>
    </row>
    <row r="426" spans="1:5" x14ac:dyDescent="0.25">
      <c r="A426" t="s">
        <v>473</v>
      </c>
      <c r="B426" s="2">
        <v>102451.58768437347</v>
      </c>
      <c r="C426" t="s">
        <v>6</v>
      </c>
      <c r="D426" t="s">
        <v>55</v>
      </c>
      <c r="E426" t="s">
        <v>2000</v>
      </c>
    </row>
    <row r="427" spans="1:5" x14ac:dyDescent="0.25">
      <c r="A427" t="s">
        <v>474</v>
      </c>
      <c r="B427" s="2">
        <v>6629</v>
      </c>
      <c r="C427" t="s">
        <v>12</v>
      </c>
      <c r="D427" t="s">
        <v>475</v>
      </c>
      <c r="E427" t="s">
        <v>2002</v>
      </c>
    </row>
    <row r="428" spans="1:5" x14ac:dyDescent="0.25">
      <c r="A428" t="s">
        <v>476</v>
      </c>
      <c r="B428" s="2">
        <v>90000</v>
      </c>
      <c r="C428" t="s">
        <v>3</v>
      </c>
      <c r="D428" t="s">
        <v>8</v>
      </c>
      <c r="E428" t="s">
        <v>1999</v>
      </c>
    </row>
    <row r="429" spans="1:5" x14ac:dyDescent="0.25">
      <c r="A429" t="s">
        <v>477</v>
      </c>
      <c r="B429" s="2">
        <v>8500</v>
      </c>
      <c r="C429" t="s">
        <v>3</v>
      </c>
      <c r="D429" t="s">
        <v>152</v>
      </c>
      <c r="E429" t="s">
        <v>1999</v>
      </c>
    </row>
    <row r="430" spans="1:5" x14ac:dyDescent="0.25">
      <c r="A430" t="s">
        <v>478</v>
      </c>
      <c r="B430" s="2">
        <v>75000</v>
      </c>
      <c r="C430" t="s">
        <v>3</v>
      </c>
      <c r="D430" t="s">
        <v>8</v>
      </c>
      <c r="E430" t="s">
        <v>2001</v>
      </c>
    </row>
    <row r="431" spans="1:5" x14ac:dyDescent="0.25">
      <c r="A431" t="s">
        <v>479</v>
      </c>
      <c r="B431" s="2">
        <v>72000</v>
      </c>
      <c r="C431" t="s">
        <v>3</v>
      </c>
      <c r="D431" t="s">
        <v>8</v>
      </c>
      <c r="E431" t="s">
        <v>2000</v>
      </c>
    </row>
    <row r="432" spans="1:5" x14ac:dyDescent="0.25">
      <c r="A432" t="s">
        <v>480</v>
      </c>
      <c r="B432" s="2">
        <v>65000</v>
      </c>
      <c r="C432" t="s">
        <v>3</v>
      </c>
      <c r="D432" t="s">
        <v>8</v>
      </c>
      <c r="E432" t="s">
        <v>2001</v>
      </c>
    </row>
    <row r="433" spans="1:5" x14ac:dyDescent="0.25">
      <c r="A433" t="s">
        <v>481</v>
      </c>
      <c r="B433" s="2">
        <v>120000</v>
      </c>
      <c r="C433" t="s">
        <v>21</v>
      </c>
      <c r="D433" t="s">
        <v>8</v>
      </c>
      <c r="E433" t="s">
        <v>1999</v>
      </c>
    </row>
    <row r="434" spans="1:5" x14ac:dyDescent="0.25">
      <c r="A434" t="s">
        <v>482</v>
      </c>
      <c r="B434" s="2">
        <v>71231.666749770273</v>
      </c>
      <c r="C434" t="s">
        <v>24</v>
      </c>
      <c r="D434" t="s">
        <v>4</v>
      </c>
      <c r="E434" t="s">
        <v>2002</v>
      </c>
    </row>
    <row r="435" spans="1:5" x14ac:dyDescent="0.25">
      <c r="A435" t="s">
        <v>483</v>
      </c>
      <c r="B435" s="2">
        <v>5342.3750062327708</v>
      </c>
      <c r="C435" t="s">
        <v>16</v>
      </c>
      <c r="D435" t="s">
        <v>4</v>
      </c>
      <c r="E435" t="s">
        <v>2001</v>
      </c>
    </row>
    <row r="436" spans="1:5" x14ac:dyDescent="0.25">
      <c r="A436" t="s">
        <v>484</v>
      </c>
      <c r="B436" s="2">
        <v>19588.708356186824</v>
      </c>
      <c r="C436" t="s">
        <v>16</v>
      </c>
      <c r="D436" t="s">
        <v>4</v>
      </c>
      <c r="E436" t="s">
        <v>2001</v>
      </c>
    </row>
    <row r="437" spans="1:5" x14ac:dyDescent="0.25">
      <c r="A437" t="s">
        <v>485</v>
      </c>
      <c r="B437" s="2">
        <v>80000</v>
      </c>
      <c r="C437" t="s">
        <v>3</v>
      </c>
      <c r="D437" t="s">
        <v>8</v>
      </c>
      <c r="E437" t="s">
        <v>2001</v>
      </c>
    </row>
    <row r="438" spans="1:5" x14ac:dyDescent="0.25">
      <c r="A438" t="s">
        <v>486</v>
      </c>
      <c r="B438" s="2">
        <v>53423.750062327701</v>
      </c>
      <c r="C438" t="s">
        <v>16</v>
      </c>
      <c r="D438" t="s">
        <v>4</v>
      </c>
      <c r="E438" t="s">
        <v>2001</v>
      </c>
    </row>
    <row r="439" spans="1:5" x14ac:dyDescent="0.25">
      <c r="A439" t="s">
        <v>487</v>
      </c>
      <c r="B439" s="2">
        <v>108169.76753333595</v>
      </c>
      <c r="C439" t="s">
        <v>6</v>
      </c>
      <c r="D439" t="s">
        <v>68</v>
      </c>
      <c r="E439" t="s">
        <v>2000</v>
      </c>
    </row>
    <row r="440" spans="1:5" x14ac:dyDescent="0.25">
      <c r="A440" t="s">
        <v>488</v>
      </c>
      <c r="B440" s="2">
        <v>51000</v>
      </c>
      <c r="C440" t="s">
        <v>16</v>
      </c>
      <c r="D440" t="s">
        <v>8</v>
      </c>
      <c r="E440" t="s">
        <v>2000</v>
      </c>
    </row>
    <row r="441" spans="1:5" x14ac:dyDescent="0.25">
      <c r="A441" t="s">
        <v>489</v>
      </c>
      <c r="B441" s="2">
        <v>5000</v>
      </c>
      <c r="C441" t="s">
        <v>37</v>
      </c>
      <c r="D441" t="s">
        <v>4</v>
      </c>
      <c r="E441" t="s">
        <v>2001</v>
      </c>
    </row>
    <row r="442" spans="1:5" x14ac:dyDescent="0.25">
      <c r="A442" t="s">
        <v>490</v>
      </c>
      <c r="B442" s="2">
        <v>74000</v>
      </c>
      <c r="C442" t="s">
        <v>12</v>
      </c>
      <c r="D442" t="s">
        <v>8</v>
      </c>
      <c r="E442" t="s">
        <v>2001</v>
      </c>
    </row>
    <row r="443" spans="1:5" x14ac:dyDescent="0.25">
      <c r="A443" t="s">
        <v>491</v>
      </c>
      <c r="B443" s="2">
        <v>94570.696324037053</v>
      </c>
      <c r="C443" t="s">
        <v>59</v>
      </c>
      <c r="D443" t="s">
        <v>55</v>
      </c>
      <c r="E443" t="s">
        <v>2001</v>
      </c>
    </row>
    <row r="444" spans="1:5" x14ac:dyDescent="0.25">
      <c r="A444" t="s">
        <v>492</v>
      </c>
      <c r="B444" s="2">
        <v>50000</v>
      </c>
      <c r="C444" t="s">
        <v>3</v>
      </c>
      <c r="D444" t="s">
        <v>8</v>
      </c>
      <c r="E444" t="s">
        <v>2001</v>
      </c>
    </row>
    <row r="445" spans="1:5" x14ac:dyDescent="0.25">
      <c r="A445" t="s">
        <v>493</v>
      </c>
      <c r="B445" s="2">
        <v>8903.9583437212841</v>
      </c>
      <c r="C445" t="s">
        <v>3</v>
      </c>
      <c r="D445" t="s">
        <v>4</v>
      </c>
      <c r="E445" t="s">
        <v>2001</v>
      </c>
    </row>
    <row r="446" spans="1:5" x14ac:dyDescent="0.25">
      <c r="A446" t="s">
        <v>494</v>
      </c>
      <c r="B446" s="2">
        <v>78000</v>
      </c>
      <c r="C446" t="s">
        <v>16</v>
      </c>
      <c r="D446" t="s">
        <v>495</v>
      </c>
      <c r="E446" t="s">
        <v>2001</v>
      </c>
    </row>
    <row r="447" spans="1:5" x14ac:dyDescent="0.25">
      <c r="A447" t="s">
        <v>496</v>
      </c>
      <c r="B447" s="2">
        <v>16027.125018698311</v>
      </c>
      <c r="C447" t="s">
        <v>16</v>
      </c>
      <c r="D447" t="s">
        <v>4</v>
      </c>
      <c r="E447" t="s">
        <v>1999</v>
      </c>
    </row>
    <row r="448" spans="1:5" x14ac:dyDescent="0.25">
      <c r="A448" t="s">
        <v>497</v>
      </c>
      <c r="B448" s="2">
        <v>7500</v>
      </c>
      <c r="C448" t="s">
        <v>3</v>
      </c>
      <c r="D448" t="s">
        <v>449</v>
      </c>
      <c r="E448" t="s">
        <v>2002</v>
      </c>
    </row>
    <row r="449" spans="1:5" x14ac:dyDescent="0.25">
      <c r="A449" t="s">
        <v>498</v>
      </c>
      <c r="B449" s="2">
        <v>60000</v>
      </c>
      <c r="C449" t="s">
        <v>3</v>
      </c>
      <c r="D449" t="s">
        <v>8</v>
      </c>
      <c r="E449" t="s">
        <v>2002</v>
      </c>
    </row>
    <row r="450" spans="1:5" x14ac:dyDescent="0.25">
      <c r="A450" t="s">
        <v>499</v>
      </c>
      <c r="B450" s="2">
        <v>14246.333349954055</v>
      </c>
      <c r="C450" t="s">
        <v>21</v>
      </c>
      <c r="D450" t="s">
        <v>4</v>
      </c>
      <c r="E450" t="s">
        <v>2002</v>
      </c>
    </row>
    <row r="451" spans="1:5" x14ac:dyDescent="0.25">
      <c r="A451" t="s">
        <v>500</v>
      </c>
      <c r="B451" s="2">
        <v>80000</v>
      </c>
      <c r="C451" t="s">
        <v>16</v>
      </c>
      <c r="D451" t="s">
        <v>8</v>
      </c>
      <c r="E451" t="s">
        <v>1999</v>
      </c>
    </row>
    <row r="452" spans="1:5" x14ac:dyDescent="0.25">
      <c r="A452" t="s">
        <v>501</v>
      </c>
      <c r="B452" s="2">
        <v>59894.774338556796</v>
      </c>
      <c r="C452" t="s">
        <v>24</v>
      </c>
      <c r="D452" t="s">
        <v>55</v>
      </c>
      <c r="E452" t="s">
        <v>2001</v>
      </c>
    </row>
    <row r="453" spans="1:5" x14ac:dyDescent="0.25">
      <c r="A453" t="s">
        <v>502</v>
      </c>
      <c r="B453" s="2">
        <v>51134.799197576998</v>
      </c>
      <c r="C453" t="s">
        <v>16</v>
      </c>
      <c r="D453" t="s">
        <v>68</v>
      </c>
      <c r="E453" t="s">
        <v>2001</v>
      </c>
    </row>
    <row r="454" spans="1:5" x14ac:dyDescent="0.25">
      <c r="A454" t="s">
        <v>503</v>
      </c>
      <c r="B454" s="2">
        <v>125000</v>
      </c>
      <c r="C454" t="s">
        <v>16</v>
      </c>
      <c r="D454" t="s">
        <v>8</v>
      </c>
      <c r="E454" t="s">
        <v>2000</v>
      </c>
    </row>
    <row r="455" spans="1:5" x14ac:dyDescent="0.25">
      <c r="A455" t="s">
        <v>504</v>
      </c>
      <c r="B455" s="2">
        <v>52000</v>
      </c>
      <c r="C455" t="s">
        <v>3</v>
      </c>
      <c r="D455" t="s">
        <v>8</v>
      </c>
      <c r="E455" t="s">
        <v>2000</v>
      </c>
    </row>
    <row r="456" spans="1:5" x14ac:dyDescent="0.25">
      <c r="A456" t="s">
        <v>505</v>
      </c>
      <c r="B456" s="2">
        <v>45000</v>
      </c>
      <c r="C456" t="s">
        <v>3</v>
      </c>
      <c r="D456" t="s">
        <v>8</v>
      </c>
      <c r="E456" t="s">
        <v>2001</v>
      </c>
    </row>
    <row r="457" spans="1:5" x14ac:dyDescent="0.25">
      <c r="A457" t="s">
        <v>506</v>
      </c>
      <c r="B457" s="2">
        <v>39404.456801682099</v>
      </c>
      <c r="C457" t="s">
        <v>3</v>
      </c>
      <c r="D457" t="s">
        <v>55</v>
      </c>
      <c r="E457" t="s">
        <v>2001</v>
      </c>
    </row>
    <row r="458" spans="1:5" x14ac:dyDescent="0.25">
      <c r="A458" t="s">
        <v>507</v>
      </c>
      <c r="B458" s="2">
        <v>60000</v>
      </c>
      <c r="C458" t="s">
        <v>16</v>
      </c>
      <c r="D458" t="s">
        <v>8</v>
      </c>
      <c r="E458" t="s">
        <v>2002</v>
      </c>
    </row>
    <row r="459" spans="1:5" x14ac:dyDescent="0.25">
      <c r="A459" t="s">
        <v>508</v>
      </c>
      <c r="B459" s="2">
        <v>68835.306612122877</v>
      </c>
      <c r="C459" t="s">
        <v>16</v>
      </c>
      <c r="D459" t="s">
        <v>68</v>
      </c>
      <c r="E459" t="s">
        <v>1999</v>
      </c>
    </row>
    <row r="460" spans="1:5" x14ac:dyDescent="0.25">
      <c r="A460" t="s">
        <v>509</v>
      </c>
      <c r="B460" s="2">
        <v>5250</v>
      </c>
      <c r="C460" t="s">
        <v>26</v>
      </c>
      <c r="D460" t="s">
        <v>2007</v>
      </c>
      <c r="E460" t="s">
        <v>2001</v>
      </c>
    </row>
    <row r="461" spans="1:5" x14ac:dyDescent="0.25">
      <c r="A461" t="s">
        <v>510</v>
      </c>
      <c r="B461" s="2">
        <v>85552.452503638444</v>
      </c>
      <c r="C461" t="s">
        <v>16</v>
      </c>
      <c r="D461" t="s">
        <v>68</v>
      </c>
      <c r="E461" t="s">
        <v>2001</v>
      </c>
    </row>
    <row r="462" spans="1:5" x14ac:dyDescent="0.25">
      <c r="A462" t="s">
        <v>511</v>
      </c>
      <c r="B462" s="2">
        <v>2225.989585930321</v>
      </c>
      <c r="C462" t="s">
        <v>3</v>
      </c>
      <c r="D462" t="s">
        <v>4</v>
      </c>
      <c r="E462" t="s">
        <v>2001</v>
      </c>
    </row>
    <row r="463" spans="1:5" x14ac:dyDescent="0.25">
      <c r="A463" t="s">
        <v>512</v>
      </c>
      <c r="B463" s="2">
        <v>150000</v>
      </c>
      <c r="C463" t="s">
        <v>21</v>
      </c>
      <c r="D463" t="s">
        <v>8</v>
      </c>
      <c r="E463" t="s">
        <v>2000</v>
      </c>
    </row>
    <row r="464" spans="1:5" x14ac:dyDescent="0.25">
      <c r="A464" t="s">
        <v>513</v>
      </c>
      <c r="B464" s="2">
        <v>50000</v>
      </c>
      <c r="C464" t="s">
        <v>3</v>
      </c>
      <c r="D464" t="s">
        <v>8</v>
      </c>
      <c r="E464" t="s">
        <v>2001</v>
      </c>
    </row>
    <row r="465" spans="1:5" x14ac:dyDescent="0.25">
      <c r="A465" t="s">
        <v>514</v>
      </c>
      <c r="B465" s="2">
        <v>70000</v>
      </c>
      <c r="C465" t="s">
        <v>3</v>
      </c>
      <c r="D465" t="s">
        <v>8</v>
      </c>
      <c r="E465" t="s">
        <v>2001</v>
      </c>
    </row>
    <row r="466" spans="1:5" x14ac:dyDescent="0.25">
      <c r="A466" t="s">
        <v>515</v>
      </c>
      <c r="B466" s="2">
        <v>44921.080753917595</v>
      </c>
      <c r="C466" t="s">
        <v>16</v>
      </c>
      <c r="D466" t="s">
        <v>55</v>
      </c>
      <c r="E466" t="s">
        <v>2000</v>
      </c>
    </row>
    <row r="467" spans="1:5" x14ac:dyDescent="0.25">
      <c r="A467" t="s">
        <v>516</v>
      </c>
      <c r="B467" s="2">
        <v>20000</v>
      </c>
      <c r="C467" t="s">
        <v>26</v>
      </c>
      <c r="D467" t="s">
        <v>4</v>
      </c>
      <c r="E467" t="s">
        <v>2001</v>
      </c>
    </row>
    <row r="468" spans="1:5" x14ac:dyDescent="0.25">
      <c r="A468" t="s">
        <v>517</v>
      </c>
      <c r="B468" s="2">
        <v>12000</v>
      </c>
      <c r="C468" t="s">
        <v>3</v>
      </c>
      <c r="D468" t="s">
        <v>518</v>
      </c>
      <c r="E468" t="s">
        <v>2002</v>
      </c>
    </row>
    <row r="469" spans="1:5" x14ac:dyDescent="0.25">
      <c r="A469" t="s">
        <v>519</v>
      </c>
      <c r="B469" s="2">
        <v>1229201.9037879086</v>
      </c>
      <c r="C469" t="s">
        <v>24</v>
      </c>
      <c r="D469" t="s">
        <v>68</v>
      </c>
      <c r="E469" t="s">
        <v>2001</v>
      </c>
    </row>
    <row r="470" spans="1:5" x14ac:dyDescent="0.25">
      <c r="A470" t="s">
        <v>520</v>
      </c>
      <c r="B470" s="2">
        <v>30000</v>
      </c>
      <c r="C470" t="s">
        <v>3</v>
      </c>
      <c r="D470" t="s">
        <v>8</v>
      </c>
      <c r="E470" t="s">
        <v>2003</v>
      </c>
    </row>
    <row r="471" spans="1:5" x14ac:dyDescent="0.25">
      <c r="A471" t="s">
        <v>521</v>
      </c>
      <c r="B471" s="2">
        <v>24000</v>
      </c>
      <c r="C471" t="s">
        <v>12</v>
      </c>
      <c r="D471" t="s">
        <v>2005</v>
      </c>
      <c r="E471" t="s">
        <v>2000</v>
      </c>
    </row>
    <row r="472" spans="1:5" x14ac:dyDescent="0.25">
      <c r="A472" t="s">
        <v>522</v>
      </c>
      <c r="B472" s="2">
        <v>92000</v>
      </c>
      <c r="C472" t="s">
        <v>12</v>
      </c>
      <c r="D472" t="s">
        <v>8</v>
      </c>
      <c r="E472" t="s">
        <v>1999</v>
      </c>
    </row>
    <row r="473" spans="1:5" x14ac:dyDescent="0.25">
      <c r="A473" t="s">
        <v>523</v>
      </c>
      <c r="B473" s="2">
        <v>52000</v>
      </c>
      <c r="C473" t="s">
        <v>3</v>
      </c>
      <c r="D473" t="s">
        <v>8</v>
      </c>
      <c r="E473" t="s">
        <v>2001</v>
      </c>
    </row>
    <row r="474" spans="1:5" x14ac:dyDescent="0.25">
      <c r="A474" t="s">
        <v>524</v>
      </c>
      <c r="B474" s="2">
        <v>169000</v>
      </c>
      <c r="C474" t="s">
        <v>21</v>
      </c>
      <c r="D474" t="s">
        <v>8</v>
      </c>
      <c r="E474" t="s">
        <v>2000</v>
      </c>
    </row>
    <row r="475" spans="1:5" x14ac:dyDescent="0.25">
      <c r="A475" t="s">
        <v>525</v>
      </c>
      <c r="B475" s="2">
        <v>110000</v>
      </c>
      <c r="C475" t="s">
        <v>24</v>
      </c>
      <c r="D475" t="s">
        <v>526</v>
      </c>
      <c r="E475" t="s">
        <v>2000</v>
      </c>
    </row>
    <row r="476" spans="1:5" x14ac:dyDescent="0.25">
      <c r="A476" t="s">
        <v>527</v>
      </c>
      <c r="B476" s="2">
        <v>131675.52225194403</v>
      </c>
      <c r="C476" t="s">
        <v>16</v>
      </c>
      <c r="D476" t="s">
        <v>38</v>
      </c>
      <c r="E476" t="s">
        <v>2000</v>
      </c>
    </row>
    <row r="477" spans="1:5" x14ac:dyDescent="0.25">
      <c r="A477" t="s">
        <v>528</v>
      </c>
      <c r="B477" s="2">
        <v>92994.518051969761</v>
      </c>
      <c r="C477" t="s">
        <v>59</v>
      </c>
      <c r="D477" t="s">
        <v>55</v>
      </c>
      <c r="E477" t="s">
        <v>2000</v>
      </c>
    </row>
    <row r="478" spans="1:5" x14ac:dyDescent="0.25">
      <c r="A478" t="s">
        <v>529</v>
      </c>
      <c r="B478" s="2">
        <v>50000</v>
      </c>
      <c r="C478" t="s">
        <v>3</v>
      </c>
      <c r="D478" t="s">
        <v>8</v>
      </c>
      <c r="E478" t="s">
        <v>2001</v>
      </c>
    </row>
    <row r="479" spans="1:5" x14ac:dyDescent="0.25">
      <c r="A479" t="s">
        <v>530</v>
      </c>
      <c r="B479" s="2">
        <v>65000</v>
      </c>
      <c r="C479" t="s">
        <v>3</v>
      </c>
      <c r="D479" t="s">
        <v>8</v>
      </c>
      <c r="E479" t="s">
        <v>2000</v>
      </c>
    </row>
    <row r="480" spans="1:5" x14ac:dyDescent="0.25">
      <c r="A480" t="s">
        <v>531</v>
      </c>
      <c r="B480" s="2">
        <v>45234.630059395036</v>
      </c>
      <c r="C480" t="s">
        <v>3</v>
      </c>
      <c r="D480" t="s">
        <v>68</v>
      </c>
      <c r="E480" t="s">
        <v>2002</v>
      </c>
    </row>
    <row r="481" spans="1:5" x14ac:dyDescent="0.25">
      <c r="A481" t="s">
        <v>532</v>
      </c>
      <c r="B481" s="2">
        <v>55000</v>
      </c>
      <c r="C481" t="s">
        <v>3</v>
      </c>
      <c r="D481" t="s">
        <v>8</v>
      </c>
      <c r="E481" t="s">
        <v>2000</v>
      </c>
    </row>
    <row r="482" spans="1:5" x14ac:dyDescent="0.25">
      <c r="A482" t="s">
        <v>533</v>
      </c>
      <c r="B482" s="2">
        <v>20000</v>
      </c>
      <c r="C482" t="s">
        <v>59</v>
      </c>
      <c r="D482" t="s">
        <v>4</v>
      </c>
      <c r="E482" t="s">
        <v>2000</v>
      </c>
    </row>
    <row r="483" spans="1:5" x14ac:dyDescent="0.25">
      <c r="A483" t="s">
        <v>534</v>
      </c>
      <c r="B483" s="2">
        <v>6000</v>
      </c>
      <c r="C483" t="s">
        <v>37</v>
      </c>
      <c r="D483" t="s">
        <v>4</v>
      </c>
      <c r="E483" t="s">
        <v>2002</v>
      </c>
    </row>
    <row r="484" spans="1:5" x14ac:dyDescent="0.25">
      <c r="A484" t="s">
        <v>535</v>
      </c>
      <c r="B484" s="2">
        <v>299473.87169278396</v>
      </c>
      <c r="C484" t="s">
        <v>21</v>
      </c>
      <c r="D484" t="s">
        <v>55</v>
      </c>
      <c r="E484" t="s">
        <v>2001</v>
      </c>
    </row>
    <row r="485" spans="1:5" x14ac:dyDescent="0.25">
      <c r="A485" t="s">
        <v>536</v>
      </c>
      <c r="B485" s="2">
        <v>44391.484854502989</v>
      </c>
      <c r="C485" t="s">
        <v>16</v>
      </c>
      <c r="D485" t="s">
        <v>55</v>
      </c>
      <c r="E485" t="s">
        <v>2001</v>
      </c>
    </row>
    <row r="486" spans="1:5" x14ac:dyDescent="0.25">
      <c r="A486" t="s">
        <v>537</v>
      </c>
      <c r="B486" s="2">
        <v>40000</v>
      </c>
      <c r="C486" t="s">
        <v>3</v>
      </c>
      <c r="D486" t="s">
        <v>8</v>
      </c>
      <c r="E486" t="s">
        <v>2000</v>
      </c>
    </row>
    <row r="487" spans="1:5" x14ac:dyDescent="0.25">
      <c r="A487" t="s">
        <v>538</v>
      </c>
      <c r="B487" s="2">
        <v>108000</v>
      </c>
      <c r="C487" t="s">
        <v>16</v>
      </c>
      <c r="D487" t="s">
        <v>526</v>
      </c>
      <c r="E487" t="s">
        <v>2001</v>
      </c>
    </row>
    <row r="488" spans="1:5" x14ac:dyDescent="0.25">
      <c r="A488" t="s">
        <v>539</v>
      </c>
      <c r="B488" s="2">
        <v>3561.5833374885137</v>
      </c>
      <c r="C488" t="s">
        <v>3</v>
      </c>
      <c r="D488" t="s">
        <v>4</v>
      </c>
      <c r="E488" t="s">
        <v>2000</v>
      </c>
    </row>
    <row r="489" spans="1:5" x14ac:dyDescent="0.25">
      <c r="A489" t="s">
        <v>540</v>
      </c>
      <c r="B489" s="2">
        <v>84000</v>
      </c>
      <c r="C489" t="s">
        <v>3</v>
      </c>
      <c r="D489" t="s">
        <v>8</v>
      </c>
      <c r="E489" t="s">
        <v>2002</v>
      </c>
    </row>
    <row r="490" spans="1:5" x14ac:dyDescent="0.25">
      <c r="A490" t="s">
        <v>541</v>
      </c>
      <c r="B490" s="2">
        <v>52013.882978220376</v>
      </c>
      <c r="C490" t="s">
        <v>16</v>
      </c>
      <c r="D490" t="s">
        <v>55</v>
      </c>
      <c r="E490" t="s">
        <v>2001</v>
      </c>
    </row>
    <row r="491" spans="1:5" x14ac:dyDescent="0.25">
      <c r="A491" t="s">
        <v>542</v>
      </c>
      <c r="B491" s="2">
        <v>12821.700014958649</v>
      </c>
      <c r="C491" t="s">
        <v>16</v>
      </c>
      <c r="D491" t="s">
        <v>4</v>
      </c>
      <c r="E491" t="s">
        <v>2000</v>
      </c>
    </row>
    <row r="492" spans="1:5" x14ac:dyDescent="0.25">
      <c r="A492" t="s">
        <v>543</v>
      </c>
      <c r="B492" s="2">
        <v>67360.264327577388</v>
      </c>
      <c r="C492" t="s">
        <v>3</v>
      </c>
      <c r="D492" t="s">
        <v>68</v>
      </c>
      <c r="E492" t="s">
        <v>2001</v>
      </c>
    </row>
    <row r="493" spans="1:5" x14ac:dyDescent="0.25">
      <c r="A493" t="s">
        <v>544</v>
      </c>
      <c r="B493" s="2">
        <v>23000</v>
      </c>
      <c r="C493" t="s">
        <v>16</v>
      </c>
      <c r="D493" t="s">
        <v>29</v>
      </c>
      <c r="E493" t="s">
        <v>2001</v>
      </c>
    </row>
    <row r="494" spans="1:5" x14ac:dyDescent="0.25">
      <c r="A494" t="s">
        <v>545</v>
      </c>
      <c r="B494" s="2">
        <v>91418.339779902482</v>
      </c>
      <c r="C494" t="s">
        <v>16</v>
      </c>
      <c r="D494" t="s">
        <v>55</v>
      </c>
      <c r="E494" t="s">
        <v>2002</v>
      </c>
    </row>
    <row r="495" spans="1:5" x14ac:dyDescent="0.25">
      <c r="A495" t="s">
        <v>546</v>
      </c>
      <c r="B495" s="2">
        <v>77000</v>
      </c>
      <c r="C495" t="s">
        <v>3</v>
      </c>
      <c r="D495" t="s">
        <v>8</v>
      </c>
      <c r="E495" t="s">
        <v>2002</v>
      </c>
    </row>
    <row r="496" spans="1:5" x14ac:dyDescent="0.25">
      <c r="A496" t="s">
        <v>547</v>
      </c>
      <c r="B496" s="2">
        <v>100000</v>
      </c>
      <c r="C496" t="s">
        <v>3</v>
      </c>
      <c r="D496" t="s">
        <v>8</v>
      </c>
      <c r="E496" t="s">
        <v>2001</v>
      </c>
    </row>
    <row r="497" spans="1:5" x14ac:dyDescent="0.25">
      <c r="A497" t="s">
        <v>548</v>
      </c>
      <c r="B497" s="2">
        <v>55500</v>
      </c>
      <c r="C497" t="s">
        <v>6</v>
      </c>
      <c r="D497" t="s">
        <v>147</v>
      </c>
      <c r="E497" t="s">
        <v>2001</v>
      </c>
    </row>
    <row r="498" spans="1:5" x14ac:dyDescent="0.25">
      <c r="A498" t="s">
        <v>549</v>
      </c>
      <c r="B498" s="2">
        <v>19055.991584874118</v>
      </c>
      <c r="C498" t="s">
        <v>3</v>
      </c>
      <c r="D498" t="s">
        <v>550</v>
      </c>
      <c r="E498" t="s">
        <v>2002</v>
      </c>
    </row>
    <row r="499" spans="1:5" x14ac:dyDescent="0.25">
      <c r="A499" t="s">
        <v>551</v>
      </c>
      <c r="B499" s="2">
        <v>10684.750012465542</v>
      </c>
      <c r="C499" t="s">
        <v>16</v>
      </c>
      <c r="D499" t="s">
        <v>4</v>
      </c>
      <c r="E499" t="s">
        <v>2001</v>
      </c>
    </row>
    <row r="500" spans="1:5" x14ac:dyDescent="0.25">
      <c r="A500" t="s">
        <v>552</v>
      </c>
      <c r="B500" s="2">
        <v>8400</v>
      </c>
      <c r="C500" t="s">
        <v>16</v>
      </c>
      <c r="D500" t="s">
        <v>4</v>
      </c>
      <c r="E500" t="s">
        <v>2001</v>
      </c>
    </row>
    <row r="501" spans="1:5" x14ac:dyDescent="0.25">
      <c r="A501" t="s">
        <v>553</v>
      </c>
      <c r="B501" s="2">
        <v>8903.9583437212841</v>
      </c>
      <c r="C501" t="s">
        <v>16</v>
      </c>
      <c r="D501" t="s">
        <v>4</v>
      </c>
      <c r="E501" t="s">
        <v>2000</v>
      </c>
    </row>
    <row r="502" spans="1:5" x14ac:dyDescent="0.25">
      <c r="A502" t="s">
        <v>554</v>
      </c>
      <c r="B502" s="2">
        <v>12000</v>
      </c>
      <c r="C502" t="s">
        <v>3</v>
      </c>
      <c r="D502" t="s">
        <v>116</v>
      </c>
      <c r="E502" t="s">
        <v>2002</v>
      </c>
    </row>
    <row r="503" spans="1:5" x14ac:dyDescent="0.25">
      <c r="A503" t="s">
        <v>555</v>
      </c>
      <c r="B503" s="2">
        <v>65000</v>
      </c>
      <c r="C503" t="s">
        <v>16</v>
      </c>
      <c r="D503" t="s">
        <v>8</v>
      </c>
      <c r="E503" t="s">
        <v>2002</v>
      </c>
    </row>
    <row r="504" spans="1:5" x14ac:dyDescent="0.25">
      <c r="A504" t="s">
        <v>556</v>
      </c>
      <c r="B504" s="2">
        <v>25849.323661903458</v>
      </c>
      <c r="C504" t="s">
        <v>3</v>
      </c>
      <c r="D504" t="s">
        <v>55</v>
      </c>
      <c r="E504" t="s">
        <v>2001</v>
      </c>
    </row>
    <row r="505" spans="1:5" x14ac:dyDescent="0.25">
      <c r="A505" t="s">
        <v>557</v>
      </c>
      <c r="B505" s="2">
        <v>122941.90522124816</v>
      </c>
      <c r="C505" t="s">
        <v>3</v>
      </c>
      <c r="D505" t="s">
        <v>55</v>
      </c>
      <c r="E505" t="s">
        <v>1999</v>
      </c>
    </row>
    <row r="506" spans="1:5" x14ac:dyDescent="0.25">
      <c r="A506" t="s">
        <v>558</v>
      </c>
      <c r="B506" s="2">
        <v>76000</v>
      </c>
      <c r="C506" t="s">
        <v>16</v>
      </c>
      <c r="D506" t="s">
        <v>8</v>
      </c>
      <c r="E506" t="s">
        <v>2000</v>
      </c>
    </row>
    <row r="507" spans="1:5" x14ac:dyDescent="0.25">
      <c r="A507" t="s">
        <v>559</v>
      </c>
      <c r="B507" s="2">
        <v>150000</v>
      </c>
      <c r="C507" t="s">
        <v>59</v>
      </c>
      <c r="D507" t="s">
        <v>8</v>
      </c>
      <c r="E507" t="s">
        <v>2002</v>
      </c>
    </row>
    <row r="508" spans="1:5" x14ac:dyDescent="0.25">
      <c r="A508" t="s">
        <v>560</v>
      </c>
      <c r="B508" s="2">
        <v>54000</v>
      </c>
      <c r="C508" t="s">
        <v>3</v>
      </c>
      <c r="D508" t="s">
        <v>8</v>
      </c>
      <c r="E508" t="s">
        <v>2001</v>
      </c>
    </row>
    <row r="509" spans="1:5" x14ac:dyDescent="0.25">
      <c r="A509" t="s">
        <v>561</v>
      </c>
      <c r="B509" s="2">
        <v>57000</v>
      </c>
      <c r="C509" t="s">
        <v>16</v>
      </c>
      <c r="D509" t="s">
        <v>374</v>
      </c>
      <c r="E509" t="s">
        <v>2001</v>
      </c>
    </row>
    <row r="510" spans="1:5" x14ac:dyDescent="0.25">
      <c r="A510" t="s">
        <v>562</v>
      </c>
      <c r="B510" s="2">
        <v>61000</v>
      </c>
      <c r="C510" t="s">
        <v>24</v>
      </c>
      <c r="D510" t="s">
        <v>8</v>
      </c>
      <c r="E510" t="s">
        <v>2001</v>
      </c>
    </row>
    <row r="511" spans="1:5" x14ac:dyDescent="0.25">
      <c r="A511" t="s">
        <v>563</v>
      </c>
      <c r="B511" s="2">
        <v>70000</v>
      </c>
      <c r="C511" t="s">
        <v>3</v>
      </c>
      <c r="D511" t="s">
        <v>8</v>
      </c>
      <c r="E511" t="s">
        <v>2002</v>
      </c>
    </row>
    <row r="512" spans="1:5" x14ac:dyDescent="0.25">
      <c r="A512" t="s">
        <v>564</v>
      </c>
      <c r="B512" s="2">
        <v>15000</v>
      </c>
      <c r="C512" t="s">
        <v>16</v>
      </c>
      <c r="D512" t="s">
        <v>4</v>
      </c>
      <c r="E512" t="s">
        <v>2001</v>
      </c>
    </row>
    <row r="513" spans="1:5" x14ac:dyDescent="0.25">
      <c r="A513" t="s">
        <v>565</v>
      </c>
      <c r="B513" s="2">
        <v>86093.301341305123</v>
      </c>
      <c r="C513" t="s">
        <v>16</v>
      </c>
      <c r="D513" t="s">
        <v>68</v>
      </c>
      <c r="E513" t="s">
        <v>2001</v>
      </c>
    </row>
    <row r="514" spans="1:5" x14ac:dyDescent="0.25">
      <c r="A514" t="s">
        <v>566</v>
      </c>
      <c r="B514" s="2">
        <v>72600</v>
      </c>
      <c r="C514" t="s">
        <v>16</v>
      </c>
      <c r="D514" t="s">
        <v>8</v>
      </c>
      <c r="E514" t="s">
        <v>2000</v>
      </c>
    </row>
    <row r="515" spans="1:5" x14ac:dyDescent="0.25">
      <c r="A515" t="s">
        <v>567</v>
      </c>
      <c r="B515" s="2">
        <v>100000</v>
      </c>
      <c r="C515" t="s">
        <v>21</v>
      </c>
      <c r="D515" t="s">
        <v>8</v>
      </c>
      <c r="E515" t="s">
        <v>2000</v>
      </c>
    </row>
    <row r="516" spans="1:5" x14ac:dyDescent="0.25">
      <c r="A516" t="s">
        <v>568</v>
      </c>
      <c r="B516" s="2">
        <v>104000</v>
      </c>
      <c r="C516" t="s">
        <v>3</v>
      </c>
      <c r="D516" t="s">
        <v>8</v>
      </c>
      <c r="E516" t="s">
        <v>2001</v>
      </c>
    </row>
    <row r="517" spans="1:5" x14ac:dyDescent="0.25">
      <c r="A517" t="s">
        <v>569</v>
      </c>
      <c r="B517" s="2">
        <v>10684.750012465542</v>
      </c>
      <c r="C517" t="s">
        <v>16</v>
      </c>
      <c r="D517" t="s">
        <v>4</v>
      </c>
      <c r="E517" t="s">
        <v>2001</v>
      </c>
    </row>
    <row r="518" spans="1:5" x14ac:dyDescent="0.25">
      <c r="A518" t="s">
        <v>570</v>
      </c>
      <c r="B518" s="2">
        <v>200000</v>
      </c>
      <c r="C518" t="s">
        <v>21</v>
      </c>
      <c r="D518" t="s">
        <v>8</v>
      </c>
      <c r="E518" t="s">
        <v>2000</v>
      </c>
    </row>
    <row r="519" spans="1:5" x14ac:dyDescent="0.25">
      <c r="A519" t="s">
        <v>571</v>
      </c>
      <c r="B519" s="2">
        <v>62564.631571458704</v>
      </c>
      <c r="C519" t="s">
        <v>24</v>
      </c>
      <c r="D519" t="s">
        <v>572</v>
      </c>
      <c r="E519" t="s">
        <v>2002</v>
      </c>
    </row>
    <row r="520" spans="1:5" x14ac:dyDescent="0.25">
      <c r="A520" t="s">
        <v>573</v>
      </c>
      <c r="B520" s="2">
        <v>57530.506930455871</v>
      </c>
      <c r="C520" t="s">
        <v>16</v>
      </c>
      <c r="D520" t="s">
        <v>55</v>
      </c>
      <c r="E520" t="s">
        <v>2000</v>
      </c>
    </row>
    <row r="521" spans="1:5" x14ac:dyDescent="0.25">
      <c r="A521" t="s">
        <v>574</v>
      </c>
      <c r="B521" s="2">
        <v>82300</v>
      </c>
      <c r="C521" t="s">
        <v>16</v>
      </c>
      <c r="D521" t="s">
        <v>8</v>
      </c>
      <c r="E521" t="s">
        <v>2000</v>
      </c>
    </row>
    <row r="522" spans="1:5" x14ac:dyDescent="0.25">
      <c r="A522" t="s">
        <v>575</v>
      </c>
      <c r="B522" s="2">
        <v>95000</v>
      </c>
      <c r="C522" t="s">
        <v>59</v>
      </c>
      <c r="D522" t="s">
        <v>8</v>
      </c>
      <c r="E522" t="s">
        <v>2001</v>
      </c>
    </row>
    <row r="523" spans="1:5" x14ac:dyDescent="0.25">
      <c r="A523" t="s">
        <v>576</v>
      </c>
      <c r="B523" s="2">
        <v>220664.95808941979</v>
      </c>
      <c r="C523" t="s">
        <v>26</v>
      </c>
      <c r="D523" t="s">
        <v>55</v>
      </c>
      <c r="E523" t="s">
        <v>2002</v>
      </c>
    </row>
    <row r="524" spans="1:5" x14ac:dyDescent="0.25">
      <c r="A524" t="s">
        <v>577</v>
      </c>
      <c r="B524" s="2">
        <v>72000</v>
      </c>
      <c r="C524" t="s">
        <v>3</v>
      </c>
      <c r="D524" t="s">
        <v>52</v>
      </c>
      <c r="E524" t="s">
        <v>2000</v>
      </c>
    </row>
    <row r="525" spans="1:5" x14ac:dyDescent="0.25">
      <c r="A525" t="s">
        <v>578</v>
      </c>
      <c r="B525" s="2">
        <v>61194.579384158147</v>
      </c>
      <c r="C525" t="s">
        <v>3</v>
      </c>
      <c r="D525" t="s">
        <v>65</v>
      </c>
      <c r="E525" t="s">
        <v>2000</v>
      </c>
    </row>
    <row r="526" spans="1:5" x14ac:dyDescent="0.25">
      <c r="A526" t="s">
        <v>579</v>
      </c>
      <c r="B526" s="2">
        <v>120000</v>
      </c>
      <c r="C526" t="s">
        <v>16</v>
      </c>
      <c r="D526" t="s">
        <v>616</v>
      </c>
      <c r="E526" t="s">
        <v>2000</v>
      </c>
    </row>
    <row r="527" spans="1:5" x14ac:dyDescent="0.25">
      <c r="A527" t="s">
        <v>580</v>
      </c>
      <c r="B527" s="2">
        <v>95000</v>
      </c>
      <c r="C527" t="s">
        <v>21</v>
      </c>
      <c r="D527" t="s">
        <v>581</v>
      </c>
      <c r="E527" t="s">
        <v>2000</v>
      </c>
    </row>
    <row r="528" spans="1:5" x14ac:dyDescent="0.25">
      <c r="A528" t="s">
        <v>582</v>
      </c>
      <c r="B528" s="2">
        <v>50000</v>
      </c>
      <c r="C528" t="s">
        <v>3</v>
      </c>
      <c r="D528" t="s">
        <v>8</v>
      </c>
      <c r="E528" t="s">
        <v>2000</v>
      </c>
    </row>
    <row r="529" spans="1:5" x14ac:dyDescent="0.25">
      <c r="A529" t="s">
        <v>583</v>
      </c>
      <c r="B529" s="2">
        <v>115061.01386091174</v>
      </c>
      <c r="C529" t="s">
        <v>16</v>
      </c>
      <c r="D529" t="s">
        <v>55</v>
      </c>
      <c r="E529" t="s">
        <v>2001</v>
      </c>
    </row>
    <row r="530" spans="1:5" x14ac:dyDescent="0.25">
      <c r="A530" t="s">
        <v>584</v>
      </c>
      <c r="B530" s="2">
        <v>50000</v>
      </c>
      <c r="C530" t="s">
        <v>3</v>
      </c>
      <c r="D530" t="s">
        <v>2006</v>
      </c>
      <c r="E530" t="s">
        <v>2001</v>
      </c>
    </row>
    <row r="531" spans="1:5" x14ac:dyDescent="0.25">
      <c r="A531" t="s">
        <v>585</v>
      </c>
      <c r="B531" s="2">
        <v>46000</v>
      </c>
      <c r="C531" t="s">
        <v>3</v>
      </c>
      <c r="D531" t="s">
        <v>8</v>
      </c>
      <c r="E531" t="s">
        <v>2000</v>
      </c>
    </row>
    <row r="532" spans="1:5" x14ac:dyDescent="0.25">
      <c r="A532" t="s">
        <v>586</v>
      </c>
      <c r="B532" s="2">
        <v>6368.453230079479</v>
      </c>
      <c r="C532" t="s">
        <v>59</v>
      </c>
      <c r="D532" t="s">
        <v>10</v>
      </c>
      <c r="E532" t="s">
        <v>2001</v>
      </c>
    </row>
    <row r="533" spans="1:5" x14ac:dyDescent="0.25">
      <c r="A533" t="s">
        <v>587</v>
      </c>
      <c r="B533" s="2">
        <v>86692.320794224041</v>
      </c>
      <c r="C533" t="s">
        <v>3</v>
      </c>
      <c r="D533" t="s">
        <v>65</v>
      </c>
      <c r="E533" t="s">
        <v>2001</v>
      </c>
    </row>
    <row r="534" spans="1:5" x14ac:dyDescent="0.25">
      <c r="A534" t="s">
        <v>588</v>
      </c>
      <c r="B534" s="2">
        <v>8013.5625093491553</v>
      </c>
      <c r="C534" t="s">
        <v>16</v>
      </c>
      <c r="D534" t="s">
        <v>4</v>
      </c>
      <c r="E534" t="s">
        <v>2002</v>
      </c>
    </row>
    <row r="535" spans="1:5" x14ac:dyDescent="0.25">
      <c r="A535" t="s">
        <v>589</v>
      </c>
      <c r="B535" s="2">
        <v>43000</v>
      </c>
      <c r="C535" t="s">
        <v>24</v>
      </c>
      <c r="D535" t="s">
        <v>8</v>
      </c>
      <c r="E535" t="s">
        <v>2002</v>
      </c>
    </row>
    <row r="536" spans="1:5" x14ac:dyDescent="0.25">
      <c r="A536" t="s">
        <v>590</v>
      </c>
      <c r="B536" s="2">
        <v>18000</v>
      </c>
      <c r="C536" t="s">
        <v>12</v>
      </c>
      <c r="D536" t="s">
        <v>116</v>
      </c>
      <c r="E536" t="s">
        <v>2001</v>
      </c>
    </row>
    <row r="537" spans="1:5" x14ac:dyDescent="0.25">
      <c r="A537" t="s">
        <v>591</v>
      </c>
      <c r="B537" s="2">
        <v>55000</v>
      </c>
      <c r="C537" t="s">
        <v>3</v>
      </c>
      <c r="D537" t="s">
        <v>8</v>
      </c>
      <c r="E537" t="s">
        <v>2000</v>
      </c>
    </row>
    <row r="538" spans="1:5" x14ac:dyDescent="0.25">
      <c r="A538" t="s">
        <v>592</v>
      </c>
      <c r="B538" s="2">
        <v>8903.9583437212841</v>
      </c>
      <c r="C538" t="s">
        <v>3</v>
      </c>
      <c r="D538" t="s">
        <v>4</v>
      </c>
      <c r="E538" t="s">
        <v>2002</v>
      </c>
    </row>
    <row r="539" spans="1:5" x14ac:dyDescent="0.25">
      <c r="A539" t="s">
        <v>593</v>
      </c>
      <c r="B539" s="2">
        <v>45000</v>
      </c>
      <c r="C539" t="s">
        <v>37</v>
      </c>
      <c r="D539" t="s">
        <v>8</v>
      </c>
      <c r="E539" t="s">
        <v>2002</v>
      </c>
    </row>
    <row r="540" spans="1:5" x14ac:dyDescent="0.25">
      <c r="A540" t="s">
        <v>594</v>
      </c>
      <c r="B540" s="2">
        <v>50000</v>
      </c>
      <c r="C540" t="s">
        <v>16</v>
      </c>
      <c r="D540" t="s">
        <v>8</v>
      </c>
      <c r="E540" t="s">
        <v>2001</v>
      </c>
    </row>
    <row r="541" spans="1:5" x14ac:dyDescent="0.25">
      <c r="A541" t="s">
        <v>595</v>
      </c>
      <c r="B541" s="2">
        <v>80000</v>
      </c>
      <c r="C541" t="s">
        <v>3</v>
      </c>
      <c r="D541" t="s">
        <v>8</v>
      </c>
      <c r="E541" t="s">
        <v>2002</v>
      </c>
    </row>
    <row r="542" spans="1:5" x14ac:dyDescent="0.25">
      <c r="A542" t="s">
        <v>596</v>
      </c>
      <c r="B542" s="2">
        <v>67000</v>
      </c>
      <c r="C542" t="s">
        <v>3</v>
      </c>
      <c r="D542" t="s">
        <v>8</v>
      </c>
      <c r="E542" t="s">
        <v>2001</v>
      </c>
    </row>
    <row r="543" spans="1:5" x14ac:dyDescent="0.25">
      <c r="A543" t="s">
        <v>597</v>
      </c>
      <c r="B543" s="2">
        <v>111000</v>
      </c>
      <c r="C543" t="s">
        <v>3</v>
      </c>
      <c r="D543" t="s">
        <v>598</v>
      </c>
      <c r="E543" t="s">
        <v>2002</v>
      </c>
    </row>
    <row r="544" spans="1:5" x14ac:dyDescent="0.25">
      <c r="A544" t="s">
        <v>599</v>
      </c>
      <c r="B544" s="2">
        <v>120000</v>
      </c>
      <c r="C544" t="s">
        <v>21</v>
      </c>
      <c r="D544" t="s">
        <v>8</v>
      </c>
      <c r="E544" t="s">
        <v>2001</v>
      </c>
    </row>
    <row r="545" spans="1:6" x14ac:dyDescent="0.25">
      <c r="A545" t="s">
        <v>600</v>
      </c>
      <c r="B545" s="2">
        <v>31523.565441345683</v>
      </c>
      <c r="C545" t="s">
        <v>59</v>
      </c>
      <c r="D545" t="s">
        <v>55</v>
      </c>
      <c r="E545" t="s">
        <v>2001</v>
      </c>
    </row>
    <row r="546" spans="1:6" x14ac:dyDescent="0.25">
      <c r="A546" t="s">
        <v>601</v>
      </c>
      <c r="B546" s="2">
        <v>78533.043543002947</v>
      </c>
      <c r="C546" t="s">
        <v>3</v>
      </c>
      <c r="D546" t="s">
        <v>65</v>
      </c>
      <c r="E546" t="s">
        <v>2000</v>
      </c>
    </row>
    <row r="547" spans="1:6" x14ac:dyDescent="0.25">
      <c r="A547" t="s">
        <v>602</v>
      </c>
      <c r="B547" s="2">
        <v>60000</v>
      </c>
      <c r="C547" t="s">
        <v>26</v>
      </c>
      <c r="D547" t="s">
        <v>8</v>
      </c>
      <c r="E547" t="s">
        <v>1999</v>
      </c>
    </row>
    <row r="548" spans="1:6" x14ac:dyDescent="0.25">
      <c r="A548" t="s">
        <v>603</v>
      </c>
      <c r="B548" s="2">
        <v>35000</v>
      </c>
      <c r="C548" t="s">
        <v>3</v>
      </c>
      <c r="D548" t="s">
        <v>8</v>
      </c>
      <c r="E548" t="s">
        <v>2000</v>
      </c>
    </row>
    <row r="549" spans="1:6" x14ac:dyDescent="0.25">
      <c r="A549" t="s">
        <v>604</v>
      </c>
      <c r="B549" s="2">
        <v>63519.971949580387</v>
      </c>
      <c r="C549" t="s">
        <v>16</v>
      </c>
      <c r="D549" t="s">
        <v>110</v>
      </c>
      <c r="E549" t="s">
        <v>2000</v>
      </c>
    </row>
    <row r="550" spans="1:6" x14ac:dyDescent="0.25">
      <c r="A550" t="s">
        <v>605</v>
      </c>
      <c r="B550" s="2">
        <v>54000</v>
      </c>
      <c r="C550" t="s">
        <v>26</v>
      </c>
      <c r="D550" t="s">
        <v>8</v>
      </c>
      <c r="E550" t="s">
        <v>2002</v>
      </c>
      <c r="F550">
        <v>5</v>
      </c>
    </row>
    <row r="551" spans="1:6" x14ac:dyDescent="0.25">
      <c r="A551" t="s">
        <v>606</v>
      </c>
      <c r="B551" s="2">
        <v>15600</v>
      </c>
      <c r="C551" t="s">
        <v>6</v>
      </c>
      <c r="D551" t="s">
        <v>116</v>
      </c>
      <c r="E551" t="s">
        <v>2001</v>
      </c>
      <c r="F551">
        <v>20</v>
      </c>
    </row>
    <row r="552" spans="1:6" x14ac:dyDescent="0.25">
      <c r="A552" t="s">
        <v>607</v>
      </c>
      <c r="B552" s="2">
        <v>35000</v>
      </c>
      <c r="C552" t="s">
        <v>3</v>
      </c>
      <c r="D552" t="s">
        <v>8</v>
      </c>
      <c r="E552" t="s">
        <v>1999</v>
      </c>
      <c r="F552">
        <v>7</v>
      </c>
    </row>
    <row r="553" spans="1:6" x14ac:dyDescent="0.25">
      <c r="A553" t="s">
        <v>608</v>
      </c>
      <c r="B553" s="2">
        <v>188000</v>
      </c>
      <c r="C553" t="s">
        <v>21</v>
      </c>
      <c r="D553" t="s">
        <v>8</v>
      </c>
      <c r="E553" t="s">
        <v>1999</v>
      </c>
      <c r="F553">
        <v>20</v>
      </c>
    </row>
    <row r="554" spans="1:6" x14ac:dyDescent="0.25">
      <c r="A554" t="s">
        <v>609</v>
      </c>
      <c r="B554" s="2">
        <v>27500</v>
      </c>
      <c r="C554" t="s">
        <v>3</v>
      </c>
      <c r="D554" t="s">
        <v>8</v>
      </c>
      <c r="E554" t="s">
        <v>2002</v>
      </c>
      <c r="F554">
        <v>1</v>
      </c>
    </row>
    <row r="555" spans="1:6" x14ac:dyDescent="0.25">
      <c r="A555" t="s">
        <v>610</v>
      </c>
      <c r="B555" s="2">
        <v>140000</v>
      </c>
      <c r="C555" t="s">
        <v>6</v>
      </c>
      <c r="D555" t="s">
        <v>8</v>
      </c>
      <c r="E555" t="s">
        <v>2000</v>
      </c>
      <c r="F555">
        <v>10</v>
      </c>
    </row>
    <row r="556" spans="1:6" x14ac:dyDescent="0.25">
      <c r="A556" t="s">
        <v>611</v>
      </c>
      <c r="B556" s="2">
        <v>69871.969144538423</v>
      </c>
      <c r="C556" t="s">
        <v>3</v>
      </c>
      <c r="D556" t="s">
        <v>572</v>
      </c>
      <c r="E556" t="s">
        <v>2002</v>
      </c>
      <c r="F556">
        <v>6</v>
      </c>
    </row>
    <row r="557" spans="1:6" x14ac:dyDescent="0.25">
      <c r="A557" t="s">
        <v>612</v>
      </c>
      <c r="B557" s="2">
        <v>45000</v>
      </c>
      <c r="C557" t="s">
        <v>3</v>
      </c>
      <c r="D557" t="s">
        <v>8</v>
      </c>
      <c r="E557" t="s">
        <v>2001</v>
      </c>
      <c r="F557">
        <v>2</v>
      </c>
    </row>
    <row r="558" spans="1:6" x14ac:dyDescent="0.25">
      <c r="A558" t="s">
        <v>613</v>
      </c>
      <c r="B558" s="2">
        <v>95000</v>
      </c>
      <c r="C558" t="s">
        <v>3</v>
      </c>
      <c r="D558" t="s">
        <v>65</v>
      </c>
      <c r="E558" t="s">
        <v>2000</v>
      </c>
      <c r="F558">
        <v>11</v>
      </c>
    </row>
    <row r="559" spans="1:6" x14ac:dyDescent="0.25">
      <c r="A559" t="s">
        <v>614</v>
      </c>
      <c r="B559" s="2">
        <v>158085.99674240855</v>
      </c>
      <c r="C559" t="s">
        <v>16</v>
      </c>
      <c r="D559" t="s">
        <v>65</v>
      </c>
      <c r="E559" t="s">
        <v>2001</v>
      </c>
      <c r="F559">
        <v>20</v>
      </c>
    </row>
    <row r="560" spans="1:6" x14ac:dyDescent="0.25">
      <c r="A560" t="s">
        <v>615</v>
      </c>
      <c r="B560" s="2">
        <v>63807.047488395103</v>
      </c>
      <c r="C560" t="s">
        <v>3</v>
      </c>
      <c r="D560" t="s">
        <v>616</v>
      </c>
      <c r="E560" t="s">
        <v>2001</v>
      </c>
      <c r="F560">
        <v>23</v>
      </c>
    </row>
    <row r="561" spans="1:6" x14ac:dyDescent="0.25">
      <c r="A561" t="s">
        <v>617</v>
      </c>
      <c r="B561" s="2">
        <v>38000</v>
      </c>
      <c r="C561" t="s">
        <v>3</v>
      </c>
      <c r="D561" t="s">
        <v>8</v>
      </c>
      <c r="E561" t="s">
        <v>2002</v>
      </c>
      <c r="F561">
        <v>11</v>
      </c>
    </row>
    <row r="562" spans="1:6" x14ac:dyDescent="0.25">
      <c r="A562" t="s">
        <v>618</v>
      </c>
      <c r="B562" s="2">
        <v>90000</v>
      </c>
      <c r="C562" t="s">
        <v>16</v>
      </c>
      <c r="D562" t="s">
        <v>8</v>
      </c>
      <c r="E562" t="s">
        <v>2001</v>
      </c>
      <c r="F562">
        <v>6</v>
      </c>
    </row>
    <row r="563" spans="1:6" x14ac:dyDescent="0.25">
      <c r="A563" t="s">
        <v>619</v>
      </c>
      <c r="B563" s="2">
        <v>45393.934235537781</v>
      </c>
      <c r="C563" t="s">
        <v>16</v>
      </c>
      <c r="D563" t="s">
        <v>55</v>
      </c>
      <c r="E563" t="s">
        <v>2001</v>
      </c>
      <c r="F563">
        <v>27</v>
      </c>
    </row>
    <row r="564" spans="1:6" x14ac:dyDescent="0.25">
      <c r="A564" t="s">
        <v>620</v>
      </c>
      <c r="B564" s="2">
        <v>33099.743713412965</v>
      </c>
      <c r="C564" t="s">
        <v>3</v>
      </c>
      <c r="D564" t="s">
        <v>55</v>
      </c>
      <c r="E564" t="s">
        <v>2002</v>
      </c>
      <c r="F564">
        <v>10</v>
      </c>
    </row>
    <row r="565" spans="1:6" x14ac:dyDescent="0.25">
      <c r="A565" t="s">
        <v>621</v>
      </c>
      <c r="B565" s="2">
        <v>4285</v>
      </c>
      <c r="C565" t="s">
        <v>3</v>
      </c>
      <c r="D565" t="s">
        <v>4</v>
      </c>
      <c r="E565" t="s">
        <v>2002</v>
      </c>
      <c r="F565">
        <v>6</v>
      </c>
    </row>
    <row r="566" spans="1:6" x14ac:dyDescent="0.25">
      <c r="A566" t="s">
        <v>622</v>
      </c>
      <c r="B566" s="2">
        <v>6000</v>
      </c>
      <c r="C566" t="s">
        <v>16</v>
      </c>
      <c r="D566" t="s">
        <v>623</v>
      </c>
      <c r="E566" t="s">
        <v>1999</v>
      </c>
      <c r="F566">
        <v>20</v>
      </c>
    </row>
    <row r="567" spans="1:6" x14ac:dyDescent="0.25">
      <c r="A567" t="s">
        <v>624</v>
      </c>
      <c r="B567" s="2">
        <v>22438.012440857987</v>
      </c>
      <c r="C567" t="s">
        <v>3</v>
      </c>
      <c r="D567" t="s">
        <v>65</v>
      </c>
      <c r="E567" t="s">
        <v>2001</v>
      </c>
      <c r="F567">
        <v>8</v>
      </c>
    </row>
    <row r="568" spans="1:6" x14ac:dyDescent="0.25">
      <c r="A568" t="s">
        <v>625</v>
      </c>
      <c r="B568" s="2">
        <v>90000</v>
      </c>
      <c r="C568" t="s">
        <v>16</v>
      </c>
      <c r="D568" t="s">
        <v>8</v>
      </c>
      <c r="E568" t="s">
        <v>2000</v>
      </c>
      <c r="F568">
        <v>15</v>
      </c>
    </row>
    <row r="569" spans="1:6" x14ac:dyDescent="0.25">
      <c r="A569" t="s">
        <v>626</v>
      </c>
      <c r="B569" s="2">
        <v>150000</v>
      </c>
      <c r="C569" t="s">
        <v>21</v>
      </c>
      <c r="D569" t="s">
        <v>8</v>
      </c>
      <c r="E569" t="s">
        <v>2001</v>
      </c>
      <c r="F569">
        <v>22</v>
      </c>
    </row>
    <row r="570" spans="1:6" x14ac:dyDescent="0.25">
      <c r="A570" t="s">
        <v>627</v>
      </c>
      <c r="B570" s="2">
        <v>132588.25533234264</v>
      </c>
      <c r="C570" t="s">
        <v>24</v>
      </c>
      <c r="D570" t="s">
        <v>65</v>
      </c>
      <c r="E570" t="s">
        <v>2000</v>
      </c>
      <c r="F570">
        <v>27</v>
      </c>
    </row>
    <row r="571" spans="1:6" x14ac:dyDescent="0.25">
      <c r="A571" t="s">
        <v>628</v>
      </c>
      <c r="B571" s="2">
        <v>45000</v>
      </c>
      <c r="C571" t="s">
        <v>3</v>
      </c>
      <c r="D571" t="s">
        <v>8</v>
      </c>
      <c r="E571" t="s">
        <v>2001</v>
      </c>
      <c r="F571">
        <v>3</v>
      </c>
    </row>
    <row r="572" spans="1:6" x14ac:dyDescent="0.25">
      <c r="A572" t="s">
        <v>629</v>
      </c>
      <c r="B572" s="2">
        <v>50000</v>
      </c>
      <c r="C572" t="s">
        <v>26</v>
      </c>
      <c r="D572" t="s">
        <v>8</v>
      </c>
      <c r="E572" t="s">
        <v>2000</v>
      </c>
      <c r="F572">
        <v>10</v>
      </c>
    </row>
    <row r="573" spans="1:6" x14ac:dyDescent="0.25">
      <c r="A573" t="s">
        <v>630</v>
      </c>
      <c r="B573" s="2">
        <v>300000</v>
      </c>
      <c r="C573" t="s">
        <v>21</v>
      </c>
      <c r="D573" t="s">
        <v>8</v>
      </c>
      <c r="E573" t="s">
        <v>2000</v>
      </c>
      <c r="F573">
        <v>30</v>
      </c>
    </row>
    <row r="574" spans="1:6" x14ac:dyDescent="0.25">
      <c r="A574" t="s">
        <v>631</v>
      </c>
      <c r="B574" s="2">
        <v>104030.78495306884</v>
      </c>
      <c r="C574" t="s">
        <v>16</v>
      </c>
      <c r="D574" t="s">
        <v>65</v>
      </c>
      <c r="E574" t="s">
        <v>1999</v>
      </c>
      <c r="F574">
        <v>10</v>
      </c>
    </row>
    <row r="575" spans="1:6" x14ac:dyDescent="0.25">
      <c r="A575" t="s">
        <v>632</v>
      </c>
      <c r="B575" s="2">
        <v>115000</v>
      </c>
      <c r="C575" t="s">
        <v>16</v>
      </c>
      <c r="D575" t="s">
        <v>8</v>
      </c>
      <c r="E575" t="s">
        <v>2001</v>
      </c>
      <c r="F575">
        <v>15</v>
      </c>
    </row>
    <row r="576" spans="1:6" x14ac:dyDescent="0.25">
      <c r="A576" t="s">
        <v>633</v>
      </c>
      <c r="B576" s="2">
        <v>70000</v>
      </c>
      <c r="C576" t="s">
        <v>3</v>
      </c>
      <c r="D576" t="s">
        <v>8</v>
      </c>
      <c r="E576" t="s">
        <v>2001</v>
      </c>
      <c r="F576">
        <v>3</v>
      </c>
    </row>
    <row r="577" spans="1:6" x14ac:dyDescent="0.25">
      <c r="A577" t="s">
        <v>634</v>
      </c>
      <c r="B577" s="2">
        <v>108110.42357867939</v>
      </c>
      <c r="C577" t="s">
        <v>26</v>
      </c>
      <c r="D577" t="s">
        <v>65</v>
      </c>
      <c r="E577" t="s">
        <v>2001</v>
      </c>
      <c r="F577">
        <v>16</v>
      </c>
    </row>
    <row r="578" spans="1:6" x14ac:dyDescent="0.25">
      <c r="A578" t="s">
        <v>635</v>
      </c>
      <c r="B578" s="2">
        <v>75000</v>
      </c>
      <c r="C578" t="s">
        <v>3</v>
      </c>
      <c r="D578" t="s">
        <v>8</v>
      </c>
      <c r="E578" t="s">
        <v>2000</v>
      </c>
      <c r="F578">
        <v>25</v>
      </c>
    </row>
    <row r="579" spans="1:6" x14ac:dyDescent="0.25">
      <c r="A579" t="s">
        <v>636</v>
      </c>
      <c r="B579" s="2">
        <v>40414</v>
      </c>
      <c r="C579" t="s">
        <v>3</v>
      </c>
      <c r="D579" t="s">
        <v>8</v>
      </c>
      <c r="E579" t="s">
        <v>2001</v>
      </c>
      <c r="F579">
        <v>8</v>
      </c>
    </row>
    <row r="580" spans="1:6" x14ac:dyDescent="0.25">
      <c r="A580" t="s">
        <v>637</v>
      </c>
      <c r="B580" s="2">
        <v>65000</v>
      </c>
      <c r="C580" t="s">
        <v>3</v>
      </c>
      <c r="D580" t="s">
        <v>8</v>
      </c>
      <c r="E580" t="s">
        <v>2001</v>
      </c>
      <c r="F580">
        <v>3</v>
      </c>
    </row>
    <row r="581" spans="1:6" x14ac:dyDescent="0.25">
      <c r="A581" t="s">
        <v>638</v>
      </c>
      <c r="B581" s="2">
        <v>120000</v>
      </c>
      <c r="C581" t="s">
        <v>3</v>
      </c>
      <c r="D581" t="s">
        <v>8</v>
      </c>
      <c r="E581" t="s">
        <v>2002</v>
      </c>
      <c r="F581">
        <v>7</v>
      </c>
    </row>
    <row r="582" spans="1:6" x14ac:dyDescent="0.25">
      <c r="A582" t="s">
        <v>639</v>
      </c>
      <c r="B582" s="2">
        <v>15092.18020692008</v>
      </c>
      <c r="C582" t="s">
        <v>24</v>
      </c>
      <c r="D582" t="s">
        <v>1046</v>
      </c>
      <c r="E582" t="s">
        <v>2001</v>
      </c>
      <c r="F582">
        <v>10</v>
      </c>
    </row>
    <row r="583" spans="1:6" x14ac:dyDescent="0.25">
      <c r="A583" t="s">
        <v>640</v>
      </c>
      <c r="B583" s="2">
        <v>36000</v>
      </c>
      <c r="C583" t="s">
        <v>59</v>
      </c>
      <c r="D583" t="s">
        <v>52</v>
      </c>
      <c r="E583" t="s">
        <v>2002</v>
      </c>
      <c r="F583">
        <v>10</v>
      </c>
    </row>
    <row r="584" spans="1:6" x14ac:dyDescent="0.25">
      <c r="A584" t="s">
        <v>641</v>
      </c>
      <c r="B584" s="2">
        <v>63519.971949580387</v>
      </c>
      <c r="C584" t="s">
        <v>3</v>
      </c>
      <c r="D584" t="s">
        <v>17</v>
      </c>
      <c r="E584" t="s">
        <v>2000</v>
      </c>
      <c r="F584">
        <v>4</v>
      </c>
    </row>
    <row r="585" spans="1:6" x14ac:dyDescent="0.25">
      <c r="A585" t="s">
        <v>642</v>
      </c>
      <c r="B585" s="2">
        <v>108000</v>
      </c>
      <c r="C585" t="s">
        <v>59</v>
      </c>
      <c r="D585" t="s">
        <v>8</v>
      </c>
      <c r="E585" t="s">
        <v>2000</v>
      </c>
      <c r="F585">
        <v>7</v>
      </c>
    </row>
    <row r="586" spans="1:6" x14ac:dyDescent="0.25">
      <c r="A586" t="s">
        <v>643</v>
      </c>
      <c r="B586" s="2">
        <v>75000</v>
      </c>
      <c r="C586" t="s">
        <v>3</v>
      </c>
      <c r="D586" t="s">
        <v>8</v>
      </c>
      <c r="E586" t="s">
        <v>2001</v>
      </c>
      <c r="F586">
        <v>5</v>
      </c>
    </row>
    <row r="587" spans="1:6" x14ac:dyDescent="0.25">
      <c r="A587" t="s">
        <v>644</v>
      </c>
      <c r="B587" s="2">
        <v>7123.1666749770275</v>
      </c>
      <c r="C587" t="s">
        <v>16</v>
      </c>
      <c r="D587" t="s">
        <v>4</v>
      </c>
      <c r="E587" t="s">
        <v>1999</v>
      </c>
      <c r="F587">
        <v>3</v>
      </c>
    </row>
    <row r="588" spans="1:6" x14ac:dyDescent="0.25">
      <c r="A588" t="s">
        <v>645</v>
      </c>
      <c r="B588" s="2">
        <v>50000</v>
      </c>
      <c r="C588" t="s">
        <v>16</v>
      </c>
      <c r="D588" t="s">
        <v>4</v>
      </c>
      <c r="E588" t="s">
        <v>1999</v>
      </c>
      <c r="F588">
        <v>25</v>
      </c>
    </row>
    <row r="589" spans="1:6" x14ac:dyDescent="0.25">
      <c r="A589" t="s">
        <v>646</v>
      </c>
      <c r="B589" s="2">
        <v>45000</v>
      </c>
      <c r="C589" t="s">
        <v>3</v>
      </c>
      <c r="D589" t="s">
        <v>8</v>
      </c>
      <c r="E589" t="s">
        <v>2001</v>
      </c>
      <c r="F589">
        <v>15</v>
      </c>
    </row>
    <row r="590" spans="1:6" x14ac:dyDescent="0.25">
      <c r="A590" t="s">
        <v>647</v>
      </c>
      <c r="B590" s="2">
        <v>45000</v>
      </c>
      <c r="C590" t="s">
        <v>24</v>
      </c>
      <c r="D590" t="s">
        <v>8</v>
      </c>
      <c r="E590" t="s">
        <v>2001</v>
      </c>
      <c r="F590">
        <v>7</v>
      </c>
    </row>
    <row r="591" spans="1:6" x14ac:dyDescent="0.25">
      <c r="A591" t="s">
        <v>648</v>
      </c>
      <c r="B591" s="2">
        <v>90000</v>
      </c>
      <c r="C591" t="s">
        <v>16</v>
      </c>
      <c r="D591" t="s">
        <v>8</v>
      </c>
      <c r="E591" t="s">
        <v>2000</v>
      </c>
      <c r="F591">
        <v>20</v>
      </c>
    </row>
    <row r="592" spans="1:6" x14ac:dyDescent="0.25">
      <c r="A592" t="s">
        <v>649</v>
      </c>
      <c r="B592" s="2">
        <v>4273.9000049862161</v>
      </c>
      <c r="C592" t="s">
        <v>3</v>
      </c>
      <c r="D592" t="s">
        <v>4</v>
      </c>
      <c r="E592" t="s">
        <v>2000</v>
      </c>
      <c r="F592">
        <v>5</v>
      </c>
    </row>
    <row r="593" spans="1:6" x14ac:dyDescent="0.25">
      <c r="A593" t="s">
        <v>650</v>
      </c>
      <c r="B593" s="2">
        <v>50000</v>
      </c>
      <c r="C593" t="s">
        <v>16</v>
      </c>
      <c r="D593" t="s">
        <v>4</v>
      </c>
      <c r="E593" t="s">
        <v>1999</v>
      </c>
      <c r="F593">
        <v>10</v>
      </c>
    </row>
    <row r="594" spans="1:6" x14ac:dyDescent="0.25">
      <c r="A594" t="s">
        <v>651</v>
      </c>
      <c r="B594" s="2">
        <v>65000</v>
      </c>
      <c r="C594" t="s">
        <v>3</v>
      </c>
      <c r="D594" t="s">
        <v>8</v>
      </c>
      <c r="E594" t="s">
        <v>2000</v>
      </c>
      <c r="F594">
        <v>17</v>
      </c>
    </row>
    <row r="595" spans="1:6" x14ac:dyDescent="0.25">
      <c r="A595" t="s">
        <v>652</v>
      </c>
      <c r="B595" s="2">
        <v>70000</v>
      </c>
      <c r="C595" t="s">
        <v>3</v>
      </c>
      <c r="D595" t="s">
        <v>8</v>
      </c>
      <c r="E595" t="s">
        <v>2000</v>
      </c>
      <c r="F595">
        <v>18</v>
      </c>
    </row>
    <row r="596" spans="1:6" x14ac:dyDescent="0.25">
      <c r="A596" t="s">
        <v>653</v>
      </c>
      <c r="B596" s="2">
        <v>160000</v>
      </c>
      <c r="C596" t="s">
        <v>3</v>
      </c>
      <c r="D596" t="s">
        <v>8</v>
      </c>
      <c r="E596" t="s">
        <v>2001</v>
      </c>
      <c r="F596">
        <v>5</v>
      </c>
    </row>
    <row r="597" spans="1:6" x14ac:dyDescent="0.25">
      <c r="A597" t="s">
        <v>654</v>
      </c>
      <c r="B597" s="2">
        <v>101990.96564026357</v>
      </c>
      <c r="C597" t="s">
        <v>16</v>
      </c>
      <c r="D597" t="s">
        <v>65</v>
      </c>
      <c r="E597" t="s">
        <v>2000</v>
      </c>
      <c r="F597">
        <v>20</v>
      </c>
    </row>
    <row r="598" spans="1:6" x14ac:dyDescent="0.25">
      <c r="A598" t="s">
        <v>655</v>
      </c>
      <c r="B598" s="2">
        <v>6767.0083412281756</v>
      </c>
      <c r="C598" t="s">
        <v>16</v>
      </c>
      <c r="D598" t="s">
        <v>4</v>
      </c>
      <c r="E598" t="s">
        <v>2001</v>
      </c>
      <c r="F598">
        <v>10</v>
      </c>
    </row>
    <row r="599" spans="1:6" x14ac:dyDescent="0.25">
      <c r="A599" t="s">
        <v>656</v>
      </c>
      <c r="B599" s="2">
        <v>30000</v>
      </c>
      <c r="C599" t="s">
        <v>3</v>
      </c>
      <c r="D599" t="s">
        <v>8</v>
      </c>
      <c r="E599" t="s">
        <v>2000</v>
      </c>
      <c r="F599">
        <v>8</v>
      </c>
    </row>
    <row r="600" spans="1:6" x14ac:dyDescent="0.25">
      <c r="A600" t="s">
        <v>657</v>
      </c>
      <c r="B600" s="2">
        <v>7479.3250087258784</v>
      </c>
      <c r="C600" t="s">
        <v>3</v>
      </c>
      <c r="D600" t="s">
        <v>4</v>
      </c>
      <c r="E600" t="s">
        <v>2001</v>
      </c>
      <c r="F600">
        <v>3</v>
      </c>
    </row>
    <row r="601" spans="1:6" x14ac:dyDescent="0.25">
      <c r="A601" t="s">
        <v>658</v>
      </c>
      <c r="B601" s="2">
        <v>61000</v>
      </c>
      <c r="C601" t="s">
        <v>16</v>
      </c>
      <c r="D601" t="s">
        <v>8</v>
      </c>
      <c r="E601" t="s">
        <v>2001</v>
      </c>
      <c r="F601">
        <v>5</v>
      </c>
    </row>
    <row r="602" spans="1:6" x14ac:dyDescent="0.25">
      <c r="A602" t="s">
        <v>659</v>
      </c>
      <c r="B602" s="2">
        <v>13800</v>
      </c>
      <c r="C602" t="s">
        <v>6</v>
      </c>
      <c r="D602" t="s">
        <v>660</v>
      </c>
      <c r="E602" t="s">
        <v>2001</v>
      </c>
      <c r="F602">
        <v>20</v>
      </c>
    </row>
    <row r="603" spans="1:6" x14ac:dyDescent="0.25">
      <c r="A603" t="s">
        <v>661</v>
      </c>
      <c r="B603" s="2">
        <v>15136.729184326183</v>
      </c>
      <c r="C603" t="s">
        <v>3</v>
      </c>
      <c r="D603" t="s">
        <v>4</v>
      </c>
      <c r="E603" t="s">
        <v>2001</v>
      </c>
      <c r="F603">
        <v>6</v>
      </c>
    </row>
    <row r="604" spans="1:6" x14ac:dyDescent="0.25">
      <c r="A604" t="s">
        <v>662</v>
      </c>
      <c r="B604" s="2">
        <v>32054.250037396621</v>
      </c>
      <c r="C604" t="s">
        <v>16</v>
      </c>
      <c r="D604" t="s">
        <v>4</v>
      </c>
      <c r="E604" t="s">
        <v>2000</v>
      </c>
      <c r="F604">
        <v>10</v>
      </c>
    </row>
    <row r="605" spans="1:6" x14ac:dyDescent="0.25">
      <c r="A605" t="s">
        <v>663</v>
      </c>
      <c r="B605" s="2">
        <v>80000</v>
      </c>
      <c r="C605" t="s">
        <v>6</v>
      </c>
      <c r="D605" t="s">
        <v>8</v>
      </c>
      <c r="E605" t="s">
        <v>2001</v>
      </c>
      <c r="F605">
        <v>15</v>
      </c>
    </row>
    <row r="606" spans="1:6" x14ac:dyDescent="0.25">
      <c r="A606" t="s">
        <v>664</v>
      </c>
      <c r="B606" s="2">
        <v>21000</v>
      </c>
      <c r="C606" t="s">
        <v>16</v>
      </c>
      <c r="D606" t="s">
        <v>4</v>
      </c>
      <c r="E606" t="s">
        <v>2002</v>
      </c>
      <c r="F606">
        <v>23</v>
      </c>
    </row>
    <row r="607" spans="1:6" x14ac:dyDescent="0.25">
      <c r="A607" t="s">
        <v>665</v>
      </c>
      <c r="B607" s="2">
        <v>245840.3807575817</v>
      </c>
      <c r="C607" t="s">
        <v>3</v>
      </c>
      <c r="D607" t="s">
        <v>68</v>
      </c>
      <c r="E607" t="s">
        <v>2001</v>
      </c>
      <c r="F607">
        <v>32</v>
      </c>
    </row>
    <row r="608" spans="1:6" x14ac:dyDescent="0.25">
      <c r="A608" t="s">
        <v>666</v>
      </c>
      <c r="B608" s="2">
        <v>2849.2666699908109</v>
      </c>
      <c r="C608" t="s">
        <v>37</v>
      </c>
      <c r="D608" t="s">
        <v>4</v>
      </c>
      <c r="E608" t="s">
        <v>2002</v>
      </c>
      <c r="F608">
        <v>3</v>
      </c>
    </row>
    <row r="609" spans="1:6" x14ac:dyDescent="0.25">
      <c r="A609" t="s">
        <v>667</v>
      </c>
      <c r="B609" s="2">
        <v>8400</v>
      </c>
      <c r="C609" t="s">
        <v>16</v>
      </c>
      <c r="D609" t="s">
        <v>4</v>
      </c>
      <c r="E609" t="s">
        <v>2002</v>
      </c>
      <c r="F609">
        <v>26</v>
      </c>
    </row>
    <row r="610" spans="1:6" x14ac:dyDescent="0.25">
      <c r="A610" t="s">
        <v>668</v>
      </c>
      <c r="B610" s="2">
        <v>86692.320794224041</v>
      </c>
      <c r="C610" t="s">
        <v>59</v>
      </c>
      <c r="D610" t="s">
        <v>65</v>
      </c>
      <c r="E610" t="s">
        <v>1999</v>
      </c>
      <c r="F610">
        <v>20</v>
      </c>
    </row>
    <row r="611" spans="1:6" x14ac:dyDescent="0.25">
      <c r="A611" t="s">
        <v>669</v>
      </c>
      <c r="B611" s="2">
        <v>50000</v>
      </c>
      <c r="C611" t="s">
        <v>16</v>
      </c>
      <c r="D611" t="s">
        <v>8</v>
      </c>
      <c r="E611" t="s">
        <v>2001</v>
      </c>
      <c r="F611">
        <v>20</v>
      </c>
    </row>
    <row r="612" spans="1:6" x14ac:dyDescent="0.25">
      <c r="A612" t="s">
        <v>670</v>
      </c>
      <c r="B612" s="2">
        <v>4000</v>
      </c>
      <c r="C612" t="s">
        <v>37</v>
      </c>
      <c r="D612" t="s">
        <v>4</v>
      </c>
      <c r="E612" t="s">
        <v>2002</v>
      </c>
      <c r="F612">
        <v>6</v>
      </c>
    </row>
    <row r="613" spans="1:6" x14ac:dyDescent="0.25">
      <c r="A613" t="s">
        <v>671</v>
      </c>
      <c r="B613" s="2">
        <v>101990.96564026357</v>
      </c>
      <c r="C613" t="s">
        <v>3</v>
      </c>
      <c r="D613" t="s">
        <v>65</v>
      </c>
      <c r="E613" t="s">
        <v>2002</v>
      </c>
      <c r="F613">
        <v>1</v>
      </c>
    </row>
    <row r="614" spans="1:6" x14ac:dyDescent="0.25">
      <c r="A614" t="s">
        <v>672</v>
      </c>
      <c r="B614" s="2">
        <v>95000</v>
      </c>
      <c r="C614" t="s">
        <v>16</v>
      </c>
      <c r="D614" t="s">
        <v>8</v>
      </c>
      <c r="E614" t="s">
        <v>1999</v>
      </c>
      <c r="F614">
        <v>10</v>
      </c>
    </row>
    <row r="615" spans="1:6" x14ac:dyDescent="0.25">
      <c r="A615" t="s">
        <v>673</v>
      </c>
      <c r="B615" s="2">
        <v>10000</v>
      </c>
      <c r="C615" t="s">
        <v>16</v>
      </c>
      <c r="D615" t="s">
        <v>674</v>
      </c>
      <c r="E615" t="s">
        <v>2000</v>
      </c>
      <c r="F615">
        <v>5</v>
      </c>
    </row>
    <row r="616" spans="1:6" x14ac:dyDescent="0.25">
      <c r="A616" t="s">
        <v>675</v>
      </c>
      <c r="B616" s="2">
        <v>4200</v>
      </c>
      <c r="C616" t="s">
        <v>37</v>
      </c>
      <c r="D616" t="s">
        <v>4</v>
      </c>
      <c r="E616" t="s">
        <v>2002</v>
      </c>
      <c r="F616">
        <v>4</v>
      </c>
    </row>
    <row r="617" spans="1:6" x14ac:dyDescent="0.25">
      <c r="A617" t="s">
        <v>676</v>
      </c>
      <c r="B617" s="2">
        <v>12821.700014958649</v>
      </c>
      <c r="C617" t="s">
        <v>16</v>
      </c>
      <c r="D617" t="s">
        <v>4</v>
      </c>
      <c r="E617" t="s">
        <v>2001</v>
      </c>
      <c r="F617">
        <v>12</v>
      </c>
    </row>
    <row r="618" spans="1:6" x14ac:dyDescent="0.25">
      <c r="A618" t="s">
        <v>677</v>
      </c>
      <c r="B618" s="2">
        <v>39000</v>
      </c>
      <c r="C618" t="s">
        <v>3</v>
      </c>
      <c r="D618" t="s">
        <v>8</v>
      </c>
      <c r="E618" t="s">
        <v>2002</v>
      </c>
      <c r="F618">
        <v>3</v>
      </c>
    </row>
    <row r="619" spans="1:6" x14ac:dyDescent="0.25">
      <c r="A619" t="s">
        <v>678</v>
      </c>
      <c r="B619" s="2">
        <v>60000</v>
      </c>
      <c r="C619" t="s">
        <v>3</v>
      </c>
      <c r="D619" t="s">
        <v>8</v>
      </c>
      <c r="E619" t="s">
        <v>2001</v>
      </c>
      <c r="F619">
        <v>12</v>
      </c>
    </row>
    <row r="620" spans="1:6" x14ac:dyDescent="0.25">
      <c r="A620" t="s">
        <v>679</v>
      </c>
      <c r="B620" s="2">
        <v>173384.64158844808</v>
      </c>
      <c r="C620" t="s">
        <v>3</v>
      </c>
      <c r="D620" t="s">
        <v>65</v>
      </c>
      <c r="E620" t="s">
        <v>2002</v>
      </c>
      <c r="F620">
        <v>10</v>
      </c>
    </row>
    <row r="621" spans="1:6" x14ac:dyDescent="0.25">
      <c r="A621" t="s">
        <v>680</v>
      </c>
      <c r="B621" s="2">
        <v>125000</v>
      </c>
      <c r="C621" t="s">
        <v>3</v>
      </c>
      <c r="D621" t="s">
        <v>8</v>
      </c>
      <c r="E621" t="s">
        <v>2000</v>
      </c>
      <c r="F621">
        <v>20</v>
      </c>
    </row>
    <row r="622" spans="1:6" x14ac:dyDescent="0.25">
      <c r="A622" t="s">
        <v>681</v>
      </c>
      <c r="B622" s="2">
        <v>79552.953199405587</v>
      </c>
      <c r="C622" t="s">
        <v>24</v>
      </c>
      <c r="D622" t="s">
        <v>65</v>
      </c>
      <c r="E622" t="s">
        <v>2002</v>
      </c>
      <c r="F622">
        <v>4</v>
      </c>
    </row>
    <row r="623" spans="1:6" x14ac:dyDescent="0.25">
      <c r="A623" t="s">
        <v>682</v>
      </c>
      <c r="B623" s="2">
        <v>3561.5833374885137</v>
      </c>
      <c r="C623" t="s">
        <v>24</v>
      </c>
      <c r="D623" t="s">
        <v>4</v>
      </c>
      <c r="E623" t="s">
        <v>2001</v>
      </c>
      <c r="F623">
        <v>3</v>
      </c>
    </row>
    <row r="624" spans="1:6" x14ac:dyDescent="0.25">
      <c r="A624" t="s">
        <v>683</v>
      </c>
      <c r="B624" s="2">
        <v>80000</v>
      </c>
      <c r="C624" t="s">
        <v>16</v>
      </c>
      <c r="D624" t="s">
        <v>8</v>
      </c>
      <c r="E624" t="s">
        <v>2001</v>
      </c>
      <c r="F624">
        <v>8</v>
      </c>
    </row>
    <row r="625" spans="1:6" x14ac:dyDescent="0.25">
      <c r="A625" t="s">
        <v>684</v>
      </c>
      <c r="B625" s="2">
        <v>10684.750012465542</v>
      </c>
      <c r="C625" t="s">
        <v>3</v>
      </c>
      <c r="D625" t="s">
        <v>4</v>
      </c>
      <c r="E625" t="s">
        <v>2000</v>
      </c>
      <c r="F625">
        <v>3</v>
      </c>
    </row>
    <row r="626" spans="1:6" x14ac:dyDescent="0.25">
      <c r="A626" t="s">
        <v>685</v>
      </c>
      <c r="B626" s="2">
        <v>5342.3750062327708</v>
      </c>
      <c r="C626" t="s">
        <v>12</v>
      </c>
      <c r="D626" t="s">
        <v>4</v>
      </c>
      <c r="E626" t="s">
        <v>2002</v>
      </c>
      <c r="F626">
        <v>2</v>
      </c>
    </row>
    <row r="627" spans="1:6" x14ac:dyDescent="0.25">
      <c r="A627" t="s">
        <v>686</v>
      </c>
      <c r="B627" s="2">
        <v>71231.666749770273</v>
      </c>
      <c r="C627" t="s">
        <v>16</v>
      </c>
      <c r="D627" t="s">
        <v>4</v>
      </c>
      <c r="E627" t="s">
        <v>2001</v>
      </c>
      <c r="F627">
        <v>1.5</v>
      </c>
    </row>
    <row r="628" spans="1:6" x14ac:dyDescent="0.25">
      <c r="A628" t="s">
        <v>687</v>
      </c>
      <c r="B628" s="2">
        <v>80135.625093491559</v>
      </c>
      <c r="C628" t="s">
        <v>21</v>
      </c>
      <c r="D628" t="s">
        <v>4</v>
      </c>
      <c r="E628" t="s">
        <v>1999</v>
      </c>
      <c r="F628">
        <v>6</v>
      </c>
    </row>
    <row r="629" spans="1:6" x14ac:dyDescent="0.25">
      <c r="A629" t="s">
        <v>688</v>
      </c>
      <c r="B629" s="2">
        <v>54084.883766667976</v>
      </c>
      <c r="C629" t="s">
        <v>16</v>
      </c>
      <c r="D629" t="s">
        <v>68</v>
      </c>
      <c r="E629" t="s">
        <v>2001</v>
      </c>
      <c r="F629">
        <v>5</v>
      </c>
    </row>
    <row r="630" spans="1:6" x14ac:dyDescent="0.25">
      <c r="A630" t="s">
        <v>689</v>
      </c>
      <c r="B630" s="2">
        <v>53000</v>
      </c>
      <c r="C630" t="s">
        <v>3</v>
      </c>
      <c r="D630" t="s">
        <v>8</v>
      </c>
      <c r="E630" t="s">
        <v>2001</v>
      </c>
      <c r="F630">
        <v>30</v>
      </c>
    </row>
    <row r="631" spans="1:6" x14ac:dyDescent="0.25">
      <c r="A631" t="s">
        <v>690</v>
      </c>
      <c r="B631" s="2">
        <v>5342.3750062327708</v>
      </c>
      <c r="C631" t="s">
        <v>37</v>
      </c>
      <c r="D631" t="s">
        <v>4</v>
      </c>
      <c r="E631" t="s">
        <v>2001</v>
      </c>
      <c r="F631">
        <v>1</v>
      </c>
    </row>
    <row r="632" spans="1:6" x14ac:dyDescent="0.25">
      <c r="A632" t="s">
        <v>691</v>
      </c>
      <c r="B632" s="2">
        <v>7123.1666749770275</v>
      </c>
      <c r="C632" t="s">
        <v>16</v>
      </c>
      <c r="D632" t="s">
        <v>4</v>
      </c>
      <c r="E632" t="s">
        <v>1999</v>
      </c>
      <c r="F632">
        <v>5</v>
      </c>
    </row>
    <row r="633" spans="1:6" x14ac:dyDescent="0.25">
      <c r="A633" t="s">
        <v>692</v>
      </c>
      <c r="B633" s="2">
        <v>10684.750012465542</v>
      </c>
      <c r="C633" t="s">
        <v>16</v>
      </c>
      <c r="D633" t="s">
        <v>4</v>
      </c>
      <c r="E633" t="s">
        <v>2001</v>
      </c>
      <c r="F633">
        <v>11</v>
      </c>
    </row>
    <row r="634" spans="1:6" x14ac:dyDescent="0.25">
      <c r="A634" t="s">
        <v>693</v>
      </c>
      <c r="B634" s="2">
        <v>4000</v>
      </c>
      <c r="C634" t="s">
        <v>37</v>
      </c>
      <c r="D634" t="s">
        <v>4</v>
      </c>
      <c r="E634" t="s">
        <v>2002</v>
      </c>
      <c r="F634">
        <v>4</v>
      </c>
    </row>
    <row r="635" spans="1:6" x14ac:dyDescent="0.25">
      <c r="A635" t="s">
        <v>694</v>
      </c>
      <c r="B635" s="2">
        <v>8000</v>
      </c>
      <c r="C635" t="s">
        <v>16</v>
      </c>
      <c r="D635" t="s">
        <v>258</v>
      </c>
      <c r="E635" t="s">
        <v>2002</v>
      </c>
      <c r="F635">
        <v>1</v>
      </c>
    </row>
    <row r="636" spans="1:6" x14ac:dyDescent="0.25">
      <c r="A636" t="s">
        <v>695</v>
      </c>
      <c r="B636" s="2">
        <v>2671.1875031163854</v>
      </c>
      <c r="C636" t="s">
        <v>16</v>
      </c>
      <c r="D636" t="s">
        <v>4</v>
      </c>
      <c r="E636" t="s">
        <v>2000</v>
      </c>
      <c r="F636">
        <v>5</v>
      </c>
    </row>
    <row r="637" spans="1:6" x14ac:dyDescent="0.25">
      <c r="A637" t="s">
        <v>696</v>
      </c>
      <c r="B637" s="2">
        <v>14246.333349954055</v>
      </c>
      <c r="C637" t="s">
        <v>12</v>
      </c>
      <c r="D637" t="s">
        <v>4</v>
      </c>
      <c r="E637" t="s">
        <v>2000</v>
      </c>
      <c r="F637">
        <v>3</v>
      </c>
    </row>
    <row r="638" spans="1:6" x14ac:dyDescent="0.25">
      <c r="A638" t="s">
        <v>697</v>
      </c>
      <c r="B638" s="2">
        <v>8547.8000099724322</v>
      </c>
      <c r="C638" t="s">
        <v>37</v>
      </c>
      <c r="D638" t="s">
        <v>4</v>
      </c>
      <c r="E638" t="s">
        <v>1999</v>
      </c>
      <c r="F638">
        <v>3</v>
      </c>
    </row>
    <row r="639" spans="1:6" x14ac:dyDescent="0.25">
      <c r="A639" t="s">
        <v>698</v>
      </c>
      <c r="B639" s="2">
        <v>7693.0200089751897</v>
      </c>
      <c r="C639" t="s">
        <v>16</v>
      </c>
      <c r="D639" t="s">
        <v>4</v>
      </c>
      <c r="E639" t="s">
        <v>2000</v>
      </c>
      <c r="F639">
        <v>5</v>
      </c>
    </row>
    <row r="640" spans="1:6" x14ac:dyDescent="0.25">
      <c r="A640" t="s">
        <v>699</v>
      </c>
      <c r="B640" s="2">
        <v>4000</v>
      </c>
      <c r="C640" t="s">
        <v>16</v>
      </c>
      <c r="D640" t="s">
        <v>4</v>
      </c>
      <c r="E640" t="s">
        <v>2002</v>
      </c>
      <c r="F640">
        <v>8</v>
      </c>
    </row>
    <row r="641" spans="1:6" x14ac:dyDescent="0.25">
      <c r="A641" t="s">
        <v>700</v>
      </c>
      <c r="B641" s="2">
        <v>5400</v>
      </c>
      <c r="C641" t="s">
        <v>16</v>
      </c>
      <c r="D641" t="s">
        <v>4</v>
      </c>
      <c r="E641" t="s">
        <v>2002</v>
      </c>
      <c r="F641">
        <v>3</v>
      </c>
    </row>
    <row r="642" spans="1:6" x14ac:dyDescent="0.25">
      <c r="A642" t="s">
        <v>701</v>
      </c>
      <c r="B642" s="2">
        <v>186983.12521814698</v>
      </c>
      <c r="C642" t="s">
        <v>16</v>
      </c>
      <c r="D642" t="s">
        <v>4</v>
      </c>
      <c r="E642" t="s">
        <v>2000</v>
      </c>
      <c r="F642">
        <v>10</v>
      </c>
    </row>
    <row r="643" spans="1:6" x14ac:dyDescent="0.25">
      <c r="A643" t="s">
        <v>702</v>
      </c>
      <c r="B643" s="2">
        <v>21500</v>
      </c>
      <c r="C643" t="s">
        <v>3</v>
      </c>
      <c r="D643" t="s">
        <v>4</v>
      </c>
      <c r="E643" t="s">
        <v>2001</v>
      </c>
      <c r="F643">
        <v>9</v>
      </c>
    </row>
    <row r="644" spans="1:6" x14ac:dyDescent="0.25">
      <c r="A644" t="s">
        <v>703</v>
      </c>
      <c r="B644" s="2">
        <v>15000</v>
      </c>
      <c r="C644" t="s">
        <v>37</v>
      </c>
      <c r="D644" t="s">
        <v>4</v>
      </c>
      <c r="E644" t="s">
        <v>2002</v>
      </c>
      <c r="F644">
        <v>2</v>
      </c>
    </row>
    <row r="645" spans="1:6" x14ac:dyDescent="0.25">
      <c r="A645" t="s">
        <v>704</v>
      </c>
      <c r="B645" s="2">
        <v>2122.8177433598262</v>
      </c>
      <c r="C645" t="s">
        <v>24</v>
      </c>
      <c r="D645" t="s">
        <v>10</v>
      </c>
      <c r="E645" t="s">
        <v>2000</v>
      </c>
      <c r="F645">
        <v>2</v>
      </c>
    </row>
    <row r="646" spans="1:6" x14ac:dyDescent="0.25">
      <c r="A646" t="s">
        <v>705</v>
      </c>
      <c r="B646" s="2">
        <v>16917.52085307044</v>
      </c>
      <c r="C646" t="s">
        <v>16</v>
      </c>
      <c r="D646" t="s">
        <v>4</v>
      </c>
      <c r="E646" t="s">
        <v>2001</v>
      </c>
      <c r="F646">
        <v>3</v>
      </c>
    </row>
    <row r="647" spans="1:6" x14ac:dyDescent="0.25">
      <c r="A647" t="s">
        <v>706</v>
      </c>
      <c r="B647" s="2">
        <v>2938.3062534280239</v>
      </c>
      <c r="C647" t="s">
        <v>16</v>
      </c>
      <c r="D647" t="s">
        <v>4</v>
      </c>
      <c r="E647" t="s">
        <v>2002</v>
      </c>
      <c r="F647">
        <v>11</v>
      </c>
    </row>
    <row r="648" spans="1:6" x14ac:dyDescent="0.25">
      <c r="A648" t="s">
        <v>707</v>
      </c>
      <c r="B648" s="2">
        <v>16800</v>
      </c>
      <c r="C648" t="s">
        <v>3</v>
      </c>
      <c r="D648" t="s">
        <v>10</v>
      </c>
      <c r="E648" t="s">
        <v>2001</v>
      </c>
      <c r="F648">
        <v>12</v>
      </c>
    </row>
    <row r="649" spans="1:6" x14ac:dyDescent="0.25">
      <c r="A649" t="s">
        <v>708</v>
      </c>
      <c r="B649" s="2">
        <v>37000</v>
      </c>
      <c r="C649" t="s">
        <v>12</v>
      </c>
      <c r="D649" t="s">
        <v>4</v>
      </c>
      <c r="E649" t="s">
        <v>2001</v>
      </c>
      <c r="F649">
        <v>10</v>
      </c>
    </row>
    <row r="650" spans="1:6" x14ac:dyDescent="0.25">
      <c r="A650" t="s">
        <v>709</v>
      </c>
      <c r="B650" s="2">
        <v>5342.3750062327708</v>
      </c>
      <c r="C650" t="s">
        <v>3</v>
      </c>
      <c r="D650" t="s">
        <v>4</v>
      </c>
      <c r="E650" t="s">
        <v>2001</v>
      </c>
      <c r="F650">
        <v>4.5</v>
      </c>
    </row>
    <row r="651" spans="1:6" x14ac:dyDescent="0.25">
      <c r="A651" t="s">
        <v>710</v>
      </c>
      <c r="B651" s="2">
        <v>3561.5833374885137</v>
      </c>
      <c r="C651" t="s">
        <v>37</v>
      </c>
      <c r="D651" t="s">
        <v>4</v>
      </c>
      <c r="E651" t="s">
        <v>2002</v>
      </c>
      <c r="F651">
        <v>3</v>
      </c>
    </row>
    <row r="652" spans="1:6" x14ac:dyDescent="0.25">
      <c r="A652" t="s">
        <v>711</v>
      </c>
      <c r="B652" s="2">
        <v>8547.8000099724322</v>
      </c>
      <c r="C652" t="s">
        <v>16</v>
      </c>
      <c r="D652" t="s">
        <v>4</v>
      </c>
      <c r="E652" t="s">
        <v>2000</v>
      </c>
      <c r="F652">
        <v>8</v>
      </c>
    </row>
    <row r="653" spans="1:6" x14ac:dyDescent="0.25">
      <c r="A653" t="s">
        <v>712</v>
      </c>
      <c r="B653" s="2">
        <v>5800</v>
      </c>
      <c r="C653" t="s">
        <v>16</v>
      </c>
      <c r="D653" t="s">
        <v>4</v>
      </c>
      <c r="E653" t="s">
        <v>2002</v>
      </c>
      <c r="F653">
        <v>8</v>
      </c>
    </row>
    <row r="654" spans="1:6" x14ac:dyDescent="0.25">
      <c r="A654" t="s">
        <v>713</v>
      </c>
      <c r="B654" s="2">
        <v>4095.8208381117906</v>
      </c>
      <c r="C654" t="s">
        <v>37</v>
      </c>
      <c r="D654" t="s">
        <v>4</v>
      </c>
      <c r="E654" t="s">
        <v>2002</v>
      </c>
      <c r="F654">
        <v>3</v>
      </c>
    </row>
    <row r="655" spans="1:6" x14ac:dyDescent="0.25">
      <c r="A655" t="s">
        <v>714</v>
      </c>
      <c r="B655" s="2">
        <v>4914.9850057341491</v>
      </c>
      <c r="C655" t="s">
        <v>16</v>
      </c>
      <c r="D655" t="s">
        <v>10</v>
      </c>
      <c r="E655" t="s">
        <v>1999</v>
      </c>
      <c r="F655">
        <v>3</v>
      </c>
    </row>
    <row r="656" spans="1:6" x14ac:dyDescent="0.25">
      <c r="A656" t="s">
        <v>715</v>
      </c>
      <c r="B656" s="2">
        <v>24000</v>
      </c>
      <c r="C656" t="s">
        <v>16</v>
      </c>
      <c r="D656" t="s">
        <v>107</v>
      </c>
      <c r="E656" t="s">
        <v>2001</v>
      </c>
      <c r="F656">
        <v>12</v>
      </c>
    </row>
    <row r="657" spans="1:6" x14ac:dyDescent="0.25">
      <c r="A657" t="s">
        <v>716</v>
      </c>
      <c r="B657" s="2">
        <v>24000</v>
      </c>
      <c r="C657" t="s">
        <v>24</v>
      </c>
      <c r="D657" t="s">
        <v>147</v>
      </c>
      <c r="E657" t="s">
        <v>2000</v>
      </c>
      <c r="F657">
        <v>15</v>
      </c>
    </row>
    <row r="658" spans="1:6" x14ac:dyDescent="0.25">
      <c r="A658" t="s">
        <v>717</v>
      </c>
      <c r="B658" s="2">
        <v>8738</v>
      </c>
      <c r="C658" t="s">
        <v>16</v>
      </c>
      <c r="D658" t="s">
        <v>4</v>
      </c>
      <c r="E658" t="s">
        <v>2002</v>
      </c>
      <c r="F658">
        <v>7.3</v>
      </c>
    </row>
    <row r="659" spans="1:6" x14ac:dyDescent="0.25">
      <c r="A659" t="s">
        <v>718</v>
      </c>
      <c r="B659" s="2">
        <v>15000</v>
      </c>
      <c r="C659" t="s">
        <v>3</v>
      </c>
      <c r="D659" t="s">
        <v>674</v>
      </c>
      <c r="E659" t="s">
        <v>2001</v>
      </c>
      <c r="F659">
        <v>1</v>
      </c>
    </row>
    <row r="660" spans="1:6" x14ac:dyDescent="0.25">
      <c r="A660" t="s">
        <v>719</v>
      </c>
      <c r="B660" s="2">
        <v>56400</v>
      </c>
      <c r="C660" t="s">
        <v>16</v>
      </c>
      <c r="D660" t="s">
        <v>147</v>
      </c>
      <c r="E660" t="s">
        <v>2000</v>
      </c>
      <c r="F660">
        <v>6</v>
      </c>
    </row>
    <row r="661" spans="1:6" x14ac:dyDescent="0.25">
      <c r="A661" t="s">
        <v>720</v>
      </c>
      <c r="B661" s="2">
        <v>10200</v>
      </c>
      <c r="C661" t="s">
        <v>3</v>
      </c>
      <c r="D661" t="s">
        <v>4</v>
      </c>
      <c r="E661" t="s">
        <v>2001</v>
      </c>
      <c r="F661">
        <v>4.5</v>
      </c>
    </row>
    <row r="662" spans="1:6" x14ac:dyDescent="0.25">
      <c r="A662" t="s">
        <v>721</v>
      </c>
      <c r="B662" s="2">
        <v>5787.5729234188348</v>
      </c>
      <c r="C662" t="s">
        <v>37</v>
      </c>
      <c r="D662" t="s">
        <v>4</v>
      </c>
      <c r="E662" t="s">
        <v>2002</v>
      </c>
      <c r="F662">
        <v>4.5</v>
      </c>
    </row>
    <row r="663" spans="1:6" x14ac:dyDescent="0.25">
      <c r="A663" t="s">
        <v>722</v>
      </c>
      <c r="B663" s="2">
        <v>105000</v>
      </c>
      <c r="C663" t="s">
        <v>59</v>
      </c>
      <c r="D663" t="s">
        <v>8</v>
      </c>
      <c r="E663" t="s">
        <v>2000</v>
      </c>
      <c r="F663">
        <v>15</v>
      </c>
    </row>
    <row r="664" spans="1:6" x14ac:dyDescent="0.25">
      <c r="A664" t="s">
        <v>723</v>
      </c>
      <c r="B664" s="2">
        <v>4451.9791718606421</v>
      </c>
      <c r="C664" t="s">
        <v>16</v>
      </c>
      <c r="D664" t="s">
        <v>4</v>
      </c>
      <c r="E664" t="s">
        <v>2000</v>
      </c>
      <c r="F664">
        <v>5</v>
      </c>
    </row>
    <row r="665" spans="1:6" x14ac:dyDescent="0.25">
      <c r="A665" t="s">
        <v>724</v>
      </c>
      <c r="B665" s="2">
        <v>8369.7208430980063</v>
      </c>
      <c r="C665" t="s">
        <v>59</v>
      </c>
      <c r="D665" t="s">
        <v>4</v>
      </c>
      <c r="E665" t="s">
        <v>2002</v>
      </c>
      <c r="F665">
        <v>4</v>
      </c>
    </row>
    <row r="666" spans="1:6" x14ac:dyDescent="0.25">
      <c r="A666" t="s">
        <v>725</v>
      </c>
      <c r="B666" s="2">
        <v>17067.637625607145</v>
      </c>
      <c r="C666" t="s">
        <v>16</v>
      </c>
      <c r="D666" t="s">
        <v>311</v>
      </c>
      <c r="E666" t="s">
        <v>2001</v>
      </c>
      <c r="F666">
        <v>9</v>
      </c>
    </row>
    <row r="667" spans="1:6" x14ac:dyDescent="0.25">
      <c r="A667" t="s">
        <v>726</v>
      </c>
      <c r="B667" s="2">
        <v>101990.96564026357</v>
      </c>
      <c r="C667" t="s">
        <v>16</v>
      </c>
      <c r="D667" t="s">
        <v>65</v>
      </c>
      <c r="E667" t="s">
        <v>1999</v>
      </c>
      <c r="F667">
        <v>20</v>
      </c>
    </row>
    <row r="668" spans="1:6" x14ac:dyDescent="0.25">
      <c r="A668" t="s">
        <v>727</v>
      </c>
      <c r="B668" s="2">
        <v>3917.7416712373652</v>
      </c>
      <c r="C668" t="s">
        <v>3</v>
      </c>
      <c r="D668" t="s">
        <v>4</v>
      </c>
      <c r="E668" t="s">
        <v>2000</v>
      </c>
      <c r="F668">
        <v>3</v>
      </c>
    </row>
    <row r="669" spans="1:6" x14ac:dyDescent="0.25">
      <c r="A669" t="s">
        <v>728</v>
      </c>
      <c r="B669" s="2">
        <v>52000</v>
      </c>
      <c r="C669" t="s">
        <v>26</v>
      </c>
      <c r="D669" t="s">
        <v>8</v>
      </c>
      <c r="E669" t="s">
        <v>2001</v>
      </c>
      <c r="F669">
        <v>18</v>
      </c>
    </row>
    <row r="670" spans="1:6" x14ac:dyDescent="0.25">
      <c r="A670" t="s">
        <v>729</v>
      </c>
      <c r="B670" s="2">
        <v>4630.058338735068</v>
      </c>
      <c r="C670" t="s">
        <v>3</v>
      </c>
      <c r="D670" t="s">
        <v>4</v>
      </c>
      <c r="E670" t="s">
        <v>2001</v>
      </c>
      <c r="F670">
        <v>2</v>
      </c>
    </row>
    <row r="671" spans="1:6" x14ac:dyDescent="0.25">
      <c r="A671" t="s">
        <v>730</v>
      </c>
      <c r="B671" s="2">
        <v>2136.9500024931081</v>
      </c>
      <c r="C671" t="s">
        <v>3</v>
      </c>
      <c r="D671" t="s">
        <v>4</v>
      </c>
      <c r="E671" t="s">
        <v>2000</v>
      </c>
      <c r="F671">
        <v>3</v>
      </c>
    </row>
    <row r="672" spans="1:6" x14ac:dyDescent="0.25">
      <c r="A672" t="s">
        <v>731</v>
      </c>
      <c r="B672" s="2">
        <v>13000</v>
      </c>
      <c r="C672" t="s">
        <v>3</v>
      </c>
      <c r="D672" t="s">
        <v>4</v>
      </c>
      <c r="E672" t="s">
        <v>1999</v>
      </c>
      <c r="F672">
        <v>4</v>
      </c>
    </row>
    <row r="673" spans="1:6" x14ac:dyDescent="0.25">
      <c r="A673" t="s">
        <v>732</v>
      </c>
      <c r="B673" s="2">
        <v>2564.3400029917298</v>
      </c>
      <c r="C673" t="s">
        <v>16</v>
      </c>
      <c r="D673" t="s">
        <v>4</v>
      </c>
      <c r="E673" t="s">
        <v>2000</v>
      </c>
      <c r="F673">
        <v>7</v>
      </c>
    </row>
    <row r="674" spans="1:6" x14ac:dyDescent="0.25">
      <c r="A674" t="s">
        <v>733</v>
      </c>
      <c r="B674" s="2">
        <v>20479.104190558952</v>
      </c>
      <c r="C674" t="s">
        <v>16</v>
      </c>
      <c r="D674" t="s">
        <v>4</v>
      </c>
      <c r="E674" t="s">
        <v>2000</v>
      </c>
      <c r="F674">
        <v>7</v>
      </c>
    </row>
    <row r="675" spans="1:6" x14ac:dyDescent="0.25">
      <c r="A675" t="s">
        <v>734</v>
      </c>
      <c r="B675" s="2">
        <v>33500</v>
      </c>
      <c r="C675" t="s">
        <v>24</v>
      </c>
      <c r="D675" t="s">
        <v>323</v>
      </c>
      <c r="E675" t="s">
        <v>1999</v>
      </c>
      <c r="F675">
        <v>10</v>
      </c>
    </row>
    <row r="676" spans="1:6" x14ac:dyDescent="0.25">
      <c r="A676" t="s">
        <v>735</v>
      </c>
      <c r="B676" s="2">
        <v>50000</v>
      </c>
      <c r="C676" t="s">
        <v>16</v>
      </c>
      <c r="D676" t="s">
        <v>4</v>
      </c>
      <c r="E676" t="s">
        <v>2000</v>
      </c>
      <c r="F676">
        <v>20</v>
      </c>
    </row>
    <row r="677" spans="1:6" x14ac:dyDescent="0.25">
      <c r="A677" t="s">
        <v>736</v>
      </c>
      <c r="B677" s="2">
        <v>5342.3750062327708</v>
      </c>
      <c r="C677" t="s">
        <v>16</v>
      </c>
      <c r="D677" t="s">
        <v>4</v>
      </c>
      <c r="E677" t="s">
        <v>2000</v>
      </c>
      <c r="F677">
        <v>3</v>
      </c>
    </row>
    <row r="678" spans="1:6" x14ac:dyDescent="0.25">
      <c r="A678" t="s">
        <v>737</v>
      </c>
      <c r="B678" s="2">
        <v>11539.530013462785</v>
      </c>
      <c r="C678" t="s">
        <v>3</v>
      </c>
      <c r="D678" t="s">
        <v>4</v>
      </c>
      <c r="E678" t="s">
        <v>2002</v>
      </c>
      <c r="F678">
        <v>2</v>
      </c>
    </row>
    <row r="679" spans="1:6" x14ac:dyDescent="0.25">
      <c r="A679" t="s">
        <v>738</v>
      </c>
      <c r="B679" s="2">
        <v>7000</v>
      </c>
      <c r="C679" t="s">
        <v>16</v>
      </c>
      <c r="D679" t="s">
        <v>4</v>
      </c>
      <c r="E679" t="s">
        <v>2001</v>
      </c>
      <c r="F679">
        <v>23</v>
      </c>
    </row>
    <row r="680" spans="1:6" x14ac:dyDescent="0.25">
      <c r="A680" t="s">
        <v>739</v>
      </c>
      <c r="B680" s="2">
        <v>6767.0083412281756</v>
      </c>
      <c r="C680" t="s">
        <v>37</v>
      </c>
      <c r="D680" t="s">
        <v>4</v>
      </c>
      <c r="E680" t="s">
        <v>2000</v>
      </c>
      <c r="F680">
        <v>6</v>
      </c>
    </row>
    <row r="681" spans="1:6" x14ac:dyDescent="0.25">
      <c r="A681" t="s">
        <v>740</v>
      </c>
      <c r="B681" s="2">
        <v>3000</v>
      </c>
      <c r="C681" t="s">
        <v>59</v>
      </c>
      <c r="D681" t="s">
        <v>741</v>
      </c>
      <c r="E681" t="s">
        <v>2000</v>
      </c>
      <c r="F681">
        <v>2</v>
      </c>
    </row>
    <row r="682" spans="1:6" x14ac:dyDescent="0.25">
      <c r="A682" t="s">
        <v>742</v>
      </c>
      <c r="B682" s="2">
        <v>4451.9791718606421</v>
      </c>
      <c r="C682" t="s">
        <v>37</v>
      </c>
      <c r="D682" t="s">
        <v>4</v>
      </c>
      <c r="E682" t="s">
        <v>2002</v>
      </c>
      <c r="F682">
        <v>4</v>
      </c>
    </row>
    <row r="683" spans="1:6" x14ac:dyDescent="0.25">
      <c r="A683" t="s">
        <v>743</v>
      </c>
      <c r="B683" s="2">
        <v>2671.1875031163854</v>
      </c>
      <c r="C683" t="s">
        <v>21</v>
      </c>
      <c r="D683" t="s">
        <v>4</v>
      </c>
      <c r="E683" t="s">
        <v>2001</v>
      </c>
      <c r="F683">
        <v>4.5</v>
      </c>
    </row>
    <row r="684" spans="1:6" x14ac:dyDescent="0.25">
      <c r="A684" t="s">
        <v>744</v>
      </c>
      <c r="B684" s="2">
        <v>4957.7240057840108</v>
      </c>
      <c r="C684" t="s">
        <v>16</v>
      </c>
      <c r="D684" t="s">
        <v>4</v>
      </c>
      <c r="E684" t="s">
        <v>2001</v>
      </c>
      <c r="F684">
        <v>5</v>
      </c>
    </row>
    <row r="685" spans="1:6" x14ac:dyDescent="0.25">
      <c r="A685" t="s">
        <v>745</v>
      </c>
      <c r="B685" s="2">
        <v>3205.4250037396623</v>
      </c>
      <c r="C685" t="s">
        <v>24</v>
      </c>
      <c r="D685" t="s">
        <v>4</v>
      </c>
      <c r="E685" t="s">
        <v>2000</v>
      </c>
      <c r="F685">
        <v>14</v>
      </c>
    </row>
    <row r="686" spans="1:6" x14ac:dyDescent="0.25">
      <c r="A686" t="s">
        <v>746</v>
      </c>
      <c r="B686" s="2">
        <v>14246.333349954055</v>
      </c>
      <c r="C686" t="s">
        <v>16</v>
      </c>
      <c r="D686" t="s">
        <v>4</v>
      </c>
      <c r="E686" t="s">
        <v>2001</v>
      </c>
      <c r="F686">
        <v>7</v>
      </c>
    </row>
    <row r="687" spans="1:6" x14ac:dyDescent="0.25">
      <c r="A687" t="s">
        <v>747</v>
      </c>
      <c r="B687" s="2">
        <v>5342.3750062327708</v>
      </c>
      <c r="C687" t="s">
        <v>3</v>
      </c>
      <c r="D687" t="s">
        <v>4</v>
      </c>
      <c r="E687" t="s">
        <v>2002</v>
      </c>
      <c r="F687">
        <v>7</v>
      </c>
    </row>
    <row r="688" spans="1:6" x14ac:dyDescent="0.25">
      <c r="A688" t="s">
        <v>748</v>
      </c>
      <c r="B688" s="2">
        <v>6588.9291743537506</v>
      </c>
      <c r="C688" t="s">
        <v>3</v>
      </c>
      <c r="D688" t="s">
        <v>4</v>
      </c>
      <c r="E688" t="s">
        <v>2002</v>
      </c>
      <c r="F688">
        <v>2</v>
      </c>
    </row>
    <row r="689" spans="1:6" x14ac:dyDescent="0.25">
      <c r="A689" t="s">
        <v>749</v>
      </c>
      <c r="B689" s="2">
        <v>6588.9291743537506</v>
      </c>
      <c r="C689" t="s">
        <v>3</v>
      </c>
      <c r="D689" t="s">
        <v>4</v>
      </c>
      <c r="E689" t="s">
        <v>2002</v>
      </c>
      <c r="F689">
        <v>2</v>
      </c>
    </row>
    <row r="690" spans="1:6" x14ac:dyDescent="0.25">
      <c r="A690" t="s">
        <v>750</v>
      </c>
      <c r="B690" s="2">
        <v>35000</v>
      </c>
      <c r="C690" t="s">
        <v>26</v>
      </c>
      <c r="D690" t="s">
        <v>8</v>
      </c>
      <c r="E690" t="s">
        <v>2001</v>
      </c>
      <c r="F690">
        <v>10</v>
      </c>
    </row>
    <row r="691" spans="1:6" x14ac:dyDescent="0.25">
      <c r="A691" t="s">
        <v>751</v>
      </c>
      <c r="B691" s="2">
        <v>12821.700014958649</v>
      </c>
      <c r="C691" t="s">
        <v>24</v>
      </c>
      <c r="D691" t="s">
        <v>4</v>
      </c>
      <c r="E691" t="s">
        <v>2001</v>
      </c>
      <c r="F691">
        <v>4</v>
      </c>
    </row>
    <row r="692" spans="1:6" x14ac:dyDescent="0.25">
      <c r="A692" t="s">
        <v>752</v>
      </c>
      <c r="B692" s="2">
        <v>10684.750012465542</v>
      </c>
      <c r="C692" t="s">
        <v>16</v>
      </c>
      <c r="D692" t="s">
        <v>4</v>
      </c>
      <c r="E692" t="s">
        <v>1999</v>
      </c>
      <c r="F692">
        <v>2</v>
      </c>
    </row>
    <row r="693" spans="1:6" x14ac:dyDescent="0.25">
      <c r="A693" t="s">
        <v>753</v>
      </c>
      <c r="B693" s="2">
        <v>10000</v>
      </c>
      <c r="C693" t="s">
        <v>16</v>
      </c>
      <c r="D693" t="s">
        <v>4</v>
      </c>
      <c r="E693" t="s">
        <v>2001</v>
      </c>
      <c r="F693">
        <v>2</v>
      </c>
    </row>
    <row r="694" spans="1:6" x14ac:dyDescent="0.25">
      <c r="A694" t="s">
        <v>754</v>
      </c>
      <c r="B694" s="2">
        <v>2136.9500024931081</v>
      </c>
      <c r="C694" t="s">
        <v>3</v>
      </c>
      <c r="D694" t="s">
        <v>4</v>
      </c>
      <c r="E694" t="s">
        <v>1999</v>
      </c>
      <c r="F694">
        <v>0</v>
      </c>
    </row>
    <row r="695" spans="1:6" x14ac:dyDescent="0.25">
      <c r="A695" t="s">
        <v>755</v>
      </c>
      <c r="B695" s="2">
        <v>8547.8000099724322</v>
      </c>
      <c r="C695" t="s">
        <v>3</v>
      </c>
      <c r="D695" t="s">
        <v>4</v>
      </c>
      <c r="E695" t="s">
        <v>2001</v>
      </c>
      <c r="F695">
        <v>4</v>
      </c>
    </row>
    <row r="696" spans="1:6" x14ac:dyDescent="0.25">
      <c r="A696" t="s">
        <v>756</v>
      </c>
      <c r="B696" s="2">
        <v>8013.5625093491553</v>
      </c>
      <c r="C696" t="s">
        <v>3</v>
      </c>
      <c r="D696" t="s">
        <v>4</v>
      </c>
      <c r="E696" t="s">
        <v>2002</v>
      </c>
      <c r="F696">
        <v>8</v>
      </c>
    </row>
    <row r="697" spans="1:6" x14ac:dyDescent="0.25">
      <c r="A697" t="s">
        <v>757</v>
      </c>
      <c r="B697" s="2">
        <v>7123.1666749770275</v>
      </c>
      <c r="C697" t="s">
        <v>59</v>
      </c>
      <c r="D697" t="s">
        <v>4</v>
      </c>
      <c r="E697" t="s">
        <v>2001</v>
      </c>
      <c r="F697">
        <v>0</v>
      </c>
    </row>
    <row r="698" spans="1:6" x14ac:dyDescent="0.25">
      <c r="A698" t="s">
        <v>758</v>
      </c>
      <c r="B698" s="2">
        <v>40958.208381117904</v>
      </c>
      <c r="C698" t="s">
        <v>3</v>
      </c>
      <c r="D698" t="s">
        <v>4</v>
      </c>
      <c r="E698" t="s">
        <v>2002</v>
      </c>
      <c r="F698">
        <v>5</v>
      </c>
    </row>
    <row r="699" spans="1:6" x14ac:dyDescent="0.25">
      <c r="A699" t="s">
        <v>759</v>
      </c>
      <c r="B699" s="2">
        <v>11325.835013213473</v>
      </c>
      <c r="C699" t="s">
        <v>16</v>
      </c>
      <c r="D699" t="s">
        <v>4</v>
      </c>
      <c r="E699" t="s">
        <v>2001</v>
      </c>
      <c r="F699">
        <v>2</v>
      </c>
    </row>
    <row r="700" spans="1:6" x14ac:dyDescent="0.25">
      <c r="A700" t="s">
        <v>760</v>
      </c>
      <c r="B700" s="2">
        <v>15000</v>
      </c>
      <c r="C700" t="s">
        <v>24</v>
      </c>
      <c r="D700" t="s">
        <v>761</v>
      </c>
      <c r="E700" t="s">
        <v>2001</v>
      </c>
      <c r="F700">
        <v>2</v>
      </c>
    </row>
    <row r="701" spans="1:6" x14ac:dyDescent="0.25">
      <c r="A701" t="s">
        <v>762</v>
      </c>
      <c r="B701" s="2">
        <v>12000</v>
      </c>
      <c r="C701" t="s">
        <v>3</v>
      </c>
      <c r="D701" t="s">
        <v>147</v>
      </c>
      <c r="E701" t="s">
        <v>2001</v>
      </c>
      <c r="F701">
        <v>12</v>
      </c>
    </row>
    <row r="702" spans="1:6" x14ac:dyDescent="0.25">
      <c r="A702" t="s">
        <v>763</v>
      </c>
      <c r="B702" s="2">
        <v>8903.9583437212841</v>
      </c>
      <c r="C702" t="s">
        <v>37</v>
      </c>
      <c r="D702" t="s">
        <v>4</v>
      </c>
      <c r="E702" t="s">
        <v>2000</v>
      </c>
      <c r="F702">
        <v>1</v>
      </c>
    </row>
    <row r="703" spans="1:6" x14ac:dyDescent="0.25">
      <c r="A703" t="s">
        <v>764</v>
      </c>
      <c r="B703" s="2">
        <v>8903.9583437212841</v>
      </c>
      <c r="C703" t="s">
        <v>12</v>
      </c>
      <c r="D703" t="s">
        <v>4</v>
      </c>
      <c r="E703" t="s">
        <v>2002</v>
      </c>
      <c r="F703">
        <v>2</v>
      </c>
    </row>
    <row r="704" spans="1:6" x14ac:dyDescent="0.25">
      <c r="A704" t="s">
        <v>765</v>
      </c>
      <c r="B704" s="2">
        <v>12821.700014958649</v>
      </c>
      <c r="C704" t="s">
        <v>16</v>
      </c>
      <c r="D704" t="s">
        <v>4</v>
      </c>
      <c r="E704" t="s">
        <v>2002</v>
      </c>
      <c r="F704">
        <v>10</v>
      </c>
    </row>
    <row r="705" spans="1:6" x14ac:dyDescent="0.25">
      <c r="A705" t="s">
        <v>766</v>
      </c>
      <c r="B705" s="2">
        <v>3205.4250037396623</v>
      </c>
      <c r="C705" t="s">
        <v>16</v>
      </c>
      <c r="D705" t="s">
        <v>4</v>
      </c>
      <c r="E705" t="s">
        <v>2002</v>
      </c>
      <c r="F705">
        <v>7</v>
      </c>
    </row>
    <row r="706" spans="1:6" x14ac:dyDescent="0.25">
      <c r="A706" t="s">
        <v>767</v>
      </c>
      <c r="B706" s="2">
        <v>6677.9687577909626</v>
      </c>
      <c r="C706" t="s">
        <v>16</v>
      </c>
      <c r="D706" t="s">
        <v>4</v>
      </c>
      <c r="E706" t="s">
        <v>2000</v>
      </c>
      <c r="F706">
        <v>6</v>
      </c>
    </row>
    <row r="707" spans="1:6" x14ac:dyDescent="0.25">
      <c r="A707" t="s">
        <v>768</v>
      </c>
      <c r="B707" s="2">
        <v>67794.987956419791</v>
      </c>
      <c r="C707" t="s">
        <v>16</v>
      </c>
      <c r="D707" t="s">
        <v>616</v>
      </c>
      <c r="E707" t="s">
        <v>2001</v>
      </c>
      <c r="F707">
        <v>15</v>
      </c>
    </row>
    <row r="708" spans="1:6" x14ac:dyDescent="0.25">
      <c r="A708" t="s">
        <v>769</v>
      </c>
      <c r="B708" s="2">
        <v>31250</v>
      </c>
      <c r="C708" t="s">
        <v>16</v>
      </c>
      <c r="D708" t="s">
        <v>4</v>
      </c>
      <c r="E708" t="s">
        <v>2000</v>
      </c>
      <c r="F708">
        <v>6</v>
      </c>
    </row>
    <row r="709" spans="1:6" x14ac:dyDescent="0.25">
      <c r="A709" t="s">
        <v>770</v>
      </c>
      <c r="B709" s="2">
        <v>2165.2740982270229</v>
      </c>
      <c r="C709" t="s">
        <v>16</v>
      </c>
      <c r="D709" t="s">
        <v>10</v>
      </c>
      <c r="E709" t="s">
        <v>2002</v>
      </c>
      <c r="F709">
        <v>2</v>
      </c>
    </row>
    <row r="710" spans="1:6" x14ac:dyDescent="0.25">
      <c r="A710" t="s">
        <v>771</v>
      </c>
      <c r="B710" s="2">
        <v>7123.1666749770275</v>
      </c>
      <c r="C710" t="s">
        <v>37</v>
      </c>
      <c r="D710" t="s">
        <v>4</v>
      </c>
      <c r="E710" t="s">
        <v>2002</v>
      </c>
      <c r="F710">
        <v>4</v>
      </c>
    </row>
    <row r="711" spans="1:6" x14ac:dyDescent="0.25">
      <c r="A711" t="s">
        <v>772</v>
      </c>
      <c r="B711" s="2">
        <v>130000</v>
      </c>
      <c r="C711" t="s">
        <v>16</v>
      </c>
      <c r="D711" t="s">
        <v>65</v>
      </c>
      <c r="E711" t="s">
        <v>2001</v>
      </c>
      <c r="F711">
        <v>3</v>
      </c>
    </row>
    <row r="712" spans="1:6" x14ac:dyDescent="0.25">
      <c r="A712" t="s">
        <v>773</v>
      </c>
      <c r="B712" s="2">
        <v>4451.9791718606421</v>
      </c>
      <c r="C712" t="s">
        <v>16</v>
      </c>
      <c r="D712" t="s">
        <v>4</v>
      </c>
      <c r="E712" t="s">
        <v>2001</v>
      </c>
      <c r="F712">
        <v>6</v>
      </c>
    </row>
    <row r="713" spans="1:6" x14ac:dyDescent="0.25">
      <c r="A713" t="s">
        <v>774</v>
      </c>
      <c r="B713" s="2">
        <v>9600</v>
      </c>
      <c r="C713" t="s">
        <v>3</v>
      </c>
      <c r="D713" t="s">
        <v>38</v>
      </c>
      <c r="E713" t="s">
        <v>2001</v>
      </c>
      <c r="F713">
        <v>2</v>
      </c>
    </row>
    <row r="714" spans="1:6" x14ac:dyDescent="0.25">
      <c r="A714" t="s">
        <v>775</v>
      </c>
      <c r="B714" s="2">
        <v>6945.0875081026015</v>
      </c>
      <c r="C714" t="s">
        <v>3</v>
      </c>
      <c r="D714" t="s">
        <v>4</v>
      </c>
      <c r="E714" t="s">
        <v>2001</v>
      </c>
      <c r="F714">
        <v>1</v>
      </c>
    </row>
    <row r="715" spans="1:6" x14ac:dyDescent="0.25">
      <c r="A715" t="s">
        <v>776</v>
      </c>
      <c r="B715" s="2">
        <v>10684.750012465542</v>
      </c>
      <c r="C715" t="s">
        <v>24</v>
      </c>
      <c r="D715" t="s">
        <v>4</v>
      </c>
      <c r="E715" t="s">
        <v>2002</v>
      </c>
      <c r="F715">
        <v>7</v>
      </c>
    </row>
    <row r="716" spans="1:6" x14ac:dyDescent="0.25">
      <c r="A716" t="s">
        <v>777</v>
      </c>
      <c r="B716" s="2">
        <v>8547.8000099724322</v>
      </c>
      <c r="C716" t="s">
        <v>3</v>
      </c>
      <c r="D716" t="s">
        <v>4</v>
      </c>
      <c r="E716" t="s">
        <v>2000</v>
      </c>
      <c r="F716">
        <v>3.5</v>
      </c>
    </row>
    <row r="717" spans="1:6" x14ac:dyDescent="0.25">
      <c r="A717" t="s">
        <v>778</v>
      </c>
      <c r="B717" s="2">
        <v>35000</v>
      </c>
      <c r="C717" t="s">
        <v>3</v>
      </c>
      <c r="D717" t="s">
        <v>4</v>
      </c>
      <c r="E717" t="s">
        <v>2001</v>
      </c>
      <c r="F717">
        <v>10</v>
      </c>
    </row>
    <row r="718" spans="1:6" x14ac:dyDescent="0.25">
      <c r="A718" t="s">
        <v>779</v>
      </c>
      <c r="B718" s="2">
        <v>17807.916687442568</v>
      </c>
      <c r="C718" t="s">
        <v>3</v>
      </c>
      <c r="D718" t="s">
        <v>4</v>
      </c>
      <c r="E718" t="s">
        <v>2000</v>
      </c>
      <c r="F718">
        <v>12</v>
      </c>
    </row>
    <row r="719" spans="1:6" x14ac:dyDescent="0.25">
      <c r="A719" t="s">
        <v>780</v>
      </c>
      <c r="B719" s="2">
        <v>3205.4250037396623</v>
      </c>
      <c r="C719" t="s">
        <v>24</v>
      </c>
      <c r="D719" t="s">
        <v>4</v>
      </c>
      <c r="E719" t="s">
        <v>2002</v>
      </c>
      <c r="F719">
        <v>4</v>
      </c>
    </row>
    <row r="720" spans="1:6" x14ac:dyDescent="0.25">
      <c r="A720" t="s">
        <v>781</v>
      </c>
      <c r="B720" s="2">
        <v>60000</v>
      </c>
      <c r="C720" t="s">
        <v>16</v>
      </c>
      <c r="D720" t="s">
        <v>52</v>
      </c>
      <c r="E720" t="s">
        <v>2001</v>
      </c>
      <c r="F720">
        <v>10</v>
      </c>
    </row>
    <row r="721" spans="1:6" x14ac:dyDescent="0.25">
      <c r="A721" t="s">
        <v>782</v>
      </c>
      <c r="B721" s="2">
        <v>14246.333349954055</v>
      </c>
      <c r="C721" t="s">
        <v>16</v>
      </c>
      <c r="D721" t="s">
        <v>4</v>
      </c>
      <c r="E721" t="s">
        <v>2000</v>
      </c>
      <c r="F721">
        <v>13</v>
      </c>
    </row>
    <row r="722" spans="1:6" x14ac:dyDescent="0.25">
      <c r="A722" t="s">
        <v>783</v>
      </c>
      <c r="B722" s="2">
        <v>10684.750012465542</v>
      </c>
      <c r="C722" t="s">
        <v>16</v>
      </c>
      <c r="D722" t="s">
        <v>4</v>
      </c>
      <c r="E722" t="s">
        <v>2000</v>
      </c>
      <c r="F722">
        <v>8</v>
      </c>
    </row>
    <row r="723" spans="1:6" x14ac:dyDescent="0.25">
      <c r="A723" t="s">
        <v>784</v>
      </c>
      <c r="B723" s="2">
        <v>40000</v>
      </c>
      <c r="C723" t="s">
        <v>16</v>
      </c>
      <c r="D723" t="s">
        <v>4</v>
      </c>
      <c r="E723" t="s">
        <v>2002</v>
      </c>
      <c r="F723">
        <v>15</v>
      </c>
    </row>
    <row r="724" spans="1:6" x14ac:dyDescent="0.25">
      <c r="A724" t="s">
        <v>785</v>
      </c>
      <c r="B724" s="2">
        <v>5022</v>
      </c>
      <c r="C724" t="s">
        <v>3</v>
      </c>
      <c r="D724" t="s">
        <v>10</v>
      </c>
      <c r="E724" t="s">
        <v>2001</v>
      </c>
      <c r="F724">
        <v>15</v>
      </c>
    </row>
    <row r="725" spans="1:6" x14ac:dyDescent="0.25">
      <c r="A725" t="s">
        <v>786</v>
      </c>
      <c r="B725" s="2">
        <v>7301.2458418514525</v>
      </c>
      <c r="C725" t="s">
        <v>3</v>
      </c>
      <c r="D725" t="s">
        <v>4</v>
      </c>
      <c r="E725" t="s">
        <v>2002</v>
      </c>
      <c r="F725">
        <v>5</v>
      </c>
    </row>
    <row r="726" spans="1:6" x14ac:dyDescent="0.25">
      <c r="A726" t="s">
        <v>787</v>
      </c>
      <c r="B726" s="2">
        <v>19831.432821021317</v>
      </c>
      <c r="C726" t="s">
        <v>3</v>
      </c>
      <c r="D726" t="s">
        <v>788</v>
      </c>
      <c r="E726" t="s">
        <v>2002</v>
      </c>
      <c r="F726">
        <v>5</v>
      </c>
    </row>
    <row r="727" spans="1:6" x14ac:dyDescent="0.25">
      <c r="A727" t="s">
        <v>789</v>
      </c>
      <c r="B727" s="2">
        <v>10684.750012465542</v>
      </c>
      <c r="C727" t="s">
        <v>16</v>
      </c>
      <c r="D727" t="s">
        <v>4</v>
      </c>
      <c r="E727" t="s">
        <v>2001</v>
      </c>
      <c r="F727">
        <v>5</v>
      </c>
    </row>
    <row r="728" spans="1:6" x14ac:dyDescent="0.25">
      <c r="A728" t="s">
        <v>790</v>
      </c>
      <c r="B728" s="2">
        <v>4800</v>
      </c>
      <c r="C728" t="s">
        <v>3</v>
      </c>
      <c r="D728" t="s">
        <v>791</v>
      </c>
      <c r="E728" t="s">
        <v>2001</v>
      </c>
      <c r="F728">
        <v>2</v>
      </c>
    </row>
    <row r="729" spans="1:6" x14ac:dyDescent="0.25">
      <c r="A729" t="s">
        <v>792</v>
      </c>
      <c r="B729" s="2">
        <v>83846.362973446114</v>
      </c>
      <c r="C729" t="s">
        <v>3</v>
      </c>
      <c r="D729" t="s">
        <v>17</v>
      </c>
      <c r="E729" t="s">
        <v>2001</v>
      </c>
      <c r="F729">
        <v>7</v>
      </c>
    </row>
    <row r="730" spans="1:6" x14ac:dyDescent="0.25">
      <c r="A730" t="s">
        <v>793</v>
      </c>
      <c r="B730" s="2">
        <v>15000</v>
      </c>
      <c r="C730" t="s">
        <v>6</v>
      </c>
      <c r="D730" t="s">
        <v>4</v>
      </c>
      <c r="E730" t="s">
        <v>2000</v>
      </c>
      <c r="F730">
        <v>2</v>
      </c>
    </row>
    <row r="731" spans="1:6" x14ac:dyDescent="0.25">
      <c r="A731" t="s">
        <v>794</v>
      </c>
      <c r="B731" s="2">
        <v>10000</v>
      </c>
      <c r="C731" t="s">
        <v>3</v>
      </c>
      <c r="D731" t="s">
        <v>4</v>
      </c>
      <c r="E731" t="s">
        <v>2001</v>
      </c>
      <c r="F731">
        <v>12</v>
      </c>
    </row>
    <row r="732" spans="1:6" x14ac:dyDescent="0.25">
      <c r="A732" t="s">
        <v>795</v>
      </c>
      <c r="B732" s="2">
        <v>116637.19213297902</v>
      </c>
      <c r="C732" t="s">
        <v>16</v>
      </c>
      <c r="D732" t="s">
        <v>55</v>
      </c>
      <c r="E732" t="s">
        <v>2001</v>
      </c>
      <c r="F732">
        <v>5</v>
      </c>
    </row>
    <row r="733" spans="1:6" x14ac:dyDescent="0.25">
      <c r="A733" t="s">
        <v>796</v>
      </c>
      <c r="B733" s="2">
        <v>34357.533974522659</v>
      </c>
      <c r="C733" t="s">
        <v>3</v>
      </c>
      <c r="D733" t="s">
        <v>55</v>
      </c>
      <c r="E733" t="s">
        <v>2002</v>
      </c>
      <c r="F733">
        <v>1.5</v>
      </c>
    </row>
    <row r="734" spans="1:6" x14ac:dyDescent="0.25">
      <c r="A734" t="s">
        <v>797</v>
      </c>
      <c r="B734" s="2">
        <v>102451.58768437347</v>
      </c>
      <c r="C734" t="s">
        <v>16</v>
      </c>
      <c r="D734" t="s">
        <v>55</v>
      </c>
      <c r="E734" t="s">
        <v>2001</v>
      </c>
      <c r="F734">
        <v>15</v>
      </c>
    </row>
    <row r="735" spans="1:6" x14ac:dyDescent="0.25">
      <c r="A735" t="s">
        <v>798</v>
      </c>
      <c r="B735" s="2">
        <v>16000</v>
      </c>
      <c r="C735" t="s">
        <v>12</v>
      </c>
      <c r="D735" t="s">
        <v>4</v>
      </c>
      <c r="E735" t="s">
        <v>2000</v>
      </c>
      <c r="F735">
        <v>5</v>
      </c>
    </row>
    <row r="736" spans="1:6" x14ac:dyDescent="0.25">
      <c r="A736" t="s">
        <v>799</v>
      </c>
      <c r="B736" s="2">
        <v>6000</v>
      </c>
      <c r="C736" t="s">
        <v>16</v>
      </c>
      <c r="D736" t="s">
        <v>4</v>
      </c>
      <c r="E736" t="s">
        <v>2000</v>
      </c>
      <c r="F736">
        <v>6</v>
      </c>
    </row>
    <row r="737" spans="1:6" x14ac:dyDescent="0.25">
      <c r="A737" t="s">
        <v>800</v>
      </c>
      <c r="B737" s="2">
        <v>6410.8500074793246</v>
      </c>
      <c r="C737" t="s">
        <v>16</v>
      </c>
      <c r="D737" t="s">
        <v>4</v>
      </c>
      <c r="E737" t="s">
        <v>2002</v>
      </c>
      <c r="F737">
        <v>6</v>
      </c>
    </row>
    <row r="738" spans="1:6" x14ac:dyDescent="0.25">
      <c r="A738" t="s">
        <v>801</v>
      </c>
      <c r="B738" s="2">
        <v>36000</v>
      </c>
      <c r="C738" t="s">
        <v>12</v>
      </c>
      <c r="D738" t="s">
        <v>147</v>
      </c>
      <c r="E738" t="s">
        <v>1999</v>
      </c>
      <c r="F738">
        <v>7</v>
      </c>
    </row>
    <row r="739" spans="1:6" x14ac:dyDescent="0.25">
      <c r="A739" t="s">
        <v>802</v>
      </c>
      <c r="B739" s="2">
        <v>20000</v>
      </c>
      <c r="C739" t="s">
        <v>12</v>
      </c>
      <c r="D739" t="s">
        <v>4</v>
      </c>
      <c r="E739" t="s">
        <v>1999</v>
      </c>
      <c r="F739">
        <v>7</v>
      </c>
    </row>
    <row r="740" spans="1:6" x14ac:dyDescent="0.25">
      <c r="A740" t="s">
        <v>803</v>
      </c>
      <c r="B740" s="2">
        <v>4273.9000049862161</v>
      </c>
      <c r="C740" t="s">
        <v>24</v>
      </c>
      <c r="D740" t="s">
        <v>4</v>
      </c>
      <c r="E740" t="s">
        <v>2001</v>
      </c>
      <c r="F740">
        <v>8</v>
      </c>
    </row>
    <row r="741" spans="1:6" x14ac:dyDescent="0.25">
      <c r="A741" t="s">
        <v>804</v>
      </c>
      <c r="B741" s="2">
        <v>37828.278529614821</v>
      </c>
      <c r="C741" t="s">
        <v>26</v>
      </c>
      <c r="D741" t="s">
        <v>55</v>
      </c>
      <c r="E741" t="s">
        <v>2002</v>
      </c>
      <c r="F741">
        <v>8</v>
      </c>
    </row>
    <row r="742" spans="1:6" x14ac:dyDescent="0.25">
      <c r="A742" t="s">
        <v>805</v>
      </c>
      <c r="B742" s="2">
        <v>11000</v>
      </c>
      <c r="C742" t="s">
        <v>16</v>
      </c>
      <c r="D742" t="s">
        <v>660</v>
      </c>
      <c r="E742" t="s">
        <v>2002</v>
      </c>
      <c r="F742">
        <v>4.5</v>
      </c>
    </row>
    <row r="743" spans="1:6" x14ac:dyDescent="0.25">
      <c r="A743" t="s">
        <v>806</v>
      </c>
      <c r="B743" s="2">
        <v>8000</v>
      </c>
      <c r="C743" t="s">
        <v>3</v>
      </c>
      <c r="D743" t="s">
        <v>4</v>
      </c>
      <c r="E743" t="s">
        <v>2000</v>
      </c>
      <c r="F743">
        <v>6</v>
      </c>
    </row>
    <row r="744" spans="1:6" x14ac:dyDescent="0.25">
      <c r="A744" t="s">
        <v>807</v>
      </c>
      <c r="B744" s="2">
        <v>4006.7812546745777</v>
      </c>
      <c r="C744" t="s">
        <v>37</v>
      </c>
      <c r="D744" t="s">
        <v>4</v>
      </c>
      <c r="E744" t="s">
        <v>2002</v>
      </c>
      <c r="F744">
        <v>5.5</v>
      </c>
    </row>
    <row r="745" spans="1:6" x14ac:dyDescent="0.25">
      <c r="A745" t="s">
        <v>808</v>
      </c>
      <c r="B745" s="2">
        <v>9171.0323574730355</v>
      </c>
      <c r="C745" t="s">
        <v>16</v>
      </c>
      <c r="D745" t="s">
        <v>809</v>
      </c>
      <c r="E745" t="s">
        <v>2000</v>
      </c>
      <c r="F745">
        <v>5</v>
      </c>
    </row>
    <row r="746" spans="1:6" x14ac:dyDescent="0.25">
      <c r="A746" t="s">
        <v>810</v>
      </c>
      <c r="B746" s="2">
        <v>4273.9000049862161</v>
      </c>
      <c r="C746" t="s">
        <v>3</v>
      </c>
      <c r="D746" t="s">
        <v>4</v>
      </c>
      <c r="E746" t="s">
        <v>2000</v>
      </c>
      <c r="F746">
        <v>20</v>
      </c>
    </row>
    <row r="747" spans="1:6" x14ac:dyDescent="0.25">
      <c r="A747" t="s">
        <v>811</v>
      </c>
      <c r="B747" s="2">
        <v>12465.541681209797</v>
      </c>
      <c r="C747" t="s">
        <v>3</v>
      </c>
      <c r="D747" t="s">
        <v>4</v>
      </c>
      <c r="E747" t="s">
        <v>2002</v>
      </c>
      <c r="F747">
        <v>5</v>
      </c>
    </row>
    <row r="748" spans="1:6" x14ac:dyDescent="0.25">
      <c r="A748" t="s">
        <v>812</v>
      </c>
      <c r="B748" s="2">
        <v>24000</v>
      </c>
      <c r="C748" t="s">
        <v>3</v>
      </c>
      <c r="D748" t="s">
        <v>4</v>
      </c>
      <c r="E748" t="s">
        <v>2000</v>
      </c>
      <c r="F748">
        <v>1</v>
      </c>
    </row>
    <row r="749" spans="1:6" x14ac:dyDescent="0.25">
      <c r="A749" t="s">
        <v>813</v>
      </c>
      <c r="B749" s="2">
        <v>20000</v>
      </c>
      <c r="C749" t="s">
        <v>59</v>
      </c>
      <c r="D749" t="s">
        <v>814</v>
      </c>
      <c r="E749" t="s">
        <v>2000</v>
      </c>
      <c r="F749">
        <v>15</v>
      </c>
    </row>
    <row r="750" spans="1:6" x14ac:dyDescent="0.25">
      <c r="A750" t="s">
        <v>815</v>
      </c>
      <c r="B750" s="2">
        <v>62000</v>
      </c>
      <c r="C750" t="s">
        <v>3</v>
      </c>
      <c r="D750" t="s">
        <v>8</v>
      </c>
      <c r="E750" t="s">
        <v>2000</v>
      </c>
      <c r="F750">
        <v>20</v>
      </c>
    </row>
    <row r="751" spans="1:6" x14ac:dyDescent="0.25">
      <c r="A751" t="s">
        <v>816</v>
      </c>
      <c r="B751" s="2">
        <v>14960</v>
      </c>
      <c r="C751" t="s">
        <v>6</v>
      </c>
      <c r="D751" t="s">
        <v>107</v>
      </c>
      <c r="E751" t="s">
        <v>2002</v>
      </c>
      <c r="F751">
        <v>2</v>
      </c>
    </row>
    <row r="752" spans="1:6" x14ac:dyDescent="0.25">
      <c r="A752" t="s">
        <v>817</v>
      </c>
      <c r="B752" s="2">
        <v>2136.9500024931081</v>
      </c>
      <c r="C752" t="s">
        <v>24</v>
      </c>
      <c r="D752" t="s">
        <v>4</v>
      </c>
      <c r="E752" t="s">
        <v>2000</v>
      </c>
      <c r="F752">
        <v>2</v>
      </c>
    </row>
    <row r="753" spans="1:6" x14ac:dyDescent="0.25">
      <c r="A753" t="s">
        <v>818</v>
      </c>
      <c r="B753" s="2">
        <v>30232</v>
      </c>
      <c r="C753" t="s">
        <v>24</v>
      </c>
      <c r="D753" t="s">
        <v>8</v>
      </c>
      <c r="E753" t="s">
        <v>2000</v>
      </c>
      <c r="F753">
        <v>5</v>
      </c>
    </row>
    <row r="754" spans="1:6" x14ac:dyDescent="0.25">
      <c r="A754" t="s">
        <v>819</v>
      </c>
      <c r="B754" s="2">
        <v>41000</v>
      </c>
      <c r="C754" t="s">
        <v>3</v>
      </c>
      <c r="D754" t="s">
        <v>8</v>
      </c>
      <c r="E754" t="s">
        <v>2002</v>
      </c>
      <c r="F754">
        <v>4</v>
      </c>
    </row>
    <row r="755" spans="1:6" x14ac:dyDescent="0.25">
      <c r="A755" t="s">
        <v>820</v>
      </c>
      <c r="B755" s="2">
        <v>96891.417358250401</v>
      </c>
      <c r="C755" t="s">
        <v>3</v>
      </c>
      <c r="D755" t="s">
        <v>65</v>
      </c>
      <c r="E755" t="s">
        <v>2000</v>
      </c>
      <c r="F755">
        <v>11</v>
      </c>
    </row>
    <row r="756" spans="1:6" x14ac:dyDescent="0.25">
      <c r="A756" t="s">
        <v>821</v>
      </c>
      <c r="B756" s="2">
        <v>21369.500024931083</v>
      </c>
      <c r="C756" t="s">
        <v>16</v>
      </c>
      <c r="D756" t="s">
        <v>4</v>
      </c>
      <c r="E756" t="s">
        <v>2002</v>
      </c>
      <c r="F756">
        <v>14</v>
      </c>
    </row>
    <row r="757" spans="1:6" x14ac:dyDescent="0.25">
      <c r="A757" t="s">
        <v>822</v>
      </c>
      <c r="B757" s="2">
        <v>3650.6229209257262</v>
      </c>
      <c r="C757" t="s">
        <v>24</v>
      </c>
      <c r="D757" t="s">
        <v>4</v>
      </c>
      <c r="E757" t="s">
        <v>2002</v>
      </c>
      <c r="F757">
        <v>10</v>
      </c>
    </row>
    <row r="758" spans="1:6" x14ac:dyDescent="0.25">
      <c r="A758" t="s">
        <v>823</v>
      </c>
      <c r="B758" s="2">
        <v>19068</v>
      </c>
      <c r="C758" t="s">
        <v>24</v>
      </c>
      <c r="D758" t="s">
        <v>311</v>
      </c>
      <c r="E758" t="s">
        <v>2002</v>
      </c>
      <c r="F758">
        <v>20</v>
      </c>
    </row>
    <row r="759" spans="1:6" x14ac:dyDescent="0.25">
      <c r="A759" t="s">
        <v>824</v>
      </c>
      <c r="B759" s="2">
        <v>5342.3750062327708</v>
      </c>
      <c r="C759" t="s">
        <v>6</v>
      </c>
      <c r="D759" t="s">
        <v>4</v>
      </c>
      <c r="E759" t="s">
        <v>2002</v>
      </c>
      <c r="F759">
        <v>4</v>
      </c>
    </row>
    <row r="760" spans="1:6" x14ac:dyDescent="0.25">
      <c r="A760" t="s">
        <v>825</v>
      </c>
      <c r="B760" s="2">
        <v>48000</v>
      </c>
      <c r="C760" t="s">
        <v>59</v>
      </c>
      <c r="D760" t="s">
        <v>245</v>
      </c>
      <c r="E760" t="s">
        <v>2002</v>
      </c>
      <c r="F760">
        <v>3</v>
      </c>
    </row>
    <row r="761" spans="1:6" x14ac:dyDescent="0.25">
      <c r="A761" t="s">
        <v>826</v>
      </c>
      <c r="B761" s="2">
        <v>3917.7416712373652</v>
      </c>
      <c r="C761" t="s">
        <v>12</v>
      </c>
      <c r="D761" t="s">
        <v>4</v>
      </c>
      <c r="E761" t="s">
        <v>2001</v>
      </c>
      <c r="F761">
        <v>2</v>
      </c>
    </row>
    <row r="762" spans="1:6" x14ac:dyDescent="0.25">
      <c r="A762" t="s">
        <v>827</v>
      </c>
      <c r="B762" s="2">
        <v>13500</v>
      </c>
      <c r="C762" t="s">
        <v>37</v>
      </c>
      <c r="D762" t="s">
        <v>4</v>
      </c>
      <c r="E762" t="s">
        <v>2002</v>
      </c>
      <c r="F762">
        <v>2.5</v>
      </c>
    </row>
    <row r="763" spans="1:6" x14ac:dyDescent="0.25">
      <c r="A763" t="s">
        <v>828</v>
      </c>
      <c r="B763" s="2">
        <v>45000</v>
      </c>
      <c r="C763" t="s">
        <v>16</v>
      </c>
      <c r="D763" t="s">
        <v>4</v>
      </c>
      <c r="E763" t="s">
        <v>1999</v>
      </c>
      <c r="F763">
        <v>15</v>
      </c>
    </row>
    <row r="764" spans="1:6" x14ac:dyDescent="0.25">
      <c r="A764" t="s">
        <v>829</v>
      </c>
      <c r="B764" s="2">
        <v>69871.969144538423</v>
      </c>
      <c r="C764" t="s">
        <v>21</v>
      </c>
      <c r="D764" t="s">
        <v>1259</v>
      </c>
      <c r="E764" t="s">
        <v>2000</v>
      </c>
      <c r="F764">
        <v>18</v>
      </c>
    </row>
    <row r="765" spans="1:6" x14ac:dyDescent="0.25">
      <c r="A765" t="s">
        <v>830</v>
      </c>
      <c r="B765" s="2">
        <v>8547.8000099724322</v>
      </c>
      <c r="C765" t="s">
        <v>16</v>
      </c>
      <c r="D765" t="s">
        <v>4</v>
      </c>
      <c r="E765" t="s">
        <v>2001</v>
      </c>
      <c r="F765">
        <v>11</v>
      </c>
    </row>
    <row r="766" spans="1:6" x14ac:dyDescent="0.25">
      <c r="A766" t="s">
        <v>831</v>
      </c>
      <c r="B766" s="2">
        <v>9146.5655463031271</v>
      </c>
      <c r="C766" t="s">
        <v>24</v>
      </c>
      <c r="D766" t="s">
        <v>323</v>
      </c>
      <c r="E766" t="s">
        <v>1999</v>
      </c>
      <c r="F766">
        <v>7</v>
      </c>
    </row>
    <row r="767" spans="1:6" x14ac:dyDescent="0.25">
      <c r="A767" t="s">
        <v>832</v>
      </c>
      <c r="B767" s="2">
        <v>10150.512511842264</v>
      </c>
      <c r="C767" t="s">
        <v>3</v>
      </c>
      <c r="D767" t="s">
        <v>4</v>
      </c>
      <c r="E767" t="s">
        <v>2002</v>
      </c>
      <c r="F767">
        <v>2.4</v>
      </c>
    </row>
    <row r="768" spans="1:6" x14ac:dyDescent="0.25">
      <c r="A768" t="s">
        <v>833</v>
      </c>
      <c r="B768" s="2">
        <v>11325.835013213473</v>
      </c>
      <c r="C768" t="s">
        <v>16</v>
      </c>
      <c r="D768" t="s">
        <v>4</v>
      </c>
      <c r="E768" t="s">
        <v>2001</v>
      </c>
      <c r="F768">
        <v>7</v>
      </c>
    </row>
    <row r="769" spans="1:6" x14ac:dyDescent="0.25">
      <c r="A769" t="s">
        <v>834</v>
      </c>
      <c r="B769" s="2">
        <v>1910.5359690238436</v>
      </c>
      <c r="C769" t="s">
        <v>37</v>
      </c>
      <c r="D769" t="s">
        <v>10</v>
      </c>
      <c r="E769" t="s">
        <v>2002</v>
      </c>
      <c r="F769">
        <v>7</v>
      </c>
    </row>
    <row r="770" spans="1:6" x14ac:dyDescent="0.25">
      <c r="A770" t="s">
        <v>835</v>
      </c>
      <c r="B770" s="2">
        <v>36000</v>
      </c>
      <c r="C770" t="s">
        <v>16</v>
      </c>
      <c r="D770" t="s">
        <v>65</v>
      </c>
      <c r="E770" t="s">
        <v>2000</v>
      </c>
      <c r="F770">
        <v>12</v>
      </c>
    </row>
    <row r="771" spans="1:6" x14ac:dyDescent="0.25">
      <c r="A771" t="s">
        <v>836</v>
      </c>
      <c r="B771" s="2">
        <v>40067.812546745779</v>
      </c>
      <c r="C771" t="s">
        <v>24</v>
      </c>
      <c r="D771" t="s">
        <v>4</v>
      </c>
      <c r="E771" t="s">
        <v>1999</v>
      </c>
      <c r="F771">
        <v>5</v>
      </c>
    </row>
    <row r="772" spans="1:6" x14ac:dyDescent="0.25">
      <c r="A772" t="s">
        <v>837</v>
      </c>
      <c r="B772" s="2">
        <v>16000</v>
      </c>
      <c r="C772" t="s">
        <v>37</v>
      </c>
      <c r="D772" t="s">
        <v>4</v>
      </c>
      <c r="E772" t="s">
        <v>2002</v>
      </c>
      <c r="F772">
        <v>1</v>
      </c>
    </row>
    <row r="773" spans="1:6" x14ac:dyDescent="0.25">
      <c r="A773" t="s">
        <v>838</v>
      </c>
      <c r="B773" s="2">
        <v>4273.9000049862161</v>
      </c>
      <c r="C773" t="s">
        <v>3</v>
      </c>
      <c r="D773" t="s">
        <v>4</v>
      </c>
      <c r="E773" t="s">
        <v>2002</v>
      </c>
      <c r="F773">
        <v>4</v>
      </c>
    </row>
    <row r="774" spans="1:6" x14ac:dyDescent="0.25">
      <c r="A774" t="s">
        <v>839</v>
      </c>
      <c r="B774" s="2">
        <v>7123.1666749770275</v>
      </c>
      <c r="C774" t="s">
        <v>16</v>
      </c>
      <c r="D774" t="s">
        <v>4</v>
      </c>
      <c r="E774" t="s">
        <v>2001</v>
      </c>
      <c r="F774">
        <v>7</v>
      </c>
    </row>
    <row r="775" spans="1:6" x14ac:dyDescent="0.25">
      <c r="A775" t="s">
        <v>840</v>
      </c>
      <c r="B775" s="2">
        <v>10000</v>
      </c>
      <c r="C775" t="s">
        <v>16</v>
      </c>
      <c r="D775" t="s">
        <v>4</v>
      </c>
      <c r="E775" t="s">
        <v>1999</v>
      </c>
      <c r="F775">
        <v>12</v>
      </c>
    </row>
    <row r="776" spans="1:6" x14ac:dyDescent="0.25">
      <c r="A776" t="s">
        <v>841</v>
      </c>
      <c r="B776" s="2">
        <v>64901.860520001574</v>
      </c>
      <c r="C776" t="s">
        <v>3</v>
      </c>
      <c r="D776" t="s">
        <v>68</v>
      </c>
      <c r="E776" t="s">
        <v>2000</v>
      </c>
      <c r="F776">
        <v>20</v>
      </c>
    </row>
    <row r="777" spans="1:6" x14ac:dyDescent="0.25">
      <c r="A777" t="s">
        <v>842</v>
      </c>
      <c r="B777" s="2">
        <v>65000</v>
      </c>
      <c r="C777" t="s">
        <v>3</v>
      </c>
      <c r="D777" t="s">
        <v>8</v>
      </c>
      <c r="E777" t="s">
        <v>2000</v>
      </c>
      <c r="F777">
        <v>10</v>
      </c>
    </row>
    <row r="778" spans="1:6" x14ac:dyDescent="0.25">
      <c r="A778" t="s">
        <v>843</v>
      </c>
      <c r="B778" s="2">
        <v>8013.5625093491553</v>
      </c>
      <c r="C778" t="s">
        <v>16</v>
      </c>
      <c r="D778" t="s">
        <v>4</v>
      </c>
      <c r="E778" t="s">
        <v>2002</v>
      </c>
      <c r="F778">
        <v>1.5</v>
      </c>
    </row>
    <row r="779" spans="1:6" x14ac:dyDescent="0.25">
      <c r="A779" t="s">
        <v>844</v>
      </c>
      <c r="B779" s="2">
        <v>98336.152303032693</v>
      </c>
      <c r="C779" t="s">
        <v>21</v>
      </c>
      <c r="D779" t="s">
        <v>68</v>
      </c>
      <c r="E779" t="s">
        <v>2001</v>
      </c>
      <c r="F779">
        <v>5</v>
      </c>
    </row>
    <row r="780" spans="1:6" x14ac:dyDescent="0.25">
      <c r="A780" t="s">
        <v>845</v>
      </c>
      <c r="B780" s="2">
        <v>2671.1875031163854</v>
      </c>
      <c r="C780" t="s">
        <v>3</v>
      </c>
      <c r="D780" t="s">
        <v>4</v>
      </c>
      <c r="E780" t="s">
        <v>2001</v>
      </c>
      <c r="F780">
        <v>2</v>
      </c>
    </row>
    <row r="781" spans="1:6" x14ac:dyDescent="0.25">
      <c r="A781" t="s">
        <v>846</v>
      </c>
      <c r="B781" s="2">
        <v>96000</v>
      </c>
      <c r="C781" t="s">
        <v>37</v>
      </c>
      <c r="D781" t="s">
        <v>4</v>
      </c>
      <c r="E781" t="s">
        <v>2002</v>
      </c>
      <c r="F781">
        <v>8</v>
      </c>
    </row>
    <row r="782" spans="1:6" x14ac:dyDescent="0.25">
      <c r="A782" t="s">
        <v>847</v>
      </c>
      <c r="B782" s="2">
        <v>20514.720023933838</v>
      </c>
      <c r="C782" t="s">
        <v>24</v>
      </c>
      <c r="D782" t="s">
        <v>4</v>
      </c>
      <c r="E782" t="s">
        <v>2001</v>
      </c>
      <c r="F782">
        <v>6</v>
      </c>
    </row>
    <row r="783" spans="1:6" x14ac:dyDescent="0.25">
      <c r="A783" t="s">
        <v>848</v>
      </c>
      <c r="B783" s="2">
        <v>19055.991584874118</v>
      </c>
      <c r="C783" t="s">
        <v>3</v>
      </c>
      <c r="D783" t="s">
        <v>550</v>
      </c>
      <c r="E783" t="s">
        <v>2000</v>
      </c>
      <c r="F783">
        <v>10</v>
      </c>
    </row>
    <row r="784" spans="1:6" x14ac:dyDescent="0.25">
      <c r="A784" t="s">
        <v>849</v>
      </c>
      <c r="B784" s="2">
        <v>66294.12766617132</v>
      </c>
      <c r="C784" t="s">
        <v>3</v>
      </c>
      <c r="D784" t="s">
        <v>65</v>
      </c>
      <c r="E784" t="s">
        <v>2002</v>
      </c>
      <c r="F784">
        <v>10</v>
      </c>
    </row>
    <row r="785" spans="1:6" x14ac:dyDescent="0.25">
      <c r="A785" t="s">
        <v>850</v>
      </c>
      <c r="B785" s="2">
        <v>6713.584591165848</v>
      </c>
      <c r="C785" t="s">
        <v>3</v>
      </c>
      <c r="D785" t="s">
        <v>4</v>
      </c>
      <c r="E785" t="s">
        <v>1999</v>
      </c>
      <c r="F785">
        <v>7</v>
      </c>
    </row>
    <row r="786" spans="1:6" x14ac:dyDescent="0.25">
      <c r="A786" t="s">
        <v>851</v>
      </c>
      <c r="B786" s="2">
        <v>45709.169889951241</v>
      </c>
      <c r="C786" t="s">
        <v>37</v>
      </c>
      <c r="D786" t="s">
        <v>55</v>
      </c>
      <c r="E786" t="s">
        <v>2000</v>
      </c>
      <c r="F786">
        <v>15</v>
      </c>
    </row>
    <row r="787" spans="1:6" x14ac:dyDescent="0.25">
      <c r="A787" t="s">
        <v>852</v>
      </c>
      <c r="B787" s="2">
        <v>48500</v>
      </c>
      <c r="C787" t="s">
        <v>16</v>
      </c>
      <c r="D787" t="s">
        <v>8</v>
      </c>
      <c r="E787" t="s">
        <v>2000</v>
      </c>
      <c r="F787">
        <v>10</v>
      </c>
    </row>
    <row r="788" spans="1:6" x14ac:dyDescent="0.25">
      <c r="A788" t="s">
        <v>853</v>
      </c>
      <c r="B788" s="2">
        <v>10684.750012465542</v>
      </c>
      <c r="C788" t="s">
        <v>3</v>
      </c>
      <c r="D788" t="s">
        <v>4</v>
      </c>
      <c r="E788" t="s">
        <v>2002</v>
      </c>
      <c r="F788">
        <v>4</v>
      </c>
    </row>
    <row r="789" spans="1:6" x14ac:dyDescent="0.25">
      <c r="A789" t="s">
        <v>854</v>
      </c>
      <c r="B789" s="2">
        <v>33900</v>
      </c>
      <c r="C789" t="s">
        <v>3</v>
      </c>
      <c r="D789" t="s">
        <v>8</v>
      </c>
      <c r="E789" t="s">
        <v>2000</v>
      </c>
      <c r="F789">
        <v>10</v>
      </c>
    </row>
    <row r="790" spans="1:6" x14ac:dyDescent="0.25">
      <c r="A790" t="s">
        <v>855</v>
      </c>
      <c r="B790" s="2">
        <v>109729.60187662003</v>
      </c>
      <c r="C790" t="s">
        <v>3</v>
      </c>
      <c r="D790" t="s">
        <v>38</v>
      </c>
      <c r="E790" t="s">
        <v>2002</v>
      </c>
      <c r="F790">
        <v>40</v>
      </c>
    </row>
    <row r="791" spans="1:6" x14ac:dyDescent="0.25">
      <c r="A791" t="s">
        <v>856</v>
      </c>
      <c r="B791" s="2">
        <v>15136.729184326183</v>
      </c>
      <c r="C791" t="s">
        <v>3</v>
      </c>
      <c r="D791" t="s">
        <v>4</v>
      </c>
      <c r="E791" t="s">
        <v>2001</v>
      </c>
      <c r="F791">
        <v>2</v>
      </c>
    </row>
    <row r="792" spans="1:6" x14ac:dyDescent="0.25">
      <c r="A792" t="s">
        <v>857</v>
      </c>
      <c r="B792" s="2">
        <v>85000</v>
      </c>
      <c r="C792" t="s">
        <v>21</v>
      </c>
      <c r="D792" t="s">
        <v>8</v>
      </c>
      <c r="E792" t="s">
        <v>2001</v>
      </c>
      <c r="F792">
        <v>15</v>
      </c>
    </row>
    <row r="793" spans="1:6" x14ac:dyDescent="0.25">
      <c r="A793" t="s">
        <v>858</v>
      </c>
      <c r="B793" s="2">
        <v>8013.5625093491553</v>
      </c>
      <c r="C793" t="s">
        <v>16</v>
      </c>
      <c r="D793" t="s">
        <v>4</v>
      </c>
      <c r="E793" t="s">
        <v>2001</v>
      </c>
      <c r="F793">
        <v>6</v>
      </c>
    </row>
    <row r="794" spans="1:6" x14ac:dyDescent="0.25">
      <c r="A794" t="s">
        <v>859</v>
      </c>
      <c r="B794" s="2">
        <v>48000</v>
      </c>
      <c r="C794" t="s">
        <v>16</v>
      </c>
      <c r="D794" t="s">
        <v>8</v>
      </c>
      <c r="E794" t="s">
        <v>2000</v>
      </c>
      <c r="F794">
        <v>16</v>
      </c>
    </row>
    <row r="795" spans="1:6" x14ac:dyDescent="0.25">
      <c r="A795" t="s">
        <v>860</v>
      </c>
      <c r="B795" s="2">
        <v>3027.3458368652364</v>
      </c>
      <c r="C795" t="s">
        <v>37</v>
      </c>
      <c r="D795" t="s">
        <v>4</v>
      </c>
      <c r="E795" t="s">
        <v>2001</v>
      </c>
      <c r="F795">
        <v>2</v>
      </c>
    </row>
    <row r="796" spans="1:6" x14ac:dyDescent="0.25">
      <c r="A796" t="s">
        <v>861</v>
      </c>
      <c r="B796" s="2">
        <v>13100</v>
      </c>
      <c r="C796" t="s">
        <v>24</v>
      </c>
      <c r="D796" t="s">
        <v>4</v>
      </c>
      <c r="E796" t="s">
        <v>2000</v>
      </c>
      <c r="F796">
        <v>5</v>
      </c>
    </row>
    <row r="797" spans="1:6" x14ac:dyDescent="0.25">
      <c r="A797" t="s">
        <v>862</v>
      </c>
      <c r="B797" s="2">
        <v>60000</v>
      </c>
      <c r="C797" t="s">
        <v>16</v>
      </c>
      <c r="D797" t="s">
        <v>147</v>
      </c>
      <c r="E797" t="s">
        <v>2000</v>
      </c>
      <c r="F797">
        <v>15</v>
      </c>
    </row>
    <row r="798" spans="1:6" x14ac:dyDescent="0.25">
      <c r="A798" t="s">
        <v>863</v>
      </c>
      <c r="B798" s="2">
        <v>24000</v>
      </c>
      <c r="C798" t="s">
        <v>16</v>
      </c>
      <c r="D798" t="s">
        <v>864</v>
      </c>
      <c r="E798" t="s">
        <v>2000</v>
      </c>
      <c r="F798">
        <v>5</v>
      </c>
    </row>
    <row r="799" spans="1:6" x14ac:dyDescent="0.25">
      <c r="A799" t="s">
        <v>865</v>
      </c>
      <c r="B799" s="2">
        <v>4273.9000049862161</v>
      </c>
      <c r="C799" t="s">
        <v>16</v>
      </c>
      <c r="D799" t="s">
        <v>4</v>
      </c>
      <c r="E799" t="s">
        <v>2000</v>
      </c>
      <c r="F799">
        <v>3</v>
      </c>
    </row>
    <row r="800" spans="1:6" x14ac:dyDescent="0.25">
      <c r="A800" t="s">
        <v>866</v>
      </c>
      <c r="B800" s="2">
        <v>11575.14584683767</v>
      </c>
      <c r="C800" t="s">
        <v>16</v>
      </c>
      <c r="D800" t="s">
        <v>4</v>
      </c>
      <c r="E800" t="s">
        <v>2000</v>
      </c>
      <c r="F800">
        <v>5</v>
      </c>
    </row>
    <row r="801" spans="1:6" x14ac:dyDescent="0.25">
      <c r="A801" t="s">
        <v>867</v>
      </c>
      <c r="B801" s="2">
        <v>95000</v>
      </c>
      <c r="C801" t="s">
        <v>3</v>
      </c>
      <c r="D801" t="s">
        <v>8</v>
      </c>
      <c r="E801" t="s">
        <v>2000</v>
      </c>
      <c r="F801">
        <v>13</v>
      </c>
    </row>
    <row r="802" spans="1:6" x14ac:dyDescent="0.25">
      <c r="A802" t="s">
        <v>868</v>
      </c>
      <c r="B802" s="2">
        <v>9188.8850107203652</v>
      </c>
      <c r="C802" t="s">
        <v>16</v>
      </c>
      <c r="D802" t="s">
        <v>4</v>
      </c>
      <c r="E802" t="s">
        <v>2001</v>
      </c>
      <c r="F802">
        <v>0</v>
      </c>
    </row>
    <row r="803" spans="1:6" x14ac:dyDescent="0.25">
      <c r="A803" t="s">
        <v>869</v>
      </c>
      <c r="B803" s="2">
        <v>8975.1900104710548</v>
      </c>
      <c r="C803" t="s">
        <v>16</v>
      </c>
      <c r="D803" t="s">
        <v>4</v>
      </c>
      <c r="E803" t="s">
        <v>2002</v>
      </c>
      <c r="F803">
        <v>3</v>
      </c>
    </row>
    <row r="804" spans="1:6" x14ac:dyDescent="0.25">
      <c r="A804" t="s">
        <v>870</v>
      </c>
      <c r="B804" s="2">
        <v>2564.3400029917298</v>
      </c>
      <c r="C804" t="s">
        <v>3</v>
      </c>
      <c r="D804" t="s">
        <v>4</v>
      </c>
      <c r="E804" t="s">
        <v>2002</v>
      </c>
      <c r="F804">
        <v>1</v>
      </c>
    </row>
    <row r="805" spans="1:6" x14ac:dyDescent="0.25">
      <c r="A805" t="s">
        <v>871</v>
      </c>
      <c r="B805" s="2">
        <v>86689.804963700633</v>
      </c>
      <c r="C805" t="s">
        <v>6</v>
      </c>
      <c r="D805" t="s">
        <v>55</v>
      </c>
      <c r="E805" t="s">
        <v>2001</v>
      </c>
      <c r="F805">
        <v>12</v>
      </c>
    </row>
    <row r="806" spans="1:6" x14ac:dyDescent="0.25">
      <c r="A806" t="s">
        <v>872</v>
      </c>
      <c r="B806" s="2">
        <v>15500</v>
      </c>
      <c r="C806" t="s">
        <v>12</v>
      </c>
      <c r="D806" t="s">
        <v>4</v>
      </c>
      <c r="E806" t="s">
        <v>1999</v>
      </c>
      <c r="F806">
        <v>3</v>
      </c>
    </row>
    <row r="807" spans="1:6" x14ac:dyDescent="0.25">
      <c r="A807" t="s">
        <v>873</v>
      </c>
      <c r="B807" s="2">
        <v>148284.35006969364</v>
      </c>
      <c r="C807" t="s">
        <v>3</v>
      </c>
      <c r="D807" t="s">
        <v>116</v>
      </c>
      <c r="E807" t="s">
        <v>2002</v>
      </c>
      <c r="F807">
        <v>3</v>
      </c>
    </row>
    <row r="808" spans="1:6" x14ac:dyDescent="0.25">
      <c r="A808" t="s">
        <v>874</v>
      </c>
      <c r="B808" s="2">
        <v>10684.750012465542</v>
      </c>
      <c r="C808" t="s">
        <v>3</v>
      </c>
      <c r="D808" t="s">
        <v>4</v>
      </c>
      <c r="E808" t="s">
        <v>2002</v>
      </c>
      <c r="F808">
        <v>5</v>
      </c>
    </row>
    <row r="809" spans="1:6" x14ac:dyDescent="0.25">
      <c r="A809" t="s">
        <v>875</v>
      </c>
      <c r="B809" s="2">
        <v>75000</v>
      </c>
      <c r="C809" t="s">
        <v>3</v>
      </c>
      <c r="D809" t="s">
        <v>8</v>
      </c>
      <c r="E809" t="s">
        <v>2000</v>
      </c>
      <c r="F809">
        <v>27</v>
      </c>
    </row>
    <row r="810" spans="1:6" x14ac:dyDescent="0.25">
      <c r="A810" t="s">
        <v>876</v>
      </c>
      <c r="B810" s="2">
        <v>12000</v>
      </c>
      <c r="C810" t="s">
        <v>16</v>
      </c>
      <c r="D810" t="s">
        <v>19</v>
      </c>
      <c r="E810" t="s">
        <v>2001</v>
      </c>
      <c r="F810">
        <v>5</v>
      </c>
    </row>
    <row r="811" spans="1:6" x14ac:dyDescent="0.25">
      <c r="A811" t="s">
        <v>877</v>
      </c>
      <c r="B811" s="2">
        <v>30273.458368652366</v>
      </c>
      <c r="C811" t="s">
        <v>16</v>
      </c>
      <c r="D811" t="s">
        <v>4</v>
      </c>
      <c r="E811" t="s">
        <v>2002</v>
      </c>
      <c r="F811">
        <v>1.1000000000000001</v>
      </c>
    </row>
    <row r="812" spans="1:6" x14ac:dyDescent="0.25">
      <c r="A812" t="s">
        <v>878</v>
      </c>
      <c r="B812" s="2">
        <v>30000</v>
      </c>
      <c r="C812" t="s">
        <v>6</v>
      </c>
      <c r="D812" t="s">
        <v>674</v>
      </c>
      <c r="E812" t="s">
        <v>2001</v>
      </c>
      <c r="F812">
        <v>7</v>
      </c>
    </row>
    <row r="813" spans="1:6" x14ac:dyDescent="0.25">
      <c r="A813" t="s">
        <v>879</v>
      </c>
      <c r="B813" s="2">
        <v>6410.8500074793246</v>
      </c>
      <c r="C813" t="s">
        <v>3</v>
      </c>
      <c r="D813" t="s">
        <v>4</v>
      </c>
      <c r="E813" t="s">
        <v>2002</v>
      </c>
      <c r="F813">
        <v>4</v>
      </c>
    </row>
    <row r="814" spans="1:6" x14ac:dyDescent="0.25">
      <c r="A814" t="s">
        <v>880</v>
      </c>
      <c r="B814" s="2">
        <v>100000</v>
      </c>
      <c r="C814" t="s">
        <v>21</v>
      </c>
      <c r="D814" t="s">
        <v>8</v>
      </c>
      <c r="E814" t="s">
        <v>2001</v>
      </c>
      <c r="F814">
        <v>10</v>
      </c>
    </row>
    <row r="815" spans="1:6" x14ac:dyDescent="0.25">
      <c r="A815" t="s">
        <v>881</v>
      </c>
      <c r="B815" s="2">
        <v>53356.776437647524</v>
      </c>
      <c r="C815" t="s">
        <v>12</v>
      </c>
      <c r="D815" t="s">
        <v>572</v>
      </c>
      <c r="E815" t="s">
        <v>2001</v>
      </c>
      <c r="F815">
        <v>2</v>
      </c>
    </row>
    <row r="816" spans="1:6" x14ac:dyDescent="0.25">
      <c r="A816" t="s">
        <v>882</v>
      </c>
      <c r="B816" s="2">
        <v>40000</v>
      </c>
      <c r="C816" t="s">
        <v>16</v>
      </c>
      <c r="D816" t="s">
        <v>8</v>
      </c>
      <c r="E816" t="s">
        <v>2000</v>
      </c>
      <c r="F816">
        <v>20</v>
      </c>
    </row>
    <row r="817" spans="1:6" x14ac:dyDescent="0.25">
      <c r="A817" t="s">
        <v>883</v>
      </c>
      <c r="B817" s="2">
        <v>9794.354178093412</v>
      </c>
      <c r="C817" t="s">
        <v>3</v>
      </c>
      <c r="D817" t="s">
        <v>4</v>
      </c>
      <c r="E817" t="s">
        <v>2001</v>
      </c>
      <c r="F817">
        <v>1</v>
      </c>
    </row>
    <row r="818" spans="1:6" x14ac:dyDescent="0.25">
      <c r="A818" t="s">
        <v>884</v>
      </c>
      <c r="B818" s="2">
        <v>18499.860539512854</v>
      </c>
      <c r="C818" t="s">
        <v>26</v>
      </c>
      <c r="D818" t="s">
        <v>449</v>
      </c>
      <c r="E818" t="s">
        <v>2001</v>
      </c>
      <c r="F818">
        <v>6</v>
      </c>
    </row>
    <row r="819" spans="1:6" x14ac:dyDescent="0.25">
      <c r="A819" t="s">
        <v>885</v>
      </c>
      <c r="B819" s="2">
        <v>19818.231248269083</v>
      </c>
      <c r="C819" t="s">
        <v>6</v>
      </c>
      <c r="D819" t="s">
        <v>22</v>
      </c>
      <c r="E819" t="s">
        <v>2001</v>
      </c>
      <c r="F819">
        <v>5</v>
      </c>
    </row>
    <row r="820" spans="1:6" x14ac:dyDescent="0.25">
      <c r="A820" t="s">
        <v>886</v>
      </c>
      <c r="B820" s="2">
        <v>10684.750012465542</v>
      </c>
      <c r="C820" t="s">
        <v>16</v>
      </c>
      <c r="D820" t="s">
        <v>4</v>
      </c>
      <c r="E820" t="s">
        <v>2002</v>
      </c>
      <c r="F820">
        <v>20</v>
      </c>
    </row>
    <row r="821" spans="1:6" x14ac:dyDescent="0.25">
      <c r="A821" t="s">
        <v>887</v>
      </c>
      <c r="B821" s="2">
        <v>10684.750012465542</v>
      </c>
      <c r="C821" t="s">
        <v>16</v>
      </c>
      <c r="D821" t="s">
        <v>4</v>
      </c>
      <c r="E821" t="s">
        <v>2000</v>
      </c>
      <c r="F821">
        <v>18</v>
      </c>
    </row>
    <row r="822" spans="1:6" x14ac:dyDescent="0.25">
      <c r="A822" t="s">
        <v>888</v>
      </c>
      <c r="B822" s="2">
        <v>17807.916687442568</v>
      </c>
      <c r="C822" t="s">
        <v>3</v>
      </c>
      <c r="D822" t="s">
        <v>4</v>
      </c>
      <c r="E822" t="s">
        <v>2001</v>
      </c>
      <c r="F822">
        <v>10</v>
      </c>
    </row>
    <row r="823" spans="1:6" x14ac:dyDescent="0.25">
      <c r="A823" t="s">
        <v>889</v>
      </c>
      <c r="B823" s="2">
        <v>13000</v>
      </c>
      <c r="C823" t="s">
        <v>3</v>
      </c>
      <c r="D823" t="s">
        <v>4</v>
      </c>
      <c r="E823" t="s">
        <v>2002</v>
      </c>
      <c r="F823">
        <v>6</v>
      </c>
    </row>
    <row r="824" spans="1:6" x14ac:dyDescent="0.25">
      <c r="A824" t="s">
        <v>890</v>
      </c>
      <c r="B824" s="2">
        <v>16027.125018698311</v>
      </c>
      <c r="C824" t="s">
        <v>16</v>
      </c>
      <c r="D824" t="s">
        <v>4</v>
      </c>
      <c r="E824" t="s">
        <v>1999</v>
      </c>
      <c r="F824">
        <v>9</v>
      </c>
    </row>
    <row r="825" spans="1:6" x14ac:dyDescent="0.25">
      <c r="A825" t="s">
        <v>891</v>
      </c>
      <c r="B825" s="2">
        <v>85000</v>
      </c>
      <c r="C825" t="s">
        <v>24</v>
      </c>
      <c r="D825" t="s">
        <v>8</v>
      </c>
      <c r="E825" t="s">
        <v>2002</v>
      </c>
      <c r="F825">
        <v>1</v>
      </c>
    </row>
    <row r="826" spans="1:6" x14ac:dyDescent="0.25">
      <c r="A826" t="s">
        <v>892</v>
      </c>
      <c r="B826" s="2">
        <v>6000</v>
      </c>
      <c r="C826" t="s">
        <v>3</v>
      </c>
      <c r="D826" t="s">
        <v>152</v>
      </c>
      <c r="E826" t="s">
        <v>1999</v>
      </c>
      <c r="F826">
        <v>10</v>
      </c>
    </row>
    <row r="827" spans="1:6" x14ac:dyDescent="0.25">
      <c r="A827" t="s">
        <v>893</v>
      </c>
      <c r="B827" s="2">
        <v>30000</v>
      </c>
      <c r="C827" t="s">
        <v>37</v>
      </c>
      <c r="D827" t="s">
        <v>4</v>
      </c>
      <c r="E827" t="s">
        <v>2001</v>
      </c>
      <c r="F827">
        <v>2</v>
      </c>
    </row>
    <row r="828" spans="1:6" x14ac:dyDescent="0.25">
      <c r="A828" t="s">
        <v>894</v>
      </c>
      <c r="B828" s="2">
        <v>157617.8272067284</v>
      </c>
      <c r="C828" t="s">
        <v>6</v>
      </c>
      <c r="D828" t="s">
        <v>55</v>
      </c>
      <c r="E828" t="s">
        <v>2000</v>
      </c>
      <c r="F828">
        <v>20</v>
      </c>
    </row>
    <row r="829" spans="1:6" x14ac:dyDescent="0.25">
      <c r="A829" t="s">
        <v>895</v>
      </c>
      <c r="B829" s="2">
        <v>21369.500024931083</v>
      </c>
      <c r="C829" t="s">
        <v>16</v>
      </c>
      <c r="D829" t="s">
        <v>4</v>
      </c>
      <c r="E829" t="s">
        <v>1999</v>
      </c>
      <c r="F829">
        <v>18</v>
      </c>
    </row>
    <row r="830" spans="1:6" x14ac:dyDescent="0.25">
      <c r="A830" t="s">
        <v>896</v>
      </c>
      <c r="B830" s="2">
        <v>3561.5833374885137</v>
      </c>
      <c r="C830" t="s">
        <v>37</v>
      </c>
      <c r="D830" t="s">
        <v>4</v>
      </c>
      <c r="E830" t="s">
        <v>2001</v>
      </c>
      <c r="F830">
        <v>1</v>
      </c>
    </row>
    <row r="831" spans="1:6" x14ac:dyDescent="0.25">
      <c r="A831" t="s">
        <v>897</v>
      </c>
      <c r="B831" s="2">
        <v>5000</v>
      </c>
      <c r="C831" t="s">
        <v>16</v>
      </c>
      <c r="D831" t="s">
        <v>4</v>
      </c>
      <c r="E831" t="s">
        <v>2001</v>
      </c>
      <c r="F831">
        <v>1</v>
      </c>
    </row>
    <row r="832" spans="1:6" x14ac:dyDescent="0.25">
      <c r="A832" t="s">
        <v>898</v>
      </c>
      <c r="B832" s="2">
        <v>3561.5833374885137</v>
      </c>
      <c r="C832" t="s">
        <v>3</v>
      </c>
      <c r="D832" t="s">
        <v>4</v>
      </c>
      <c r="E832" t="s">
        <v>2001</v>
      </c>
      <c r="F832">
        <v>2</v>
      </c>
    </row>
    <row r="833" spans="1:6" x14ac:dyDescent="0.25">
      <c r="A833" t="s">
        <v>899</v>
      </c>
      <c r="B833" s="2">
        <v>38111.983169748237</v>
      </c>
      <c r="C833" t="s">
        <v>24</v>
      </c>
      <c r="D833" t="s">
        <v>22</v>
      </c>
      <c r="E833" t="s">
        <v>2002</v>
      </c>
      <c r="F833">
        <v>8</v>
      </c>
    </row>
    <row r="834" spans="1:6" x14ac:dyDescent="0.25">
      <c r="A834" t="s">
        <v>900</v>
      </c>
      <c r="B834" s="2">
        <v>17807.916687442568</v>
      </c>
      <c r="C834" t="s">
        <v>3</v>
      </c>
      <c r="D834" t="s">
        <v>4</v>
      </c>
      <c r="E834" t="s">
        <v>2001</v>
      </c>
      <c r="F834">
        <v>6.5</v>
      </c>
    </row>
    <row r="835" spans="1:6" x14ac:dyDescent="0.25">
      <c r="A835" t="s">
        <v>901</v>
      </c>
      <c r="B835" s="2">
        <v>11575.14584683767</v>
      </c>
      <c r="C835" t="s">
        <v>3</v>
      </c>
      <c r="D835" t="s">
        <v>4</v>
      </c>
      <c r="E835" t="s">
        <v>2002</v>
      </c>
      <c r="F835">
        <v>3.5</v>
      </c>
    </row>
    <row r="836" spans="1:6" x14ac:dyDescent="0.25">
      <c r="A836" t="s">
        <v>902</v>
      </c>
      <c r="B836" s="2">
        <v>98336.152303032693</v>
      </c>
      <c r="C836" t="s">
        <v>16</v>
      </c>
      <c r="D836" t="s">
        <v>68</v>
      </c>
      <c r="E836" t="s">
        <v>2000</v>
      </c>
      <c r="F836">
        <v>10</v>
      </c>
    </row>
    <row r="837" spans="1:6" x14ac:dyDescent="0.25">
      <c r="A837" t="s">
        <v>903</v>
      </c>
      <c r="B837" s="2">
        <v>92500</v>
      </c>
      <c r="C837" t="s">
        <v>3</v>
      </c>
      <c r="D837" t="s">
        <v>8</v>
      </c>
      <c r="E837" t="s">
        <v>2000</v>
      </c>
      <c r="F837">
        <v>15</v>
      </c>
    </row>
    <row r="838" spans="1:6" x14ac:dyDescent="0.25">
      <c r="A838" t="s">
        <v>904</v>
      </c>
      <c r="B838" s="2">
        <v>9794.354178093412</v>
      </c>
      <c r="C838" t="s">
        <v>3</v>
      </c>
      <c r="D838" t="s">
        <v>4</v>
      </c>
      <c r="E838" t="s">
        <v>2001</v>
      </c>
      <c r="F838">
        <v>1</v>
      </c>
    </row>
    <row r="839" spans="1:6" x14ac:dyDescent="0.25">
      <c r="A839" t="s">
        <v>905</v>
      </c>
      <c r="B839" s="2">
        <v>32000</v>
      </c>
      <c r="C839" t="s">
        <v>16</v>
      </c>
      <c r="D839" t="s">
        <v>8</v>
      </c>
      <c r="E839" t="s">
        <v>2001</v>
      </c>
      <c r="F839">
        <v>1</v>
      </c>
    </row>
    <row r="840" spans="1:6" x14ac:dyDescent="0.25">
      <c r="A840" t="s">
        <v>906</v>
      </c>
      <c r="B840" s="2">
        <v>55000</v>
      </c>
      <c r="C840" t="s">
        <v>3</v>
      </c>
      <c r="D840" t="s">
        <v>8</v>
      </c>
      <c r="E840" t="s">
        <v>2001</v>
      </c>
      <c r="F840">
        <v>10</v>
      </c>
    </row>
    <row r="841" spans="1:6" x14ac:dyDescent="0.25">
      <c r="A841" t="s">
        <v>907</v>
      </c>
      <c r="B841" s="2">
        <v>40000</v>
      </c>
      <c r="C841" t="s">
        <v>3</v>
      </c>
      <c r="D841" t="s">
        <v>8</v>
      </c>
      <c r="E841" t="s">
        <v>2002</v>
      </c>
      <c r="F841">
        <v>4</v>
      </c>
    </row>
    <row r="842" spans="1:6" x14ac:dyDescent="0.25">
      <c r="A842" t="s">
        <v>908</v>
      </c>
      <c r="B842" s="2">
        <v>3000</v>
      </c>
      <c r="C842" t="s">
        <v>3</v>
      </c>
      <c r="D842" t="s">
        <v>10</v>
      </c>
      <c r="E842" t="s">
        <v>2000</v>
      </c>
      <c r="F842">
        <v>2</v>
      </c>
    </row>
    <row r="843" spans="1:6" x14ac:dyDescent="0.25">
      <c r="A843" t="s">
        <v>909</v>
      </c>
      <c r="B843" s="2">
        <v>43600</v>
      </c>
      <c r="C843" t="s">
        <v>3</v>
      </c>
      <c r="D843" t="s">
        <v>8</v>
      </c>
      <c r="E843" t="s">
        <v>2001</v>
      </c>
      <c r="F843">
        <v>5</v>
      </c>
    </row>
    <row r="844" spans="1:6" x14ac:dyDescent="0.25">
      <c r="A844" t="s">
        <v>910</v>
      </c>
      <c r="B844" s="2">
        <v>9616.275011218986</v>
      </c>
      <c r="C844" t="s">
        <v>3</v>
      </c>
      <c r="D844" t="s">
        <v>4</v>
      </c>
      <c r="E844" t="s">
        <v>2002</v>
      </c>
      <c r="F844">
        <v>8</v>
      </c>
    </row>
    <row r="845" spans="1:6" x14ac:dyDescent="0.25">
      <c r="A845" t="s">
        <v>911</v>
      </c>
      <c r="B845" s="2">
        <v>35000</v>
      </c>
      <c r="C845" t="s">
        <v>16</v>
      </c>
      <c r="D845" t="s">
        <v>912</v>
      </c>
      <c r="E845" t="s">
        <v>2002</v>
      </c>
      <c r="F845">
        <v>10</v>
      </c>
    </row>
    <row r="846" spans="1:6" x14ac:dyDescent="0.25">
      <c r="A846" t="s">
        <v>913</v>
      </c>
      <c r="B846" s="2">
        <v>12000</v>
      </c>
      <c r="C846" t="s">
        <v>59</v>
      </c>
      <c r="D846" t="s">
        <v>550</v>
      </c>
      <c r="E846" t="s">
        <v>2000</v>
      </c>
      <c r="F846">
        <v>15</v>
      </c>
    </row>
    <row r="847" spans="1:6" x14ac:dyDescent="0.25">
      <c r="A847" t="s">
        <v>914</v>
      </c>
      <c r="B847" s="2">
        <v>5000</v>
      </c>
      <c r="C847" t="s">
        <v>59</v>
      </c>
      <c r="D847" t="s">
        <v>915</v>
      </c>
      <c r="E847" t="s">
        <v>1999</v>
      </c>
      <c r="F847">
        <v>13</v>
      </c>
    </row>
    <row r="848" spans="1:6" x14ac:dyDescent="0.25">
      <c r="A848" t="s">
        <v>916</v>
      </c>
      <c r="B848" s="2">
        <v>16337.518501630093</v>
      </c>
      <c r="C848" t="s">
        <v>3</v>
      </c>
      <c r="D848" t="s">
        <v>38</v>
      </c>
      <c r="E848" t="s">
        <v>2001</v>
      </c>
      <c r="F848">
        <v>2</v>
      </c>
    </row>
    <row r="849" spans="1:6" x14ac:dyDescent="0.25">
      <c r="A849" t="s">
        <v>917</v>
      </c>
      <c r="B849" s="2">
        <v>65000</v>
      </c>
      <c r="C849" t="s">
        <v>3</v>
      </c>
      <c r="D849" t="s">
        <v>8</v>
      </c>
      <c r="E849" t="s">
        <v>1999</v>
      </c>
      <c r="F849">
        <v>8</v>
      </c>
    </row>
    <row r="850" spans="1:6" x14ac:dyDescent="0.25">
      <c r="A850" t="s">
        <v>918</v>
      </c>
      <c r="B850" s="2">
        <v>40000</v>
      </c>
      <c r="C850" t="s">
        <v>3</v>
      </c>
      <c r="D850" t="s">
        <v>8</v>
      </c>
      <c r="E850" t="s">
        <v>2002</v>
      </c>
      <c r="F850">
        <v>2</v>
      </c>
    </row>
    <row r="851" spans="1:6" x14ac:dyDescent="0.25">
      <c r="A851" t="s">
        <v>919</v>
      </c>
      <c r="B851" s="2">
        <v>98000</v>
      </c>
      <c r="C851" t="s">
        <v>16</v>
      </c>
      <c r="D851" t="s">
        <v>674</v>
      </c>
      <c r="E851" t="s">
        <v>2000</v>
      </c>
      <c r="F851">
        <v>14</v>
      </c>
    </row>
    <row r="852" spans="1:6" x14ac:dyDescent="0.25">
      <c r="A852" t="s">
        <v>920</v>
      </c>
      <c r="B852" s="2">
        <v>50000</v>
      </c>
      <c r="C852" t="s">
        <v>21</v>
      </c>
      <c r="D852" t="s">
        <v>8</v>
      </c>
      <c r="E852" t="s">
        <v>2002</v>
      </c>
      <c r="F852">
        <v>15</v>
      </c>
    </row>
    <row r="853" spans="1:6" x14ac:dyDescent="0.25">
      <c r="A853" t="s">
        <v>921</v>
      </c>
      <c r="B853" s="2">
        <v>135000</v>
      </c>
      <c r="C853" t="s">
        <v>21</v>
      </c>
      <c r="D853" t="s">
        <v>8</v>
      </c>
      <c r="E853" t="s">
        <v>2001</v>
      </c>
      <c r="F853">
        <v>25</v>
      </c>
    </row>
    <row r="854" spans="1:6" x14ac:dyDescent="0.25">
      <c r="A854" t="s">
        <v>922</v>
      </c>
      <c r="B854" s="2">
        <v>125000</v>
      </c>
      <c r="C854" t="s">
        <v>16</v>
      </c>
      <c r="D854" t="s">
        <v>526</v>
      </c>
      <c r="E854" t="s">
        <v>2001</v>
      </c>
      <c r="F854">
        <v>6</v>
      </c>
    </row>
    <row r="855" spans="1:6" x14ac:dyDescent="0.25">
      <c r="A855" t="s">
        <v>923</v>
      </c>
      <c r="B855" s="2">
        <v>4500</v>
      </c>
      <c r="C855" t="s">
        <v>3</v>
      </c>
      <c r="D855" t="s">
        <v>674</v>
      </c>
      <c r="E855" t="s">
        <v>2000</v>
      </c>
      <c r="F855">
        <v>4</v>
      </c>
    </row>
    <row r="856" spans="1:6" x14ac:dyDescent="0.25">
      <c r="A856" t="s">
        <v>924</v>
      </c>
      <c r="B856" s="2">
        <v>115000</v>
      </c>
      <c r="C856" t="s">
        <v>3</v>
      </c>
      <c r="D856" t="s">
        <v>8</v>
      </c>
      <c r="E856" t="s">
        <v>2001</v>
      </c>
      <c r="F856">
        <v>10</v>
      </c>
    </row>
    <row r="857" spans="1:6" x14ac:dyDescent="0.25">
      <c r="A857" t="s">
        <v>925</v>
      </c>
      <c r="B857" s="2">
        <v>70000</v>
      </c>
      <c r="C857" t="s">
        <v>3</v>
      </c>
      <c r="D857" t="s">
        <v>8</v>
      </c>
      <c r="E857" t="s">
        <v>2002</v>
      </c>
      <c r="F857">
        <v>15</v>
      </c>
    </row>
    <row r="858" spans="1:6" x14ac:dyDescent="0.25">
      <c r="A858" t="s">
        <v>926</v>
      </c>
      <c r="B858" s="2">
        <v>60000</v>
      </c>
      <c r="C858" t="s">
        <v>3</v>
      </c>
      <c r="D858" t="s">
        <v>8</v>
      </c>
      <c r="E858" t="s">
        <v>2000</v>
      </c>
      <c r="F858">
        <v>8</v>
      </c>
    </row>
    <row r="859" spans="1:6" x14ac:dyDescent="0.25">
      <c r="A859" t="s">
        <v>927</v>
      </c>
      <c r="B859" s="2">
        <v>87456</v>
      </c>
      <c r="C859" t="s">
        <v>16</v>
      </c>
      <c r="D859" t="s">
        <v>8</v>
      </c>
      <c r="E859" t="s">
        <v>2000</v>
      </c>
      <c r="F859">
        <v>12</v>
      </c>
    </row>
    <row r="860" spans="1:6" x14ac:dyDescent="0.25">
      <c r="A860" t="s">
        <v>928</v>
      </c>
      <c r="B860" s="2">
        <v>26400</v>
      </c>
      <c r="C860" t="s">
        <v>3</v>
      </c>
      <c r="D860" t="s">
        <v>147</v>
      </c>
      <c r="E860" t="s">
        <v>2002</v>
      </c>
      <c r="F860">
        <v>6</v>
      </c>
    </row>
    <row r="861" spans="1:6" x14ac:dyDescent="0.25">
      <c r="A861" t="s">
        <v>929</v>
      </c>
      <c r="B861" s="2">
        <v>12000</v>
      </c>
      <c r="C861" t="s">
        <v>16</v>
      </c>
      <c r="D861" t="s">
        <v>147</v>
      </c>
      <c r="E861" t="s">
        <v>2002</v>
      </c>
      <c r="F861">
        <v>18</v>
      </c>
    </row>
    <row r="862" spans="1:6" x14ac:dyDescent="0.25">
      <c r="A862" t="s">
        <v>930</v>
      </c>
      <c r="B862" s="2">
        <v>2564.3400029917298</v>
      </c>
      <c r="C862" t="s">
        <v>3</v>
      </c>
      <c r="D862" t="s">
        <v>4</v>
      </c>
      <c r="E862" t="s">
        <v>2001</v>
      </c>
      <c r="F862">
        <v>1</v>
      </c>
    </row>
    <row r="863" spans="1:6" x14ac:dyDescent="0.25">
      <c r="A863" t="s">
        <v>931</v>
      </c>
      <c r="B863" s="2">
        <v>62000</v>
      </c>
      <c r="C863" t="s">
        <v>16</v>
      </c>
      <c r="D863" t="s">
        <v>932</v>
      </c>
      <c r="E863" t="s">
        <v>2002</v>
      </c>
      <c r="F863">
        <v>11</v>
      </c>
    </row>
    <row r="864" spans="1:6" x14ac:dyDescent="0.25">
      <c r="A864" t="s">
        <v>933</v>
      </c>
      <c r="B864" s="2">
        <v>5342.3750062327708</v>
      </c>
      <c r="C864" t="s">
        <v>3</v>
      </c>
      <c r="D864" t="s">
        <v>4</v>
      </c>
      <c r="E864" t="s">
        <v>1999</v>
      </c>
      <c r="F864">
        <v>10</v>
      </c>
    </row>
    <row r="865" spans="1:6" x14ac:dyDescent="0.25">
      <c r="A865" t="s">
        <v>934</v>
      </c>
      <c r="B865" s="2">
        <v>50815.977559664309</v>
      </c>
      <c r="C865" t="s">
        <v>3</v>
      </c>
      <c r="D865" t="s">
        <v>572</v>
      </c>
      <c r="E865" t="s">
        <v>2001</v>
      </c>
      <c r="F865">
        <v>4</v>
      </c>
    </row>
    <row r="866" spans="1:6" x14ac:dyDescent="0.25">
      <c r="A866" t="s">
        <v>935</v>
      </c>
      <c r="B866" s="2">
        <v>25560</v>
      </c>
      <c r="C866" t="s">
        <v>16</v>
      </c>
      <c r="D866" t="s">
        <v>107</v>
      </c>
      <c r="E866" t="s">
        <v>2001</v>
      </c>
      <c r="F866">
        <v>3</v>
      </c>
    </row>
    <row r="867" spans="1:6" x14ac:dyDescent="0.25">
      <c r="A867" t="s">
        <v>936</v>
      </c>
      <c r="B867" s="2">
        <v>12821.700014958649</v>
      </c>
      <c r="C867" t="s">
        <v>24</v>
      </c>
      <c r="D867" t="s">
        <v>4</v>
      </c>
      <c r="E867" t="s">
        <v>2001</v>
      </c>
      <c r="F867">
        <v>3</v>
      </c>
    </row>
    <row r="868" spans="1:6" x14ac:dyDescent="0.25">
      <c r="A868" t="s">
        <v>937</v>
      </c>
      <c r="B868" s="2">
        <v>10684.750012465542</v>
      </c>
      <c r="C868" t="s">
        <v>16</v>
      </c>
      <c r="D868" t="s">
        <v>4</v>
      </c>
      <c r="E868" t="s">
        <v>2002</v>
      </c>
      <c r="F868">
        <v>5</v>
      </c>
    </row>
    <row r="869" spans="1:6" x14ac:dyDescent="0.25">
      <c r="A869" t="s">
        <v>938</v>
      </c>
      <c r="B869" s="2">
        <v>4457.9172610556352</v>
      </c>
      <c r="C869" t="s">
        <v>16</v>
      </c>
      <c r="D869" t="s">
        <v>10</v>
      </c>
      <c r="E869" t="s">
        <v>2002</v>
      </c>
      <c r="F869">
        <v>4</v>
      </c>
    </row>
    <row r="870" spans="1:6" x14ac:dyDescent="0.25">
      <c r="A870" t="s">
        <v>939</v>
      </c>
      <c r="B870" s="2">
        <v>125000</v>
      </c>
      <c r="C870" t="s">
        <v>21</v>
      </c>
      <c r="D870" t="s">
        <v>38</v>
      </c>
      <c r="E870" t="s">
        <v>2001</v>
      </c>
      <c r="F870">
        <v>20</v>
      </c>
    </row>
    <row r="871" spans="1:6" x14ac:dyDescent="0.25">
      <c r="A871" t="s">
        <v>940</v>
      </c>
      <c r="B871" s="2">
        <v>43000</v>
      </c>
      <c r="C871" t="s">
        <v>3</v>
      </c>
      <c r="D871" t="s">
        <v>8</v>
      </c>
      <c r="E871" t="s">
        <v>2001</v>
      </c>
      <c r="F871">
        <v>1</v>
      </c>
    </row>
    <row r="872" spans="1:6" x14ac:dyDescent="0.25">
      <c r="A872" t="s">
        <v>941</v>
      </c>
      <c r="B872" s="2">
        <v>7123.1666749770275</v>
      </c>
      <c r="C872" t="s">
        <v>12</v>
      </c>
      <c r="D872" t="s">
        <v>4</v>
      </c>
      <c r="E872" t="s">
        <v>2000</v>
      </c>
      <c r="F872">
        <v>6</v>
      </c>
    </row>
    <row r="873" spans="1:6" x14ac:dyDescent="0.25">
      <c r="A873" t="s">
        <v>942</v>
      </c>
      <c r="B873" s="2">
        <v>10000</v>
      </c>
      <c r="C873" t="s">
        <v>24</v>
      </c>
      <c r="D873" t="s">
        <v>1593</v>
      </c>
      <c r="E873" t="s">
        <v>2001</v>
      </c>
      <c r="F873">
        <v>4</v>
      </c>
    </row>
    <row r="874" spans="1:6" x14ac:dyDescent="0.25">
      <c r="A874" t="s">
        <v>943</v>
      </c>
      <c r="B874" s="2">
        <v>8903.9583437212841</v>
      </c>
      <c r="C874" t="s">
        <v>16</v>
      </c>
      <c r="D874" t="s">
        <v>4</v>
      </c>
      <c r="E874" t="s">
        <v>1999</v>
      </c>
      <c r="F874">
        <v>5</v>
      </c>
    </row>
    <row r="875" spans="1:6" x14ac:dyDescent="0.25">
      <c r="A875" t="s">
        <v>944</v>
      </c>
      <c r="B875" s="2">
        <v>36500</v>
      </c>
      <c r="C875" t="s">
        <v>24</v>
      </c>
      <c r="D875" t="s">
        <v>107</v>
      </c>
      <c r="E875" t="s">
        <v>2001</v>
      </c>
      <c r="F875">
        <v>15</v>
      </c>
    </row>
    <row r="876" spans="1:6" x14ac:dyDescent="0.25">
      <c r="A876" t="s">
        <v>945</v>
      </c>
      <c r="B876" s="2">
        <v>100000</v>
      </c>
      <c r="C876" t="s">
        <v>21</v>
      </c>
      <c r="D876" t="s">
        <v>136</v>
      </c>
      <c r="E876" t="s">
        <v>2002</v>
      </c>
      <c r="F876">
        <v>10</v>
      </c>
    </row>
    <row r="877" spans="1:6" x14ac:dyDescent="0.25">
      <c r="A877" t="s">
        <v>946</v>
      </c>
      <c r="B877" s="2">
        <v>7123.1666749770275</v>
      </c>
      <c r="C877" t="s">
        <v>24</v>
      </c>
      <c r="D877" t="s">
        <v>4</v>
      </c>
      <c r="E877" t="s">
        <v>2000</v>
      </c>
      <c r="F877">
        <v>8</v>
      </c>
    </row>
    <row r="878" spans="1:6" x14ac:dyDescent="0.25">
      <c r="A878" t="s">
        <v>947</v>
      </c>
      <c r="B878" s="2">
        <v>40958.208381117904</v>
      </c>
      <c r="C878" t="s">
        <v>16</v>
      </c>
      <c r="D878" t="s">
        <v>4</v>
      </c>
      <c r="E878" t="s">
        <v>2000</v>
      </c>
      <c r="F878">
        <v>8</v>
      </c>
    </row>
    <row r="879" spans="1:6" x14ac:dyDescent="0.25">
      <c r="A879" t="s">
        <v>948</v>
      </c>
      <c r="B879" s="2">
        <v>21369.500024931083</v>
      </c>
      <c r="C879" t="s">
        <v>21</v>
      </c>
      <c r="D879" t="s">
        <v>4</v>
      </c>
      <c r="E879" t="s">
        <v>2001</v>
      </c>
      <c r="F879">
        <v>17</v>
      </c>
    </row>
    <row r="880" spans="1:6" x14ac:dyDescent="0.25">
      <c r="A880" t="s">
        <v>949</v>
      </c>
      <c r="B880" s="2">
        <v>2136.9500024931081</v>
      </c>
      <c r="C880" t="s">
        <v>16</v>
      </c>
      <c r="D880" t="s">
        <v>4</v>
      </c>
      <c r="E880" t="s">
        <v>2001</v>
      </c>
      <c r="F880">
        <v>5</v>
      </c>
    </row>
    <row r="881" spans="1:6" x14ac:dyDescent="0.25">
      <c r="A881" t="s">
        <v>950</v>
      </c>
      <c r="B881" s="2">
        <v>8903.9583437212841</v>
      </c>
      <c r="C881" t="s">
        <v>12</v>
      </c>
      <c r="D881" t="s">
        <v>4</v>
      </c>
      <c r="E881" t="s">
        <v>2000</v>
      </c>
      <c r="F881">
        <v>3</v>
      </c>
    </row>
    <row r="882" spans="1:6" x14ac:dyDescent="0.25">
      <c r="A882" t="s">
        <v>951</v>
      </c>
      <c r="B882" s="2">
        <v>17807.916687442568</v>
      </c>
      <c r="C882" t="s">
        <v>16</v>
      </c>
      <c r="D882" t="s">
        <v>4</v>
      </c>
      <c r="E882" t="s">
        <v>2001</v>
      </c>
      <c r="F882">
        <v>5</v>
      </c>
    </row>
    <row r="883" spans="1:6" x14ac:dyDescent="0.25">
      <c r="A883" t="s">
        <v>952</v>
      </c>
      <c r="B883" s="2">
        <v>15136.729184326183</v>
      </c>
      <c r="C883" t="s">
        <v>16</v>
      </c>
      <c r="D883" t="s">
        <v>4</v>
      </c>
      <c r="E883" t="s">
        <v>2000</v>
      </c>
      <c r="F883">
        <v>3</v>
      </c>
    </row>
    <row r="884" spans="1:6" x14ac:dyDescent="0.25">
      <c r="A884" t="s">
        <v>953</v>
      </c>
      <c r="B884" s="2">
        <v>3982.448779308334</v>
      </c>
      <c r="C884" t="s">
        <v>3</v>
      </c>
      <c r="D884" t="s">
        <v>311</v>
      </c>
      <c r="E884" t="s">
        <v>2001</v>
      </c>
      <c r="F884">
        <v>10</v>
      </c>
    </row>
    <row r="885" spans="1:6" x14ac:dyDescent="0.25">
      <c r="A885" t="s">
        <v>954</v>
      </c>
      <c r="B885" s="2">
        <v>15600</v>
      </c>
      <c r="C885" t="s">
        <v>6</v>
      </c>
      <c r="D885" t="s">
        <v>955</v>
      </c>
      <c r="E885" t="s">
        <v>2001</v>
      </c>
      <c r="F885">
        <v>13</v>
      </c>
    </row>
    <row r="886" spans="1:6" x14ac:dyDescent="0.25">
      <c r="A886" t="s">
        <v>956</v>
      </c>
      <c r="B886" s="2">
        <v>3205.4250037396623</v>
      </c>
      <c r="C886" t="s">
        <v>3</v>
      </c>
      <c r="D886" t="s">
        <v>4</v>
      </c>
      <c r="E886" t="s">
        <v>2000</v>
      </c>
      <c r="F886">
        <v>3.5</v>
      </c>
    </row>
    <row r="887" spans="1:6" x14ac:dyDescent="0.25">
      <c r="A887" t="s">
        <v>957</v>
      </c>
      <c r="B887" s="2">
        <v>10000</v>
      </c>
      <c r="C887" t="s">
        <v>16</v>
      </c>
      <c r="D887" t="s">
        <v>4</v>
      </c>
      <c r="E887" t="s">
        <v>2001</v>
      </c>
      <c r="F887">
        <v>6</v>
      </c>
    </row>
    <row r="888" spans="1:6" x14ac:dyDescent="0.25">
      <c r="A888" t="s">
        <v>958</v>
      </c>
      <c r="B888" s="2">
        <v>75010</v>
      </c>
      <c r="C888" t="s">
        <v>3</v>
      </c>
      <c r="D888" t="s">
        <v>8</v>
      </c>
      <c r="E888" t="s">
        <v>2000</v>
      </c>
      <c r="F888">
        <v>6</v>
      </c>
    </row>
    <row r="889" spans="1:6" x14ac:dyDescent="0.25">
      <c r="A889" t="s">
        <v>959</v>
      </c>
      <c r="B889" s="2">
        <v>10684.750012465542</v>
      </c>
      <c r="C889" t="s">
        <v>16</v>
      </c>
      <c r="D889" t="s">
        <v>4</v>
      </c>
      <c r="E889" t="s">
        <v>2002</v>
      </c>
      <c r="F889">
        <v>9</v>
      </c>
    </row>
    <row r="890" spans="1:6" x14ac:dyDescent="0.25">
      <c r="A890" t="s">
        <v>960</v>
      </c>
      <c r="B890" s="2">
        <v>16350</v>
      </c>
      <c r="C890" t="s">
        <v>16</v>
      </c>
      <c r="D890" t="s">
        <v>4</v>
      </c>
      <c r="E890" t="s">
        <v>2001</v>
      </c>
      <c r="F890">
        <v>5</v>
      </c>
    </row>
    <row r="891" spans="1:6" x14ac:dyDescent="0.25">
      <c r="A891" t="s">
        <v>961</v>
      </c>
      <c r="B891" s="2">
        <v>126094.26176538273</v>
      </c>
      <c r="C891" t="s">
        <v>24</v>
      </c>
      <c r="D891" t="s">
        <v>55</v>
      </c>
      <c r="E891" t="s">
        <v>2001</v>
      </c>
      <c r="F891">
        <v>10</v>
      </c>
    </row>
    <row r="892" spans="1:6" x14ac:dyDescent="0.25">
      <c r="A892" t="s">
        <v>962</v>
      </c>
      <c r="B892" s="2">
        <v>60000</v>
      </c>
      <c r="C892" t="s">
        <v>24</v>
      </c>
      <c r="D892" t="s">
        <v>245</v>
      </c>
      <c r="E892" t="s">
        <v>2002</v>
      </c>
      <c r="F892">
        <v>10</v>
      </c>
    </row>
    <row r="893" spans="1:6" x14ac:dyDescent="0.25">
      <c r="A893" t="s">
        <v>963</v>
      </c>
      <c r="B893" s="2">
        <v>23150.291693675339</v>
      </c>
      <c r="C893" t="s">
        <v>16</v>
      </c>
      <c r="D893" t="s">
        <v>4</v>
      </c>
      <c r="E893" t="s">
        <v>1999</v>
      </c>
      <c r="F893">
        <v>3</v>
      </c>
    </row>
    <row r="894" spans="1:6" x14ac:dyDescent="0.25">
      <c r="A894" t="s">
        <v>964</v>
      </c>
      <c r="B894" s="2">
        <v>13801.135432767991</v>
      </c>
      <c r="C894" t="s">
        <v>3</v>
      </c>
      <c r="D894" t="s">
        <v>4</v>
      </c>
      <c r="E894" t="s">
        <v>2001</v>
      </c>
      <c r="F894">
        <v>2</v>
      </c>
    </row>
    <row r="895" spans="1:6" x14ac:dyDescent="0.25">
      <c r="A895" t="s">
        <v>965</v>
      </c>
      <c r="B895" s="2">
        <v>18698.312521814696</v>
      </c>
      <c r="C895" t="s">
        <v>16</v>
      </c>
      <c r="D895" t="s">
        <v>4</v>
      </c>
      <c r="E895" t="s">
        <v>2002</v>
      </c>
      <c r="F895">
        <v>5</v>
      </c>
    </row>
    <row r="896" spans="1:6" x14ac:dyDescent="0.25">
      <c r="A896" t="s">
        <v>966</v>
      </c>
      <c r="B896" s="2">
        <v>36000</v>
      </c>
      <c r="C896" t="s">
        <v>6</v>
      </c>
      <c r="D896" t="s">
        <v>967</v>
      </c>
      <c r="E896" t="s">
        <v>2000</v>
      </c>
      <c r="F896">
        <v>9</v>
      </c>
    </row>
    <row r="897" spans="1:6" x14ac:dyDescent="0.25">
      <c r="A897" t="s">
        <v>968</v>
      </c>
      <c r="B897" s="2">
        <v>8654.6475100970874</v>
      </c>
      <c r="C897" t="s">
        <v>16</v>
      </c>
      <c r="D897" t="s">
        <v>4</v>
      </c>
      <c r="E897" t="s">
        <v>2002</v>
      </c>
      <c r="F897">
        <v>6</v>
      </c>
    </row>
    <row r="898" spans="1:6" x14ac:dyDescent="0.25">
      <c r="A898" t="s">
        <v>969</v>
      </c>
      <c r="B898" s="2">
        <v>102451.58768437347</v>
      </c>
      <c r="C898" t="s">
        <v>16</v>
      </c>
      <c r="D898" t="s">
        <v>55</v>
      </c>
      <c r="E898" t="s">
        <v>1999</v>
      </c>
      <c r="F898">
        <v>15</v>
      </c>
    </row>
    <row r="899" spans="1:6" x14ac:dyDescent="0.25">
      <c r="A899" t="s">
        <v>970</v>
      </c>
      <c r="B899" s="2">
        <v>36400</v>
      </c>
      <c r="C899" t="s">
        <v>3</v>
      </c>
      <c r="D899" t="s">
        <v>971</v>
      </c>
      <c r="E899" t="s">
        <v>2001</v>
      </c>
      <c r="F899">
        <v>20</v>
      </c>
    </row>
    <row r="900" spans="1:6" x14ac:dyDescent="0.25">
      <c r="A900" t="s">
        <v>972</v>
      </c>
      <c r="B900" s="2">
        <v>101206.40684944032</v>
      </c>
      <c r="C900" t="s">
        <v>59</v>
      </c>
      <c r="D900" t="s">
        <v>55</v>
      </c>
      <c r="E900" t="s">
        <v>2001</v>
      </c>
      <c r="F900">
        <v>16</v>
      </c>
    </row>
    <row r="901" spans="1:6" x14ac:dyDescent="0.25">
      <c r="A901" t="s">
        <v>973</v>
      </c>
      <c r="B901" s="2">
        <v>5342.3750062327708</v>
      </c>
      <c r="C901" t="s">
        <v>3</v>
      </c>
      <c r="D901" t="s">
        <v>4</v>
      </c>
      <c r="E901" t="s">
        <v>2001</v>
      </c>
      <c r="F901">
        <v>0.5</v>
      </c>
    </row>
    <row r="902" spans="1:6" x14ac:dyDescent="0.25">
      <c r="A902" t="s">
        <v>974</v>
      </c>
      <c r="B902" s="2">
        <v>28310.79811950968</v>
      </c>
      <c r="C902" t="s">
        <v>3</v>
      </c>
      <c r="D902" t="s">
        <v>147</v>
      </c>
      <c r="E902" t="s">
        <v>2001</v>
      </c>
      <c r="F902">
        <v>11</v>
      </c>
    </row>
    <row r="903" spans="1:6" x14ac:dyDescent="0.25">
      <c r="A903" t="s">
        <v>975</v>
      </c>
      <c r="B903" s="2">
        <v>26043.18849932796</v>
      </c>
      <c r="C903" t="s">
        <v>16</v>
      </c>
      <c r="D903" t="s">
        <v>57</v>
      </c>
      <c r="E903" t="s">
        <v>2001</v>
      </c>
      <c r="F903">
        <v>8</v>
      </c>
    </row>
    <row r="904" spans="1:6" x14ac:dyDescent="0.25">
      <c r="A904" t="s">
        <v>976</v>
      </c>
      <c r="B904" s="2">
        <v>96891.417358250401</v>
      </c>
      <c r="C904" t="s">
        <v>3</v>
      </c>
      <c r="D904" t="s">
        <v>65</v>
      </c>
      <c r="E904" t="s">
        <v>1999</v>
      </c>
      <c r="F904">
        <v>7</v>
      </c>
    </row>
    <row r="905" spans="1:6" x14ac:dyDescent="0.25">
      <c r="A905" t="s">
        <v>977</v>
      </c>
      <c r="B905" s="2">
        <v>2564.3400029917298</v>
      </c>
      <c r="C905" t="s">
        <v>6</v>
      </c>
      <c r="D905" t="s">
        <v>4</v>
      </c>
      <c r="E905" t="s">
        <v>2001</v>
      </c>
      <c r="F905">
        <v>4</v>
      </c>
    </row>
    <row r="906" spans="1:6" x14ac:dyDescent="0.25">
      <c r="A906" t="s">
        <v>978</v>
      </c>
      <c r="B906" s="2">
        <v>3205.4250037396623</v>
      </c>
      <c r="C906" t="s">
        <v>37</v>
      </c>
      <c r="D906" t="s">
        <v>4</v>
      </c>
      <c r="E906" t="s">
        <v>2002</v>
      </c>
      <c r="F906">
        <v>8</v>
      </c>
    </row>
    <row r="907" spans="1:6" x14ac:dyDescent="0.25">
      <c r="A907" t="s">
        <v>979</v>
      </c>
      <c r="B907" s="2">
        <v>10684.750012465542</v>
      </c>
      <c r="C907" t="s">
        <v>3</v>
      </c>
      <c r="D907" t="s">
        <v>4</v>
      </c>
      <c r="E907" t="s">
        <v>2002</v>
      </c>
      <c r="F907">
        <v>8</v>
      </c>
    </row>
    <row r="908" spans="1:6" x14ac:dyDescent="0.25">
      <c r="A908" t="s">
        <v>980</v>
      </c>
      <c r="B908" s="2">
        <v>150000</v>
      </c>
      <c r="C908" t="s">
        <v>6</v>
      </c>
      <c r="D908" t="s">
        <v>8</v>
      </c>
      <c r="E908" t="s">
        <v>2001</v>
      </c>
      <c r="F908">
        <v>25</v>
      </c>
    </row>
    <row r="909" spans="1:6" x14ac:dyDescent="0.25">
      <c r="A909" t="s">
        <v>981</v>
      </c>
      <c r="B909" s="2">
        <v>12465.541681209797</v>
      </c>
      <c r="C909" t="s">
        <v>16</v>
      </c>
      <c r="D909" t="s">
        <v>4</v>
      </c>
      <c r="E909" t="s">
        <v>2001</v>
      </c>
      <c r="F909">
        <v>3</v>
      </c>
    </row>
    <row r="910" spans="1:6" x14ac:dyDescent="0.25">
      <c r="A910" t="s">
        <v>982</v>
      </c>
      <c r="B910" s="2">
        <v>19055.991584874118</v>
      </c>
      <c r="C910" t="s">
        <v>3</v>
      </c>
      <c r="D910" t="s">
        <v>983</v>
      </c>
      <c r="E910" t="s">
        <v>2001</v>
      </c>
      <c r="F910">
        <v>4</v>
      </c>
    </row>
    <row r="911" spans="1:6" x14ac:dyDescent="0.25">
      <c r="A911" t="s">
        <v>984</v>
      </c>
      <c r="B911" s="2">
        <v>105000</v>
      </c>
      <c r="C911" t="s">
        <v>3</v>
      </c>
      <c r="D911" t="s">
        <v>8</v>
      </c>
      <c r="E911" t="s">
        <v>2001</v>
      </c>
      <c r="F911">
        <v>20</v>
      </c>
    </row>
    <row r="912" spans="1:6" x14ac:dyDescent="0.25">
      <c r="A912" t="s">
        <v>985</v>
      </c>
      <c r="B912" s="2">
        <v>24000</v>
      </c>
      <c r="C912" t="s">
        <v>3</v>
      </c>
      <c r="D912" t="s">
        <v>4</v>
      </c>
      <c r="E912" t="s">
        <v>2001</v>
      </c>
      <c r="F912">
        <v>3</v>
      </c>
    </row>
    <row r="913" spans="1:6" x14ac:dyDescent="0.25">
      <c r="A913" t="s">
        <v>986</v>
      </c>
      <c r="B913" s="2">
        <v>78808.913603364199</v>
      </c>
      <c r="C913" t="s">
        <v>3</v>
      </c>
      <c r="D913" t="s">
        <v>55</v>
      </c>
      <c r="E913" t="s">
        <v>2002</v>
      </c>
      <c r="F913">
        <v>10</v>
      </c>
    </row>
    <row r="914" spans="1:6" x14ac:dyDescent="0.25">
      <c r="A914" t="s">
        <v>987</v>
      </c>
      <c r="B914" s="2">
        <v>42000</v>
      </c>
      <c r="C914" t="s">
        <v>6</v>
      </c>
      <c r="D914" t="s">
        <v>107</v>
      </c>
      <c r="E914" t="s">
        <v>2002</v>
      </c>
      <c r="F914">
        <v>15</v>
      </c>
    </row>
    <row r="915" spans="1:6" x14ac:dyDescent="0.25">
      <c r="A915" t="s">
        <v>988</v>
      </c>
      <c r="B915" s="2">
        <v>9490.1984044603923</v>
      </c>
      <c r="C915" t="s">
        <v>3</v>
      </c>
      <c r="D915" t="s">
        <v>116</v>
      </c>
      <c r="E915" t="s">
        <v>2002</v>
      </c>
      <c r="F915">
        <v>8</v>
      </c>
    </row>
    <row r="916" spans="1:6" x14ac:dyDescent="0.25">
      <c r="A916" t="s">
        <v>989</v>
      </c>
      <c r="B916" s="2">
        <v>60000</v>
      </c>
      <c r="C916" t="s">
        <v>59</v>
      </c>
      <c r="D916" t="s">
        <v>245</v>
      </c>
      <c r="E916" t="s">
        <v>2001</v>
      </c>
      <c r="F916">
        <v>5</v>
      </c>
    </row>
    <row r="917" spans="1:6" x14ac:dyDescent="0.25">
      <c r="A917" t="s">
        <v>990</v>
      </c>
      <c r="B917" s="2">
        <v>17807.916687442568</v>
      </c>
      <c r="C917" t="s">
        <v>16</v>
      </c>
      <c r="D917" t="s">
        <v>4</v>
      </c>
      <c r="E917" t="s">
        <v>2002</v>
      </c>
      <c r="F917">
        <v>8</v>
      </c>
    </row>
    <row r="918" spans="1:6" x14ac:dyDescent="0.25">
      <c r="A918" t="s">
        <v>991</v>
      </c>
      <c r="B918" s="2">
        <v>12465.541681209797</v>
      </c>
      <c r="C918" t="s">
        <v>3</v>
      </c>
      <c r="D918" t="s">
        <v>4</v>
      </c>
      <c r="E918" t="s">
        <v>2002</v>
      </c>
      <c r="F918">
        <v>1</v>
      </c>
    </row>
    <row r="919" spans="1:6" x14ac:dyDescent="0.25">
      <c r="A919" t="s">
        <v>992</v>
      </c>
      <c r="B919" s="2">
        <v>20571</v>
      </c>
      <c r="C919" t="s">
        <v>21</v>
      </c>
      <c r="D919" t="s">
        <v>993</v>
      </c>
      <c r="E919" t="s">
        <v>2001</v>
      </c>
      <c r="F919">
        <v>8</v>
      </c>
    </row>
    <row r="920" spans="1:6" x14ac:dyDescent="0.25">
      <c r="A920" t="s">
        <v>994</v>
      </c>
      <c r="B920" s="2">
        <v>3480</v>
      </c>
      <c r="C920" t="s">
        <v>16</v>
      </c>
      <c r="D920" t="s">
        <v>10</v>
      </c>
      <c r="E920" t="s">
        <v>2002</v>
      </c>
      <c r="F920">
        <v>6</v>
      </c>
    </row>
    <row r="921" spans="1:6" x14ac:dyDescent="0.25">
      <c r="A921" t="s">
        <v>995</v>
      </c>
      <c r="B921" s="2">
        <v>18060</v>
      </c>
      <c r="C921" t="s">
        <v>37</v>
      </c>
      <c r="D921" t="s">
        <v>311</v>
      </c>
      <c r="E921" t="s">
        <v>2001</v>
      </c>
      <c r="F921">
        <v>12</v>
      </c>
    </row>
    <row r="922" spans="1:6" x14ac:dyDescent="0.25">
      <c r="A922" t="s">
        <v>996</v>
      </c>
      <c r="B922" s="2">
        <v>30000</v>
      </c>
      <c r="C922" t="s">
        <v>24</v>
      </c>
      <c r="D922" t="s">
        <v>997</v>
      </c>
      <c r="E922" t="s">
        <v>2000</v>
      </c>
      <c r="F922">
        <v>30</v>
      </c>
    </row>
    <row r="923" spans="1:6" x14ac:dyDescent="0.25">
      <c r="A923" t="s">
        <v>998</v>
      </c>
      <c r="B923" s="2">
        <v>24000</v>
      </c>
      <c r="C923" t="s">
        <v>16</v>
      </c>
      <c r="D923" t="s">
        <v>4</v>
      </c>
      <c r="E923" t="s">
        <v>2001</v>
      </c>
      <c r="F923">
        <v>10</v>
      </c>
    </row>
    <row r="924" spans="1:6" x14ac:dyDescent="0.25">
      <c r="A924" t="s">
        <v>999</v>
      </c>
      <c r="B924" s="2">
        <v>80289.244544269619</v>
      </c>
      <c r="C924" t="s">
        <v>59</v>
      </c>
      <c r="D924" t="s">
        <v>85</v>
      </c>
      <c r="E924" t="s">
        <v>2001</v>
      </c>
      <c r="F924">
        <v>3</v>
      </c>
    </row>
    <row r="925" spans="1:6" x14ac:dyDescent="0.25">
      <c r="A925" t="s">
        <v>1000</v>
      </c>
      <c r="B925" s="2">
        <v>70000</v>
      </c>
      <c r="C925" t="s">
        <v>16</v>
      </c>
      <c r="D925" t="s">
        <v>8</v>
      </c>
      <c r="E925" t="s">
        <v>2001</v>
      </c>
      <c r="F925">
        <v>4</v>
      </c>
    </row>
    <row r="926" spans="1:6" x14ac:dyDescent="0.25">
      <c r="A926" t="s">
        <v>1001</v>
      </c>
      <c r="B926" s="2">
        <v>8547.8000099724322</v>
      </c>
      <c r="C926" t="s">
        <v>16</v>
      </c>
      <c r="D926" t="s">
        <v>4</v>
      </c>
      <c r="E926" t="s">
        <v>2000</v>
      </c>
      <c r="F926">
        <v>2</v>
      </c>
    </row>
    <row r="927" spans="1:6" x14ac:dyDescent="0.25">
      <c r="A927" t="s">
        <v>1002</v>
      </c>
      <c r="B927" s="2">
        <v>10684.750012465542</v>
      </c>
      <c r="C927" t="s">
        <v>3</v>
      </c>
      <c r="D927" t="s">
        <v>4</v>
      </c>
      <c r="E927" t="s">
        <v>2001</v>
      </c>
      <c r="F927">
        <v>11</v>
      </c>
    </row>
    <row r="928" spans="1:6" x14ac:dyDescent="0.25">
      <c r="A928" t="s">
        <v>1003</v>
      </c>
      <c r="B928" s="2">
        <v>10684.750012465542</v>
      </c>
      <c r="C928" t="s">
        <v>3</v>
      </c>
      <c r="D928" t="s">
        <v>4</v>
      </c>
      <c r="E928" t="s">
        <v>2000</v>
      </c>
      <c r="F928">
        <v>4</v>
      </c>
    </row>
    <row r="929" spans="1:6" x14ac:dyDescent="0.25">
      <c r="A929" t="s">
        <v>1004</v>
      </c>
      <c r="B929" s="2">
        <v>20000</v>
      </c>
      <c r="C929" t="s">
        <v>24</v>
      </c>
      <c r="D929" t="s">
        <v>1005</v>
      </c>
      <c r="E929" t="s">
        <v>2002</v>
      </c>
      <c r="F929">
        <v>2</v>
      </c>
    </row>
    <row r="930" spans="1:6" x14ac:dyDescent="0.25">
      <c r="A930" t="s">
        <v>1006</v>
      </c>
      <c r="B930" s="2">
        <v>53356.776437647524</v>
      </c>
      <c r="C930" t="s">
        <v>59</v>
      </c>
      <c r="D930" t="s">
        <v>17</v>
      </c>
      <c r="E930" t="s">
        <v>2000</v>
      </c>
      <c r="F930">
        <v>3</v>
      </c>
    </row>
    <row r="931" spans="1:6" x14ac:dyDescent="0.25">
      <c r="A931" t="s">
        <v>1007</v>
      </c>
      <c r="B931" s="2">
        <v>36000</v>
      </c>
      <c r="C931" t="s">
        <v>24</v>
      </c>
      <c r="D931" t="s">
        <v>147</v>
      </c>
      <c r="E931" t="s">
        <v>2001</v>
      </c>
      <c r="F931">
        <v>4.5</v>
      </c>
    </row>
    <row r="932" spans="1:6" x14ac:dyDescent="0.25">
      <c r="A932" t="s">
        <v>1008</v>
      </c>
      <c r="B932" s="2">
        <v>57000</v>
      </c>
      <c r="C932" t="s">
        <v>12</v>
      </c>
      <c r="D932" t="s">
        <v>8</v>
      </c>
      <c r="E932" t="s">
        <v>2000</v>
      </c>
      <c r="F932">
        <v>4</v>
      </c>
    </row>
    <row r="933" spans="1:6" x14ac:dyDescent="0.25">
      <c r="A933" t="s">
        <v>1009</v>
      </c>
      <c r="B933" s="2">
        <v>135000</v>
      </c>
      <c r="C933" t="s">
        <v>16</v>
      </c>
      <c r="D933" t="s">
        <v>8</v>
      </c>
      <c r="E933" t="s">
        <v>2002</v>
      </c>
      <c r="F933">
        <v>15</v>
      </c>
    </row>
    <row r="934" spans="1:6" x14ac:dyDescent="0.25">
      <c r="A934" t="s">
        <v>1010</v>
      </c>
      <c r="B934" s="2">
        <v>95279.957924370581</v>
      </c>
      <c r="C934" t="s">
        <v>3</v>
      </c>
      <c r="D934" t="s">
        <v>572</v>
      </c>
      <c r="E934" t="s">
        <v>2001</v>
      </c>
      <c r="F934">
        <v>4</v>
      </c>
    </row>
    <row r="935" spans="1:6" x14ac:dyDescent="0.25">
      <c r="A935" t="s">
        <v>1011</v>
      </c>
      <c r="B935" s="2">
        <v>57167.974754622352</v>
      </c>
      <c r="C935" t="s">
        <v>3</v>
      </c>
      <c r="D935" t="s">
        <v>572</v>
      </c>
      <c r="E935" t="s">
        <v>2000</v>
      </c>
      <c r="F935">
        <v>10</v>
      </c>
    </row>
    <row r="936" spans="1:6" x14ac:dyDescent="0.25">
      <c r="A936" t="s">
        <v>1012</v>
      </c>
      <c r="B936" s="2">
        <v>12326.656394453004</v>
      </c>
      <c r="C936" t="s">
        <v>16</v>
      </c>
      <c r="D936" t="s">
        <v>809</v>
      </c>
      <c r="E936" t="s">
        <v>2001</v>
      </c>
      <c r="F936">
        <v>5</v>
      </c>
    </row>
    <row r="937" spans="1:6" x14ac:dyDescent="0.25">
      <c r="A937" t="s">
        <v>1013</v>
      </c>
      <c r="B937" s="2">
        <v>8000</v>
      </c>
      <c r="C937" t="s">
        <v>3</v>
      </c>
      <c r="D937" t="s">
        <v>4</v>
      </c>
      <c r="E937" t="s">
        <v>1999</v>
      </c>
      <c r="F937">
        <v>5</v>
      </c>
    </row>
    <row r="938" spans="1:6" x14ac:dyDescent="0.25">
      <c r="A938" t="s">
        <v>1014</v>
      </c>
      <c r="B938" s="2">
        <v>48000</v>
      </c>
      <c r="C938" t="s">
        <v>16</v>
      </c>
      <c r="D938" t="s">
        <v>85</v>
      </c>
      <c r="E938" t="s">
        <v>2001</v>
      </c>
      <c r="F938">
        <v>5</v>
      </c>
    </row>
    <row r="939" spans="1:6" x14ac:dyDescent="0.25">
      <c r="A939" t="s">
        <v>1015</v>
      </c>
      <c r="B939" s="2">
        <v>40000</v>
      </c>
      <c r="C939" t="s">
        <v>3</v>
      </c>
      <c r="D939" t="s">
        <v>616</v>
      </c>
      <c r="E939" t="s">
        <v>2001</v>
      </c>
      <c r="F939">
        <v>5</v>
      </c>
    </row>
    <row r="940" spans="1:6" x14ac:dyDescent="0.25">
      <c r="A940" t="s">
        <v>1016</v>
      </c>
      <c r="B940" s="2">
        <v>59819.107020370408</v>
      </c>
      <c r="C940" t="s">
        <v>3</v>
      </c>
      <c r="D940" t="s">
        <v>616</v>
      </c>
      <c r="E940" t="s">
        <v>2001</v>
      </c>
      <c r="F940">
        <v>10</v>
      </c>
    </row>
    <row r="941" spans="1:6" x14ac:dyDescent="0.25">
      <c r="A941" t="s">
        <v>1017</v>
      </c>
      <c r="B941" s="2">
        <v>150000</v>
      </c>
      <c r="C941" t="s">
        <v>3</v>
      </c>
      <c r="D941" t="s">
        <v>35</v>
      </c>
      <c r="E941" t="s">
        <v>1999</v>
      </c>
      <c r="F941">
        <v>20</v>
      </c>
    </row>
    <row r="942" spans="1:6" x14ac:dyDescent="0.25">
      <c r="A942" t="s">
        <v>1018</v>
      </c>
      <c r="B942" s="2">
        <v>81592.772512210868</v>
      </c>
      <c r="C942" t="s">
        <v>16</v>
      </c>
      <c r="D942" t="s">
        <v>65</v>
      </c>
      <c r="E942" t="s">
        <v>2001</v>
      </c>
      <c r="F942">
        <v>25</v>
      </c>
    </row>
    <row r="943" spans="1:6" x14ac:dyDescent="0.25">
      <c r="A943" t="s">
        <v>1019</v>
      </c>
      <c r="B943" s="2">
        <v>96891.417358250401</v>
      </c>
      <c r="C943" t="s">
        <v>3</v>
      </c>
      <c r="D943" t="s">
        <v>65</v>
      </c>
      <c r="E943" t="s">
        <v>2000</v>
      </c>
      <c r="F943">
        <v>20</v>
      </c>
    </row>
    <row r="944" spans="1:6" x14ac:dyDescent="0.25">
      <c r="A944" t="s">
        <v>1020</v>
      </c>
      <c r="B944" s="2">
        <v>91791.869076237213</v>
      </c>
      <c r="C944" t="s">
        <v>3</v>
      </c>
      <c r="D944" t="s">
        <v>65</v>
      </c>
      <c r="E944" t="s">
        <v>2001</v>
      </c>
      <c r="F944">
        <v>13</v>
      </c>
    </row>
    <row r="945" spans="1:6" x14ac:dyDescent="0.25">
      <c r="A945" t="s">
        <v>1021</v>
      </c>
      <c r="B945" s="2">
        <v>15000</v>
      </c>
      <c r="C945" t="s">
        <v>3</v>
      </c>
      <c r="D945" t="s">
        <v>4</v>
      </c>
      <c r="E945" t="s">
        <v>2000</v>
      </c>
      <c r="F945">
        <v>2</v>
      </c>
    </row>
    <row r="946" spans="1:6" x14ac:dyDescent="0.25">
      <c r="A946" t="s">
        <v>1022</v>
      </c>
      <c r="B946" s="2">
        <v>66294.12766617132</v>
      </c>
      <c r="C946" t="s">
        <v>16</v>
      </c>
      <c r="D946" t="s">
        <v>65</v>
      </c>
      <c r="E946" t="s">
        <v>2000</v>
      </c>
      <c r="F946">
        <v>5</v>
      </c>
    </row>
    <row r="947" spans="1:6" x14ac:dyDescent="0.25">
      <c r="A947" t="s">
        <v>1023</v>
      </c>
      <c r="B947" s="2">
        <v>101990.96564026357</v>
      </c>
      <c r="C947" t="s">
        <v>59</v>
      </c>
      <c r="D947" t="s">
        <v>65</v>
      </c>
      <c r="E947" t="s">
        <v>2002</v>
      </c>
      <c r="F947">
        <v>6</v>
      </c>
    </row>
    <row r="948" spans="1:6" x14ac:dyDescent="0.25">
      <c r="A948" t="s">
        <v>1024</v>
      </c>
      <c r="B948" s="2">
        <v>60000</v>
      </c>
      <c r="C948" t="s">
        <v>16</v>
      </c>
      <c r="D948" t="s">
        <v>8</v>
      </c>
      <c r="E948" t="s">
        <v>2000</v>
      </c>
      <c r="F948">
        <v>3</v>
      </c>
    </row>
    <row r="949" spans="1:6" x14ac:dyDescent="0.25">
      <c r="A949" t="s">
        <v>1025</v>
      </c>
      <c r="B949" s="2">
        <v>43856.11522531334</v>
      </c>
      <c r="C949" t="s">
        <v>16</v>
      </c>
      <c r="D949" t="s">
        <v>65</v>
      </c>
      <c r="E949" t="s">
        <v>2002</v>
      </c>
      <c r="F949">
        <v>1</v>
      </c>
    </row>
    <row r="950" spans="1:6" x14ac:dyDescent="0.25">
      <c r="A950" t="s">
        <v>1026</v>
      </c>
      <c r="B950" s="2">
        <v>45616</v>
      </c>
      <c r="C950" t="s">
        <v>3</v>
      </c>
      <c r="D950" t="s">
        <v>65</v>
      </c>
      <c r="E950" t="s">
        <v>2001</v>
      </c>
      <c r="F950">
        <v>1.5</v>
      </c>
    </row>
    <row r="951" spans="1:6" x14ac:dyDescent="0.25">
      <c r="A951" t="s">
        <v>1027</v>
      </c>
      <c r="B951" s="2">
        <v>75770.868892469181</v>
      </c>
      <c r="C951" t="s">
        <v>24</v>
      </c>
      <c r="D951" t="s">
        <v>616</v>
      </c>
      <c r="E951" t="s">
        <v>2001</v>
      </c>
      <c r="F951">
        <v>20</v>
      </c>
    </row>
    <row r="952" spans="1:6" x14ac:dyDescent="0.25">
      <c r="A952" t="s">
        <v>1028</v>
      </c>
      <c r="B952" s="2">
        <v>57726.886552389187</v>
      </c>
      <c r="C952" t="s">
        <v>16</v>
      </c>
      <c r="D952" t="s">
        <v>65</v>
      </c>
      <c r="E952" t="s">
        <v>2000</v>
      </c>
      <c r="F952">
        <v>2</v>
      </c>
    </row>
    <row r="953" spans="1:6" x14ac:dyDescent="0.25">
      <c r="A953" t="s">
        <v>1029</v>
      </c>
      <c r="B953" s="2">
        <v>20000</v>
      </c>
      <c r="C953" t="s">
        <v>3</v>
      </c>
      <c r="D953" t="s">
        <v>65</v>
      </c>
      <c r="E953" t="s">
        <v>2000</v>
      </c>
      <c r="F953">
        <v>2</v>
      </c>
    </row>
    <row r="954" spans="1:6" x14ac:dyDescent="0.25">
      <c r="A954" t="s">
        <v>1030</v>
      </c>
      <c r="B954" s="2">
        <v>203981.93128052715</v>
      </c>
      <c r="C954" t="s">
        <v>16</v>
      </c>
      <c r="D954" t="s">
        <v>65</v>
      </c>
      <c r="E954" t="s">
        <v>2001</v>
      </c>
      <c r="F954">
        <v>15</v>
      </c>
    </row>
    <row r="955" spans="1:6" x14ac:dyDescent="0.25">
      <c r="A955" t="s">
        <v>1031</v>
      </c>
      <c r="B955" s="2">
        <v>50995.482820131787</v>
      </c>
      <c r="C955" t="s">
        <v>6</v>
      </c>
      <c r="D955" t="s">
        <v>65</v>
      </c>
      <c r="E955" t="s">
        <v>1999</v>
      </c>
      <c r="F955">
        <v>5</v>
      </c>
    </row>
    <row r="956" spans="1:6" x14ac:dyDescent="0.25">
      <c r="A956" t="s">
        <v>1032</v>
      </c>
      <c r="B956" s="2">
        <v>127488.70705032947</v>
      </c>
      <c r="C956" t="s">
        <v>21</v>
      </c>
      <c r="D956" t="s">
        <v>65</v>
      </c>
      <c r="E956" t="s">
        <v>2001</v>
      </c>
      <c r="F956">
        <v>15</v>
      </c>
    </row>
    <row r="957" spans="1:6" x14ac:dyDescent="0.25">
      <c r="A957" t="s">
        <v>1033</v>
      </c>
      <c r="B957" s="2">
        <v>66294.12766617132</v>
      </c>
      <c r="C957" t="s">
        <v>3</v>
      </c>
      <c r="D957" t="s">
        <v>65</v>
      </c>
      <c r="E957" t="s">
        <v>2001</v>
      </c>
      <c r="F957">
        <v>4</v>
      </c>
    </row>
    <row r="958" spans="1:6" x14ac:dyDescent="0.25">
      <c r="A958" t="s">
        <v>1034</v>
      </c>
      <c r="B958" s="2">
        <v>63234.398696963413</v>
      </c>
      <c r="C958" t="s">
        <v>3</v>
      </c>
      <c r="D958" t="s">
        <v>65</v>
      </c>
      <c r="E958" t="s">
        <v>2001</v>
      </c>
      <c r="F958">
        <v>3</v>
      </c>
    </row>
    <row r="959" spans="1:6" x14ac:dyDescent="0.25">
      <c r="A959" t="s">
        <v>1035</v>
      </c>
      <c r="B959" s="2">
        <v>260000</v>
      </c>
      <c r="C959" t="s">
        <v>21</v>
      </c>
      <c r="D959" t="s">
        <v>8</v>
      </c>
      <c r="E959" t="s">
        <v>2000</v>
      </c>
      <c r="F959">
        <v>10</v>
      </c>
    </row>
    <row r="960" spans="1:6" x14ac:dyDescent="0.25">
      <c r="A960" t="s">
        <v>1036</v>
      </c>
      <c r="B960" s="2">
        <v>112190.06220428993</v>
      </c>
      <c r="C960" t="s">
        <v>16</v>
      </c>
      <c r="D960" t="s">
        <v>65</v>
      </c>
      <c r="E960" t="s">
        <v>2000</v>
      </c>
      <c r="F960">
        <v>8</v>
      </c>
    </row>
    <row r="961" spans="1:6" x14ac:dyDescent="0.25">
      <c r="A961" t="s">
        <v>1037</v>
      </c>
      <c r="B961" s="2">
        <v>71393.675948184507</v>
      </c>
      <c r="C961" t="s">
        <v>16</v>
      </c>
      <c r="D961" t="s">
        <v>65</v>
      </c>
      <c r="E961" t="s">
        <v>2001</v>
      </c>
      <c r="F961">
        <v>7</v>
      </c>
    </row>
    <row r="962" spans="1:6" x14ac:dyDescent="0.25">
      <c r="A962" t="s">
        <v>1038</v>
      </c>
      <c r="B962" s="2">
        <v>85000</v>
      </c>
      <c r="C962" t="s">
        <v>37</v>
      </c>
      <c r="D962" t="s">
        <v>65</v>
      </c>
      <c r="E962" t="s">
        <v>2001</v>
      </c>
      <c r="F962">
        <v>8</v>
      </c>
    </row>
    <row r="963" spans="1:6" x14ac:dyDescent="0.25">
      <c r="A963" t="s">
        <v>1039</v>
      </c>
      <c r="B963" s="2">
        <v>95871.50770184776</v>
      </c>
      <c r="C963" t="s">
        <v>3</v>
      </c>
      <c r="D963" t="s">
        <v>65</v>
      </c>
      <c r="E963" t="s">
        <v>2000</v>
      </c>
      <c r="F963">
        <v>2.5</v>
      </c>
    </row>
    <row r="964" spans="1:6" x14ac:dyDescent="0.25">
      <c r="A964" t="s">
        <v>1040</v>
      </c>
      <c r="B964" s="2">
        <v>109130.33323508203</v>
      </c>
      <c r="C964" t="s">
        <v>16</v>
      </c>
      <c r="D964" t="s">
        <v>65</v>
      </c>
      <c r="E964" t="s">
        <v>2001</v>
      </c>
      <c r="F964">
        <v>35</v>
      </c>
    </row>
    <row r="965" spans="1:6" x14ac:dyDescent="0.25">
      <c r="A965" t="s">
        <v>1041</v>
      </c>
      <c r="B965" s="2">
        <v>36000</v>
      </c>
      <c r="C965" t="s">
        <v>16</v>
      </c>
      <c r="D965" t="s">
        <v>1057</v>
      </c>
      <c r="E965" t="s">
        <v>1999</v>
      </c>
      <c r="F965">
        <v>3</v>
      </c>
    </row>
    <row r="966" spans="1:6" x14ac:dyDescent="0.25">
      <c r="A966" t="s">
        <v>1042</v>
      </c>
      <c r="B966" s="2">
        <v>122389.15876831629</v>
      </c>
      <c r="C966" t="s">
        <v>3</v>
      </c>
      <c r="D966" t="s">
        <v>65</v>
      </c>
      <c r="E966" t="s">
        <v>2001</v>
      </c>
      <c r="F966">
        <v>2</v>
      </c>
    </row>
    <row r="967" spans="1:6" x14ac:dyDescent="0.25">
      <c r="A967" t="s">
        <v>1043</v>
      </c>
      <c r="B967" s="2">
        <v>53035.30213293706</v>
      </c>
      <c r="C967" t="s">
        <v>3</v>
      </c>
      <c r="D967" t="s">
        <v>65</v>
      </c>
      <c r="E967" t="s">
        <v>2001</v>
      </c>
      <c r="F967">
        <v>4</v>
      </c>
    </row>
    <row r="968" spans="1:6" x14ac:dyDescent="0.25">
      <c r="A968" t="s">
        <v>1044</v>
      </c>
      <c r="B968" s="2">
        <v>125000</v>
      </c>
      <c r="C968" t="s">
        <v>21</v>
      </c>
      <c r="D968" t="s">
        <v>8</v>
      </c>
      <c r="E968" t="s">
        <v>2001</v>
      </c>
      <c r="F968">
        <v>10</v>
      </c>
    </row>
    <row r="969" spans="1:6" x14ac:dyDescent="0.25">
      <c r="A969" t="s">
        <v>1045</v>
      </c>
      <c r="B969" s="2">
        <v>19000</v>
      </c>
      <c r="C969" t="s">
        <v>3</v>
      </c>
      <c r="D969" t="s">
        <v>1046</v>
      </c>
      <c r="E969" t="s">
        <v>2001</v>
      </c>
      <c r="F969">
        <v>6</v>
      </c>
    </row>
    <row r="970" spans="1:6" x14ac:dyDescent="0.25">
      <c r="A970" t="s">
        <v>1047</v>
      </c>
      <c r="B970" s="2">
        <v>93831.688389042494</v>
      </c>
      <c r="C970" t="s">
        <v>3</v>
      </c>
      <c r="D970" t="s">
        <v>65</v>
      </c>
      <c r="E970" t="s">
        <v>2002</v>
      </c>
      <c r="F970">
        <v>6</v>
      </c>
    </row>
    <row r="971" spans="1:6" x14ac:dyDescent="0.25">
      <c r="A971" t="s">
        <v>1048</v>
      </c>
      <c r="B971" s="2">
        <v>101990.96564026357</v>
      </c>
      <c r="C971" t="s">
        <v>3</v>
      </c>
      <c r="D971" t="s">
        <v>65</v>
      </c>
      <c r="E971" t="s">
        <v>2001</v>
      </c>
      <c r="F971">
        <v>20</v>
      </c>
    </row>
    <row r="972" spans="1:6" x14ac:dyDescent="0.25">
      <c r="A972" t="s">
        <v>1049</v>
      </c>
      <c r="B972" s="2">
        <v>122389.15876831629</v>
      </c>
      <c r="C972" t="s">
        <v>3</v>
      </c>
      <c r="D972" t="s">
        <v>65</v>
      </c>
      <c r="E972" t="s">
        <v>2001</v>
      </c>
      <c r="F972">
        <v>5</v>
      </c>
    </row>
    <row r="973" spans="1:6" x14ac:dyDescent="0.25">
      <c r="A973" t="s">
        <v>1050</v>
      </c>
      <c r="B973" s="2">
        <v>34417.653306061438</v>
      </c>
      <c r="C973" t="s">
        <v>3</v>
      </c>
      <c r="D973" t="s">
        <v>68</v>
      </c>
      <c r="E973" t="s">
        <v>2002</v>
      </c>
      <c r="F973">
        <v>4</v>
      </c>
    </row>
    <row r="974" spans="1:6" x14ac:dyDescent="0.25">
      <c r="A974" t="s">
        <v>1051</v>
      </c>
      <c r="B974" s="2">
        <v>12000</v>
      </c>
      <c r="C974" t="s">
        <v>16</v>
      </c>
      <c r="D974" t="s">
        <v>1052</v>
      </c>
      <c r="E974" t="s">
        <v>2002</v>
      </c>
      <c r="F974">
        <v>3</v>
      </c>
    </row>
    <row r="975" spans="1:6" x14ac:dyDescent="0.25">
      <c r="A975" t="s">
        <v>1053</v>
      </c>
      <c r="B975" s="2">
        <v>3632.815004238284</v>
      </c>
      <c r="C975" t="s">
        <v>16</v>
      </c>
      <c r="D975" t="s">
        <v>4</v>
      </c>
      <c r="E975" t="s">
        <v>2001</v>
      </c>
      <c r="F975">
        <v>0</v>
      </c>
    </row>
    <row r="976" spans="1:6" x14ac:dyDescent="0.25">
      <c r="A976" t="s">
        <v>1054</v>
      </c>
      <c r="B976" s="2">
        <v>21369.500024931083</v>
      </c>
      <c r="C976" t="s">
        <v>59</v>
      </c>
      <c r="D976" t="s">
        <v>4</v>
      </c>
      <c r="E976" t="s">
        <v>2002</v>
      </c>
      <c r="F976">
        <v>6</v>
      </c>
    </row>
    <row r="977" spans="1:6" x14ac:dyDescent="0.25">
      <c r="A977" t="s">
        <v>1055</v>
      </c>
      <c r="B977" s="2">
        <v>8903.9583437212841</v>
      </c>
      <c r="C977" t="s">
        <v>3</v>
      </c>
      <c r="D977" t="s">
        <v>4</v>
      </c>
      <c r="E977" t="s">
        <v>2001</v>
      </c>
      <c r="F977">
        <v>7</v>
      </c>
    </row>
    <row r="978" spans="1:6" x14ac:dyDescent="0.25">
      <c r="A978" t="s">
        <v>1056</v>
      </c>
      <c r="B978" s="2">
        <v>15206.427249917633</v>
      </c>
      <c r="C978" t="s">
        <v>16</v>
      </c>
      <c r="D978" t="s">
        <v>1057</v>
      </c>
      <c r="E978" t="s">
        <v>2001</v>
      </c>
      <c r="F978">
        <v>2</v>
      </c>
    </row>
    <row r="979" spans="1:6" x14ac:dyDescent="0.25">
      <c r="A979" t="s">
        <v>1058</v>
      </c>
      <c r="B979" s="2">
        <v>143565.85684888897</v>
      </c>
      <c r="C979" t="s">
        <v>16</v>
      </c>
      <c r="D979" t="s">
        <v>616</v>
      </c>
      <c r="E979" t="s">
        <v>2001</v>
      </c>
      <c r="F979">
        <v>25</v>
      </c>
    </row>
    <row r="980" spans="1:6" x14ac:dyDescent="0.25">
      <c r="A980" t="s">
        <v>1059</v>
      </c>
      <c r="B980" s="2">
        <v>9705.3145946561999</v>
      </c>
      <c r="C980" t="s">
        <v>16</v>
      </c>
      <c r="D980" t="s">
        <v>4</v>
      </c>
      <c r="E980" t="s">
        <v>2000</v>
      </c>
      <c r="F980">
        <v>6</v>
      </c>
    </row>
    <row r="981" spans="1:6" x14ac:dyDescent="0.25">
      <c r="A981" t="s">
        <v>1060</v>
      </c>
      <c r="B981" s="2">
        <v>17807.916687442568</v>
      </c>
      <c r="C981" t="s">
        <v>16</v>
      </c>
      <c r="D981" t="s">
        <v>4</v>
      </c>
      <c r="E981" t="s">
        <v>2002</v>
      </c>
      <c r="F981">
        <v>8</v>
      </c>
    </row>
    <row r="982" spans="1:6" x14ac:dyDescent="0.25">
      <c r="A982" t="s">
        <v>1061</v>
      </c>
      <c r="B982" s="2">
        <v>3205.4250037396623</v>
      </c>
      <c r="C982" t="s">
        <v>3</v>
      </c>
      <c r="D982" t="s">
        <v>4</v>
      </c>
      <c r="E982" t="s">
        <v>2001</v>
      </c>
      <c r="F982">
        <v>10</v>
      </c>
    </row>
    <row r="983" spans="1:6" x14ac:dyDescent="0.25">
      <c r="A983" t="s">
        <v>1062</v>
      </c>
      <c r="B983" s="2">
        <v>45000</v>
      </c>
      <c r="C983" t="s">
        <v>24</v>
      </c>
      <c r="D983" t="s">
        <v>8</v>
      </c>
      <c r="E983" t="s">
        <v>2002</v>
      </c>
      <c r="F983">
        <v>3</v>
      </c>
    </row>
    <row r="984" spans="1:6" x14ac:dyDescent="0.25">
      <c r="A984" t="s">
        <v>1063</v>
      </c>
      <c r="B984" s="2">
        <v>12465.541681209797</v>
      </c>
      <c r="C984" t="s">
        <v>16</v>
      </c>
      <c r="D984" t="s">
        <v>4</v>
      </c>
      <c r="E984" t="s">
        <v>2000</v>
      </c>
      <c r="F984">
        <v>7</v>
      </c>
    </row>
    <row r="985" spans="1:6" x14ac:dyDescent="0.25">
      <c r="A985" t="s">
        <v>1064</v>
      </c>
      <c r="B985" s="2">
        <v>95871.50770184776</v>
      </c>
      <c r="C985" t="s">
        <v>3</v>
      </c>
      <c r="D985" t="s">
        <v>65</v>
      </c>
      <c r="E985" t="s">
        <v>2000</v>
      </c>
      <c r="F985">
        <v>14</v>
      </c>
    </row>
    <row r="986" spans="1:6" x14ac:dyDescent="0.25">
      <c r="A986" t="s">
        <v>1065</v>
      </c>
      <c r="B986" s="2">
        <v>173384.64158844808</v>
      </c>
      <c r="C986" t="s">
        <v>59</v>
      </c>
      <c r="D986" t="s">
        <v>65</v>
      </c>
      <c r="E986" t="s">
        <v>2000</v>
      </c>
      <c r="F986">
        <v>8</v>
      </c>
    </row>
    <row r="987" spans="1:6" x14ac:dyDescent="0.25">
      <c r="A987" t="s">
        <v>1066</v>
      </c>
      <c r="B987" s="2">
        <v>11575.14584683767</v>
      </c>
      <c r="C987" t="s">
        <v>16</v>
      </c>
      <c r="D987" t="s">
        <v>4</v>
      </c>
      <c r="E987" t="s">
        <v>2000</v>
      </c>
      <c r="F987">
        <v>1</v>
      </c>
    </row>
    <row r="988" spans="1:6" x14ac:dyDescent="0.25">
      <c r="A988" t="s">
        <v>1067</v>
      </c>
      <c r="B988" s="2">
        <v>18000</v>
      </c>
      <c r="C988" t="s">
        <v>26</v>
      </c>
      <c r="D988" t="s">
        <v>4</v>
      </c>
      <c r="E988" t="s">
        <v>2002</v>
      </c>
      <c r="F988">
        <v>8</v>
      </c>
    </row>
    <row r="989" spans="1:6" x14ac:dyDescent="0.25">
      <c r="A989" t="s">
        <v>1068</v>
      </c>
      <c r="B989" s="2">
        <v>71393.675948184507</v>
      </c>
      <c r="C989" t="s">
        <v>21</v>
      </c>
      <c r="D989" t="s">
        <v>65</v>
      </c>
      <c r="E989" t="s">
        <v>2002</v>
      </c>
      <c r="F989">
        <v>2</v>
      </c>
    </row>
    <row r="990" spans="1:6" x14ac:dyDescent="0.25">
      <c r="A990" t="s">
        <v>1069</v>
      </c>
      <c r="B990" s="2">
        <v>6232.7708406048987</v>
      </c>
      <c r="C990" t="s">
        <v>3</v>
      </c>
      <c r="D990" t="s">
        <v>4</v>
      </c>
      <c r="E990" t="s">
        <v>2001</v>
      </c>
      <c r="F990">
        <v>2.5</v>
      </c>
    </row>
    <row r="991" spans="1:6" x14ac:dyDescent="0.25">
      <c r="A991" t="s">
        <v>1070</v>
      </c>
      <c r="B991" s="2">
        <v>1805.7739622442759</v>
      </c>
      <c r="C991" t="s">
        <v>16</v>
      </c>
      <c r="D991" t="s">
        <v>660</v>
      </c>
      <c r="E991" t="s">
        <v>2001</v>
      </c>
      <c r="F991">
        <v>3</v>
      </c>
    </row>
    <row r="992" spans="1:6" x14ac:dyDescent="0.25">
      <c r="A992" t="s">
        <v>1071</v>
      </c>
      <c r="B992" s="2">
        <v>11397.066679963244</v>
      </c>
      <c r="C992" t="s">
        <v>3</v>
      </c>
      <c r="D992" t="s">
        <v>4</v>
      </c>
      <c r="E992" t="s">
        <v>2002</v>
      </c>
      <c r="F992">
        <v>6</v>
      </c>
    </row>
    <row r="993" spans="1:6" x14ac:dyDescent="0.25">
      <c r="A993" t="s">
        <v>1072</v>
      </c>
      <c r="B993" s="2">
        <v>15000</v>
      </c>
      <c r="C993" t="s">
        <v>16</v>
      </c>
      <c r="D993" t="s">
        <v>4</v>
      </c>
      <c r="E993" t="s">
        <v>2001</v>
      </c>
      <c r="F993">
        <v>4</v>
      </c>
    </row>
    <row r="994" spans="1:6" x14ac:dyDescent="0.25">
      <c r="A994" t="s">
        <v>1073</v>
      </c>
      <c r="B994" s="2">
        <v>37612.869087708088</v>
      </c>
      <c r="C994" t="s">
        <v>16</v>
      </c>
      <c r="D994" t="s">
        <v>38</v>
      </c>
      <c r="E994" t="s">
        <v>2002</v>
      </c>
      <c r="F994">
        <v>3</v>
      </c>
    </row>
    <row r="995" spans="1:6" x14ac:dyDescent="0.25">
      <c r="A995" t="s">
        <v>1074</v>
      </c>
      <c r="B995" s="2">
        <v>6499.8895909165376</v>
      </c>
      <c r="C995" t="s">
        <v>3</v>
      </c>
      <c r="D995" t="s">
        <v>4</v>
      </c>
      <c r="E995" t="s">
        <v>2001</v>
      </c>
      <c r="F995">
        <v>3</v>
      </c>
    </row>
    <row r="996" spans="1:6" x14ac:dyDescent="0.25">
      <c r="A996" t="s">
        <v>1075</v>
      </c>
      <c r="B996" s="2">
        <v>20000</v>
      </c>
      <c r="C996" t="s">
        <v>37</v>
      </c>
      <c r="D996" t="s">
        <v>1076</v>
      </c>
      <c r="E996" t="s">
        <v>2002</v>
      </c>
      <c r="F996">
        <v>6</v>
      </c>
    </row>
    <row r="997" spans="1:6" x14ac:dyDescent="0.25">
      <c r="A997" t="s">
        <v>1077</v>
      </c>
      <c r="B997" s="2">
        <v>7265</v>
      </c>
      <c r="C997" t="s">
        <v>12</v>
      </c>
      <c r="D997" t="s">
        <v>4</v>
      </c>
      <c r="E997" t="s">
        <v>2001</v>
      </c>
      <c r="F997">
        <v>6</v>
      </c>
    </row>
    <row r="998" spans="1:6" x14ac:dyDescent="0.25">
      <c r="A998" t="s">
        <v>1078</v>
      </c>
      <c r="B998" s="2">
        <v>72571.80269935554</v>
      </c>
      <c r="C998" t="s">
        <v>16</v>
      </c>
      <c r="D998" t="s">
        <v>245</v>
      </c>
      <c r="E998" t="s">
        <v>2002</v>
      </c>
      <c r="F998">
        <v>15</v>
      </c>
    </row>
    <row r="999" spans="1:6" x14ac:dyDescent="0.25">
      <c r="A999" t="s">
        <v>1079</v>
      </c>
      <c r="B999" s="2">
        <v>8013.5625093491553</v>
      </c>
      <c r="C999" t="s">
        <v>16</v>
      </c>
      <c r="D999" t="s">
        <v>4</v>
      </c>
      <c r="E999" t="s">
        <v>2002</v>
      </c>
      <c r="F999">
        <v>15</v>
      </c>
    </row>
    <row r="1000" spans="1:6" x14ac:dyDescent="0.25">
      <c r="A1000" t="s">
        <v>1080</v>
      </c>
      <c r="B1000" s="2">
        <v>10150.512511842264</v>
      </c>
      <c r="C1000" t="s">
        <v>3</v>
      </c>
      <c r="D1000" t="s">
        <v>4</v>
      </c>
      <c r="E1000" t="s">
        <v>2001</v>
      </c>
      <c r="F1000">
        <v>5</v>
      </c>
    </row>
    <row r="1001" spans="1:6" x14ac:dyDescent="0.25">
      <c r="A1001" t="s">
        <v>1081</v>
      </c>
      <c r="B1001" s="2">
        <v>65000</v>
      </c>
      <c r="C1001" t="s">
        <v>6</v>
      </c>
      <c r="D1001" t="s">
        <v>8</v>
      </c>
      <c r="E1001" t="s">
        <v>2001</v>
      </c>
      <c r="F1001">
        <v>9</v>
      </c>
    </row>
    <row r="1002" spans="1:6" x14ac:dyDescent="0.25">
      <c r="A1002" t="s">
        <v>1082</v>
      </c>
      <c r="B1002" s="2">
        <v>3184.2266150397395</v>
      </c>
      <c r="C1002" t="s">
        <v>16</v>
      </c>
      <c r="D1002" t="s">
        <v>10</v>
      </c>
      <c r="E1002" t="s">
        <v>2001</v>
      </c>
      <c r="F1002">
        <v>4</v>
      </c>
    </row>
    <row r="1003" spans="1:6" x14ac:dyDescent="0.25">
      <c r="A1003" t="s">
        <v>1083</v>
      </c>
      <c r="B1003" s="2">
        <v>10898.445012714852</v>
      </c>
      <c r="C1003" t="s">
        <v>16</v>
      </c>
      <c r="D1003" t="s">
        <v>4</v>
      </c>
      <c r="E1003" t="s">
        <v>2000</v>
      </c>
      <c r="F1003">
        <v>13</v>
      </c>
    </row>
    <row r="1004" spans="1:6" x14ac:dyDescent="0.25">
      <c r="A1004" t="s">
        <v>1084</v>
      </c>
      <c r="B1004" s="2">
        <v>10800</v>
      </c>
      <c r="C1004" t="s">
        <v>16</v>
      </c>
      <c r="D1004" t="s">
        <v>10</v>
      </c>
      <c r="E1004" t="s">
        <v>2002</v>
      </c>
      <c r="F1004">
        <v>5</v>
      </c>
    </row>
    <row r="1005" spans="1:6" x14ac:dyDescent="0.25">
      <c r="A1005" t="s">
        <v>1085</v>
      </c>
      <c r="B1005" s="2">
        <v>2136.9500024931081</v>
      </c>
      <c r="C1005" t="s">
        <v>3</v>
      </c>
      <c r="D1005" t="s">
        <v>4</v>
      </c>
      <c r="E1005" t="s">
        <v>2000</v>
      </c>
      <c r="F1005">
        <v>3.5</v>
      </c>
    </row>
    <row r="1006" spans="1:6" x14ac:dyDescent="0.25">
      <c r="A1006" t="s">
        <v>1086</v>
      </c>
      <c r="B1006" s="2">
        <v>45000</v>
      </c>
      <c r="C1006" t="s">
        <v>12</v>
      </c>
      <c r="D1006" t="s">
        <v>245</v>
      </c>
      <c r="E1006" t="s">
        <v>2000</v>
      </c>
      <c r="F1006">
        <v>4</v>
      </c>
    </row>
    <row r="1007" spans="1:6" x14ac:dyDescent="0.25">
      <c r="A1007" t="s">
        <v>1087</v>
      </c>
      <c r="B1007" s="2">
        <v>7123.1666749770275</v>
      </c>
      <c r="C1007" t="s">
        <v>16</v>
      </c>
      <c r="D1007" t="s">
        <v>4</v>
      </c>
      <c r="E1007" t="s">
        <v>2000</v>
      </c>
      <c r="F1007">
        <v>5</v>
      </c>
    </row>
    <row r="1008" spans="1:6" x14ac:dyDescent="0.25">
      <c r="A1008" t="s">
        <v>1088</v>
      </c>
      <c r="B1008" s="2">
        <v>5342.3750062327708</v>
      </c>
      <c r="C1008" t="s">
        <v>24</v>
      </c>
      <c r="D1008" t="s">
        <v>4</v>
      </c>
      <c r="E1008" t="s">
        <v>2000</v>
      </c>
      <c r="F1008">
        <v>5</v>
      </c>
    </row>
    <row r="1009" spans="1:6" x14ac:dyDescent="0.25">
      <c r="A1009" t="s">
        <v>1089</v>
      </c>
      <c r="B1009" s="2">
        <v>18000</v>
      </c>
      <c r="C1009" t="s">
        <v>16</v>
      </c>
      <c r="D1009" t="s">
        <v>4</v>
      </c>
      <c r="E1009" t="s">
        <v>2000</v>
      </c>
      <c r="F1009">
        <v>4.5999999999999996</v>
      </c>
    </row>
    <row r="1010" spans="1:6" x14ac:dyDescent="0.25">
      <c r="A1010" t="s">
        <v>1090</v>
      </c>
      <c r="B1010" s="2">
        <v>4840.0244548604041</v>
      </c>
      <c r="C1010" t="s">
        <v>16</v>
      </c>
      <c r="D1010" t="s">
        <v>10</v>
      </c>
      <c r="E1010" t="s">
        <v>2001</v>
      </c>
      <c r="F1010">
        <v>2</v>
      </c>
    </row>
    <row r="1011" spans="1:6" x14ac:dyDescent="0.25">
      <c r="A1011" t="s">
        <v>1091</v>
      </c>
      <c r="B1011" s="2">
        <v>7479.3250087258784</v>
      </c>
      <c r="C1011" t="s">
        <v>3</v>
      </c>
      <c r="D1011" t="s">
        <v>4</v>
      </c>
      <c r="E1011" t="s">
        <v>2000</v>
      </c>
      <c r="F1011">
        <v>10</v>
      </c>
    </row>
    <row r="1012" spans="1:6" x14ac:dyDescent="0.25">
      <c r="A1012" t="s">
        <v>1092</v>
      </c>
      <c r="B1012" s="2">
        <v>3739.6625043629392</v>
      </c>
      <c r="C1012" t="s">
        <v>37</v>
      </c>
      <c r="D1012" t="s">
        <v>4</v>
      </c>
      <c r="E1012" t="s">
        <v>2002</v>
      </c>
      <c r="F1012">
        <v>3.5</v>
      </c>
    </row>
    <row r="1013" spans="1:6" x14ac:dyDescent="0.25">
      <c r="A1013" t="s">
        <v>1093</v>
      </c>
      <c r="B1013" s="2">
        <v>42000</v>
      </c>
      <c r="C1013" t="s">
        <v>16</v>
      </c>
      <c r="D1013" t="s">
        <v>1094</v>
      </c>
      <c r="E1013" t="s">
        <v>2002</v>
      </c>
      <c r="F1013">
        <v>5</v>
      </c>
    </row>
    <row r="1014" spans="1:6" x14ac:dyDescent="0.25">
      <c r="A1014" t="s">
        <v>1095</v>
      </c>
      <c r="B1014" s="2">
        <v>28000</v>
      </c>
      <c r="C1014" t="s">
        <v>37</v>
      </c>
      <c r="D1014" t="s">
        <v>4</v>
      </c>
      <c r="E1014" t="s">
        <v>2000</v>
      </c>
      <c r="F1014">
        <v>3</v>
      </c>
    </row>
    <row r="1015" spans="1:6" x14ac:dyDescent="0.25">
      <c r="A1015" t="s">
        <v>1096</v>
      </c>
      <c r="B1015" s="2">
        <v>6000</v>
      </c>
      <c r="C1015" t="s">
        <v>16</v>
      </c>
      <c r="D1015" t="s">
        <v>4</v>
      </c>
      <c r="E1015" t="s">
        <v>2001</v>
      </c>
      <c r="F1015">
        <v>5</v>
      </c>
    </row>
    <row r="1016" spans="1:6" x14ac:dyDescent="0.25">
      <c r="A1016" t="s">
        <v>1097</v>
      </c>
      <c r="B1016" s="2">
        <v>43867.345148271634</v>
      </c>
      <c r="C1016" t="s">
        <v>3</v>
      </c>
      <c r="D1016" t="s">
        <v>616</v>
      </c>
      <c r="E1016" t="s">
        <v>2002</v>
      </c>
      <c r="F1016">
        <v>10</v>
      </c>
    </row>
    <row r="1017" spans="1:6" x14ac:dyDescent="0.25">
      <c r="A1017" t="s">
        <v>1098</v>
      </c>
      <c r="B1017" s="2">
        <v>17807.916687442568</v>
      </c>
      <c r="C1017" t="s">
        <v>3</v>
      </c>
      <c r="D1017" t="s">
        <v>4</v>
      </c>
      <c r="E1017" t="s">
        <v>1999</v>
      </c>
      <c r="F1017">
        <v>25</v>
      </c>
    </row>
    <row r="1018" spans="1:6" x14ac:dyDescent="0.25">
      <c r="A1018" t="s">
        <v>1099</v>
      </c>
      <c r="B1018" s="2">
        <v>10684.750012465542</v>
      </c>
      <c r="C1018" t="s">
        <v>3</v>
      </c>
      <c r="D1018" t="s">
        <v>4</v>
      </c>
      <c r="E1018" t="s">
        <v>2002</v>
      </c>
      <c r="F1018">
        <v>12</v>
      </c>
    </row>
    <row r="1019" spans="1:6" x14ac:dyDescent="0.25">
      <c r="A1019" t="s">
        <v>1100</v>
      </c>
      <c r="B1019" s="2">
        <v>60000</v>
      </c>
      <c r="C1019" t="s">
        <v>59</v>
      </c>
      <c r="D1019" t="s">
        <v>466</v>
      </c>
      <c r="E1019" t="s">
        <v>2002</v>
      </c>
      <c r="F1019">
        <v>5</v>
      </c>
    </row>
    <row r="1020" spans="1:6" x14ac:dyDescent="0.25">
      <c r="A1020" t="s">
        <v>1101</v>
      </c>
      <c r="B1020" s="2">
        <v>8476.5683432226633</v>
      </c>
      <c r="C1020" t="s">
        <v>37</v>
      </c>
      <c r="D1020" t="s">
        <v>4</v>
      </c>
      <c r="E1020" t="s">
        <v>2001</v>
      </c>
      <c r="F1020">
        <v>8</v>
      </c>
    </row>
    <row r="1021" spans="1:6" x14ac:dyDescent="0.25">
      <c r="A1021" t="s">
        <v>1102</v>
      </c>
      <c r="B1021" s="2">
        <v>8700</v>
      </c>
      <c r="C1021" t="s">
        <v>6</v>
      </c>
      <c r="D1021" t="s">
        <v>4</v>
      </c>
      <c r="E1021" t="s">
        <v>2000</v>
      </c>
      <c r="F1021">
        <v>7</v>
      </c>
    </row>
    <row r="1022" spans="1:6" x14ac:dyDescent="0.25">
      <c r="A1022" t="s">
        <v>1103</v>
      </c>
      <c r="B1022" s="2">
        <v>3561.5833374885137</v>
      </c>
      <c r="C1022" t="s">
        <v>16</v>
      </c>
      <c r="D1022" t="s">
        <v>4</v>
      </c>
      <c r="E1022" t="s">
        <v>2002</v>
      </c>
      <c r="F1022">
        <v>8</v>
      </c>
    </row>
    <row r="1023" spans="1:6" x14ac:dyDescent="0.25">
      <c r="A1023" t="s">
        <v>1104</v>
      </c>
      <c r="B1023" s="2">
        <v>3205.4250037396623</v>
      </c>
      <c r="C1023" t="s">
        <v>37</v>
      </c>
      <c r="D1023" t="s">
        <v>4</v>
      </c>
      <c r="E1023" t="s">
        <v>2002</v>
      </c>
      <c r="F1023">
        <v>4</v>
      </c>
    </row>
    <row r="1024" spans="1:6" x14ac:dyDescent="0.25">
      <c r="A1024" t="s">
        <v>1105</v>
      </c>
      <c r="B1024" s="2">
        <v>4487.5950052355274</v>
      </c>
      <c r="C1024" t="s">
        <v>24</v>
      </c>
      <c r="D1024" t="s">
        <v>4</v>
      </c>
      <c r="E1024" t="s">
        <v>1999</v>
      </c>
      <c r="F1024">
        <v>5</v>
      </c>
    </row>
    <row r="1025" spans="1:6" x14ac:dyDescent="0.25">
      <c r="A1025" t="s">
        <v>1106</v>
      </c>
      <c r="B1025" s="2">
        <v>12465.541681209797</v>
      </c>
      <c r="C1025" t="s">
        <v>3</v>
      </c>
      <c r="D1025" t="s">
        <v>4</v>
      </c>
      <c r="E1025" t="s">
        <v>2001</v>
      </c>
      <c r="F1025">
        <v>5</v>
      </c>
    </row>
    <row r="1026" spans="1:6" x14ac:dyDescent="0.25">
      <c r="A1026" t="s">
        <v>1107</v>
      </c>
      <c r="B1026" s="2">
        <v>2400</v>
      </c>
      <c r="C1026" t="s">
        <v>24</v>
      </c>
      <c r="D1026" t="s">
        <v>10</v>
      </c>
      <c r="E1026" t="s">
        <v>2000</v>
      </c>
      <c r="F1026">
        <v>15</v>
      </c>
    </row>
    <row r="1027" spans="1:6" x14ac:dyDescent="0.25">
      <c r="A1027" t="s">
        <v>1108</v>
      </c>
      <c r="B1027" s="2">
        <v>55000</v>
      </c>
      <c r="C1027" t="s">
        <v>37</v>
      </c>
      <c r="D1027" t="s">
        <v>374</v>
      </c>
      <c r="E1027" t="s">
        <v>2001</v>
      </c>
      <c r="F1027">
        <v>6</v>
      </c>
    </row>
    <row r="1028" spans="1:6" x14ac:dyDescent="0.25">
      <c r="A1028" t="s">
        <v>1109</v>
      </c>
      <c r="B1028" s="2">
        <v>12000</v>
      </c>
      <c r="C1028" t="s">
        <v>6</v>
      </c>
      <c r="D1028" t="s">
        <v>997</v>
      </c>
      <c r="E1028" t="s">
        <v>2001</v>
      </c>
      <c r="F1028">
        <v>3</v>
      </c>
    </row>
    <row r="1029" spans="1:6" x14ac:dyDescent="0.25">
      <c r="A1029" t="s">
        <v>1110</v>
      </c>
      <c r="B1029" s="2">
        <v>55262.375596134938</v>
      </c>
      <c r="C1029" t="s">
        <v>16</v>
      </c>
      <c r="D1029" t="s">
        <v>550</v>
      </c>
      <c r="E1029" t="s">
        <v>2000</v>
      </c>
      <c r="F1029">
        <v>10</v>
      </c>
    </row>
    <row r="1030" spans="1:6" x14ac:dyDescent="0.25">
      <c r="A1030" t="s">
        <v>1111</v>
      </c>
      <c r="B1030" s="2">
        <v>21369.500024931083</v>
      </c>
      <c r="C1030" t="s">
        <v>16</v>
      </c>
      <c r="D1030" t="s">
        <v>4</v>
      </c>
      <c r="E1030" t="s">
        <v>2000</v>
      </c>
      <c r="F1030">
        <v>2</v>
      </c>
    </row>
    <row r="1031" spans="1:6" x14ac:dyDescent="0.25">
      <c r="A1031" t="s">
        <v>1112</v>
      </c>
      <c r="B1031" s="2">
        <v>40980.635073749385</v>
      </c>
      <c r="C1031" t="s">
        <v>59</v>
      </c>
      <c r="D1031" t="s">
        <v>55</v>
      </c>
      <c r="E1031" t="s">
        <v>2002</v>
      </c>
      <c r="F1031">
        <v>8</v>
      </c>
    </row>
    <row r="1032" spans="1:6" x14ac:dyDescent="0.25">
      <c r="A1032" t="s">
        <v>1113</v>
      </c>
      <c r="B1032" s="2">
        <v>50995.482820131787</v>
      </c>
      <c r="C1032" t="s">
        <v>3</v>
      </c>
      <c r="D1032" t="s">
        <v>65</v>
      </c>
      <c r="E1032" t="s">
        <v>2001</v>
      </c>
      <c r="F1032">
        <v>4</v>
      </c>
    </row>
    <row r="1033" spans="1:6" x14ac:dyDescent="0.25">
      <c r="A1033" t="s">
        <v>1114</v>
      </c>
      <c r="B1033" s="2">
        <v>20326.391023865726</v>
      </c>
      <c r="C1033" t="s">
        <v>16</v>
      </c>
      <c r="D1033" t="s">
        <v>141</v>
      </c>
      <c r="E1033" t="s">
        <v>2002</v>
      </c>
      <c r="F1033">
        <v>16</v>
      </c>
    </row>
    <row r="1034" spans="1:6" x14ac:dyDescent="0.25">
      <c r="A1034" t="s">
        <v>1115</v>
      </c>
      <c r="B1034" s="2">
        <v>12000</v>
      </c>
      <c r="C1034" t="s">
        <v>59</v>
      </c>
      <c r="D1034" t="s">
        <v>4</v>
      </c>
      <c r="E1034" t="s">
        <v>2000</v>
      </c>
      <c r="F1034">
        <v>8</v>
      </c>
    </row>
    <row r="1035" spans="1:6" x14ac:dyDescent="0.25">
      <c r="A1035" t="s">
        <v>1116</v>
      </c>
      <c r="B1035" s="2">
        <v>29261.227167098674</v>
      </c>
      <c r="C1035" t="s">
        <v>24</v>
      </c>
      <c r="D1035" t="s">
        <v>38</v>
      </c>
      <c r="E1035" t="s">
        <v>2000</v>
      </c>
      <c r="F1035">
        <v>20</v>
      </c>
    </row>
    <row r="1036" spans="1:6" x14ac:dyDescent="0.25">
      <c r="A1036" t="s">
        <v>1117</v>
      </c>
      <c r="B1036" s="2">
        <v>14630.613583549337</v>
      </c>
      <c r="C1036" t="s">
        <v>21</v>
      </c>
      <c r="D1036" t="s">
        <v>38</v>
      </c>
      <c r="E1036" t="s">
        <v>2001</v>
      </c>
      <c r="F1036">
        <v>10</v>
      </c>
    </row>
    <row r="1037" spans="1:6" x14ac:dyDescent="0.25">
      <c r="A1037" t="s">
        <v>1118</v>
      </c>
      <c r="B1037" s="2">
        <v>7265.630008476568</v>
      </c>
      <c r="C1037" t="s">
        <v>24</v>
      </c>
      <c r="D1037" t="s">
        <v>4</v>
      </c>
      <c r="E1037" t="s">
        <v>2002</v>
      </c>
      <c r="F1037">
        <v>5</v>
      </c>
    </row>
    <row r="1038" spans="1:6" x14ac:dyDescent="0.25">
      <c r="A1038" t="s">
        <v>1119</v>
      </c>
      <c r="B1038" s="2">
        <v>44132.991617883956</v>
      </c>
      <c r="C1038" t="s">
        <v>3</v>
      </c>
      <c r="D1038" t="s">
        <v>55</v>
      </c>
      <c r="E1038" t="s">
        <v>2000</v>
      </c>
      <c r="F1038">
        <v>16</v>
      </c>
    </row>
    <row r="1039" spans="1:6" x14ac:dyDescent="0.25">
      <c r="A1039" t="s">
        <v>1120</v>
      </c>
      <c r="B1039" s="2">
        <v>9438.1958443445619</v>
      </c>
      <c r="C1039" t="s">
        <v>3</v>
      </c>
      <c r="D1039" t="s">
        <v>4</v>
      </c>
      <c r="E1039" t="s">
        <v>2000</v>
      </c>
      <c r="F1039">
        <v>7</v>
      </c>
    </row>
    <row r="1040" spans="1:6" x14ac:dyDescent="0.25">
      <c r="A1040" t="s">
        <v>1121</v>
      </c>
      <c r="B1040" s="2">
        <v>18000</v>
      </c>
      <c r="C1040" t="s">
        <v>3</v>
      </c>
      <c r="D1040" t="s">
        <v>57</v>
      </c>
      <c r="E1040" t="s">
        <v>2001</v>
      </c>
      <c r="F1040">
        <v>7</v>
      </c>
    </row>
    <row r="1041" spans="1:6" x14ac:dyDescent="0.25">
      <c r="A1041" t="s">
        <v>1122</v>
      </c>
      <c r="B1041" s="2">
        <v>3561.5833374885137</v>
      </c>
      <c r="C1041" t="s">
        <v>16</v>
      </c>
      <c r="D1041" t="s">
        <v>4</v>
      </c>
      <c r="E1041" t="s">
        <v>2000</v>
      </c>
      <c r="F1041">
        <v>5</v>
      </c>
    </row>
    <row r="1042" spans="1:6" x14ac:dyDescent="0.25">
      <c r="A1042" t="s">
        <v>1123</v>
      </c>
      <c r="B1042" s="2">
        <v>3561.5833374885137</v>
      </c>
      <c r="C1042" t="s">
        <v>37</v>
      </c>
      <c r="D1042" t="s">
        <v>4</v>
      </c>
      <c r="E1042" t="s">
        <v>2001</v>
      </c>
      <c r="F1042">
        <v>3</v>
      </c>
    </row>
    <row r="1043" spans="1:6" x14ac:dyDescent="0.25">
      <c r="A1043" t="s">
        <v>1124</v>
      </c>
      <c r="B1043" s="2">
        <v>5100</v>
      </c>
      <c r="C1043" t="s">
        <v>37</v>
      </c>
      <c r="D1043" t="s">
        <v>4</v>
      </c>
      <c r="E1043" t="s">
        <v>2002</v>
      </c>
      <c r="F1043">
        <v>8</v>
      </c>
    </row>
    <row r="1044" spans="1:6" x14ac:dyDescent="0.25">
      <c r="A1044" t="s">
        <v>1125</v>
      </c>
      <c r="B1044" s="2">
        <v>21369.500024931083</v>
      </c>
      <c r="C1044" t="s">
        <v>3</v>
      </c>
      <c r="D1044" t="s">
        <v>4</v>
      </c>
      <c r="E1044" t="s">
        <v>2001</v>
      </c>
      <c r="F1044">
        <v>7</v>
      </c>
    </row>
    <row r="1045" spans="1:6" x14ac:dyDescent="0.25">
      <c r="A1045" t="s">
        <v>1126</v>
      </c>
      <c r="B1045" s="2">
        <v>5342.3750062327708</v>
      </c>
      <c r="C1045" t="s">
        <v>59</v>
      </c>
      <c r="D1045" t="s">
        <v>4</v>
      </c>
      <c r="E1045" t="s">
        <v>2000</v>
      </c>
      <c r="F1045">
        <v>1</v>
      </c>
    </row>
    <row r="1046" spans="1:6" x14ac:dyDescent="0.25">
      <c r="A1046" t="s">
        <v>1127</v>
      </c>
      <c r="B1046" s="2">
        <v>50000</v>
      </c>
      <c r="C1046" t="s">
        <v>21</v>
      </c>
      <c r="D1046" t="s">
        <v>4</v>
      </c>
      <c r="E1046" t="s">
        <v>1999</v>
      </c>
      <c r="F1046">
        <v>26</v>
      </c>
    </row>
    <row r="1047" spans="1:6" x14ac:dyDescent="0.25">
      <c r="A1047" t="s">
        <v>1128</v>
      </c>
      <c r="B1047" s="2">
        <v>28492.66669990811</v>
      </c>
      <c r="C1047" t="s">
        <v>16</v>
      </c>
      <c r="D1047" t="s">
        <v>4</v>
      </c>
      <c r="E1047" t="s">
        <v>2002</v>
      </c>
      <c r="F1047">
        <v>9</v>
      </c>
    </row>
    <row r="1048" spans="1:6" x14ac:dyDescent="0.25">
      <c r="A1048" t="s">
        <v>1129</v>
      </c>
      <c r="B1048" s="2">
        <v>24588.381044249632</v>
      </c>
      <c r="C1048" t="s">
        <v>3</v>
      </c>
      <c r="D1048" t="s">
        <v>55</v>
      </c>
      <c r="E1048" t="s">
        <v>2002</v>
      </c>
      <c r="F1048">
        <v>0</v>
      </c>
    </row>
    <row r="1049" spans="1:6" x14ac:dyDescent="0.25">
      <c r="A1049" t="s">
        <v>1130</v>
      </c>
      <c r="B1049" s="2">
        <v>7000</v>
      </c>
      <c r="C1049" t="s">
        <v>37</v>
      </c>
      <c r="D1049" t="s">
        <v>4</v>
      </c>
      <c r="E1049" t="s">
        <v>2002</v>
      </c>
      <c r="F1049">
        <v>5</v>
      </c>
    </row>
    <row r="1050" spans="1:6" x14ac:dyDescent="0.25">
      <c r="A1050" t="s">
        <v>1131</v>
      </c>
      <c r="B1050" s="2">
        <v>7799.8675090998449</v>
      </c>
      <c r="C1050" t="s">
        <v>3</v>
      </c>
      <c r="D1050" t="s">
        <v>4</v>
      </c>
      <c r="E1050" t="s">
        <v>1999</v>
      </c>
      <c r="F1050">
        <v>10</v>
      </c>
    </row>
    <row r="1051" spans="1:6" x14ac:dyDescent="0.25">
      <c r="A1051" t="s">
        <v>1132</v>
      </c>
      <c r="B1051" s="2">
        <v>78808.913603364199</v>
      </c>
      <c r="C1051" t="s">
        <v>16</v>
      </c>
      <c r="D1051" t="s">
        <v>55</v>
      </c>
      <c r="E1051" t="s">
        <v>2000</v>
      </c>
      <c r="F1051">
        <v>12</v>
      </c>
    </row>
    <row r="1052" spans="1:6" x14ac:dyDescent="0.25">
      <c r="A1052" t="s">
        <v>1133</v>
      </c>
      <c r="B1052" s="2">
        <v>6720</v>
      </c>
      <c r="C1052" t="s">
        <v>37</v>
      </c>
      <c r="D1052" t="s">
        <v>4</v>
      </c>
      <c r="E1052" t="s">
        <v>2001</v>
      </c>
      <c r="F1052">
        <v>6</v>
      </c>
    </row>
    <row r="1053" spans="1:6" x14ac:dyDescent="0.25">
      <c r="A1053" t="s">
        <v>1134</v>
      </c>
      <c r="B1053" s="2">
        <v>4451.9791718606421</v>
      </c>
      <c r="C1053" t="s">
        <v>37</v>
      </c>
      <c r="D1053" t="s">
        <v>4</v>
      </c>
      <c r="E1053" t="s">
        <v>2002</v>
      </c>
      <c r="F1053">
        <v>3.5</v>
      </c>
    </row>
    <row r="1054" spans="1:6" x14ac:dyDescent="0.25">
      <c r="A1054" t="s">
        <v>1135</v>
      </c>
      <c r="B1054" s="2">
        <v>47285.348162018527</v>
      </c>
      <c r="C1054" t="s">
        <v>3</v>
      </c>
      <c r="D1054" t="s">
        <v>55</v>
      </c>
      <c r="E1054" t="s">
        <v>2002</v>
      </c>
      <c r="F1054">
        <v>15</v>
      </c>
    </row>
    <row r="1055" spans="1:6" x14ac:dyDescent="0.25">
      <c r="A1055" t="s">
        <v>1136</v>
      </c>
      <c r="B1055" s="2">
        <v>7200</v>
      </c>
      <c r="C1055" t="s">
        <v>3</v>
      </c>
      <c r="D1055" t="s">
        <v>4</v>
      </c>
      <c r="E1055" t="s">
        <v>2002</v>
      </c>
      <c r="F1055">
        <v>10</v>
      </c>
    </row>
    <row r="1056" spans="1:6" x14ac:dyDescent="0.25">
      <c r="A1056" t="s">
        <v>1137</v>
      </c>
      <c r="B1056" s="2">
        <v>44519.791718606422</v>
      </c>
      <c r="C1056" t="s">
        <v>21</v>
      </c>
      <c r="D1056" t="s">
        <v>4</v>
      </c>
      <c r="E1056" t="s">
        <v>2001</v>
      </c>
      <c r="F1056">
        <v>9</v>
      </c>
    </row>
    <row r="1057" spans="1:6" x14ac:dyDescent="0.25">
      <c r="A1057" t="s">
        <v>1138</v>
      </c>
      <c r="B1057" s="2">
        <v>2493.1083362419595</v>
      </c>
      <c r="C1057" t="s">
        <v>24</v>
      </c>
      <c r="D1057" t="s">
        <v>4</v>
      </c>
      <c r="E1057" t="s">
        <v>2001</v>
      </c>
      <c r="F1057">
        <v>4</v>
      </c>
    </row>
    <row r="1058" spans="1:6" x14ac:dyDescent="0.25">
      <c r="A1058" t="s">
        <v>1139</v>
      </c>
      <c r="B1058" s="2">
        <v>31523.565441345683</v>
      </c>
      <c r="C1058" t="s">
        <v>3</v>
      </c>
      <c r="D1058" t="s">
        <v>55</v>
      </c>
      <c r="E1058" t="s">
        <v>2001</v>
      </c>
      <c r="F1058">
        <v>1</v>
      </c>
    </row>
    <row r="1059" spans="1:6" x14ac:dyDescent="0.25">
      <c r="A1059" t="s">
        <v>1140</v>
      </c>
      <c r="B1059" s="2">
        <v>21369.500024931083</v>
      </c>
      <c r="C1059" t="s">
        <v>6</v>
      </c>
      <c r="D1059" t="s">
        <v>4</v>
      </c>
      <c r="E1059" t="s">
        <v>2001</v>
      </c>
      <c r="F1059">
        <v>8</v>
      </c>
    </row>
    <row r="1060" spans="1:6" x14ac:dyDescent="0.25">
      <c r="A1060" t="s">
        <v>1141</v>
      </c>
      <c r="B1060" s="2">
        <v>126094.26176538273</v>
      </c>
      <c r="C1060" t="s">
        <v>59</v>
      </c>
      <c r="D1060" t="s">
        <v>55</v>
      </c>
      <c r="E1060" t="s">
        <v>2001</v>
      </c>
      <c r="F1060">
        <v>10</v>
      </c>
    </row>
    <row r="1061" spans="1:6" x14ac:dyDescent="0.25">
      <c r="A1061" t="s">
        <v>1142</v>
      </c>
      <c r="B1061" s="2">
        <v>99299.231140238902</v>
      </c>
      <c r="C1061" t="s">
        <v>26</v>
      </c>
      <c r="D1061" t="s">
        <v>55</v>
      </c>
      <c r="E1061" t="s">
        <v>2000</v>
      </c>
      <c r="F1061">
        <v>1</v>
      </c>
    </row>
    <row r="1062" spans="1:6" x14ac:dyDescent="0.25">
      <c r="A1062" t="s">
        <v>1143</v>
      </c>
      <c r="B1062" s="2">
        <v>86689.804963700633</v>
      </c>
      <c r="C1062" t="s">
        <v>21</v>
      </c>
      <c r="D1062" t="s">
        <v>55</v>
      </c>
      <c r="E1062" t="s">
        <v>2000</v>
      </c>
      <c r="F1062">
        <v>22</v>
      </c>
    </row>
    <row r="1063" spans="1:6" x14ac:dyDescent="0.25">
      <c r="A1063" t="s">
        <v>1144</v>
      </c>
      <c r="B1063" s="2">
        <v>50000</v>
      </c>
      <c r="C1063" t="s">
        <v>16</v>
      </c>
      <c r="D1063" t="s">
        <v>4</v>
      </c>
      <c r="E1063" t="s">
        <v>2000</v>
      </c>
      <c r="F1063">
        <v>30</v>
      </c>
    </row>
    <row r="1064" spans="1:6" x14ac:dyDescent="0.25">
      <c r="A1064" t="s">
        <v>1145</v>
      </c>
      <c r="B1064" s="2">
        <v>4273.9000049862161</v>
      </c>
      <c r="C1064" t="s">
        <v>3</v>
      </c>
      <c r="D1064" t="s">
        <v>4</v>
      </c>
      <c r="E1064" t="s">
        <v>2000</v>
      </c>
      <c r="F1064">
        <v>3</v>
      </c>
    </row>
    <row r="1065" spans="1:6" x14ac:dyDescent="0.25">
      <c r="A1065" t="s">
        <v>1146</v>
      </c>
      <c r="B1065" s="2">
        <v>4451.9791718606421</v>
      </c>
      <c r="C1065" t="s">
        <v>37</v>
      </c>
      <c r="D1065" t="s">
        <v>4</v>
      </c>
      <c r="E1065" t="s">
        <v>2000</v>
      </c>
      <c r="F1065">
        <v>3</v>
      </c>
    </row>
    <row r="1066" spans="1:6" x14ac:dyDescent="0.25">
      <c r="A1066" t="s">
        <v>1147</v>
      </c>
      <c r="B1066" s="2">
        <v>10684.750012465542</v>
      </c>
      <c r="C1066" t="s">
        <v>3</v>
      </c>
      <c r="D1066" t="s">
        <v>4</v>
      </c>
      <c r="E1066" t="s">
        <v>2001</v>
      </c>
      <c r="F1066">
        <v>10</v>
      </c>
    </row>
    <row r="1067" spans="1:6" x14ac:dyDescent="0.25">
      <c r="A1067" t="s">
        <v>1148</v>
      </c>
      <c r="B1067" s="2">
        <v>63835.220018725006</v>
      </c>
      <c r="C1067" t="s">
        <v>16</v>
      </c>
      <c r="D1067" t="s">
        <v>55</v>
      </c>
      <c r="E1067" t="s">
        <v>2000</v>
      </c>
      <c r="F1067">
        <v>25</v>
      </c>
    </row>
    <row r="1068" spans="1:6" x14ac:dyDescent="0.25">
      <c r="A1068" t="s">
        <v>1149</v>
      </c>
      <c r="B1068" s="2">
        <v>36252.100257547536</v>
      </c>
      <c r="C1068" t="s">
        <v>3</v>
      </c>
      <c r="D1068" t="s">
        <v>55</v>
      </c>
      <c r="E1068" t="s">
        <v>2002</v>
      </c>
      <c r="F1068">
        <v>5</v>
      </c>
    </row>
    <row r="1069" spans="1:6" x14ac:dyDescent="0.25">
      <c r="A1069" t="s">
        <v>1150</v>
      </c>
      <c r="B1069" s="2">
        <v>7960</v>
      </c>
      <c r="C1069" t="s">
        <v>16</v>
      </c>
      <c r="D1069" t="s">
        <v>4</v>
      </c>
      <c r="E1069" t="s">
        <v>2001</v>
      </c>
      <c r="F1069">
        <v>7</v>
      </c>
    </row>
    <row r="1070" spans="1:6" x14ac:dyDescent="0.25">
      <c r="A1070" t="s">
        <v>1151</v>
      </c>
      <c r="B1070" s="2">
        <v>8903.9583437212841</v>
      </c>
      <c r="C1070" t="s">
        <v>3</v>
      </c>
      <c r="D1070" t="s">
        <v>4</v>
      </c>
      <c r="E1070" t="s">
        <v>2000</v>
      </c>
      <c r="F1070">
        <v>23</v>
      </c>
    </row>
    <row r="1071" spans="1:6" x14ac:dyDescent="0.25">
      <c r="A1071" t="s">
        <v>1152</v>
      </c>
      <c r="B1071" s="2">
        <v>50815.977559664309</v>
      </c>
      <c r="C1071" t="s">
        <v>3</v>
      </c>
      <c r="D1071" t="s">
        <v>572</v>
      </c>
      <c r="E1071" t="s">
        <v>2001</v>
      </c>
      <c r="F1071">
        <v>3</v>
      </c>
    </row>
    <row r="1072" spans="1:6" x14ac:dyDescent="0.25">
      <c r="A1072" t="s">
        <v>1153</v>
      </c>
      <c r="B1072" s="2">
        <v>47285.348162018527</v>
      </c>
      <c r="C1072" t="s">
        <v>3</v>
      </c>
      <c r="D1072" t="s">
        <v>55</v>
      </c>
      <c r="E1072" t="s">
        <v>2001</v>
      </c>
      <c r="F1072">
        <v>4</v>
      </c>
    </row>
    <row r="1073" spans="1:6" x14ac:dyDescent="0.25">
      <c r="A1073" t="s">
        <v>1154</v>
      </c>
      <c r="B1073" s="2">
        <v>75656.557059229643</v>
      </c>
      <c r="C1073" t="s">
        <v>16</v>
      </c>
      <c r="D1073" t="s">
        <v>55</v>
      </c>
      <c r="E1073" t="s">
        <v>2000</v>
      </c>
      <c r="F1073">
        <v>10</v>
      </c>
    </row>
    <row r="1074" spans="1:6" x14ac:dyDescent="0.25">
      <c r="A1074" t="s">
        <v>1155</v>
      </c>
      <c r="B1074" s="2">
        <v>4273.9000049862161</v>
      </c>
      <c r="C1074" t="s">
        <v>24</v>
      </c>
      <c r="D1074" t="s">
        <v>4</v>
      </c>
      <c r="E1074" t="s">
        <v>2002</v>
      </c>
      <c r="F1074">
        <v>20</v>
      </c>
    </row>
    <row r="1075" spans="1:6" x14ac:dyDescent="0.25">
      <c r="A1075" t="s">
        <v>1156</v>
      </c>
      <c r="B1075" s="2">
        <v>47004.779242689488</v>
      </c>
      <c r="C1075" t="s">
        <v>3</v>
      </c>
      <c r="D1075" t="s">
        <v>550</v>
      </c>
      <c r="E1075" t="s">
        <v>2001</v>
      </c>
      <c r="F1075">
        <v>11</v>
      </c>
    </row>
    <row r="1076" spans="1:6" x14ac:dyDescent="0.25">
      <c r="A1076" t="s">
        <v>1157</v>
      </c>
      <c r="B1076" s="2">
        <v>47285.348162018527</v>
      </c>
      <c r="C1076" t="s">
        <v>3</v>
      </c>
      <c r="D1076" t="s">
        <v>55</v>
      </c>
      <c r="E1076" t="s">
        <v>2002</v>
      </c>
      <c r="F1076">
        <v>10</v>
      </c>
    </row>
    <row r="1077" spans="1:6" x14ac:dyDescent="0.25">
      <c r="A1077" t="s">
        <v>1158</v>
      </c>
      <c r="B1077" s="2">
        <v>91418.339779902482</v>
      </c>
      <c r="C1077" t="s">
        <v>3</v>
      </c>
      <c r="D1077" t="s">
        <v>55</v>
      </c>
      <c r="E1077" t="s">
        <v>2002</v>
      </c>
      <c r="F1077">
        <v>8</v>
      </c>
    </row>
    <row r="1078" spans="1:6" x14ac:dyDescent="0.25">
      <c r="A1078" t="s">
        <v>1159</v>
      </c>
      <c r="B1078" s="2">
        <v>124518.08349331544</v>
      </c>
      <c r="C1078" t="s">
        <v>3</v>
      </c>
      <c r="D1078" t="s">
        <v>55</v>
      </c>
      <c r="E1078" t="s">
        <v>2000</v>
      </c>
      <c r="F1078">
        <v>14</v>
      </c>
    </row>
    <row r="1079" spans="1:6" x14ac:dyDescent="0.25">
      <c r="A1079" t="s">
        <v>1160</v>
      </c>
      <c r="B1079" s="2">
        <v>69213.140283018583</v>
      </c>
      <c r="C1079" t="s">
        <v>3</v>
      </c>
      <c r="D1079" t="s">
        <v>55</v>
      </c>
      <c r="E1079" t="s">
        <v>2002</v>
      </c>
      <c r="F1079">
        <v>3</v>
      </c>
    </row>
    <row r="1080" spans="1:6" x14ac:dyDescent="0.25">
      <c r="A1080" t="s">
        <v>1161</v>
      </c>
      <c r="B1080" s="2">
        <v>3500</v>
      </c>
      <c r="C1080" t="s">
        <v>16</v>
      </c>
      <c r="D1080" t="s">
        <v>10</v>
      </c>
      <c r="E1080" t="s">
        <v>2001</v>
      </c>
      <c r="F1080">
        <v>4</v>
      </c>
    </row>
    <row r="1081" spans="1:6" x14ac:dyDescent="0.25">
      <c r="A1081" t="s">
        <v>1162</v>
      </c>
      <c r="B1081" s="2">
        <v>63047.130882691366</v>
      </c>
      <c r="C1081" t="s">
        <v>16</v>
      </c>
      <c r="D1081" t="s">
        <v>55</v>
      </c>
      <c r="E1081" t="s">
        <v>1999</v>
      </c>
      <c r="F1081">
        <v>20</v>
      </c>
    </row>
    <row r="1082" spans="1:6" x14ac:dyDescent="0.25">
      <c r="A1082" t="s">
        <v>1163</v>
      </c>
      <c r="B1082" s="2">
        <v>72412.768022521646</v>
      </c>
      <c r="C1082" t="s">
        <v>16</v>
      </c>
      <c r="D1082" t="s">
        <v>526</v>
      </c>
      <c r="E1082" t="s">
        <v>1999</v>
      </c>
      <c r="F1082">
        <v>15</v>
      </c>
    </row>
    <row r="1083" spans="1:6" x14ac:dyDescent="0.25">
      <c r="A1083" t="s">
        <v>1164</v>
      </c>
      <c r="B1083" s="2">
        <v>50815.977559664309</v>
      </c>
      <c r="C1083" t="s">
        <v>24</v>
      </c>
      <c r="D1083" t="s">
        <v>22</v>
      </c>
      <c r="E1083" t="s">
        <v>2000</v>
      </c>
      <c r="F1083">
        <v>10</v>
      </c>
    </row>
    <row r="1084" spans="1:6" x14ac:dyDescent="0.25">
      <c r="A1084" t="s">
        <v>1165</v>
      </c>
      <c r="B1084" s="2">
        <v>21369.500024931083</v>
      </c>
      <c r="C1084" t="s">
        <v>16</v>
      </c>
      <c r="D1084" t="s">
        <v>4</v>
      </c>
      <c r="E1084" t="s">
        <v>2000</v>
      </c>
      <c r="F1084">
        <v>5</v>
      </c>
    </row>
    <row r="1085" spans="1:6" x14ac:dyDescent="0.25">
      <c r="A1085" t="s">
        <v>1166</v>
      </c>
      <c r="B1085" s="2">
        <v>55166.239522354947</v>
      </c>
      <c r="C1085" t="s">
        <v>3</v>
      </c>
      <c r="D1085" t="s">
        <v>55</v>
      </c>
      <c r="E1085" t="s">
        <v>2000</v>
      </c>
      <c r="F1085">
        <v>6</v>
      </c>
    </row>
    <row r="1086" spans="1:6" x14ac:dyDescent="0.25">
      <c r="A1086" t="s">
        <v>1167</v>
      </c>
      <c r="B1086" s="2">
        <v>3205.4250037396623</v>
      </c>
      <c r="C1086" t="s">
        <v>3</v>
      </c>
      <c r="D1086" t="s">
        <v>4</v>
      </c>
      <c r="E1086" t="s">
        <v>2002</v>
      </c>
      <c r="F1086">
        <v>3</v>
      </c>
    </row>
    <row r="1087" spans="1:6" x14ac:dyDescent="0.25">
      <c r="A1087" t="s">
        <v>1168</v>
      </c>
      <c r="B1087" s="2">
        <v>10684.750012465542</v>
      </c>
      <c r="C1087" t="s">
        <v>24</v>
      </c>
      <c r="D1087" t="s">
        <v>4</v>
      </c>
      <c r="E1087" t="s">
        <v>2000</v>
      </c>
      <c r="F1087">
        <v>8</v>
      </c>
    </row>
    <row r="1088" spans="1:6" x14ac:dyDescent="0.25">
      <c r="A1088" t="s">
        <v>1169</v>
      </c>
      <c r="B1088" s="2">
        <v>5342.3750062327708</v>
      </c>
      <c r="C1088" t="s">
        <v>3</v>
      </c>
      <c r="D1088" t="s">
        <v>4</v>
      </c>
      <c r="E1088" t="s">
        <v>2001</v>
      </c>
      <c r="F1088">
        <v>5</v>
      </c>
    </row>
    <row r="1089" spans="1:6" x14ac:dyDescent="0.25">
      <c r="A1089" t="s">
        <v>1170</v>
      </c>
      <c r="B1089" s="2">
        <v>118213.37040504631</v>
      </c>
      <c r="C1089" t="s">
        <v>16</v>
      </c>
      <c r="D1089" t="s">
        <v>55</v>
      </c>
      <c r="E1089" t="s">
        <v>2000</v>
      </c>
      <c r="F1089">
        <v>10</v>
      </c>
    </row>
    <row r="1090" spans="1:6" x14ac:dyDescent="0.25">
      <c r="A1090" t="s">
        <v>1171</v>
      </c>
      <c r="B1090" s="2">
        <v>12192.177986291113</v>
      </c>
      <c r="C1090" t="s">
        <v>16</v>
      </c>
      <c r="D1090" t="s">
        <v>38</v>
      </c>
      <c r="E1090" t="s">
        <v>2002</v>
      </c>
      <c r="F1090">
        <v>15</v>
      </c>
    </row>
    <row r="1091" spans="1:6" x14ac:dyDescent="0.25">
      <c r="A1091" t="s">
        <v>1172</v>
      </c>
      <c r="B1091" s="2">
        <v>70928.022243027779</v>
      </c>
      <c r="C1091" t="s">
        <v>21</v>
      </c>
      <c r="D1091" t="s">
        <v>55</v>
      </c>
      <c r="E1091" t="s">
        <v>2001</v>
      </c>
      <c r="F1091">
        <v>8</v>
      </c>
    </row>
    <row r="1092" spans="1:6" x14ac:dyDescent="0.25">
      <c r="A1092" t="s">
        <v>1173</v>
      </c>
      <c r="B1092" s="2">
        <v>39404.456801682099</v>
      </c>
      <c r="C1092" t="s">
        <v>3</v>
      </c>
      <c r="D1092" t="s">
        <v>55</v>
      </c>
      <c r="E1092" t="s">
        <v>2001</v>
      </c>
      <c r="F1092">
        <v>3</v>
      </c>
    </row>
    <row r="1093" spans="1:6" x14ac:dyDescent="0.25">
      <c r="A1093" t="s">
        <v>1174</v>
      </c>
      <c r="B1093" s="2">
        <v>18987</v>
      </c>
      <c r="C1093" t="s">
        <v>3</v>
      </c>
      <c r="D1093" t="s">
        <v>809</v>
      </c>
      <c r="E1093" t="s">
        <v>2002</v>
      </c>
      <c r="F1093">
        <v>7</v>
      </c>
    </row>
    <row r="1094" spans="1:6" x14ac:dyDescent="0.25">
      <c r="A1094" t="s">
        <v>1175</v>
      </c>
      <c r="B1094" s="2">
        <v>44921.080753917595</v>
      </c>
      <c r="C1094" t="s">
        <v>16</v>
      </c>
      <c r="D1094" t="s">
        <v>55</v>
      </c>
      <c r="E1094" t="s">
        <v>1999</v>
      </c>
      <c r="F1094">
        <v>15</v>
      </c>
    </row>
    <row r="1095" spans="1:6" x14ac:dyDescent="0.25">
      <c r="A1095" t="s">
        <v>1176</v>
      </c>
      <c r="B1095" s="2">
        <v>60000</v>
      </c>
      <c r="C1095" t="s">
        <v>16</v>
      </c>
      <c r="D1095" t="s">
        <v>4</v>
      </c>
      <c r="E1095" t="s">
        <v>2002</v>
      </c>
      <c r="F1095">
        <v>14</v>
      </c>
    </row>
    <row r="1096" spans="1:6" x14ac:dyDescent="0.25">
      <c r="A1096" t="s">
        <v>1177</v>
      </c>
      <c r="B1096" s="2">
        <v>71243.257897441246</v>
      </c>
      <c r="C1096" t="s">
        <v>16</v>
      </c>
      <c r="D1096" t="s">
        <v>55</v>
      </c>
      <c r="E1096" t="s">
        <v>2000</v>
      </c>
      <c r="F1096">
        <v>5</v>
      </c>
    </row>
    <row r="1097" spans="1:6" x14ac:dyDescent="0.25">
      <c r="A1097" t="s">
        <v>1178</v>
      </c>
      <c r="B1097" s="2">
        <v>4487.5950052355274</v>
      </c>
      <c r="C1097" t="s">
        <v>16</v>
      </c>
      <c r="D1097" t="s">
        <v>4</v>
      </c>
      <c r="E1097" t="s">
        <v>1999</v>
      </c>
      <c r="F1097">
        <v>16</v>
      </c>
    </row>
    <row r="1098" spans="1:6" x14ac:dyDescent="0.25">
      <c r="A1098" t="s">
        <v>1179</v>
      </c>
      <c r="B1098" s="2">
        <v>4314.929445034084</v>
      </c>
      <c r="C1098" t="s">
        <v>24</v>
      </c>
      <c r="D1098" t="s">
        <v>4</v>
      </c>
      <c r="E1098" t="s">
        <v>2001</v>
      </c>
      <c r="F1098">
        <v>7</v>
      </c>
    </row>
    <row r="1099" spans="1:6" x14ac:dyDescent="0.25">
      <c r="A1099" t="s">
        <v>1180</v>
      </c>
      <c r="B1099" s="2">
        <v>3739.6625043629392</v>
      </c>
      <c r="C1099" t="s">
        <v>3</v>
      </c>
      <c r="D1099" t="s">
        <v>4</v>
      </c>
      <c r="E1099" t="s">
        <v>2002</v>
      </c>
      <c r="F1099">
        <v>1</v>
      </c>
    </row>
    <row r="1100" spans="1:6" x14ac:dyDescent="0.25">
      <c r="A1100" t="s">
        <v>1181</v>
      </c>
      <c r="B1100" s="2">
        <v>76223.966339496474</v>
      </c>
      <c r="C1100" t="s">
        <v>16</v>
      </c>
      <c r="D1100" t="s">
        <v>466</v>
      </c>
      <c r="E1100" t="s">
        <v>1999</v>
      </c>
      <c r="F1100">
        <v>4</v>
      </c>
    </row>
    <row r="1101" spans="1:6" x14ac:dyDescent="0.25">
      <c r="A1101" t="s">
        <v>1182</v>
      </c>
      <c r="B1101" s="2">
        <v>32666.305522511171</v>
      </c>
      <c r="C1101" t="s">
        <v>16</v>
      </c>
      <c r="D1101" t="s">
        <v>147</v>
      </c>
      <c r="E1101" t="s">
        <v>2000</v>
      </c>
      <c r="F1101">
        <v>12</v>
      </c>
    </row>
    <row r="1102" spans="1:6" x14ac:dyDescent="0.25">
      <c r="A1102" t="s">
        <v>1183</v>
      </c>
      <c r="B1102" s="2">
        <v>19000</v>
      </c>
      <c r="C1102" t="s">
        <v>37</v>
      </c>
      <c r="D1102" t="s">
        <v>55</v>
      </c>
      <c r="E1102" t="s">
        <v>2002</v>
      </c>
      <c r="F1102">
        <v>8</v>
      </c>
    </row>
    <row r="1103" spans="1:6" x14ac:dyDescent="0.25">
      <c r="A1103" t="s">
        <v>1184</v>
      </c>
      <c r="B1103" s="2">
        <v>63519.971949580387</v>
      </c>
      <c r="C1103" t="s">
        <v>12</v>
      </c>
      <c r="D1103" t="s">
        <v>22</v>
      </c>
      <c r="E1103" t="s">
        <v>2000</v>
      </c>
      <c r="F1103">
        <v>14</v>
      </c>
    </row>
    <row r="1104" spans="1:6" x14ac:dyDescent="0.25">
      <c r="A1104" t="s">
        <v>1185</v>
      </c>
      <c r="B1104" s="2">
        <v>16027.125018698311</v>
      </c>
      <c r="C1104" t="s">
        <v>16</v>
      </c>
      <c r="D1104" t="s">
        <v>4</v>
      </c>
      <c r="E1104" t="s">
        <v>2001</v>
      </c>
      <c r="F1104">
        <v>22</v>
      </c>
    </row>
    <row r="1105" spans="1:6" x14ac:dyDescent="0.25">
      <c r="A1105" t="s">
        <v>1186</v>
      </c>
      <c r="B1105" s="2">
        <v>7123.1666749770275</v>
      </c>
      <c r="C1105" t="s">
        <v>37</v>
      </c>
      <c r="D1105" t="s">
        <v>4</v>
      </c>
      <c r="E1105" t="s">
        <v>2001</v>
      </c>
      <c r="F1105">
        <v>9</v>
      </c>
    </row>
    <row r="1106" spans="1:6" x14ac:dyDescent="0.25">
      <c r="A1106" t="s">
        <v>1187</v>
      </c>
      <c r="B1106" s="2">
        <v>2675.675098121621</v>
      </c>
      <c r="C1106" t="s">
        <v>16</v>
      </c>
      <c r="D1106" t="s">
        <v>4</v>
      </c>
      <c r="E1106" t="s">
        <v>2000</v>
      </c>
      <c r="F1106">
        <v>5</v>
      </c>
    </row>
    <row r="1107" spans="1:6" x14ac:dyDescent="0.25">
      <c r="A1107" t="s">
        <v>1188</v>
      </c>
      <c r="B1107" s="2">
        <v>23642.674081009263</v>
      </c>
      <c r="C1107" t="s">
        <v>37</v>
      </c>
      <c r="D1107" t="s">
        <v>55</v>
      </c>
      <c r="E1107" t="s">
        <v>2002</v>
      </c>
      <c r="F1107">
        <v>2</v>
      </c>
    </row>
    <row r="1108" spans="1:6" x14ac:dyDescent="0.25">
      <c r="A1108" t="s">
        <v>1189</v>
      </c>
      <c r="B1108" s="2">
        <v>57167.974754622352</v>
      </c>
      <c r="C1108" t="s">
        <v>16</v>
      </c>
      <c r="D1108" t="s">
        <v>550</v>
      </c>
      <c r="E1108" t="s">
        <v>2001</v>
      </c>
      <c r="F1108">
        <v>14</v>
      </c>
    </row>
    <row r="1109" spans="1:6" x14ac:dyDescent="0.25">
      <c r="A1109" t="s">
        <v>1190</v>
      </c>
      <c r="B1109" s="2">
        <v>42739.000049862167</v>
      </c>
      <c r="C1109" t="s">
        <v>16</v>
      </c>
      <c r="D1109" t="s">
        <v>4</v>
      </c>
      <c r="E1109" t="s">
        <v>2002</v>
      </c>
      <c r="F1109">
        <v>10</v>
      </c>
    </row>
    <row r="1110" spans="1:6" x14ac:dyDescent="0.25">
      <c r="A1110" t="s">
        <v>1191</v>
      </c>
      <c r="B1110" s="2">
        <v>5120.2912876821438</v>
      </c>
      <c r="C1110" t="s">
        <v>16</v>
      </c>
      <c r="D1110" t="s">
        <v>311</v>
      </c>
      <c r="E1110" t="s">
        <v>2001</v>
      </c>
      <c r="F1110">
        <v>2</v>
      </c>
    </row>
    <row r="1111" spans="1:6" x14ac:dyDescent="0.25">
      <c r="A1111" t="s">
        <v>1192</v>
      </c>
      <c r="B1111" s="2">
        <v>127039.94389916077</v>
      </c>
      <c r="C1111" t="s">
        <v>21</v>
      </c>
      <c r="D1111" t="s">
        <v>550</v>
      </c>
      <c r="E1111" t="s">
        <v>1999</v>
      </c>
      <c r="F1111">
        <v>20</v>
      </c>
    </row>
    <row r="1112" spans="1:6" x14ac:dyDescent="0.25">
      <c r="A1112" t="s">
        <v>1193</v>
      </c>
      <c r="B1112" s="2">
        <v>90000</v>
      </c>
      <c r="C1112" t="s">
        <v>16</v>
      </c>
      <c r="D1112" t="s">
        <v>8</v>
      </c>
      <c r="E1112" t="s">
        <v>2001</v>
      </c>
      <c r="F1112">
        <v>5</v>
      </c>
    </row>
    <row r="1113" spans="1:6" x14ac:dyDescent="0.25">
      <c r="A1113" t="s">
        <v>1194</v>
      </c>
      <c r="B1113" s="2">
        <v>7123.1666749770275</v>
      </c>
      <c r="C1113" t="s">
        <v>12</v>
      </c>
      <c r="D1113" t="s">
        <v>4</v>
      </c>
      <c r="E1113" t="s">
        <v>1999</v>
      </c>
      <c r="F1113">
        <v>2</v>
      </c>
    </row>
    <row r="1114" spans="1:6" x14ac:dyDescent="0.25">
      <c r="A1114" t="s">
        <v>1195</v>
      </c>
      <c r="B1114" s="2">
        <v>10000</v>
      </c>
      <c r="C1114" t="s">
        <v>3</v>
      </c>
      <c r="D1114" t="s">
        <v>4</v>
      </c>
      <c r="E1114" t="s">
        <v>2000</v>
      </c>
      <c r="F1114">
        <v>5</v>
      </c>
    </row>
    <row r="1115" spans="1:6" x14ac:dyDescent="0.25">
      <c r="A1115" t="s">
        <v>1196</v>
      </c>
      <c r="B1115" s="2">
        <v>45709.169889951241</v>
      </c>
      <c r="C1115" t="s">
        <v>3</v>
      </c>
      <c r="D1115" t="s">
        <v>55</v>
      </c>
      <c r="E1115" t="s">
        <v>2001</v>
      </c>
      <c r="F1115">
        <v>14</v>
      </c>
    </row>
    <row r="1116" spans="1:6" x14ac:dyDescent="0.25">
      <c r="A1116" t="s">
        <v>1197</v>
      </c>
      <c r="B1116" s="2">
        <v>3561.5833374885137</v>
      </c>
      <c r="C1116" t="s">
        <v>37</v>
      </c>
      <c r="D1116" t="s">
        <v>4</v>
      </c>
      <c r="E1116" t="s">
        <v>2002</v>
      </c>
      <c r="F1116">
        <v>5</v>
      </c>
    </row>
    <row r="1117" spans="1:6" x14ac:dyDescent="0.25">
      <c r="A1117" t="s">
        <v>1198</v>
      </c>
      <c r="B1117" s="2">
        <v>38111.983169748237</v>
      </c>
      <c r="C1117" t="s">
        <v>3</v>
      </c>
      <c r="D1117" t="s">
        <v>48</v>
      </c>
      <c r="E1117" t="s">
        <v>1999</v>
      </c>
      <c r="F1117">
        <v>15</v>
      </c>
    </row>
    <row r="1118" spans="1:6" x14ac:dyDescent="0.25">
      <c r="A1118" t="s">
        <v>1199</v>
      </c>
      <c r="B1118" s="2">
        <v>60000</v>
      </c>
      <c r="C1118" t="s">
        <v>3</v>
      </c>
      <c r="D1118" t="s">
        <v>8</v>
      </c>
      <c r="E1118" t="s">
        <v>2000</v>
      </c>
      <c r="F1118">
        <v>4</v>
      </c>
    </row>
    <row r="1119" spans="1:6" x14ac:dyDescent="0.25">
      <c r="A1119" t="s">
        <v>1200</v>
      </c>
      <c r="B1119" s="2">
        <v>40000</v>
      </c>
      <c r="C1119" t="s">
        <v>12</v>
      </c>
      <c r="D1119" t="s">
        <v>4</v>
      </c>
      <c r="E1119" t="s">
        <v>2000</v>
      </c>
      <c r="F1119">
        <v>2</v>
      </c>
    </row>
    <row r="1120" spans="1:6" x14ac:dyDescent="0.25">
      <c r="A1120" t="s">
        <v>1201</v>
      </c>
      <c r="B1120" s="2">
        <v>15190.15293438851</v>
      </c>
      <c r="C1120" t="s">
        <v>3</v>
      </c>
      <c r="D1120" t="s">
        <v>4</v>
      </c>
      <c r="E1120" t="s">
        <v>2000</v>
      </c>
      <c r="F1120">
        <v>6</v>
      </c>
    </row>
    <row r="1121" spans="1:6" x14ac:dyDescent="0.25">
      <c r="A1121" t="s">
        <v>1202</v>
      </c>
      <c r="B1121" s="2">
        <v>114335.9495092447</v>
      </c>
      <c r="C1121" t="s">
        <v>16</v>
      </c>
      <c r="D1121" t="s">
        <v>1395</v>
      </c>
      <c r="E1121" t="s">
        <v>2000</v>
      </c>
      <c r="F1121">
        <v>20</v>
      </c>
    </row>
    <row r="1122" spans="1:6" x14ac:dyDescent="0.25">
      <c r="A1122" t="s">
        <v>1203</v>
      </c>
      <c r="B1122" s="2">
        <v>36252.100257547536</v>
      </c>
      <c r="C1122" t="s">
        <v>16</v>
      </c>
      <c r="D1122" t="s">
        <v>55</v>
      </c>
      <c r="E1122" t="s">
        <v>2001</v>
      </c>
      <c r="F1122">
        <v>10</v>
      </c>
    </row>
    <row r="1123" spans="1:6" x14ac:dyDescent="0.25">
      <c r="A1123" t="s">
        <v>1204</v>
      </c>
      <c r="B1123" s="2">
        <v>47285.348162018527</v>
      </c>
      <c r="C1123" t="s">
        <v>24</v>
      </c>
      <c r="D1123" t="s">
        <v>55</v>
      </c>
      <c r="E1123" t="s">
        <v>2000</v>
      </c>
      <c r="F1123">
        <v>5</v>
      </c>
    </row>
    <row r="1124" spans="1:6" x14ac:dyDescent="0.25">
      <c r="A1124" t="s">
        <v>1205</v>
      </c>
      <c r="B1124" s="2">
        <v>88927.960729412545</v>
      </c>
      <c r="C1124" t="s">
        <v>59</v>
      </c>
      <c r="D1124" t="s">
        <v>27</v>
      </c>
      <c r="E1124" t="s">
        <v>2000</v>
      </c>
      <c r="F1124">
        <v>20</v>
      </c>
    </row>
    <row r="1125" spans="1:6" x14ac:dyDescent="0.25">
      <c r="A1125" t="s">
        <v>1206</v>
      </c>
      <c r="B1125" s="2">
        <v>6000</v>
      </c>
      <c r="C1125" t="s">
        <v>24</v>
      </c>
      <c r="D1125" t="s">
        <v>1005</v>
      </c>
      <c r="E1125" t="s">
        <v>2002</v>
      </c>
      <c r="F1125">
        <v>5</v>
      </c>
    </row>
    <row r="1126" spans="1:6" x14ac:dyDescent="0.25">
      <c r="A1126" t="s">
        <v>1207</v>
      </c>
      <c r="B1126" s="2">
        <v>35000</v>
      </c>
      <c r="C1126" t="s">
        <v>3</v>
      </c>
      <c r="D1126" t="s">
        <v>8</v>
      </c>
      <c r="E1126" t="s">
        <v>2002</v>
      </c>
      <c r="F1126">
        <v>20</v>
      </c>
    </row>
    <row r="1127" spans="1:6" x14ac:dyDescent="0.25">
      <c r="A1127" t="s">
        <v>1208</v>
      </c>
      <c r="B1127" s="2">
        <v>55166.239522354947</v>
      </c>
      <c r="C1127" t="s">
        <v>3</v>
      </c>
      <c r="D1127" t="s">
        <v>55</v>
      </c>
      <c r="E1127" t="s">
        <v>2001</v>
      </c>
      <c r="F1127">
        <v>10</v>
      </c>
    </row>
    <row r="1128" spans="1:6" x14ac:dyDescent="0.25">
      <c r="A1128" t="s">
        <v>1209</v>
      </c>
      <c r="B1128" s="2">
        <v>1783.166904422254</v>
      </c>
      <c r="C1128" t="s">
        <v>24</v>
      </c>
      <c r="D1128" t="s">
        <v>10</v>
      </c>
      <c r="E1128" t="s">
        <v>2001</v>
      </c>
      <c r="F1128">
        <v>10</v>
      </c>
    </row>
    <row r="1129" spans="1:6" x14ac:dyDescent="0.25">
      <c r="A1129" t="s">
        <v>1210</v>
      </c>
      <c r="B1129" s="2">
        <v>13500</v>
      </c>
      <c r="C1129" t="s">
        <v>16</v>
      </c>
      <c r="D1129" t="s">
        <v>1211</v>
      </c>
      <c r="E1129" t="s">
        <v>2001</v>
      </c>
      <c r="F1129">
        <v>13</v>
      </c>
    </row>
    <row r="1130" spans="1:6" x14ac:dyDescent="0.25">
      <c r="A1130" t="s">
        <v>1212</v>
      </c>
      <c r="B1130" s="2">
        <v>59106.685202523156</v>
      </c>
      <c r="C1130" t="s">
        <v>24</v>
      </c>
      <c r="D1130" t="s">
        <v>55</v>
      </c>
      <c r="E1130" t="s">
        <v>2000</v>
      </c>
      <c r="F1130">
        <v>5</v>
      </c>
    </row>
    <row r="1131" spans="1:6" x14ac:dyDescent="0.25">
      <c r="A1131" t="s">
        <v>1213</v>
      </c>
      <c r="B1131" s="2">
        <v>12608.005014709339</v>
      </c>
      <c r="C1131" t="s">
        <v>16</v>
      </c>
      <c r="D1131" t="s">
        <v>4</v>
      </c>
      <c r="E1131" t="s">
        <v>2001</v>
      </c>
      <c r="F1131">
        <v>5</v>
      </c>
    </row>
    <row r="1132" spans="1:6" x14ac:dyDescent="0.25">
      <c r="A1132" t="s">
        <v>1214</v>
      </c>
      <c r="B1132" s="2">
        <v>44654.095718350931</v>
      </c>
      <c r="C1132" t="s">
        <v>24</v>
      </c>
      <c r="D1132" t="s">
        <v>38</v>
      </c>
      <c r="E1132" t="s">
        <v>2002</v>
      </c>
      <c r="F1132">
        <v>15</v>
      </c>
    </row>
    <row r="1133" spans="1:6" x14ac:dyDescent="0.25">
      <c r="A1133" t="s">
        <v>1215</v>
      </c>
      <c r="B1133" s="2">
        <v>69000</v>
      </c>
      <c r="C1133" t="s">
        <v>3</v>
      </c>
      <c r="D1133" t="s">
        <v>8</v>
      </c>
      <c r="E1133" t="s">
        <v>2000</v>
      </c>
      <c r="F1133">
        <v>20</v>
      </c>
    </row>
    <row r="1134" spans="1:6" x14ac:dyDescent="0.25">
      <c r="A1134" t="s">
        <v>1216</v>
      </c>
      <c r="B1134" s="2">
        <v>6000</v>
      </c>
      <c r="C1134" t="s">
        <v>16</v>
      </c>
      <c r="D1134" t="s">
        <v>4</v>
      </c>
      <c r="E1134" t="s">
        <v>2001</v>
      </c>
      <c r="F1134">
        <v>6</v>
      </c>
    </row>
    <row r="1135" spans="1:6" x14ac:dyDescent="0.25">
      <c r="A1135" t="s">
        <v>1217</v>
      </c>
      <c r="B1135" s="2">
        <v>8903.9583437212841</v>
      </c>
      <c r="C1135" t="s">
        <v>16</v>
      </c>
      <c r="D1135" t="s">
        <v>4</v>
      </c>
      <c r="E1135" t="s">
        <v>1999</v>
      </c>
      <c r="F1135">
        <v>25</v>
      </c>
    </row>
    <row r="1136" spans="1:6" x14ac:dyDescent="0.25">
      <c r="A1136" t="s">
        <v>1218</v>
      </c>
      <c r="B1136" s="2">
        <v>30000</v>
      </c>
      <c r="C1136" t="s">
        <v>16</v>
      </c>
      <c r="D1136" t="s">
        <v>136</v>
      </c>
      <c r="E1136" t="s">
        <v>2002</v>
      </c>
      <c r="F1136">
        <v>17</v>
      </c>
    </row>
    <row r="1137" spans="1:6" x14ac:dyDescent="0.25">
      <c r="A1137" t="s">
        <v>1219</v>
      </c>
      <c r="B1137" s="2">
        <v>8600</v>
      </c>
      <c r="C1137" t="s">
        <v>3</v>
      </c>
      <c r="D1137" t="s">
        <v>4</v>
      </c>
      <c r="E1137" t="s">
        <v>2001</v>
      </c>
      <c r="F1137">
        <v>2</v>
      </c>
    </row>
    <row r="1138" spans="1:6" x14ac:dyDescent="0.25">
      <c r="A1138" t="s">
        <v>1220</v>
      </c>
      <c r="B1138" s="2">
        <v>81600</v>
      </c>
      <c r="C1138" t="s">
        <v>3</v>
      </c>
      <c r="D1138" t="s">
        <v>55</v>
      </c>
      <c r="E1138" t="s">
        <v>2001</v>
      </c>
      <c r="F1138">
        <v>4</v>
      </c>
    </row>
    <row r="1139" spans="1:6" x14ac:dyDescent="0.25">
      <c r="A1139" t="s">
        <v>1221</v>
      </c>
      <c r="B1139" s="2">
        <v>15404.364569961488</v>
      </c>
      <c r="C1139" t="s">
        <v>3</v>
      </c>
      <c r="D1139" t="s">
        <v>475</v>
      </c>
      <c r="E1139" t="s">
        <v>2002</v>
      </c>
      <c r="F1139">
        <v>3</v>
      </c>
    </row>
    <row r="1140" spans="1:6" x14ac:dyDescent="0.25">
      <c r="A1140" t="s">
        <v>1222</v>
      </c>
      <c r="B1140" s="2">
        <v>63918.498996971248</v>
      </c>
      <c r="C1140" t="s">
        <v>3</v>
      </c>
      <c r="D1140" t="s">
        <v>68</v>
      </c>
      <c r="E1140" t="s">
        <v>2001</v>
      </c>
      <c r="F1140">
        <v>20</v>
      </c>
    </row>
    <row r="1141" spans="1:6" x14ac:dyDescent="0.25">
      <c r="A1141" t="s">
        <v>1223</v>
      </c>
      <c r="B1141" s="2">
        <v>75000</v>
      </c>
      <c r="C1141" t="s">
        <v>6</v>
      </c>
      <c r="D1141" t="s">
        <v>8</v>
      </c>
      <c r="E1141" t="s">
        <v>2000</v>
      </c>
      <c r="F1141">
        <v>20</v>
      </c>
    </row>
    <row r="1142" spans="1:6" x14ac:dyDescent="0.25">
      <c r="A1142" t="s">
        <v>1224</v>
      </c>
      <c r="B1142" s="2">
        <v>59000</v>
      </c>
      <c r="C1142" t="s">
        <v>3</v>
      </c>
      <c r="D1142" t="s">
        <v>8</v>
      </c>
      <c r="E1142" t="s">
        <v>2001</v>
      </c>
      <c r="F1142">
        <v>14</v>
      </c>
    </row>
    <row r="1143" spans="1:6" x14ac:dyDescent="0.25">
      <c r="A1143" t="s">
        <v>1225</v>
      </c>
      <c r="B1143" s="2">
        <v>50000</v>
      </c>
      <c r="C1143" t="s">
        <v>16</v>
      </c>
      <c r="D1143" t="s">
        <v>68</v>
      </c>
      <c r="E1143" t="s">
        <v>1999</v>
      </c>
      <c r="F1143">
        <v>5</v>
      </c>
    </row>
    <row r="1144" spans="1:6" x14ac:dyDescent="0.25">
      <c r="A1144" t="s">
        <v>1226</v>
      </c>
      <c r="B1144" s="2">
        <v>126094.26176538273</v>
      </c>
      <c r="C1144" t="s">
        <v>6</v>
      </c>
      <c r="D1144" t="s">
        <v>55</v>
      </c>
      <c r="E1144" t="s">
        <v>2001</v>
      </c>
      <c r="F1144">
        <v>15</v>
      </c>
    </row>
    <row r="1145" spans="1:6" x14ac:dyDescent="0.25">
      <c r="A1145" t="s">
        <v>1227</v>
      </c>
      <c r="B1145" s="2">
        <v>26691.183012544854</v>
      </c>
      <c r="C1145" t="s">
        <v>16</v>
      </c>
      <c r="D1145" t="s">
        <v>116</v>
      </c>
      <c r="E1145" t="s">
        <v>1999</v>
      </c>
      <c r="F1145">
        <v>7</v>
      </c>
    </row>
    <row r="1146" spans="1:6" x14ac:dyDescent="0.25">
      <c r="A1146" t="s">
        <v>1228</v>
      </c>
      <c r="B1146" s="2">
        <v>8903.9583437212841</v>
      </c>
      <c r="C1146" t="s">
        <v>3</v>
      </c>
      <c r="D1146" t="s">
        <v>4</v>
      </c>
      <c r="E1146" t="s">
        <v>2001</v>
      </c>
      <c r="F1146">
        <v>0.8</v>
      </c>
    </row>
    <row r="1147" spans="1:6" x14ac:dyDescent="0.25">
      <c r="A1147" t="s">
        <v>1229</v>
      </c>
      <c r="B1147" s="2">
        <v>8725</v>
      </c>
      <c r="C1147" t="s">
        <v>16</v>
      </c>
      <c r="D1147" t="s">
        <v>10</v>
      </c>
      <c r="E1147" t="s">
        <v>2000</v>
      </c>
      <c r="F1147">
        <v>18</v>
      </c>
    </row>
    <row r="1148" spans="1:6" x14ac:dyDescent="0.25">
      <c r="A1148" t="s">
        <v>1230</v>
      </c>
      <c r="B1148" s="2">
        <v>50437.70470615309</v>
      </c>
      <c r="C1148" t="s">
        <v>3</v>
      </c>
      <c r="D1148" t="s">
        <v>55</v>
      </c>
      <c r="E1148" t="s">
        <v>2001</v>
      </c>
      <c r="F1148">
        <v>4</v>
      </c>
    </row>
    <row r="1149" spans="1:6" x14ac:dyDescent="0.25">
      <c r="A1149" t="s">
        <v>1231</v>
      </c>
      <c r="B1149" s="2">
        <v>67775.665698893223</v>
      </c>
      <c r="C1149" t="s">
        <v>24</v>
      </c>
      <c r="D1149" t="s">
        <v>55</v>
      </c>
      <c r="E1149" t="s">
        <v>2002</v>
      </c>
      <c r="F1149">
        <v>15</v>
      </c>
    </row>
    <row r="1150" spans="1:6" x14ac:dyDescent="0.25">
      <c r="A1150" t="s">
        <v>1232</v>
      </c>
      <c r="B1150" s="2">
        <v>52118.160720607324</v>
      </c>
      <c r="C1150" t="s">
        <v>3</v>
      </c>
      <c r="D1150" t="s">
        <v>68</v>
      </c>
      <c r="E1150" t="s">
        <v>2001</v>
      </c>
      <c r="F1150">
        <v>6</v>
      </c>
    </row>
    <row r="1151" spans="1:6" x14ac:dyDescent="0.25">
      <c r="A1151" t="s">
        <v>1233</v>
      </c>
      <c r="B1151" s="2">
        <v>3561.5833374885137</v>
      </c>
      <c r="C1151" t="s">
        <v>3</v>
      </c>
      <c r="D1151" t="s">
        <v>4</v>
      </c>
      <c r="E1151" t="s">
        <v>1999</v>
      </c>
      <c r="F1151">
        <v>6</v>
      </c>
    </row>
    <row r="1152" spans="1:6" x14ac:dyDescent="0.25">
      <c r="A1152" t="s">
        <v>1234</v>
      </c>
      <c r="B1152" s="2">
        <v>8013.5625093491553</v>
      </c>
      <c r="C1152" t="s">
        <v>16</v>
      </c>
      <c r="D1152" t="s">
        <v>4</v>
      </c>
      <c r="E1152" t="s">
        <v>2001</v>
      </c>
      <c r="F1152">
        <v>21</v>
      </c>
    </row>
    <row r="1153" spans="1:6" x14ac:dyDescent="0.25">
      <c r="A1153" t="s">
        <v>1235</v>
      </c>
      <c r="B1153" s="2">
        <v>28000</v>
      </c>
      <c r="C1153" t="s">
        <v>16</v>
      </c>
      <c r="D1153" t="s">
        <v>57</v>
      </c>
      <c r="E1153" t="s">
        <v>2001</v>
      </c>
      <c r="F1153">
        <v>5</v>
      </c>
    </row>
    <row r="1154" spans="1:6" x14ac:dyDescent="0.25">
      <c r="A1154" t="s">
        <v>1236</v>
      </c>
      <c r="B1154" s="2">
        <v>50064.150455673145</v>
      </c>
      <c r="C1154" t="s">
        <v>3</v>
      </c>
      <c r="D1154" t="s">
        <v>55</v>
      </c>
      <c r="E1154" t="s">
        <v>2000</v>
      </c>
      <c r="F1154">
        <v>2</v>
      </c>
    </row>
    <row r="1155" spans="1:6" x14ac:dyDescent="0.25">
      <c r="A1155" t="s">
        <v>1237</v>
      </c>
      <c r="B1155" s="2">
        <v>50437.70470615309</v>
      </c>
      <c r="C1155" t="s">
        <v>3</v>
      </c>
      <c r="D1155" t="s">
        <v>68</v>
      </c>
      <c r="E1155" t="s">
        <v>2001</v>
      </c>
      <c r="F1155">
        <v>9</v>
      </c>
    </row>
    <row r="1156" spans="1:6" x14ac:dyDescent="0.25">
      <c r="A1156" t="s">
        <v>1238</v>
      </c>
      <c r="B1156" s="2">
        <v>27840</v>
      </c>
      <c r="C1156" t="s">
        <v>3</v>
      </c>
      <c r="D1156" t="s">
        <v>8</v>
      </c>
      <c r="E1156" t="s">
        <v>2000</v>
      </c>
      <c r="F1156">
        <v>1</v>
      </c>
    </row>
    <row r="1157" spans="1:6" x14ac:dyDescent="0.25">
      <c r="A1157" t="s">
        <v>1239</v>
      </c>
      <c r="B1157" s="2">
        <v>6232.7708406048987</v>
      </c>
      <c r="C1157" t="s">
        <v>24</v>
      </c>
      <c r="D1157" t="s">
        <v>4</v>
      </c>
      <c r="E1157" t="s">
        <v>2000</v>
      </c>
      <c r="F1157">
        <v>1.5</v>
      </c>
    </row>
    <row r="1158" spans="1:6" x14ac:dyDescent="0.25">
      <c r="A1158" t="s">
        <v>1240</v>
      </c>
      <c r="B1158" s="2">
        <v>50000</v>
      </c>
      <c r="C1158" t="s">
        <v>12</v>
      </c>
      <c r="D1158" t="s">
        <v>245</v>
      </c>
      <c r="E1158" t="s">
        <v>2000</v>
      </c>
      <c r="F1158">
        <v>25</v>
      </c>
    </row>
    <row r="1159" spans="1:6" x14ac:dyDescent="0.25">
      <c r="A1159" t="s">
        <v>1241</v>
      </c>
      <c r="B1159" s="2">
        <v>48000</v>
      </c>
      <c r="C1159" t="s">
        <v>6</v>
      </c>
      <c r="D1159" t="s">
        <v>932</v>
      </c>
      <c r="E1159" t="s">
        <v>2000</v>
      </c>
      <c r="F1159">
        <v>10</v>
      </c>
    </row>
    <row r="1160" spans="1:6" x14ac:dyDescent="0.25">
      <c r="A1160" t="s">
        <v>1242</v>
      </c>
      <c r="B1160" s="2">
        <v>24000</v>
      </c>
      <c r="C1160" t="s">
        <v>16</v>
      </c>
      <c r="D1160" t="s">
        <v>1243</v>
      </c>
      <c r="E1160" t="s">
        <v>2001</v>
      </c>
      <c r="F1160">
        <v>21</v>
      </c>
    </row>
    <row r="1161" spans="1:6" x14ac:dyDescent="0.25">
      <c r="A1161" t="s">
        <v>1244</v>
      </c>
      <c r="B1161" s="2">
        <v>75000</v>
      </c>
      <c r="C1161" t="s">
        <v>3</v>
      </c>
      <c r="D1161" t="s">
        <v>8</v>
      </c>
      <c r="E1161" t="s">
        <v>2001</v>
      </c>
      <c r="F1161">
        <v>12</v>
      </c>
    </row>
    <row r="1162" spans="1:6" x14ac:dyDescent="0.25">
      <c r="A1162" t="s">
        <v>1245</v>
      </c>
      <c r="B1162" s="2">
        <v>58799.349940520107</v>
      </c>
      <c r="C1162" t="s">
        <v>3</v>
      </c>
      <c r="D1162" t="s">
        <v>323</v>
      </c>
      <c r="E1162" t="s">
        <v>2001</v>
      </c>
      <c r="F1162">
        <v>2</v>
      </c>
    </row>
    <row r="1163" spans="1:6" x14ac:dyDescent="0.25">
      <c r="A1163" t="s">
        <v>1246</v>
      </c>
      <c r="B1163" s="2">
        <v>21228.177433598263</v>
      </c>
      <c r="C1163" t="s">
        <v>59</v>
      </c>
      <c r="D1163" t="s">
        <v>10</v>
      </c>
      <c r="E1163" t="s">
        <v>2002</v>
      </c>
      <c r="F1163">
        <v>8</v>
      </c>
    </row>
    <row r="1164" spans="1:6" x14ac:dyDescent="0.25">
      <c r="A1164" t="s">
        <v>1247</v>
      </c>
      <c r="B1164" s="2">
        <v>60000</v>
      </c>
      <c r="C1164" t="s">
        <v>16</v>
      </c>
      <c r="D1164" t="s">
        <v>8</v>
      </c>
      <c r="E1164" t="s">
        <v>2000</v>
      </c>
      <c r="F1164">
        <v>10</v>
      </c>
    </row>
    <row r="1165" spans="1:6" x14ac:dyDescent="0.25">
      <c r="A1165" t="s">
        <v>1248</v>
      </c>
      <c r="B1165" s="2">
        <v>18018.883790212141</v>
      </c>
      <c r="C1165" t="s">
        <v>3</v>
      </c>
      <c r="D1165" t="s">
        <v>57</v>
      </c>
      <c r="E1165" t="s">
        <v>2002</v>
      </c>
      <c r="F1165">
        <v>10</v>
      </c>
    </row>
    <row r="1166" spans="1:6" x14ac:dyDescent="0.25">
      <c r="A1166" t="s">
        <v>1249</v>
      </c>
      <c r="B1166" s="2">
        <v>7200</v>
      </c>
      <c r="C1166" t="s">
        <v>37</v>
      </c>
      <c r="D1166" t="s">
        <v>4</v>
      </c>
      <c r="E1166" t="s">
        <v>2001</v>
      </c>
      <c r="F1166">
        <v>7</v>
      </c>
    </row>
    <row r="1167" spans="1:6" x14ac:dyDescent="0.25">
      <c r="A1167" t="s">
        <v>1250</v>
      </c>
      <c r="B1167" s="2">
        <v>56000</v>
      </c>
      <c r="C1167" t="s">
        <v>3</v>
      </c>
      <c r="D1167" t="s">
        <v>8</v>
      </c>
      <c r="E1167" t="s">
        <v>1999</v>
      </c>
      <c r="F1167">
        <v>2</v>
      </c>
    </row>
    <row r="1168" spans="1:6" x14ac:dyDescent="0.25">
      <c r="A1168" t="s">
        <v>1251</v>
      </c>
      <c r="B1168" s="2">
        <v>9616.275011218986</v>
      </c>
      <c r="C1168" t="s">
        <v>3</v>
      </c>
      <c r="D1168" t="s">
        <v>4</v>
      </c>
      <c r="E1168" t="s">
        <v>2001</v>
      </c>
      <c r="F1168">
        <v>7.9</v>
      </c>
    </row>
    <row r="1169" spans="1:6" x14ac:dyDescent="0.25">
      <c r="A1169" t="s">
        <v>1252</v>
      </c>
      <c r="B1169" s="2">
        <v>51497.005988023957</v>
      </c>
      <c r="C1169" t="s">
        <v>16</v>
      </c>
      <c r="D1169" t="s">
        <v>1253</v>
      </c>
      <c r="E1169" t="s">
        <v>2001</v>
      </c>
      <c r="F1169">
        <v>9</v>
      </c>
    </row>
    <row r="1170" spans="1:6" x14ac:dyDescent="0.25">
      <c r="A1170" t="s">
        <v>1254</v>
      </c>
      <c r="B1170" s="2">
        <v>104172.75399731184</v>
      </c>
      <c r="C1170" t="s">
        <v>16</v>
      </c>
      <c r="D1170" t="s">
        <v>572</v>
      </c>
      <c r="E1170" t="s">
        <v>2002</v>
      </c>
      <c r="F1170">
        <v>25</v>
      </c>
    </row>
    <row r="1171" spans="1:6" x14ac:dyDescent="0.25">
      <c r="A1171" t="s">
        <v>1255</v>
      </c>
      <c r="B1171" s="2">
        <v>88000</v>
      </c>
      <c r="C1171" t="s">
        <v>16</v>
      </c>
      <c r="D1171" t="s">
        <v>8</v>
      </c>
      <c r="E1171" t="s">
        <v>2001</v>
      </c>
      <c r="F1171">
        <v>2</v>
      </c>
    </row>
    <row r="1172" spans="1:6" x14ac:dyDescent="0.25">
      <c r="A1172" t="s">
        <v>1256</v>
      </c>
      <c r="B1172" s="2">
        <v>80000</v>
      </c>
      <c r="C1172" t="s">
        <v>3</v>
      </c>
      <c r="D1172" t="s">
        <v>8</v>
      </c>
      <c r="E1172" t="s">
        <v>2001</v>
      </c>
      <c r="F1172">
        <v>6</v>
      </c>
    </row>
    <row r="1173" spans="1:6" x14ac:dyDescent="0.25">
      <c r="A1173" t="s">
        <v>1257</v>
      </c>
      <c r="B1173" s="2">
        <v>19000</v>
      </c>
      <c r="C1173" t="s">
        <v>24</v>
      </c>
      <c r="D1173" t="s">
        <v>55</v>
      </c>
      <c r="E1173" t="s">
        <v>2001</v>
      </c>
      <c r="F1173">
        <v>20</v>
      </c>
    </row>
    <row r="1174" spans="1:6" x14ac:dyDescent="0.25">
      <c r="A1174" t="s">
        <v>1258</v>
      </c>
      <c r="B1174" s="2">
        <v>19055.991584874118</v>
      </c>
      <c r="C1174" t="s">
        <v>59</v>
      </c>
      <c r="D1174" t="s">
        <v>1259</v>
      </c>
      <c r="E1174" t="s">
        <v>2001</v>
      </c>
      <c r="F1174">
        <v>3</v>
      </c>
    </row>
    <row r="1175" spans="1:6" x14ac:dyDescent="0.25">
      <c r="A1175" t="s">
        <v>1260</v>
      </c>
      <c r="B1175" s="2">
        <v>8547.8000099724322</v>
      </c>
      <c r="C1175" t="s">
        <v>59</v>
      </c>
      <c r="D1175" t="s">
        <v>4</v>
      </c>
      <c r="E1175" t="s">
        <v>2002</v>
      </c>
      <c r="F1175">
        <v>15</v>
      </c>
    </row>
    <row r="1176" spans="1:6" x14ac:dyDescent="0.25">
      <c r="A1176" t="s">
        <v>1261</v>
      </c>
      <c r="B1176" s="2">
        <v>19588.708356186824</v>
      </c>
      <c r="C1176" t="s">
        <v>59</v>
      </c>
      <c r="D1176" t="s">
        <v>4</v>
      </c>
      <c r="E1176" t="s">
        <v>2002</v>
      </c>
      <c r="F1176">
        <v>13</v>
      </c>
    </row>
    <row r="1177" spans="1:6" x14ac:dyDescent="0.25">
      <c r="A1177" t="s">
        <v>1262</v>
      </c>
      <c r="B1177" s="2">
        <v>61000</v>
      </c>
      <c r="C1177" t="s">
        <v>3</v>
      </c>
      <c r="D1177" t="s">
        <v>8</v>
      </c>
      <c r="E1177" t="s">
        <v>2001</v>
      </c>
      <c r="F1177">
        <v>1.5</v>
      </c>
    </row>
    <row r="1178" spans="1:6" x14ac:dyDescent="0.25">
      <c r="A1178" t="s">
        <v>1263</v>
      </c>
      <c r="B1178" s="2">
        <v>53590.061250287661</v>
      </c>
      <c r="C1178" t="s">
        <v>24</v>
      </c>
      <c r="D1178" t="s">
        <v>55</v>
      </c>
      <c r="E1178" t="s">
        <v>2002</v>
      </c>
      <c r="F1178">
        <v>10</v>
      </c>
    </row>
    <row r="1179" spans="1:6" x14ac:dyDescent="0.25">
      <c r="A1179" t="s">
        <v>1264</v>
      </c>
      <c r="B1179" s="2">
        <v>53590.061250287661</v>
      </c>
      <c r="C1179" t="s">
        <v>24</v>
      </c>
      <c r="D1179" t="s">
        <v>55</v>
      </c>
      <c r="E1179" t="s">
        <v>2002</v>
      </c>
      <c r="F1179">
        <v>10</v>
      </c>
    </row>
    <row r="1180" spans="1:6" x14ac:dyDescent="0.25">
      <c r="A1180" t="s">
        <v>1265</v>
      </c>
      <c r="B1180" s="2">
        <v>4451.9791718606421</v>
      </c>
      <c r="C1180" t="s">
        <v>16</v>
      </c>
      <c r="D1180" t="s">
        <v>4</v>
      </c>
      <c r="E1180" t="s">
        <v>2001</v>
      </c>
      <c r="F1180">
        <v>1</v>
      </c>
    </row>
    <row r="1181" spans="1:6" x14ac:dyDescent="0.25">
      <c r="A1181" t="s">
        <v>1266</v>
      </c>
      <c r="B1181" s="2">
        <v>25407.988779832154</v>
      </c>
      <c r="C1181" t="s">
        <v>16</v>
      </c>
      <c r="D1181" t="s">
        <v>141</v>
      </c>
      <c r="E1181" t="s">
        <v>1999</v>
      </c>
      <c r="F1181">
        <v>12</v>
      </c>
    </row>
    <row r="1182" spans="1:6" x14ac:dyDescent="0.25">
      <c r="A1182" t="s">
        <v>1267</v>
      </c>
      <c r="B1182" s="2">
        <v>23000</v>
      </c>
      <c r="C1182" t="s">
        <v>24</v>
      </c>
      <c r="D1182" t="s">
        <v>107</v>
      </c>
      <c r="E1182" t="s">
        <v>2002</v>
      </c>
      <c r="F1182">
        <v>14</v>
      </c>
    </row>
    <row r="1183" spans="1:6" x14ac:dyDescent="0.25">
      <c r="A1183" t="s">
        <v>1268</v>
      </c>
      <c r="B1183" s="2">
        <v>16027.125018698311</v>
      </c>
      <c r="C1183" t="s">
        <v>16</v>
      </c>
      <c r="D1183" t="s">
        <v>4</v>
      </c>
      <c r="E1183" t="s">
        <v>1999</v>
      </c>
      <c r="F1183">
        <v>13</v>
      </c>
    </row>
    <row r="1184" spans="1:6" x14ac:dyDescent="0.25">
      <c r="A1184" t="s">
        <v>1269</v>
      </c>
      <c r="B1184" s="2">
        <v>60000</v>
      </c>
      <c r="C1184" t="s">
        <v>12</v>
      </c>
      <c r="D1184" t="s">
        <v>8</v>
      </c>
      <c r="E1184" t="s">
        <v>1999</v>
      </c>
      <c r="F1184">
        <v>6</v>
      </c>
    </row>
    <row r="1185" spans="1:6" x14ac:dyDescent="0.25">
      <c r="A1185" t="s">
        <v>1270</v>
      </c>
      <c r="B1185" s="2">
        <v>4800</v>
      </c>
      <c r="C1185" t="s">
        <v>3</v>
      </c>
      <c r="D1185" t="s">
        <v>4</v>
      </c>
      <c r="E1185" t="s">
        <v>2001</v>
      </c>
      <c r="F1185">
        <v>5</v>
      </c>
    </row>
    <row r="1186" spans="1:6" x14ac:dyDescent="0.25">
      <c r="A1186" t="s">
        <v>1271</v>
      </c>
      <c r="B1186" s="2">
        <v>106815.148267971</v>
      </c>
      <c r="C1186" t="s">
        <v>16</v>
      </c>
      <c r="D1186" t="s">
        <v>814</v>
      </c>
      <c r="E1186" t="s">
        <v>2001</v>
      </c>
      <c r="F1186">
        <v>25</v>
      </c>
    </row>
    <row r="1187" spans="1:6" x14ac:dyDescent="0.25">
      <c r="A1187" t="s">
        <v>1272</v>
      </c>
      <c r="B1187" s="2">
        <v>8903.9583437212841</v>
      </c>
      <c r="C1187" t="s">
        <v>59</v>
      </c>
      <c r="D1187" t="s">
        <v>4</v>
      </c>
      <c r="E1187" t="s">
        <v>2000</v>
      </c>
      <c r="F1187">
        <v>3</v>
      </c>
    </row>
    <row r="1188" spans="1:6" x14ac:dyDescent="0.25">
      <c r="A1188" t="s">
        <v>1273</v>
      </c>
      <c r="B1188" s="2">
        <v>60000</v>
      </c>
      <c r="C1188" t="s">
        <v>16</v>
      </c>
      <c r="D1188" t="s">
        <v>8</v>
      </c>
      <c r="E1188" t="s">
        <v>2001</v>
      </c>
      <c r="F1188">
        <v>12</v>
      </c>
    </row>
    <row r="1189" spans="1:6" x14ac:dyDescent="0.25">
      <c r="A1189" t="s">
        <v>1274</v>
      </c>
      <c r="B1189" s="2">
        <v>46300.583387350678</v>
      </c>
      <c r="C1189" t="s">
        <v>16</v>
      </c>
      <c r="D1189" t="s">
        <v>4</v>
      </c>
      <c r="E1189" t="s">
        <v>2001</v>
      </c>
      <c r="F1189">
        <v>4</v>
      </c>
    </row>
    <row r="1190" spans="1:6" x14ac:dyDescent="0.25">
      <c r="A1190" t="s">
        <v>1275</v>
      </c>
      <c r="B1190" s="2">
        <v>13355.937515581925</v>
      </c>
      <c r="C1190" t="s">
        <v>16</v>
      </c>
      <c r="D1190" t="s">
        <v>4</v>
      </c>
      <c r="E1190" t="s">
        <v>2000</v>
      </c>
      <c r="F1190">
        <v>3</v>
      </c>
    </row>
    <row r="1191" spans="1:6" x14ac:dyDescent="0.25">
      <c r="A1191" t="s">
        <v>1276</v>
      </c>
      <c r="B1191" s="2">
        <v>74000</v>
      </c>
      <c r="C1191" t="s">
        <v>26</v>
      </c>
      <c r="D1191" t="s">
        <v>8</v>
      </c>
      <c r="E1191" t="s">
        <v>2001</v>
      </c>
      <c r="F1191">
        <v>10</v>
      </c>
    </row>
    <row r="1192" spans="1:6" x14ac:dyDescent="0.25">
      <c r="A1192" t="s">
        <v>1277</v>
      </c>
      <c r="B1192" s="2">
        <v>95856</v>
      </c>
      <c r="C1192" t="s">
        <v>3</v>
      </c>
      <c r="D1192" t="s">
        <v>8</v>
      </c>
      <c r="E1192" t="s">
        <v>2000</v>
      </c>
      <c r="F1192">
        <v>13</v>
      </c>
    </row>
    <row r="1193" spans="1:6" x14ac:dyDescent="0.25">
      <c r="A1193" t="s">
        <v>1278</v>
      </c>
      <c r="B1193" s="2">
        <v>40000</v>
      </c>
      <c r="C1193" t="s">
        <v>24</v>
      </c>
      <c r="D1193" t="s">
        <v>8</v>
      </c>
      <c r="E1193" t="s">
        <v>2000</v>
      </c>
      <c r="F1193">
        <v>15</v>
      </c>
    </row>
    <row r="1194" spans="1:6" x14ac:dyDescent="0.25">
      <c r="A1194" t="s">
        <v>1279</v>
      </c>
      <c r="B1194" s="2">
        <v>4400</v>
      </c>
      <c r="C1194" t="s">
        <v>16</v>
      </c>
      <c r="D1194" t="s">
        <v>1280</v>
      </c>
      <c r="E1194" t="s">
        <v>2000</v>
      </c>
      <c r="F1194">
        <v>5</v>
      </c>
    </row>
    <row r="1195" spans="1:6" x14ac:dyDescent="0.25">
      <c r="A1195" t="s">
        <v>1281</v>
      </c>
      <c r="B1195" s="2">
        <v>90000</v>
      </c>
      <c r="C1195" t="s">
        <v>3</v>
      </c>
      <c r="D1195" t="s">
        <v>8</v>
      </c>
      <c r="E1195" t="s">
        <v>2001</v>
      </c>
      <c r="F1195">
        <v>30</v>
      </c>
    </row>
    <row r="1196" spans="1:6" x14ac:dyDescent="0.25">
      <c r="A1196" t="s">
        <v>1282</v>
      </c>
      <c r="B1196" s="2">
        <v>8013.5625093491553</v>
      </c>
      <c r="C1196" t="s">
        <v>16</v>
      </c>
      <c r="D1196" t="s">
        <v>4</v>
      </c>
      <c r="E1196" t="s">
        <v>2002</v>
      </c>
      <c r="F1196">
        <v>2</v>
      </c>
    </row>
    <row r="1197" spans="1:6" x14ac:dyDescent="0.25">
      <c r="A1197" t="s">
        <v>1283</v>
      </c>
      <c r="B1197" s="2">
        <v>17807.916687442568</v>
      </c>
      <c r="C1197" t="s">
        <v>16</v>
      </c>
      <c r="D1197" t="s">
        <v>4</v>
      </c>
      <c r="E1197" t="s">
        <v>2001</v>
      </c>
      <c r="F1197">
        <v>8.5</v>
      </c>
    </row>
    <row r="1198" spans="1:6" x14ac:dyDescent="0.25">
      <c r="A1198" t="s">
        <v>1284</v>
      </c>
      <c r="B1198" s="2">
        <v>12465.541681209797</v>
      </c>
      <c r="C1198" t="s">
        <v>37</v>
      </c>
      <c r="D1198" t="s">
        <v>4</v>
      </c>
      <c r="E1198" t="s">
        <v>2001</v>
      </c>
      <c r="F1198">
        <v>6</v>
      </c>
    </row>
    <row r="1199" spans="1:6" x14ac:dyDescent="0.25">
      <c r="A1199" t="s">
        <v>1285</v>
      </c>
      <c r="B1199" s="2">
        <v>80000</v>
      </c>
      <c r="C1199" t="s">
        <v>3</v>
      </c>
      <c r="D1199" t="s">
        <v>245</v>
      </c>
      <c r="E1199" t="s">
        <v>1999</v>
      </c>
      <c r="F1199">
        <v>6</v>
      </c>
    </row>
    <row r="1200" spans="1:6" x14ac:dyDescent="0.25">
      <c r="A1200" t="s">
        <v>1286</v>
      </c>
      <c r="B1200" s="2">
        <v>100000</v>
      </c>
      <c r="C1200" t="s">
        <v>16</v>
      </c>
      <c r="D1200" t="s">
        <v>8</v>
      </c>
      <c r="E1200" t="s">
        <v>2001</v>
      </c>
      <c r="F1200">
        <v>11</v>
      </c>
    </row>
    <row r="1201" spans="1:6" x14ac:dyDescent="0.25">
      <c r="A1201" t="s">
        <v>1287</v>
      </c>
      <c r="B1201" s="2">
        <v>49200</v>
      </c>
      <c r="C1201" t="s">
        <v>24</v>
      </c>
      <c r="D1201" t="s">
        <v>932</v>
      </c>
      <c r="E1201" t="s">
        <v>2000</v>
      </c>
      <c r="F1201">
        <v>25</v>
      </c>
    </row>
    <row r="1202" spans="1:6" x14ac:dyDescent="0.25">
      <c r="A1202" t="s">
        <v>1288</v>
      </c>
      <c r="B1202" s="2">
        <v>9000</v>
      </c>
      <c r="C1202" t="s">
        <v>16</v>
      </c>
      <c r="D1202" t="s">
        <v>4</v>
      </c>
      <c r="E1202" t="s">
        <v>2001</v>
      </c>
      <c r="F1202">
        <v>1</v>
      </c>
    </row>
    <row r="1203" spans="1:6" x14ac:dyDescent="0.25">
      <c r="A1203" t="s">
        <v>1289</v>
      </c>
      <c r="B1203" s="2">
        <v>5342.3750062327708</v>
      </c>
      <c r="C1203" t="s">
        <v>3</v>
      </c>
      <c r="D1203" t="s">
        <v>4</v>
      </c>
      <c r="E1203" t="s">
        <v>2001</v>
      </c>
      <c r="F1203">
        <v>6</v>
      </c>
    </row>
    <row r="1204" spans="1:6" x14ac:dyDescent="0.25">
      <c r="A1204" t="s">
        <v>1290</v>
      </c>
      <c r="B1204" s="2">
        <v>40000</v>
      </c>
      <c r="C1204" t="s">
        <v>16</v>
      </c>
      <c r="D1204" t="s">
        <v>10</v>
      </c>
      <c r="E1204" t="s">
        <v>2001</v>
      </c>
      <c r="F1204">
        <v>15</v>
      </c>
    </row>
    <row r="1205" spans="1:6" x14ac:dyDescent="0.25">
      <c r="A1205" t="s">
        <v>1291</v>
      </c>
      <c r="B1205" s="2">
        <v>40980.635073749385</v>
      </c>
      <c r="C1205" t="s">
        <v>3</v>
      </c>
      <c r="D1205" t="s">
        <v>55</v>
      </c>
      <c r="E1205" t="s">
        <v>2001</v>
      </c>
      <c r="F1205">
        <v>2</v>
      </c>
    </row>
    <row r="1206" spans="1:6" x14ac:dyDescent="0.25">
      <c r="A1206" t="s">
        <v>1292</v>
      </c>
      <c r="B1206" s="2">
        <v>45709.169889951241</v>
      </c>
      <c r="C1206" t="s">
        <v>24</v>
      </c>
      <c r="D1206" t="s">
        <v>55</v>
      </c>
      <c r="E1206" t="s">
        <v>2000</v>
      </c>
      <c r="F1206">
        <v>8</v>
      </c>
    </row>
    <row r="1207" spans="1:6" x14ac:dyDescent="0.25">
      <c r="A1207" t="s">
        <v>1293</v>
      </c>
      <c r="B1207" s="2">
        <v>7123.1666749770275</v>
      </c>
      <c r="C1207" t="s">
        <v>16</v>
      </c>
      <c r="D1207" t="s">
        <v>4</v>
      </c>
      <c r="E1207" t="s">
        <v>2001</v>
      </c>
      <c r="F1207">
        <v>1</v>
      </c>
    </row>
    <row r="1208" spans="1:6" x14ac:dyDescent="0.25">
      <c r="A1208" t="s">
        <v>1294</v>
      </c>
      <c r="B1208" s="2">
        <v>100000</v>
      </c>
      <c r="C1208" t="s">
        <v>6</v>
      </c>
      <c r="D1208" t="s">
        <v>526</v>
      </c>
      <c r="E1208" t="s">
        <v>2001</v>
      </c>
      <c r="F1208">
        <v>12</v>
      </c>
    </row>
    <row r="1209" spans="1:6" x14ac:dyDescent="0.25">
      <c r="A1209" t="s">
        <v>1295</v>
      </c>
      <c r="B1209" s="2">
        <v>78764.765217479682</v>
      </c>
      <c r="C1209" t="s">
        <v>3</v>
      </c>
      <c r="D1209" t="s">
        <v>572</v>
      </c>
      <c r="E1209" t="s">
        <v>2001</v>
      </c>
      <c r="F1209">
        <v>15</v>
      </c>
    </row>
    <row r="1210" spans="1:6" x14ac:dyDescent="0.25">
      <c r="A1210" t="s">
        <v>1296</v>
      </c>
      <c r="B1210" s="2">
        <v>152986.44846039536</v>
      </c>
      <c r="C1210" t="s">
        <v>3</v>
      </c>
      <c r="D1210" t="s">
        <v>65</v>
      </c>
      <c r="E1210" t="s">
        <v>2000</v>
      </c>
      <c r="F1210">
        <v>10</v>
      </c>
    </row>
    <row r="1211" spans="1:6" x14ac:dyDescent="0.25">
      <c r="A1211" t="s">
        <v>1297</v>
      </c>
      <c r="B1211" s="2">
        <v>44463.980364706273</v>
      </c>
      <c r="C1211" t="s">
        <v>3</v>
      </c>
      <c r="D1211" t="s">
        <v>27</v>
      </c>
      <c r="E1211" t="s">
        <v>2002</v>
      </c>
      <c r="F1211">
        <v>12</v>
      </c>
    </row>
    <row r="1212" spans="1:6" x14ac:dyDescent="0.25">
      <c r="A1212" t="s">
        <v>1298</v>
      </c>
      <c r="B1212" s="2">
        <v>38111.983169748237</v>
      </c>
      <c r="C1212" t="s">
        <v>59</v>
      </c>
      <c r="D1212" t="s">
        <v>572</v>
      </c>
      <c r="E1212" t="s">
        <v>1999</v>
      </c>
      <c r="F1212">
        <v>8</v>
      </c>
    </row>
    <row r="1213" spans="1:6" x14ac:dyDescent="0.25">
      <c r="A1213" t="s">
        <v>1299</v>
      </c>
      <c r="B1213" s="2">
        <v>118213.37040504631</v>
      </c>
      <c r="C1213" t="s">
        <v>16</v>
      </c>
      <c r="D1213" t="s">
        <v>55</v>
      </c>
      <c r="E1213" t="s">
        <v>2001</v>
      </c>
      <c r="F1213">
        <v>20</v>
      </c>
    </row>
    <row r="1214" spans="1:6" x14ac:dyDescent="0.25">
      <c r="A1214" t="s">
        <v>1300</v>
      </c>
      <c r="B1214" s="2">
        <v>39404.456801682099</v>
      </c>
      <c r="C1214" t="s">
        <v>24</v>
      </c>
      <c r="D1214" t="s">
        <v>55</v>
      </c>
      <c r="E1214" t="s">
        <v>2000</v>
      </c>
      <c r="F1214">
        <v>10</v>
      </c>
    </row>
    <row r="1215" spans="1:6" x14ac:dyDescent="0.25">
      <c r="A1215" t="s">
        <v>1301</v>
      </c>
      <c r="B1215" s="2">
        <v>90198.36016840415</v>
      </c>
      <c r="C1215" t="s">
        <v>59</v>
      </c>
      <c r="D1215" t="s">
        <v>17</v>
      </c>
      <c r="E1215" t="s">
        <v>1999</v>
      </c>
      <c r="F1215">
        <v>3</v>
      </c>
    </row>
    <row r="1216" spans="1:6" x14ac:dyDescent="0.25">
      <c r="A1216" t="s">
        <v>1302</v>
      </c>
      <c r="B1216" s="2">
        <v>47285.348162018527</v>
      </c>
      <c r="C1216" t="s">
        <v>26</v>
      </c>
      <c r="D1216" t="s">
        <v>55</v>
      </c>
      <c r="E1216" t="s">
        <v>2001</v>
      </c>
      <c r="F1216">
        <v>14</v>
      </c>
    </row>
    <row r="1217" spans="1:6" x14ac:dyDescent="0.25">
      <c r="A1217" t="s">
        <v>1303</v>
      </c>
      <c r="B1217" s="2">
        <v>56000</v>
      </c>
      <c r="C1217" t="s">
        <v>24</v>
      </c>
      <c r="D1217" t="s">
        <v>8</v>
      </c>
      <c r="E1217" t="s">
        <v>2001</v>
      </c>
      <c r="F1217">
        <v>1</v>
      </c>
    </row>
    <row r="1218" spans="1:6" x14ac:dyDescent="0.25">
      <c r="A1218" t="s">
        <v>1304</v>
      </c>
      <c r="B1218" s="2">
        <v>5082.6943786459069</v>
      </c>
      <c r="C1218" t="s">
        <v>3</v>
      </c>
      <c r="D1218" t="s">
        <v>674</v>
      </c>
      <c r="E1218" t="s">
        <v>1999</v>
      </c>
      <c r="F1218">
        <v>2</v>
      </c>
    </row>
    <row r="1219" spans="1:6" x14ac:dyDescent="0.25">
      <c r="A1219" t="s">
        <v>1305</v>
      </c>
      <c r="B1219" s="2">
        <v>53590.061250287661</v>
      </c>
      <c r="C1219" t="s">
        <v>24</v>
      </c>
      <c r="D1219" t="s">
        <v>55</v>
      </c>
      <c r="E1219" t="s">
        <v>2002</v>
      </c>
      <c r="F1219">
        <v>10</v>
      </c>
    </row>
    <row r="1220" spans="1:6" x14ac:dyDescent="0.25">
      <c r="A1220" t="s">
        <v>1306</v>
      </c>
      <c r="B1220" s="2">
        <v>76906.906752939132</v>
      </c>
      <c r="C1220" t="s">
        <v>21</v>
      </c>
      <c r="D1220" t="s">
        <v>814</v>
      </c>
      <c r="E1220" t="s">
        <v>2002</v>
      </c>
      <c r="F1220">
        <v>17</v>
      </c>
    </row>
    <row r="1221" spans="1:6" x14ac:dyDescent="0.25">
      <c r="A1221" t="s">
        <v>1307</v>
      </c>
      <c r="B1221" s="2">
        <v>85000</v>
      </c>
      <c r="C1221" t="s">
        <v>3</v>
      </c>
      <c r="D1221" t="s">
        <v>8</v>
      </c>
      <c r="E1221" t="s">
        <v>2001</v>
      </c>
      <c r="F1221">
        <v>5</v>
      </c>
    </row>
    <row r="1222" spans="1:6" x14ac:dyDescent="0.25">
      <c r="A1222" t="s">
        <v>1308</v>
      </c>
      <c r="B1222" s="2">
        <v>72000</v>
      </c>
      <c r="C1222" t="s">
        <v>59</v>
      </c>
      <c r="D1222" t="s">
        <v>616</v>
      </c>
      <c r="E1222" t="s">
        <v>2000</v>
      </c>
      <c r="F1222">
        <v>10</v>
      </c>
    </row>
    <row r="1223" spans="1:6" x14ac:dyDescent="0.25">
      <c r="A1223" t="s">
        <v>1309</v>
      </c>
      <c r="B1223" s="2">
        <v>55000</v>
      </c>
      <c r="C1223" t="s">
        <v>3</v>
      </c>
      <c r="D1223" t="s">
        <v>8</v>
      </c>
      <c r="E1223" t="s">
        <v>1999</v>
      </c>
      <c r="F1223">
        <v>7</v>
      </c>
    </row>
    <row r="1224" spans="1:6" x14ac:dyDescent="0.25">
      <c r="A1224" t="s">
        <v>1310</v>
      </c>
      <c r="B1224" s="2">
        <v>67775.665698893223</v>
      </c>
      <c r="C1224" t="s">
        <v>6</v>
      </c>
      <c r="D1224" t="s">
        <v>55</v>
      </c>
      <c r="E1224" t="s">
        <v>2001</v>
      </c>
      <c r="F1224">
        <v>25</v>
      </c>
    </row>
    <row r="1225" spans="1:6" x14ac:dyDescent="0.25">
      <c r="A1225" t="s">
        <v>1311</v>
      </c>
      <c r="B1225" s="2">
        <v>40586.590505732565</v>
      </c>
      <c r="C1225" t="s">
        <v>3</v>
      </c>
      <c r="D1225" t="s">
        <v>55</v>
      </c>
      <c r="E1225" t="s">
        <v>2001</v>
      </c>
      <c r="F1225">
        <v>1</v>
      </c>
    </row>
    <row r="1226" spans="1:6" x14ac:dyDescent="0.25">
      <c r="A1226" t="s">
        <v>1312</v>
      </c>
      <c r="B1226" s="2">
        <v>50846</v>
      </c>
      <c r="C1226" t="s">
        <v>3</v>
      </c>
      <c r="D1226" t="s">
        <v>8</v>
      </c>
      <c r="E1226" t="s">
        <v>2001</v>
      </c>
      <c r="F1226">
        <v>25</v>
      </c>
    </row>
    <row r="1227" spans="1:6" x14ac:dyDescent="0.25">
      <c r="A1227" t="s">
        <v>1313</v>
      </c>
      <c r="B1227" s="2">
        <v>63000</v>
      </c>
      <c r="C1227" t="s">
        <v>24</v>
      </c>
      <c r="D1227" t="s">
        <v>8</v>
      </c>
      <c r="E1227" t="s">
        <v>2002</v>
      </c>
      <c r="F1227">
        <v>16</v>
      </c>
    </row>
    <row r="1228" spans="1:6" x14ac:dyDescent="0.25">
      <c r="A1228" t="s">
        <v>1314</v>
      </c>
      <c r="B1228" s="2">
        <v>81592.772512210868</v>
      </c>
      <c r="C1228" t="s">
        <v>24</v>
      </c>
      <c r="D1228" t="s">
        <v>65</v>
      </c>
      <c r="E1228" t="s">
        <v>2001</v>
      </c>
      <c r="F1228">
        <v>5</v>
      </c>
    </row>
    <row r="1229" spans="1:6" x14ac:dyDescent="0.25">
      <c r="A1229" t="s">
        <v>1315</v>
      </c>
      <c r="B1229" s="2">
        <v>50700</v>
      </c>
      <c r="C1229" t="s">
        <v>3</v>
      </c>
      <c r="D1229" t="s">
        <v>116</v>
      </c>
      <c r="E1229" t="s">
        <v>1999</v>
      </c>
      <c r="F1229">
        <v>15</v>
      </c>
    </row>
    <row r="1230" spans="1:6" x14ac:dyDescent="0.25">
      <c r="A1230" t="s">
        <v>1316</v>
      </c>
      <c r="B1230" s="2">
        <v>31523.565441345683</v>
      </c>
      <c r="C1230" t="s">
        <v>3</v>
      </c>
      <c r="D1230" t="s">
        <v>55</v>
      </c>
      <c r="E1230" t="s">
        <v>2001</v>
      </c>
      <c r="F1230">
        <v>1</v>
      </c>
    </row>
    <row r="1231" spans="1:6" x14ac:dyDescent="0.25">
      <c r="A1231" t="s">
        <v>1317</v>
      </c>
      <c r="B1231" s="2">
        <v>70000</v>
      </c>
      <c r="C1231" t="s">
        <v>3</v>
      </c>
      <c r="D1231" t="s">
        <v>8</v>
      </c>
      <c r="E1231" t="s">
        <v>1999</v>
      </c>
      <c r="F1231">
        <v>6</v>
      </c>
    </row>
    <row r="1232" spans="1:6" x14ac:dyDescent="0.25">
      <c r="A1232" t="s">
        <v>1318</v>
      </c>
      <c r="B1232" s="2">
        <v>63918.498996971248</v>
      </c>
      <c r="C1232" t="s">
        <v>16</v>
      </c>
      <c r="D1232" t="s">
        <v>68</v>
      </c>
      <c r="E1232" t="s">
        <v>2000</v>
      </c>
      <c r="F1232">
        <v>15</v>
      </c>
    </row>
    <row r="1233" spans="1:6" x14ac:dyDescent="0.25">
      <c r="A1233" t="s">
        <v>1319</v>
      </c>
      <c r="B1233" s="2">
        <v>7261.724659606657</v>
      </c>
      <c r="C1233" t="s">
        <v>3</v>
      </c>
      <c r="D1233" t="s">
        <v>1320</v>
      </c>
      <c r="E1233" t="s">
        <v>2002</v>
      </c>
      <c r="F1233">
        <v>2</v>
      </c>
    </row>
    <row r="1234" spans="1:6" x14ac:dyDescent="0.25">
      <c r="A1234" t="s">
        <v>1321</v>
      </c>
      <c r="B1234" s="2">
        <v>11404.820437438224</v>
      </c>
      <c r="C1234" t="s">
        <v>12</v>
      </c>
      <c r="D1234" t="s">
        <v>1057</v>
      </c>
      <c r="E1234" t="s">
        <v>2001</v>
      </c>
      <c r="F1234">
        <v>2</v>
      </c>
    </row>
    <row r="1235" spans="1:6" x14ac:dyDescent="0.25">
      <c r="A1235" t="s">
        <v>1322</v>
      </c>
      <c r="B1235" s="2">
        <v>120000</v>
      </c>
      <c r="C1235" t="s">
        <v>59</v>
      </c>
      <c r="D1235" t="s">
        <v>245</v>
      </c>
      <c r="E1235" t="s">
        <v>1999</v>
      </c>
      <c r="F1235">
        <v>5</v>
      </c>
    </row>
    <row r="1236" spans="1:6" x14ac:dyDescent="0.25">
      <c r="A1236" t="s">
        <v>1323</v>
      </c>
      <c r="B1236" s="2">
        <v>91791.869076237213</v>
      </c>
      <c r="C1236" t="s">
        <v>3</v>
      </c>
      <c r="D1236" t="s">
        <v>65</v>
      </c>
      <c r="E1236" t="s">
        <v>2001</v>
      </c>
      <c r="F1236">
        <v>5</v>
      </c>
    </row>
    <row r="1237" spans="1:6" x14ac:dyDescent="0.25">
      <c r="A1237" t="s">
        <v>1324</v>
      </c>
      <c r="B1237" s="2">
        <v>112190.06220428993</v>
      </c>
      <c r="C1237" t="s">
        <v>3</v>
      </c>
      <c r="D1237" t="s">
        <v>65</v>
      </c>
      <c r="E1237" t="s">
        <v>2000</v>
      </c>
      <c r="F1237">
        <v>7</v>
      </c>
    </row>
    <row r="1238" spans="1:6" x14ac:dyDescent="0.25">
      <c r="A1238" t="s">
        <v>1325</v>
      </c>
      <c r="B1238" s="2">
        <v>40000</v>
      </c>
      <c r="C1238" t="s">
        <v>16</v>
      </c>
      <c r="D1238" t="s">
        <v>8</v>
      </c>
      <c r="E1238" t="s">
        <v>2000</v>
      </c>
      <c r="F1238">
        <v>18</v>
      </c>
    </row>
    <row r="1239" spans="1:6" x14ac:dyDescent="0.25">
      <c r="A1239" t="s">
        <v>1326</v>
      </c>
      <c r="B1239" s="2">
        <v>107000</v>
      </c>
      <c r="C1239" t="s">
        <v>24</v>
      </c>
      <c r="D1239" t="s">
        <v>8</v>
      </c>
      <c r="E1239" t="s">
        <v>2001</v>
      </c>
      <c r="F1239">
        <v>12</v>
      </c>
    </row>
    <row r="1240" spans="1:6" x14ac:dyDescent="0.25">
      <c r="A1240" t="s">
        <v>1327</v>
      </c>
      <c r="B1240" s="2">
        <v>82000</v>
      </c>
      <c r="C1240" t="s">
        <v>16</v>
      </c>
      <c r="D1240" t="s">
        <v>8</v>
      </c>
      <c r="E1240" t="s">
        <v>2001</v>
      </c>
      <c r="F1240">
        <v>10</v>
      </c>
    </row>
    <row r="1241" spans="1:6" x14ac:dyDescent="0.25">
      <c r="A1241" t="s">
        <v>1328</v>
      </c>
      <c r="B1241" s="2">
        <v>101990.96564026357</v>
      </c>
      <c r="C1241" t="s">
        <v>59</v>
      </c>
      <c r="D1241" t="s">
        <v>65</v>
      </c>
      <c r="E1241" t="s">
        <v>2001</v>
      </c>
      <c r="F1241">
        <v>15</v>
      </c>
    </row>
    <row r="1242" spans="1:6" x14ac:dyDescent="0.25">
      <c r="A1242" t="s">
        <v>1329</v>
      </c>
      <c r="B1242" s="2">
        <v>43000</v>
      </c>
      <c r="C1242" t="s">
        <v>16</v>
      </c>
      <c r="D1242" t="s">
        <v>65</v>
      </c>
      <c r="E1242" t="s">
        <v>2000</v>
      </c>
      <c r="F1242">
        <v>4</v>
      </c>
    </row>
    <row r="1243" spans="1:6" x14ac:dyDescent="0.25">
      <c r="A1243" t="s">
        <v>1330</v>
      </c>
      <c r="B1243" s="2">
        <v>69000</v>
      </c>
      <c r="C1243" t="s">
        <v>6</v>
      </c>
      <c r="D1243" t="s">
        <v>8</v>
      </c>
      <c r="E1243" t="s">
        <v>2001</v>
      </c>
      <c r="F1243">
        <v>20</v>
      </c>
    </row>
    <row r="1244" spans="1:6" x14ac:dyDescent="0.25">
      <c r="A1244" t="s">
        <v>1331</v>
      </c>
      <c r="B1244" s="2">
        <v>30000</v>
      </c>
      <c r="C1244" t="s">
        <v>16</v>
      </c>
      <c r="D1244" t="s">
        <v>4</v>
      </c>
      <c r="E1244" t="s">
        <v>2000</v>
      </c>
      <c r="F1244">
        <v>3</v>
      </c>
    </row>
    <row r="1245" spans="1:6" x14ac:dyDescent="0.25">
      <c r="A1245" t="s">
        <v>1332</v>
      </c>
      <c r="B1245" s="2">
        <v>48955.663507326513</v>
      </c>
      <c r="C1245" t="s">
        <v>3</v>
      </c>
      <c r="D1245" t="s">
        <v>65</v>
      </c>
      <c r="E1245" t="s">
        <v>1999</v>
      </c>
      <c r="F1245">
        <v>2</v>
      </c>
    </row>
    <row r="1246" spans="1:6" x14ac:dyDescent="0.25">
      <c r="A1246" t="s">
        <v>1333</v>
      </c>
      <c r="B1246" s="2">
        <v>70000</v>
      </c>
      <c r="C1246" t="s">
        <v>16</v>
      </c>
      <c r="D1246" t="s">
        <v>8</v>
      </c>
      <c r="E1246" t="s">
        <v>2001</v>
      </c>
      <c r="F1246">
        <v>8</v>
      </c>
    </row>
    <row r="1247" spans="1:6" x14ac:dyDescent="0.25">
      <c r="A1247" t="s">
        <v>1334</v>
      </c>
      <c r="B1247" s="2">
        <v>45000</v>
      </c>
      <c r="C1247" t="s">
        <v>3</v>
      </c>
      <c r="D1247" t="s">
        <v>8</v>
      </c>
      <c r="E1247" t="s">
        <v>2001</v>
      </c>
      <c r="F1247">
        <v>7</v>
      </c>
    </row>
    <row r="1248" spans="1:6" x14ac:dyDescent="0.25">
      <c r="A1248" t="s">
        <v>1335</v>
      </c>
      <c r="B1248" s="2">
        <v>35000</v>
      </c>
      <c r="C1248" t="s">
        <v>21</v>
      </c>
      <c r="D1248" t="s">
        <v>1057</v>
      </c>
      <c r="E1248" t="s">
        <v>2002</v>
      </c>
      <c r="F1248">
        <v>12</v>
      </c>
    </row>
    <row r="1249" spans="1:6" x14ac:dyDescent="0.25">
      <c r="A1249" t="s">
        <v>1336</v>
      </c>
      <c r="B1249" s="2">
        <v>8903.9583437212841</v>
      </c>
      <c r="C1249" t="s">
        <v>16</v>
      </c>
      <c r="D1249" t="s">
        <v>4</v>
      </c>
      <c r="E1249" t="s">
        <v>2000</v>
      </c>
      <c r="F1249">
        <v>29</v>
      </c>
    </row>
    <row r="1250" spans="1:6" x14ac:dyDescent="0.25">
      <c r="A1250" t="s">
        <v>1337</v>
      </c>
      <c r="B1250" s="2">
        <v>28353.650809742252</v>
      </c>
      <c r="C1250" t="s">
        <v>16</v>
      </c>
      <c r="D1250" t="s">
        <v>1057</v>
      </c>
      <c r="E1250" t="s">
        <v>2000</v>
      </c>
      <c r="F1250">
        <v>20</v>
      </c>
    </row>
    <row r="1251" spans="1:6" x14ac:dyDescent="0.25">
      <c r="A1251" t="s">
        <v>1338</v>
      </c>
      <c r="B1251" s="2">
        <v>11800</v>
      </c>
      <c r="C1251" t="s">
        <v>3</v>
      </c>
      <c r="D1251" t="s">
        <v>4</v>
      </c>
      <c r="E1251" t="s">
        <v>2001</v>
      </c>
      <c r="F1251">
        <v>10</v>
      </c>
    </row>
    <row r="1252" spans="1:6" x14ac:dyDescent="0.25">
      <c r="A1252" t="s">
        <v>1339</v>
      </c>
      <c r="B1252" s="2">
        <v>6410.8500074793246</v>
      </c>
      <c r="C1252" t="s">
        <v>16</v>
      </c>
      <c r="D1252" t="s">
        <v>4</v>
      </c>
      <c r="E1252" t="s">
        <v>2002</v>
      </c>
      <c r="F1252">
        <v>6</v>
      </c>
    </row>
    <row r="1253" spans="1:6" x14ac:dyDescent="0.25">
      <c r="A1253" t="s">
        <v>1340</v>
      </c>
      <c r="B1253" s="2">
        <v>50000</v>
      </c>
      <c r="C1253" t="s">
        <v>3</v>
      </c>
      <c r="D1253" t="s">
        <v>8</v>
      </c>
      <c r="E1253" t="s">
        <v>2001</v>
      </c>
      <c r="F1253">
        <v>3</v>
      </c>
    </row>
    <row r="1254" spans="1:6" x14ac:dyDescent="0.25">
      <c r="A1254" t="s">
        <v>1341</v>
      </c>
      <c r="B1254" s="2">
        <v>85000</v>
      </c>
      <c r="C1254" t="s">
        <v>16</v>
      </c>
      <c r="D1254" t="s">
        <v>660</v>
      </c>
      <c r="E1254" t="s">
        <v>2002</v>
      </c>
      <c r="F1254">
        <v>10</v>
      </c>
    </row>
    <row r="1255" spans="1:6" x14ac:dyDescent="0.25">
      <c r="A1255" t="s">
        <v>1342</v>
      </c>
      <c r="B1255" s="2">
        <v>17807.916687442568</v>
      </c>
      <c r="C1255" t="s">
        <v>16</v>
      </c>
      <c r="D1255" t="s">
        <v>4</v>
      </c>
      <c r="E1255" t="s">
        <v>2000</v>
      </c>
      <c r="F1255">
        <v>10</v>
      </c>
    </row>
    <row r="1256" spans="1:6" x14ac:dyDescent="0.25">
      <c r="A1256" t="s">
        <v>1343</v>
      </c>
      <c r="B1256" s="2">
        <v>16027.125018698311</v>
      </c>
      <c r="C1256" t="s">
        <v>6</v>
      </c>
      <c r="D1256" t="s">
        <v>4</v>
      </c>
      <c r="E1256" t="s">
        <v>2002</v>
      </c>
      <c r="F1256">
        <v>8</v>
      </c>
    </row>
    <row r="1257" spans="1:6" x14ac:dyDescent="0.25">
      <c r="A1257" t="s">
        <v>1344</v>
      </c>
      <c r="B1257" s="2">
        <v>192000</v>
      </c>
      <c r="C1257" t="s">
        <v>21</v>
      </c>
      <c r="D1257" t="s">
        <v>8</v>
      </c>
      <c r="E1257" t="s">
        <v>2002</v>
      </c>
      <c r="F1257">
        <v>27</v>
      </c>
    </row>
    <row r="1258" spans="1:6" x14ac:dyDescent="0.25">
      <c r="A1258" t="s">
        <v>1345</v>
      </c>
      <c r="B1258" s="2">
        <v>54000</v>
      </c>
      <c r="C1258" t="s">
        <v>3</v>
      </c>
      <c r="D1258" t="s">
        <v>8</v>
      </c>
      <c r="E1258" t="s">
        <v>2002</v>
      </c>
      <c r="F1258">
        <v>6</v>
      </c>
    </row>
    <row r="1259" spans="1:6" x14ac:dyDescent="0.25">
      <c r="A1259" t="s">
        <v>1346</v>
      </c>
      <c r="B1259" s="2">
        <v>18000</v>
      </c>
      <c r="C1259" t="s">
        <v>16</v>
      </c>
      <c r="D1259" t="s">
        <v>4</v>
      </c>
      <c r="E1259" t="s">
        <v>2001</v>
      </c>
      <c r="F1259">
        <v>12</v>
      </c>
    </row>
    <row r="1260" spans="1:6" x14ac:dyDescent="0.25">
      <c r="A1260" t="s">
        <v>1347</v>
      </c>
      <c r="B1260" s="2">
        <v>5342.3750062327708</v>
      </c>
      <c r="C1260" t="s">
        <v>37</v>
      </c>
      <c r="D1260" t="s">
        <v>4</v>
      </c>
      <c r="E1260" t="s">
        <v>2000</v>
      </c>
      <c r="F1260">
        <v>5</v>
      </c>
    </row>
    <row r="1261" spans="1:6" x14ac:dyDescent="0.25">
      <c r="A1261" t="s">
        <v>1348</v>
      </c>
      <c r="B1261" s="2">
        <v>7123.1666749770275</v>
      </c>
      <c r="C1261" t="s">
        <v>16</v>
      </c>
      <c r="D1261" t="s">
        <v>4</v>
      </c>
      <c r="E1261" t="s">
        <v>2002</v>
      </c>
      <c r="F1261">
        <v>3</v>
      </c>
    </row>
    <row r="1262" spans="1:6" x14ac:dyDescent="0.25">
      <c r="A1262" t="s">
        <v>1349</v>
      </c>
      <c r="B1262" s="2">
        <v>15000</v>
      </c>
      <c r="C1262" t="s">
        <v>16</v>
      </c>
      <c r="D1262" t="s">
        <v>1350</v>
      </c>
      <c r="E1262" t="s">
        <v>2001</v>
      </c>
      <c r="F1262">
        <v>10</v>
      </c>
    </row>
    <row r="1263" spans="1:6" x14ac:dyDescent="0.25">
      <c r="A1263" t="s">
        <v>1351</v>
      </c>
      <c r="B1263" s="2">
        <v>14000</v>
      </c>
      <c r="C1263" t="s">
        <v>3</v>
      </c>
      <c r="D1263" t="s">
        <v>4</v>
      </c>
      <c r="E1263" t="s">
        <v>2001</v>
      </c>
      <c r="F1263">
        <v>12</v>
      </c>
    </row>
    <row r="1264" spans="1:6" x14ac:dyDescent="0.25">
      <c r="A1264" t="s">
        <v>1352</v>
      </c>
      <c r="B1264" s="2">
        <v>8000</v>
      </c>
      <c r="C1264" t="s">
        <v>3</v>
      </c>
      <c r="D1264" t="s">
        <v>4</v>
      </c>
      <c r="E1264" t="s">
        <v>2002</v>
      </c>
      <c r="F1264">
        <v>4</v>
      </c>
    </row>
    <row r="1265" spans="1:6" x14ac:dyDescent="0.25">
      <c r="A1265" t="s">
        <v>1353</v>
      </c>
      <c r="B1265" s="2">
        <v>12500</v>
      </c>
      <c r="C1265" t="s">
        <v>26</v>
      </c>
      <c r="D1265" t="s">
        <v>311</v>
      </c>
      <c r="E1265" t="s">
        <v>2000</v>
      </c>
      <c r="F1265">
        <v>7</v>
      </c>
    </row>
    <row r="1266" spans="1:6" x14ac:dyDescent="0.25">
      <c r="A1266" t="s">
        <v>1354</v>
      </c>
      <c r="B1266" s="2">
        <v>140000</v>
      </c>
      <c r="C1266" t="s">
        <v>24</v>
      </c>
      <c r="D1266" t="s">
        <v>8</v>
      </c>
      <c r="E1266" t="s">
        <v>2001</v>
      </c>
      <c r="F1266">
        <v>12</v>
      </c>
    </row>
    <row r="1267" spans="1:6" x14ac:dyDescent="0.25">
      <c r="A1267" t="s">
        <v>1355</v>
      </c>
      <c r="B1267" s="2">
        <v>12000</v>
      </c>
      <c r="C1267" t="s">
        <v>59</v>
      </c>
      <c r="D1267" t="s">
        <v>10</v>
      </c>
      <c r="E1267" t="s">
        <v>2001</v>
      </c>
      <c r="F1267">
        <v>1</v>
      </c>
    </row>
    <row r="1268" spans="1:6" x14ac:dyDescent="0.25">
      <c r="A1268" t="s">
        <v>1356</v>
      </c>
      <c r="B1268" s="2">
        <v>38111.983169748237</v>
      </c>
      <c r="C1268" t="s">
        <v>3</v>
      </c>
      <c r="D1268" t="s">
        <v>48</v>
      </c>
      <c r="E1268" t="s">
        <v>2000</v>
      </c>
      <c r="F1268">
        <v>15</v>
      </c>
    </row>
    <row r="1269" spans="1:6" x14ac:dyDescent="0.25">
      <c r="A1269" t="s">
        <v>1357</v>
      </c>
      <c r="B1269" s="2">
        <v>10684.750012465542</v>
      </c>
      <c r="C1269" t="s">
        <v>16</v>
      </c>
      <c r="D1269" t="s">
        <v>4</v>
      </c>
      <c r="E1269" t="s">
        <v>2000</v>
      </c>
      <c r="F1269">
        <v>2</v>
      </c>
    </row>
    <row r="1270" spans="1:6" x14ac:dyDescent="0.25">
      <c r="A1270" t="s">
        <v>1358</v>
      </c>
      <c r="B1270" s="2">
        <v>6232.7708406048987</v>
      </c>
      <c r="C1270" t="s">
        <v>3</v>
      </c>
      <c r="D1270" t="s">
        <v>4</v>
      </c>
      <c r="E1270" t="s">
        <v>2001</v>
      </c>
      <c r="F1270">
        <v>1.5</v>
      </c>
    </row>
    <row r="1271" spans="1:6" x14ac:dyDescent="0.25">
      <c r="A1271" t="s">
        <v>1359</v>
      </c>
      <c r="B1271" s="2">
        <v>45000</v>
      </c>
      <c r="C1271" t="s">
        <v>3</v>
      </c>
      <c r="D1271" t="s">
        <v>10</v>
      </c>
      <c r="E1271" t="s">
        <v>2002</v>
      </c>
      <c r="F1271">
        <v>8</v>
      </c>
    </row>
    <row r="1272" spans="1:6" x14ac:dyDescent="0.25">
      <c r="A1272" t="s">
        <v>1360</v>
      </c>
      <c r="B1272" s="2">
        <v>80000</v>
      </c>
      <c r="C1272" t="s">
        <v>16</v>
      </c>
      <c r="D1272" t="s">
        <v>8</v>
      </c>
      <c r="E1272" t="s">
        <v>1999</v>
      </c>
      <c r="F1272">
        <v>6</v>
      </c>
    </row>
    <row r="1273" spans="1:6" x14ac:dyDescent="0.25">
      <c r="A1273" t="s">
        <v>1361</v>
      </c>
      <c r="B1273" s="2">
        <v>26711.875031163851</v>
      </c>
      <c r="C1273" t="s">
        <v>3</v>
      </c>
      <c r="D1273" t="s">
        <v>4</v>
      </c>
      <c r="E1273" t="s">
        <v>2001</v>
      </c>
      <c r="F1273">
        <v>7</v>
      </c>
    </row>
    <row r="1274" spans="1:6" x14ac:dyDescent="0.25">
      <c r="A1274" t="s">
        <v>1362</v>
      </c>
      <c r="B1274" s="2">
        <v>100000</v>
      </c>
      <c r="C1274" t="s">
        <v>3</v>
      </c>
      <c r="D1274" t="s">
        <v>1363</v>
      </c>
      <c r="E1274" t="s">
        <v>2001</v>
      </c>
      <c r="F1274">
        <v>17</v>
      </c>
    </row>
    <row r="1275" spans="1:6" x14ac:dyDescent="0.25">
      <c r="A1275" t="s">
        <v>1364</v>
      </c>
      <c r="B1275" s="2">
        <v>69353.856635379227</v>
      </c>
      <c r="C1275" t="s">
        <v>16</v>
      </c>
      <c r="D1275" t="s">
        <v>65</v>
      </c>
      <c r="E1275" t="s">
        <v>2001</v>
      </c>
      <c r="F1275">
        <v>10</v>
      </c>
    </row>
    <row r="1276" spans="1:6" x14ac:dyDescent="0.25">
      <c r="A1276" t="s">
        <v>1365</v>
      </c>
      <c r="B1276" s="2">
        <v>49975.573163729154</v>
      </c>
      <c r="C1276" t="s">
        <v>6</v>
      </c>
      <c r="D1276" t="s">
        <v>65</v>
      </c>
      <c r="E1276" t="s">
        <v>2001</v>
      </c>
      <c r="F1276">
        <v>30</v>
      </c>
    </row>
    <row r="1277" spans="1:6" x14ac:dyDescent="0.25">
      <c r="A1277" t="s">
        <v>1366</v>
      </c>
      <c r="B1277" s="2">
        <v>10239.552095279476</v>
      </c>
      <c r="C1277" t="s">
        <v>16</v>
      </c>
      <c r="D1277" t="s">
        <v>4</v>
      </c>
      <c r="E1277" t="s">
        <v>2000</v>
      </c>
      <c r="F1277">
        <v>5</v>
      </c>
    </row>
    <row r="1278" spans="1:6" x14ac:dyDescent="0.25">
      <c r="A1278" t="s">
        <v>1367</v>
      </c>
      <c r="B1278" s="2">
        <v>8903.9583437212841</v>
      </c>
      <c r="C1278" t="s">
        <v>12</v>
      </c>
      <c r="D1278" t="s">
        <v>4</v>
      </c>
      <c r="E1278" t="s">
        <v>2001</v>
      </c>
      <c r="F1278">
        <v>2</v>
      </c>
    </row>
    <row r="1279" spans="1:6" x14ac:dyDescent="0.25">
      <c r="A1279" t="s">
        <v>1368</v>
      </c>
      <c r="B1279" s="2">
        <v>36000</v>
      </c>
      <c r="C1279" t="s">
        <v>3</v>
      </c>
      <c r="D1279" t="s">
        <v>1094</v>
      </c>
      <c r="E1279" t="s">
        <v>2000</v>
      </c>
      <c r="F1279">
        <v>10</v>
      </c>
    </row>
    <row r="1280" spans="1:6" x14ac:dyDescent="0.25">
      <c r="A1280" t="s">
        <v>1369</v>
      </c>
      <c r="B1280" s="2">
        <v>3739.6625043629392</v>
      </c>
      <c r="C1280" t="s">
        <v>37</v>
      </c>
      <c r="D1280" t="s">
        <v>4</v>
      </c>
      <c r="E1280" t="s">
        <v>1999</v>
      </c>
      <c r="F1280">
        <v>4.5</v>
      </c>
    </row>
    <row r="1281" spans="1:6" x14ac:dyDescent="0.25">
      <c r="A1281" t="s">
        <v>1370</v>
      </c>
      <c r="B1281" s="2">
        <v>61614.372791092981</v>
      </c>
      <c r="C1281" t="s">
        <v>3</v>
      </c>
      <c r="D1281" t="s">
        <v>572</v>
      </c>
      <c r="E1281" t="s">
        <v>2001</v>
      </c>
      <c r="F1281">
        <v>8</v>
      </c>
    </row>
    <row r="1282" spans="1:6" x14ac:dyDescent="0.25">
      <c r="A1282" t="s">
        <v>1371</v>
      </c>
      <c r="B1282" s="2">
        <v>3561.5833374885137</v>
      </c>
      <c r="C1282" t="s">
        <v>37</v>
      </c>
      <c r="D1282" t="s">
        <v>4</v>
      </c>
      <c r="E1282" t="s">
        <v>2000</v>
      </c>
      <c r="F1282">
        <v>3</v>
      </c>
    </row>
    <row r="1283" spans="1:6" x14ac:dyDescent="0.25">
      <c r="A1283" t="s">
        <v>1372</v>
      </c>
      <c r="B1283" s="2">
        <v>6410.8500074793246</v>
      </c>
      <c r="C1283" t="s">
        <v>3</v>
      </c>
      <c r="D1283" t="s">
        <v>4</v>
      </c>
      <c r="E1283" t="s">
        <v>2002</v>
      </c>
      <c r="F1283">
        <v>6</v>
      </c>
    </row>
    <row r="1284" spans="1:6" x14ac:dyDescent="0.25">
      <c r="A1284" t="s">
        <v>1373</v>
      </c>
      <c r="B1284" s="2">
        <v>36206.384011260823</v>
      </c>
      <c r="C1284" t="s">
        <v>3</v>
      </c>
      <c r="D1284" t="s">
        <v>572</v>
      </c>
      <c r="E1284" t="s">
        <v>1999</v>
      </c>
      <c r="F1284">
        <v>5</v>
      </c>
    </row>
    <row r="1285" spans="1:6" x14ac:dyDescent="0.25">
      <c r="A1285" t="s">
        <v>1374</v>
      </c>
      <c r="B1285" s="2">
        <v>13500</v>
      </c>
      <c r="C1285" t="s">
        <v>16</v>
      </c>
      <c r="D1285" t="s">
        <v>4</v>
      </c>
      <c r="E1285" t="s">
        <v>2000</v>
      </c>
      <c r="F1285">
        <v>20</v>
      </c>
    </row>
    <row r="1286" spans="1:6" x14ac:dyDescent="0.25">
      <c r="A1286" t="s">
        <v>1375</v>
      </c>
      <c r="B1286" s="2">
        <v>3000</v>
      </c>
      <c r="C1286" t="s">
        <v>24</v>
      </c>
      <c r="D1286" t="s">
        <v>660</v>
      </c>
      <c r="E1286" t="s">
        <v>2001</v>
      </c>
      <c r="F1286">
        <v>2</v>
      </c>
    </row>
    <row r="1287" spans="1:6" x14ac:dyDescent="0.25">
      <c r="A1287" t="s">
        <v>1376</v>
      </c>
      <c r="B1287" s="2">
        <v>21369.500024931083</v>
      </c>
      <c r="C1287" t="s">
        <v>16</v>
      </c>
      <c r="D1287" t="s">
        <v>4</v>
      </c>
      <c r="E1287" t="s">
        <v>2001</v>
      </c>
      <c r="F1287">
        <v>9</v>
      </c>
    </row>
    <row r="1288" spans="1:6" x14ac:dyDescent="0.25">
      <c r="A1288" t="s">
        <v>1377</v>
      </c>
      <c r="B1288" s="2">
        <v>10684.750012465542</v>
      </c>
      <c r="C1288" t="s">
        <v>16</v>
      </c>
      <c r="D1288" t="s">
        <v>4</v>
      </c>
      <c r="E1288" t="s">
        <v>2000</v>
      </c>
      <c r="F1288">
        <v>28</v>
      </c>
    </row>
    <row r="1289" spans="1:6" x14ac:dyDescent="0.25">
      <c r="A1289" t="s">
        <v>1378</v>
      </c>
      <c r="B1289" s="2">
        <v>176585.52201983347</v>
      </c>
      <c r="C1289" t="s">
        <v>16</v>
      </c>
      <c r="D1289" t="s">
        <v>17</v>
      </c>
      <c r="E1289" t="s">
        <v>1999</v>
      </c>
      <c r="F1289">
        <v>25</v>
      </c>
    </row>
    <row r="1290" spans="1:6" x14ac:dyDescent="0.25">
      <c r="A1290" t="s">
        <v>1379</v>
      </c>
      <c r="B1290" s="2">
        <v>54627.175876639136</v>
      </c>
      <c r="C1290" t="s">
        <v>16</v>
      </c>
      <c r="D1290" t="s">
        <v>85</v>
      </c>
      <c r="E1290" t="s">
        <v>2002</v>
      </c>
      <c r="F1290">
        <v>7</v>
      </c>
    </row>
    <row r="1291" spans="1:6" x14ac:dyDescent="0.25">
      <c r="A1291" t="s">
        <v>1380</v>
      </c>
      <c r="B1291" s="2">
        <v>30489.586535798586</v>
      </c>
      <c r="C1291" t="s">
        <v>6</v>
      </c>
      <c r="D1291" t="s">
        <v>1259</v>
      </c>
      <c r="E1291" t="s">
        <v>2001</v>
      </c>
      <c r="F1291">
        <v>10</v>
      </c>
    </row>
    <row r="1292" spans="1:6" x14ac:dyDescent="0.25">
      <c r="A1292" t="s">
        <v>1381</v>
      </c>
      <c r="B1292" s="2">
        <v>5591.6858398569666</v>
      </c>
      <c r="C1292" t="s">
        <v>16</v>
      </c>
      <c r="D1292" t="s">
        <v>4</v>
      </c>
      <c r="E1292" t="s">
        <v>1999</v>
      </c>
      <c r="F1292">
        <v>0.1</v>
      </c>
    </row>
    <row r="1293" spans="1:6" x14ac:dyDescent="0.25">
      <c r="A1293" t="s">
        <v>1382</v>
      </c>
      <c r="B1293" s="2">
        <v>82000</v>
      </c>
      <c r="C1293" t="s">
        <v>59</v>
      </c>
      <c r="D1293" t="s">
        <v>38</v>
      </c>
      <c r="E1293" t="s">
        <v>2001</v>
      </c>
      <c r="F1293">
        <v>10</v>
      </c>
    </row>
    <row r="1294" spans="1:6" x14ac:dyDescent="0.25">
      <c r="A1294" t="s">
        <v>1383</v>
      </c>
      <c r="B1294" s="2">
        <v>10000</v>
      </c>
      <c r="C1294" t="s">
        <v>37</v>
      </c>
      <c r="D1294" t="s">
        <v>4</v>
      </c>
      <c r="E1294" t="s">
        <v>1999</v>
      </c>
      <c r="F1294">
        <v>0.5</v>
      </c>
    </row>
    <row r="1295" spans="1:6" x14ac:dyDescent="0.25">
      <c r="A1295" t="s">
        <v>1384</v>
      </c>
      <c r="B1295" s="2">
        <v>9000</v>
      </c>
      <c r="C1295" t="s">
        <v>3</v>
      </c>
      <c r="D1295" t="s">
        <v>4</v>
      </c>
      <c r="E1295" t="s">
        <v>2002</v>
      </c>
      <c r="F1295">
        <v>0.6</v>
      </c>
    </row>
    <row r="1296" spans="1:6" x14ac:dyDescent="0.25">
      <c r="A1296" t="s">
        <v>1385</v>
      </c>
      <c r="B1296" s="2">
        <v>9000</v>
      </c>
      <c r="C1296" t="s">
        <v>3</v>
      </c>
      <c r="D1296" t="s">
        <v>4</v>
      </c>
      <c r="E1296" t="s">
        <v>2001</v>
      </c>
      <c r="F1296">
        <v>1</v>
      </c>
    </row>
    <row r="1297" spans="1:6" x14ac:dyDescent="0.25">
      <c r="A1297" t="s">
        <v>1386</v>
      </c>
      <c r="B1297" s="2">
        <v>11753.225013712095</v>
      </c>
      <c r="C1297" t="s">
        <v>16</v>
      </c>
      <c r="D1297" t="s">
        <v>4</v>
      </c>
      <c r="E1297" t="s">
        <v>2002</v>
      </c>
      <c r="F1297">
        <v>7</v>
      </c>
    </row>
    <row r="1298" spans="1:6" x14ac:dyDescent="0.25">
      <c r="A1298" t="s">
        <v>1387</v>
      </c>
      <c r="B1298" s="2">
        <v>3632.815004238284</v>
      </c>
      <c r="C1298" t="s">
        <v>37</v>
      </c>
      <c r="D1298" t="s">
        <v>4</v>
      </c>
      <c r="E1298" t="s">
        <v>2002</v>
      </c>
      <c r="F1298">
        <v>2</v>
      </c>
    </row>
    <row r="1299" spans="1:6" x14ac:dyDescent="0.25">
      <c r="A1299" t="s">
        <v>1388</v>
      </c>
      <c r="B1299" s="2">
        <v>95279.957924370581</v>
      </c>
      <c r="C1299" t="s">
        <v>3</v>
      </c>
      <c r="D1299" t="s">
        <v>572</v>
      </c>
      <c r="E1299" t="s">
        <v>2002</v>
      </c>
      <c r="F1299">
        <v>16</v>
      </c>
    </row>
    <row r="1300" spans="1:6" x14ac:dyDescent="0.25">
      <c r="A1300" t="s">
        <v>1389</v>
      </c>
      <c r="B1300" s="2">
        <v>70928.022243027779</v>
      </c>
      <c r="C1300" t="s">
        <v>59</v>
      </c>
      <c r="D1300" t="s">
        <v>55</v>
      </c>
      <c r="E1300" t="s">
        <v>2000</v>
      </c>
      <c r="F1300">
        <v>4</v>
      </c>
    </row>
    <row r="1301" spans="1:6" x14ac:dyDescent="0.25">
      <c r="A1301" t="s">
        <v>1390</v>
      </c>
      <c r="B1301" s="2">
        <v>52086.37699865592</v>
      </c>
      <c r="C1301" t="s">
        <v>12</v>
      </c>
      <c r="D1301" t="s">
        <v>550</v>
      </c>
      <c r="E1301" t="s">
        <v>2001</v>
      </c>
      <c r="F1301">
        <v>12</v>
      </c>
    </row>
    <row r="1302" spans="1:6" x14ac:dyDescent="0.25">
      <c r="A1302" t="s">
        <v>1391</v>
      </c>
      <c r="B1302" s="2">
        <v>4897.177089046706</v>
      </c>
      <c r="C1302" t="s">
        <v>16</v>
      </c>
      <c r="D1302" t="s">
        <v>4</v>
      </c>
      <c r="E1302" t="s">
        <v>2002</v>
      </c>
      <c r="F1302">
        <v>4</v>
      </c>
    </row>
    <row r="1303" spans="1:6" x14ac:dyDescent="0.25">
      <c r="A1303" t="s">
        <v>1392</v>
      </c>
      <c r="B1303" s="2">
        <v>63807.047488395103</v>
      </c>
      <c r="C1303" t="s">
        <v>24</v>
      </c>
      <c r="D1303" t="s">
        <v>616</v>
      </c>
      <c r="E1303" t="s">
        <v>2002</v>
      </c>
      <c r="F1303">
        <v>15</v>
      </c>
    </row>
    <row r="1304" spans="1:6" x14ac:dyDescent="0.25">
      <c r="A1304" t="s">
        <v>1393</v>
      </c>
      <c r="B1304" s="2">
        <v>24000</v>
      </c>
      <c r="C1304" t="s">
        <v>16</v>
      </c>
      <c r="D1304" t="s">
        <v>107</v>
      </c>
      <c r="E1304" t="s">
        <v>2001</v>
      </c>
      <c r="F1304">
        <v>5</v>
      </c>
    </row>
    <row r="1305" spans="1:6" x14ac:dyDescent="0.25">
      <c r="A1305" t="s">
        <v>1394</v>
      </c>
      <c r="B1305" s="2">
        <v>60000</v>
      </c>
      <c r="C1305" t="s">
        <v>16</v>
      </c>
      <c r="D1305" t="s">
        <v>1395</v>
      </c>
      <c r="E1305" t="s">
        <v>2002</v>
      </c>
      <c r="F1305">
        <v>20</v>
      </c>
    </row>
    <row r="1306" spans="1:6" x14ac:dyDescent="0.25">
      <c r="A1306" t="s">
        <v>1396</v>
      </c>
      <c r="B1306" s="2">
        <v>5342.3750062327708</v>
      </c>
      <c r="C1306" t="s">
        <v>3</v>
      </c>
      <c r="D1306" t="s">
        <v>4</v>
      </c>
      <c r="E1306" t="s">
        <v>2002</v>
      </c>
      <c r="F1306">
        <v>3</v>
      </c>
    </row>
    <row r="1307" spans="1:6" x14ac:dyDescent="0.25">
      <c r="A1307" t="s">
        <v>1397</v>
      </c>
      <c r="B1307" s="2">
        <v>8903.9583437212841</v>
      </c>
      <c r="C1307" t="s">
        <v>16</v>
      </c>
      <c r="D1307" t="s">
        <v>4</v>
      </c>
      <c r="E1307" t="s">
        <v>2000</v>
      </c>
      <c r="F1307">
        <v>5</v>
      </c>
    </row>
    <row r="1308" spans="1:6" x14ac:dyDescent="0.25">
      <c r="A1308" t="s">
        <v>1398</v>
      </c>
      <c r="B1308" s="2">
        <v>40980.635073749385</v>
      </c>
      <c r="C1308" t="s">
        <v>3</v>
      </c>
      <c r="D1308" t="s">
        <v>55</v>
      </c>
      <c r="E1308" t="s">
        <v>2001</v>
      </c>
      <c r="F1308">
        <v>2</v>
      </c>
    </row>
    <row r="1309" spans="1:6" x14ac:dyDescent="0.25">
      <c r="A1309" t="s">
        <v>1399</v>
      </c>
      <c r="B1309" s="2">
        <v>10684.750012465542</v>
      </c>
      <c r="C1309" t="s">
        <v>16</v>
      </c>
      <c r="D1309" t="s">
        <v>4</v>
      </c>
      <c r="E1309" t="s">
        <v>1999</v>
      </c>
      <c r="F1309">
        <v>7</v>
      </c>
    </row>
    <row r="1310" spans="1:6" x14ac:dyDescent="0.25">
      <c r="A1310" t="s">
        <v>1400</v>
      </c>
      <c r="B1310" s="2">
        <v>21369.500024931083</v>
      </c>
      <c r="C1310" t="s">
        <v>59</v>
      </c>
      <c r="D1310" t="s">
        <v>4</v>
      </c>
      <c r="E1310" t="s">
        <v>2000</v>
      </c>
      <c r="F1310">
        <v>21</v>
      </c>
    </row>
    <row r="1311" spans="1:6" x14ac:dyDescent="0.25">
      <c r="A1311" t="s">
        <v>1401</v>
      </c>
      <c r="B1311" s="2">
        <v>18000</v>
      </c>
      <c r="C1311" t="s">
        <v>16</v>
      </c>
      <c r="D1311" t="s">
        <v>1402</v>
      </c>
      <c r="E1311" t="s">
        <v>2001</v>
      </c>
      <c r="F1311">
        <v>12</v>
      </c>
    </row>
    <row r="1312" spans="1:6" x14ac:dyDescent="0.25">
      <c r="A1312" t="s">
        <v>1403</v>
      </c>
      <c r="B1312" s="2">
        <v>41000</v>
      </c>
      <c r="C1312" t="s">
        <v>16</v>
      </c>
      <c r="D1312" t="s">
        <v>374</v>
      </c>
      <c r="E1312" t="s">
        <v>2000</v>
      </c>
      <c r="F1312">
        <v>4</v>
      </c>
    </row>
    <row r="1313" spans="1:6" x14ac:dyDescent="0.25">
      <c r="A1313" t="s">
        <v>1404</v>
      </c>
      <c r="B1313" s="2">
        <v>28492.66669990811</v>
      </c>
      <c r="C1313" t="s">
        <v>3</v>
      </c>
      <c r="D1313" t="s">
        <v>4</v>
      </c>
      <c r="E1313" t="s">
        <v>2000</v>
      </c>
      <c r="F1313">
        <v>4</v>
      </c>
    </row>
    <row r="1314" spans="1:6" x14ac:dyDescent="0.25">
      <c r="A1314" t="s">
        <v>1405</v>
      </c>
      <c r="B1314" s="2">
        <v>49500</v>
      </c>
      <c r="C1314" t="s">
        <v>3</v>
      </c>
      <c r="D1314" t="s">
        <v>8</v>
      </c>
      <c r="E1314" t="s">
        <v>2001</v>
      </c>
      <c r="F1314">
        <v>4.5</v>
      </c>
    </row>
    <row r="1315" spans="1:6" x14ac:dyDescent="0.25">
      <c r="A1315" t="s">
        <v>1406</v>
      </c>
      <c r="B1315" s="2">
        <v>6600</v>
      </c>
      <c r="C1315" t="s">
        <v>37</v>
      </c>
      <c r="D1315" t="s">
        <v>4</v>
      </c>
      <c r="E1315" t="s">
        <v>2000</v>
      </c>
      <c r="F1315">
        <v>6.4</v>
      </c>
    </row>
    <row r="1316" spans="1:6" x14ac:dyDescent="0.25">
      <c r="A1316" t="s">
        <v>1407</v>
      </c>
      <c r="B1316" s="2">
        <v>110332.47904470989</v>
      </c>
      <c r="C1316" t="s">
        <v>59</v>
      </c>
      <c r="D1316" t="s">
        <v>55</v>
      </c>
      <c r="E1316" t="s">
        <v>2001</v>
      </c>
      <c r="F1316">
        <v>15</v>
      </c>
    </row>
    <row r="1317" spans="1:6" x14ac:dyDescent="0.25">
      <c r="A1317" t="s">
        <v>1408</v>
      </c>
      <c r="B1317" s="2">
        <v>47285.348162018527</v>
      </c>
      <c r="C1317" t="s">
        <v>3</v>
      </c>
      <c r="D1317" t="s">
        <v>55</v>
      </c>
      <c r="E1317" t="s">
        <v>2002</v>
      </c>
      <c r="F1317">
        <v>6</v>
      </c>
    </row>
    <row r="1318" spans="1:6" x14ac:dyDescent="0.25">
      <c r="A1318" t="s">
        <v>1409</v>
      </c>
      <c r="B1318" s="2">
        <v>5300</v>
      </c>
      <c r="C1318" t="s">
        <v>16</v>
      </c>
      <c r="D1318" t="s">
        <v>10</v>
      </c>
      <c r="E1318" t="s">
        <v>2001</v>
      </c>
      <c r="F1318">
        <v>5</v>
      </c>
    </row>
    <row r="1319" spans="1:6" x14ac:dyDescent="0.25">
      <c r="A1319" t="s">
        <v>1410</v>
      </c>
      <c r="B1319" s="2">
        <v>43828.780645210471</v>
      </c>
      <c r="C1319" t="s">
        <v>3</v>
      </c>
      <c r="D1319" t="s">
        <v>572</v>
      </c>
      <c r="E1319" t="s">
        <v>2001</v>
      </c>
      <c r="F1319">
        <v>15</v>
      </c>
    </row>
    <row r="1320" spans="1:6" x14ac:dyDescent="0.25">
      <c r="A1320" t="s">
        <v>1411</v>
      </c>
      <c r="B1320" s="2">
        <v>80000</v>
      </c>
      <c r="C1320" t="s">
        <v>3</v>
      </c>
      <c r="D1320" t="s">
        <v>8</v>
      </c>
      <c r="E1320" t="s">
        <v>1999</v>
      </c>
      <c r="F1320">
        <v>14</v>
      </c>
    </row>
    <row r="1321" spans="1:6" x14ac:dyDescent="0.25">
      <c r="A1321" t="s">
        <v>1412</v>
      </c>
      <c r="B1321" s="2">
        <v>11518.711713336908</v>
      </c>
      <c r="C1321" t="s">
        <v>3</v>
      </c>
      <c r="D1321" t="s">
        <v>29</v>
      </c>
      <c r="E1321" t="s">
        <v>2000</v>
      </c>
      <c r="F1321">
        <v>3</v>
      </c>
    </row>
    <row r="1322" spans="1:6" x14ac:dyDescent="0.25">
      <c r="A1322" t="s">
        <v>1413</v>
      </c>
      <c r="B1322" s="2">
        <v>152986.44846039536</v>
      </c>
      <c r="C1322" t="s">
        <v>3</v>
      </c>
      <c r="D1322" t="s">
        <v>65</v>
      </c>
      <c r="E1322" t="s">
        <v>1999</v>
      </c>
      <c r="F1322">
        <v>5.5</v>
      </c>
    </row>
    <row r="1323" spans="1:6" x14ac:dyDescent="0.25">
      <c r="A1323" t="s">
        <v>1414</v>
      </c>
      <c r="B1323" s="2">
        <v>125000</v>
      </c>
      <c r="C1323" t="s">
        <v>16</v>
      </c>
      <c r="D1323" t="s">
        <v>8</v>
      </c>
      <c r="E1323" t="s">
        <v>2001</v>
      </c>
      <c r="F1323">
        <v>2</v>
      </c>
    </row>
    <row r="1324" spans="1:6" x14ac:dyDescent="0.25">
      <c r="A1324" t="s">
        <v>1415</v>
      </c>
      <c r="B1324" s="2">
        <v>101990.96564026357</v>
      </c>
      <c r="C1324" t="s">
        <v>59</v>
      </c>
      <c r="D1324" t="s">
        <v>65</v>
      </c>
      <c r="E1324" t="s">
        <v>1999</v>
      </c>
      <c r="F1324">
        <v>30</v>
      </c>
    </row>
    <row r="1325" spans="1:6" x14ac:dyDescent="0.25">
      <c r="A1325" t="s">
        <v>1416</v>
      </c>
      <c r="B1325" s="2">
        <v>105000</v>
      </c>
      <c r="C1325" t="s">
        <v>21</v>
      </c>
      <c r="D1325" t="s">
        <v>8</v>
      </c>
      <c r="E1325" t="s">
        <v>1999</v>
      </c>
      <c r="F1325">
        <v>15</v>
      </c>
    </row>
    <row r="1326" spans="1:6" x14ac:dyDescent="0.25">
      <c r="A1326" t="s">
        <v>1417</v>
      </c>
      <c r="B1326" s="2">
        <v>50815.977559664309</v>
      </c>
      <c r="C1326" t="s">
        <v>16</v>
      </c>
      <c r="D1326" t="s">
        <v>1418</v>
      </c>
      <c r="E1326" t="s">
        <v>2001</v>
      </c>
      <c r="F1326">
        <v>20</v>
      </c>
    </row>
    <row r="1327" spans="1:6" x14ac:dyDescent="0.25">
      <c r="A1327" t="s">
        <v>1419</v>
      </c>
      <c r="B1327" s="2">
        <v>75000</v>
      </c>
      <c r="C1327" t="s">
        <v>3</v>
      </c>
      <c r="D1327" t="s">
        <v>8</v>
      </c>
      <c r="E1327" t="s">
        <v>2001</v>
      </c>
      <c r="F1327">
        <v>7</v>
      </c>
    </row>
    <row r="1328" spans="1:6" x14ac:dyDescent="0.25">
      <c r="A1328" t="s">
        <v>1420</v>
      </c>
      <c r="B1328" s="2">
        <v>4451.9791718606421</v>
      </c>
      <c r="C1328" t="s">
        <v>3</v>
      </c>
      <c r="D1328" t="s">
        <v>4</v>
      </c>
      <c r="E1328" t="s">
        <v>2002</v>
      </c>
      <c r="F1328">
        <v>8</v>
      </c>
    </row>
    <row r="1329" spans="1:6" x14ac:dyDescent="0.25">
      <c r="A1329" t="s">
        <v>1421</v>
      </c>
      <c r="B1329" s="2">
        <v>110000</v>
      </c>
      <c r="C1329" t="s">
        <v>3</v>
      </c>
      <c r="D1329" t="s">
        <v>8</v>
      </c>
      <c r="E1329" t="s">
        <v>1999</v>
      </c>
      <c r="F1329">
        <v>10</v>
      </c>
    </row>
    <row r="1330" spans="1:6" x14ac:dyDescent="0.25">
      <c r="A1330" t="s">
        <v>1422</v>
      </c>
      <c r="B1330" s="2">
        <v>42556.81334581667</v>
      </c>
      <c r="C1330" t="s">
        <v>12</v>
      </c>
      <c r="D1330" t="s">
        <v>55</v>
      </c>
      <c r="E1330" t="s">
        <v>2001</v>
      </c>
      <c r="F1330">
        <v>1</v>
      </c>
    </row>
    <row r="1331" spans="1:6" x14ac:dyDescent="0.25">
      <c r="A1331" t="s">
        <v>1423</v>
      </c>
      <c r="B1331" s="2">
        <v>8013.5625093491553</v>
      </c>
      <c r="C1331" t="s">
        <v>12</v>
      </c>
      <c r="D1331" t="s">
        <v>4</v>
      </c>
      <c r="E1331" t="s">
        <v>1999</v>
      </c>
      <c r="F1331">
        <v>7</v>
      </c>
    </row>
    <row r="1332" spans="1:6" x14ac:dyDescent="0.25">
      <c r="A1332" t="s">
        <v>1424</v>
      </c>
      <c r="B1332" s="2">
        <v>125000</v>
      </c>
      <c r="C1332" t="s">
        <v>16</v>
      </c>
      <c r="D1332" t="s">
        <v>8</v>
      </c>
      <c r="E1332" t="s">
        <v>2001</v>
      </c>
      <c r="F1332">
        <v>25</v>
      </c>
    </row>
    <row r="1333" spans="1:6" x14ac:dyDescent="0.25">
      <c r="A1333" t="s">
        <v>1425</v>
      </c>
      <c r="B1333" s="2">
        <v>60000</v>
      </c>
      <c r="C1333" t="s">
        <v>3</v>
      </c>
      <c r="D1333" t="s">
        <v>8</v>
      </c>
      <c r="E1333" t="s">
        <v>2002</v>
      </c>
      <c r="F1333">
        <v>12</v>
      </c>
    </row>
    <row r="1334" spans="1:6" x14ac:dyDescent="0.25">
      <c r="A1334" t="s">
        <v>1426</v>
      </c>
      <c r="B1334" s="2">
        <v>39355.495879248076</v>
      </c>
      <c r="C1334" t="s">
        <v>3</v>
      </c>
      <c r="D1334" t="s">
        <v>4</v>
      </c>
      <c r="E1334" t="s">
        <v>1999</v>
      </c>
      <c r="F1334">
        <v>5.6</v>
      </c>
    </row>
    <row r="1335" spans="1:6" x14ac:dyDescent="0.25">
      <c r="A1335" t="s">
        <v>1427</v>
      </c>
      <c r="B1335" s="2">
        <v>57167.974754622352</v>
      </c>
      <c r="C1335" t="s">
        <v>6</v>
      </c>
      <c r="D1335" t="s">
        <v>17</v>
      </c>
      <c r="E1335" t="s">
        <v>2001</v>
      </c>
      <c r="F1335">
        <v>12</v>
      </c>
    </row>
    <row r="1336" spans="1:6" x14ac:dyDescent="0.25">
      <c r="A1336" t="s">
        <v>1428</v>
      </c>
      <c r="B1336" s="2">
        <v>50694.322109187968</v>
      </c>
      <c r="C1336" t="s">
        <v>3</v>
      </c>
      <c r="D1336" t="s">
        <v>598</v>
      </c>
      <c r="E1336" t="s">
        <v>2001</v>
      </c>
      <c r="F1336">
        <v>8</v>
      </c>
    </row>
    <row r="1337" spans="1:6" x14ac:dyDescent="0.25">
      <c r="A1337" t="s">
        <v>1429</v>
      </c>
      <c r="B1337" s="2">
        <v>57500</v>
      </c>
      <c r="C1337" t="s">
        <v>16</v>
      </c>
      <c r="D1337" t="s">
        <v>8</v>
      </c>
      <c r="E1337" t="s">
        <v>2001</v>
      </c>
      <c r="F1337">
        <v>30</v>
      </c>
    </row>
    <row r="1338" spans="1:6" x14ac:dyDescent="0.25">
      <c r="A1338" t="s">
        <v>1430</v>
      </c>
      <c r="B1338" s="2">
        <v>78764.765217479682</v>
      </c>
      <c r="C1338" t="s">
        <v>6</v>
      </c>
      <c r="D1338" t="s">
        <v>572</v>
      </c>
      <c r="E1338" t="s">
        <v>2001</v>
      </c>
      <c r="F1338">
        <v>15</v>
      </c>
    </row>
    <row r="1339" spans="1:6" x14ac:dyDescent="0.25">
      <c r="A1339" t="s">
        <v>1431</v>
      </c>
      <c r="B1339" s="2">
        <v>80000</v>
      </c>
      <c r="C1339" t="s">
        <v>16</v>
      </c>
      <c r="D1339" t="s">
        <v>8</v>
      </c>
      <c r="E1339" t="s">
        <v>2001</v>
      </c>
      <c r="F1339">
        <v>10</v>
      </c>
    </row>
    <row r="1340" spans="1:6" x14ac:dyDescent="0.25">
      <c r="A1340" t="s">
        <v>1432</v>
      </c>
      <c r="B1340" s="2">
        <v>70928.022243027779</v>
      </c>
      <c r="C1340" t="s">
        <v>16</v>
      </c>
      <c r="D1340" t="s">
        <v>55</v>
      </c>
      <c r="E1340" t="s">
        <v>2000</v>
      </c>
      <c r="F1340">
        <v>15</v>
      </c>
    </row>
    <row r="1341" spans="1:6" x14ac:dyDescent="0.25">
      <c r="A1341" t="s">
        <v>1433</v>
      </c>
      <c r="B1341" s="2">
        <v>33000</v>
      </c>
      <c r="C1341" t="s">
        <v>6</v>
      </c>
      <c r="D1341" t="s">
        <v>8</v>
      </c>
      <c r="E1341" t="s">
        <v>2001</v>
      </c>
      <c r="F1341">
        <v>3</v>
      </c>
    </row>
    <row r="1342" spans="1:6" x14ac:dyDescent="0.25">
      <c r="A1342" t="s">
        <v>1434</v>
      </c>
      <c r="B1342" s="2">
        <v>100000</v>
      </c>
      <c r="C1342" t="s">
        <v>3</v>
      </c>
      <c r="D1342" t="s">
        <v>8</v>
      </c>
      <c r="E1342" t="s">
        <v>2001</v>
      </c>
      <c r="F1342">
        <v>1</v>
      </c>
    </row>
    <row r="1343" spans="1:6" x14ac:dyDescent="0.25">
      <c r="A1343" t="s">
        <v>1435</v>
      </c>
      <c r="B1343" s="2">
        <v>60000</v>
      </c>
      <c r="C1343" t="s">
        <v>16</v>
      </c>
      <c r="D1343" t="s">
        <v>8</v>
      </c>
      <c r="E1343" t="s">
        <v>2000</v>
      </c>
      <c r="F1343">
        <v>20</v>
      </c>
    </row>
    <row r="1344" spans="1:6" x14ac:dyDescent="0.25">
      <c r="A1344" t="s">
        <v>1436</v>
      </c>
      <c r="B1344" s="2">
        <v>95000</v>
      </c>
      <c r="C1344" t="s">
        <v>3</v>
      </c>
      <c r="D1344" t="s">
        <v>8</v>
      </c>
      <c r="E1344" t="s">
        <v>2000</v>
      </c>
      <c r="F1344">
        <v>7</v>
      </c>
    </row>
    <row r="1345" spans="1:6" x14ac:dyDescent="0.25">
      <c r="A1345" t="s">
        <v>1437</v>
      </c>
      <c r="B1345" s="2">
        <v>24000</v>
      </c>
      <c r="C1345" t="s">
        <v>3</v>
      </c>
      <c r="D1345" t="s">
        <v>8</v>
      </c>
      <c r="E1345" t="s">
        <v>1999</v>
      </c>
      <c r="F1345">
        <v>33</v>
      </c>
    </row>
    <row r="1346" spans="1:6" x14ac:dyDescent="0.25">
      <c r="A1346" t="s">
        <v>1438</v>
      </c>
      <c r="B1346" s="2">
        <v>50000</v>
      </c>
      <c r="C1346" t="s">
        <v>12</v>
      </c>
      <c r="D1346" t="s">
        <v>8</v>
      </c>
      <c r="E1346" t="s">
        <v>2001</v>
      </c>
      <c r="F1346">
        <v>0.5</v>
      </c>
    </row>
    <row r="1347" spans="1:6" x14ac:dyDescent="0.25">
      <c r="A1347" t="s">
        <v>1439</v>
      </c>
      <c r="B1347" s="2">
        <v>103000</v>
      </c>
      <c r="C1347" t="s">
        <v>6</v>
      </c>
      <c r="D1347" t="s">
        <v>8</v>
      </c>
      <c r="E1347" t="s">
        <v>2001</v>
      </c>
      <c r="F1347">
        <v>22</v>
      </c>
    </row>
    <row r="1348" spans="1:6" x14ac:dyDescent="0.25">
      <c r="A1348" t="s">
        <v>1440</v>
      </c>
      <c r="B1348" s="2">
        <v>36000</v>
      </c>
      <c r="C1348" t="s">
        <v>26</v>
      </c>
      <c r="D1348" t="s">
        <v>8</v>
      </c>
      <c r="E1348" t="s">
        <v>2002</v>
      </c>
      <c r="F1348">
        <v>8</v>
      </c>
    </row>
    <row r="1349" spans="1:6" x14ac:dyDescent="0.25">
      <c r="A1349" t="s">
        <v>1441</v>
      </c>
      <c r="B1349" s="2">
        <v>85000</v>
      </c>
      <c r="C1349" t="s">
        <v>3</v>
      </c>
      <c r="D1349" t="s">
        <v>8</v>
      </c>
      <c r="E1349" t="s">
        <v>2001</v>
      </c>
      <c r="F1349">
        <v>17</v>
      </c>
    </row>
    <row r="1350" spans="1:6" x14ac:dyDescent="0.25">
      <c r="A1350" t="s">
        <v>1442</v>
      </c>
      <c r="B1350" s="2">
        <v>100000</v>
      </c>
      <c r="C1350" t="s">
        <v>21</v>
      </c>
      <c r="D1350" t="s">
        <v>400</v>
      </c>
      <c r="E1350" t="s">
        <v>2000</v>
      </c>
      <c r="F1350">
        <v>20</v>
      </c>
    </row>
    <row r="1351" spans="1:6" x14ac:dyDescent="0.25">
      <c r="A1351" t="s">
        <v>1443</v>
      </c>
      <c r="B1351" s="2">
        <v>83000</v>
      </c>
      <c r="C1351" t="s">
        <v>3</v>
      </c>
      <c r="D1351" t="s">
        <v>68</v>
      </c>
      <c r="E1351" t="s">
        <v>2001</v>
      </c>
      <c r="F1351">
        <v>12</v>
      </c>
    </row>
    <row r="1352" spans="1:6" x14ac:dyDescent="0.25">
      <c r="A1352" t="s">
        <v>1444</v>
      </c>
      <c r="B1352" s="2">
        <v>85000</v>
      </c>
      <c r="C1352" t="s">
        <v>12</v>
      </c>
      <c r="D1352" t="s">
        <v>8</v>
      </c>
      <c r="E1352" t="s">
        <v>2000</v>
      </c>
      <c r="F1352">
        <v>25</v>
      </c>
    </row>
    <row r="1353" spans="1:6" x14ac:dyDescent="0.25">
      <c r="A1353" t="s">
        <v>1445</v>
      </c>
      <c r="B1353" s="2">
        <v>120000</v>
      </c>
      <c r="C1353" t="s">
        <v>16</v>
      </c>
      <c r="D1353" t="s">
        <v>8</v>
      </c>
      <c r="E1353" t="s">
        <v>2000</v>
      </c>
      <c r="F1353">
        <v>5</v>
      </c>
    </row>
    <row r="1354" spans="1:6" x14ac:dyDescent="0.25">
      <c r="A1354" t="s">
        <v>1446</v>
      </c>
      <c r="B1354" s="2">
        <v>69960</v>
      </c>
      <c r="C1354" t="s">
        <v>12</v>
      </c>
      <c r="D1354" t="s">
        <v>8</v>
      </c>
      <c r="E1354" t="s">
        <v>2000</v>
      </c>
      <c r="F1354">
        <v>22</v>
      </c>
    </row>
    <row r="1355" spans="1:6" x14ac:dyDescent="0.25">
      <c r="A1355" t="s">
        <v>1447</v>
      </c>
      <c r="B1355" s="2">
        <v>97000</v>
      </c>
      <c r="C1355" t="s">
        <v>16</v>
      </c>
      <c r="D1355" t="s">
        <v>8</v>
      </c>
      <c r="E1355" t="s">
        <v>2001</v>
      </c>
      <c r="F1355">
        <v>14</v>
      </c>
    </row>
    <row r="1356" spans="1:6" x14ac:dyDescent="0.25">
      <c r="A1356" t="s">
        <v>1448</v>
      </c>
      <c r="B1356" s="2">
        <v>94570.696324037053</v>
      </c>
      <c r="C1356" t="s">
        <v>3</v>
      </c>
      <c r="D1356" t="s">
        <v>55</v>
      </c>
      <c r="E1356" t="s">
        <v>2001</v>
      </c>
      <c r="F1356">
        <v>7</v>
      </c>
    </row>
    <row r="1357" spans="1:6" x14ac:dyDescent="0.25">
      <c r="A1357" t="s">
        <v>1449</v>
      </c>
      <c r="B1357" s="2">
        <v>39000</v>
      </c>
      <c r="C1357" t="s">
        <v>16</v>
      </c>
      <c r="D1357" t="s">
        <v>38</v>
      </c>
      <c r="E1357" t="s">
        <v>2002</v>
      </c>
      <c r="F1357">
        <v>6</v>
      </c>
    </row>
    <row r="1358" spans="1:6" x14ac:dyDescent="0.25">
      <c r="A1358" t="s">
        <v>1450</v>
      </c>
      <c r="B1358" s="2">
        <v>4451.9791718606421</v>
      </c>
      <c r="C1358" t="s">
        <v>16</v>
      </c>
      <c r="D1358" t="s">
        <v>4</v>
      </c>
      <c r="E1358" t="s">
        <v>1999</v>
      </c>
      <c r="F1358">
        <v>15</v>
      </c>
    </row>
    <row r="1359" spans="1:6" x14ac:dyDescent="0.25">
      <c r="A1359" t="s">
        <v>1451</v>
      </c>
      <c r="B1359" s="2">
        <v>62000</v>
      </c>
      <c r="C1359" t="s">
        <v>26</v>
      </c>
      <c r="D1359" t="s">
        <v>8</v>
      </c>
      <c r="E1359" t="s">
        <v>2002</v>
      </c>
      <c r="F1359">
        <v>25</v>
      </c>
    </row>
    <row r="1360" spans="1:6" x14ac:dyDescent="0.25">
      <c r="A1360" t="s">
        <v>1452</v>
      </c>
      <c r="B1360" s="2">
        <v>44000</v>
      </c>
      <c r="C1360" t="s">
        <v>12</v>
      </c>
      <c r="D1360" t="s">
        <v>8</v>
      </c>
      <c r="E1360" t="s">
        <v>2001</v>
      </c>
      <c r="F1360">
        <v>15</v>
      </c>
    </row>
    <row r="1361" spans="1:6" x14ac:dyDescent="0.25">
      <c r="A1361" t="s">
        <v>1453</v>
      </c>
      <c r="B1361" s="2">
        <v>150000</v>
      </c>
      <c r="C1361" t="s">
        <v>16</v>
      </c>
      <c r="D1361" t="s">
        <v>8</v>
      </c>
      <c r="E1361" t="s">
        <v>2000</v>
      </c>
      <c r="F1361">
        <v>30</v>
      </c>
    </row>
    <row r="1362" spans="1:6" x14ac:dyDescent="0.25">
      <c r="A1362" t="s">
        <v>1454</v>
      </c>
      <c r="B1362" s="2">
        <v>228671.89901848941</v>
      </c>
      <c r="C1362" t="s">
        <v>6</v>
      </c>
      <c r="D1362" t="s">
        <v>1455</v>
      </c>
      <c r="E1362" t="s">
        <v>2001</v>
      </c>
      <c r="F1362">
        <v>15</v>
      </c>
    </row>
    <row r="1363" spans="1:6" x14ac:dyDescent="0.25">
      <c r="A1363" t="s">
        <v>1456</v>
      </c>
      <c r="B1363" s="2">
        <v>73500</v>
      </c>
      <c r="C1363" t="s">
        <v>3</v>
      </c>
      <c r="D1363" t="s">
        <v>8</v>
      </c>
      <c r="E1363" t="s">
        <v>2002</v>
      </c>
      <c r="F1363">
        <v>6</v>
      </c>
    </row>
    <row r="1364" spans="1:6" x14ac:dyDescent="0.25">
      <c r="A1364" t="s">
        <v>1457</v>
      </c>
      <c r="B1364" s="2">
        <v>77500</v>
      </c>
      <c r="C1364" t="s">
        <v>3</v>
      </c>
      <c r="D1364" t="s">
        <v>8</v>
      </c>
      <c r="E1364" t="s">
        <v>2001</v>
      </c>
      <c r="F1364">
        <v>7</v>
      </c>
    </row>
    <row r="1365" spans="1:6" x14ac:dyDescent="0.25">
      <c r="A1365" t="s">
        <v>1458</v>
      </c>
      <c r="B1365" s="2">
        <v>60800</v>
      </c>
      <c r="C1365" t="s">
        <v>3</v>
      </c>
      <c r="D1365" t="s">
        <v>8</v>
      </c>
      <c r="E1365" t="s">
        <v>2002</v>
      </c>
      <c r="F1365">
        <v>10</v>
      </c>
    </row>
    <row r="1366" spans="1:6" x14ac:dyDescent="0.25">
      <c r="A1366" t="s">
        <v>1459</v>
      </c>
      <c r="B1366" s="2">
        <v>136000</v>
      </c>
      <c r="C1366" t="s">
        <v>16</v>
      </c>
      <c r="D1366" t="s">
        <v>8</v>
      </c>
      <c r="E1366" t="s">
        <v>2001</v>
      </c>
      <c r="F1366">
        <v>10</v>
      </c>
    </row>
    <row r="1367" spans="1:6" x14ac:dyDescent="0.25">
      <c r="A1367" t="s">
        <v>1460</v>
      </c>
      <c r="B1367" s="2">
        <v>20000</v>
      </c>
      <c r="C1367" t="s">
        <v>26</v>
      </c>
      <c r="D1367" t="s">
        <v>4</v>
      </c>
      <c r="E1367" t="s">
        <v>2001</v>
      </c>
      <c r="F1367">
        <v>6</v>
      </c>
    </row>
    <row r="1368" spans="1:6" x14ac:dyDescent="0.25">
      <c r="A1368" t="s">
        <v>1461</v>
      </c>
      <c r="B1368" s="2">
        <v>95000</v>
      </c>
      <c r="C1368" t="s">
        <v>12</v>
      </c>
      <c r="D1368" t="s">
        <v>8</v>
      </c>
      <c r="E1368" t="s">
        <v>2001</v>
      </c>
      <c r="F1368">
        <v>14</v>
      </c>
    </row>
    <row r="1369" spans="1:6" x14ac:dyDescent="0.25">
      <c r="A1369" t="s">
        <v>1462</v>
      </c>
      <c r="B1369" s="2">
        <v>130000</v>
      </c>
      <c r="C1369" t="s">
        <v>16</v>
      </c>
      <c r="D1369" t="s">
        <v>8</v>
      </c>
      <c r="E1369" t="s">
        <v>1999</v>
      </c>
      <c r="F1369">
        <v>25</v>
      </c>
    </row>
    <row r="1370" spans="1:6" x14ac:dyDescent="0.25">
      <c r="A1370" t="s">
        <v>1463</v>
      </c>
      <c r="B1370" s="2">
        <v>65000</v>
      </c>
      <c r="C1370" t="s">
        <v>3</v>
      </c>
      <c r="D1370" t="s">
        <v>8</v>
      </c>
      <c r="E1370" t="s">
        <v>2000</v>
      </c>
      <c r="F1370">
        <v>10</v>
      </c>
    </row>
    <row r="1371" spans="1:6" x14ac:dyDescent="0.25">
      <c r="A1371" t="s">
        <v>1464</v>
      </c>
      <c r="B1371" s="2">
        <v>80000</v>
      </c>
      <c r="C1371" t="s">
        <v>59</v>
      </c>
      <c r="D1371" t="s">
        <v>8</v>
      </c>
      <c r="E1371" t="s">
        <v>2000</v>
      </c>
      <c r="F1371">
        <v>8</v>
      </c>
    </row>
    <row r="1372" spans="1:6" x14ac:dyDescent="0.25">
      <c r="A1372" t="s">
        <v>1465</v>
      </c>
      <c r="B1372" s="2">
        <v>37000</v>
      </c>
      <c r="C1372" t="s">
        <v>37</v>
      </c>
      <c r="D1372" t="s">
        <v>8</v>
      </c>
      <c r="E1372" t="s">
        <v>2000</v>
      </c>
      <c r="F1372">
        <v>30</v>
      </c>
    </row>
    <row r="1373" spans="1:6" x14ac:dyDescent="0.25">
      <c r="A1373" t="s">
        <v>1466</v>
      </c>
      <c r="B1373" s="2">
        <v>40000</v>
      </c>
      <c r="C1373" t="s">
        <v>16</v>
      </c>
      <c r="D1373" t="s">
        <v>8</v>
      </c>
      <c r="E1373" t="s">
        <v>1999</v>
      </c>
      <c r="F1373">
        <v>8</v>
      </c>
    </row>
    <row r="1374" spans="1:6" x14ac:dyDescent="0.25">
      <c r="A1374" t="s">
        <v>1467</v>
      </c>
      <c r="B1374" s="2">
        <v>49000</v>
      </c>
      <c r="C1374" t="s">
        <v>3</v>
      </c>
      <c r="D1374" t="s">
        <v>8</v>
      </c>
      <c r="E1374" t="s">
        <v>2001</v>
      </c>
      <c r="F1374">
        <v>10</v>
      </c>
    </row>
    <row r="1375" spans="1:6" x14ac:dyDescent="0.25">
      <c r="A1375" t="s">
        <v>1468</v>
      </c>
      <c r="B1375" s="2">
        <v>65000</v>
      </c>
      <c r="C1375" t="s">
        <v>3</v>
      </c>
      <c r="D1375" t="s">
        <v>8</v>
      </c>
      <c r="E1375" t="s">
        <v>2002</v>
      </c>
      <c r="F1375">
        <v>14</v>
      </c>
    </row>
    <row r="1376" spans="1:6" x14ac:dyDescent="0.25">
      <c r="A1376" t="s">
        <v>1469</v>
      </c>
      <c r="B1376" s="2">
        <v>55000</v>
      </c>
      <c r="C1376" t="s">
        <v>3</v>
      </c>
      <c r="D1376" t="s">
        <v>8</v>
      </c>
      <c r="E1376" t="s">
        <v>2002</v>
      </c>
      <c r="F1376">
        <v>1</v>
      </c>
    </row>
    <row r="1377" spans="1:6" x14ac:dyDescent="0.25">
      <c r="A1377" t="s">
        <v>1470</v>
      </c>
      <c r="B1377" s="2">
        <v>40000</v>
      </c>
      <c r="C1377" t="s">
        <v>16</v>
      </c>
      <c r="D1377" t="s">
        <v>8</v>
      </c>
      <c r="E1377" t="s">
        <v>2001</v>
      </c>
      <c r="F1377">
        <v>1</v>
      </c>
    </row>
    <row r="1378" spans="1:6" x14ac:dyDescent="0.25">
      <c r="A1378" t="s">
        <v>1471</v>
      </c>
      <c r="B1378" s="2">
        <v>60000</v>
      </c>
      <c r="C1378" t="s">
        <v>3</v>
      </c>
      <c r="D1378" t="s">
        <v>8</v>
      </c>
      <c r="E1378" t="s">
        <v>2001</v>
      </c>
      <c r="F1378">
        <v>15</v>
      </c>
    </row>
    <row r="1379" spans="1:6" x14ac:dyDescent="0.25">
      <c r="A1379" t="s">
        <v>1472</v>
      </c>
      <c r="B1379" s="2">
        <v>45734.379803697877</v>
      </c>
      <c r="C1379" t="s">
        <v>3</v>
      </c>
      <c r="D1379" t="s">
        <v>27</v>
      </c>
      <c r="E1379" t="s">
        <v>2000</v>
      </c>
      <c r="F1379">
        <v>4</v>
      </c>
    </row>
    <row r="1380" spans="1:6" x14ac:dyDescent="0.25">
      <c r="A1380" t="s">
        <v>1473</v>
      </c>
      <c r="B1380" s="2">
        <v>150000</v>
      </c>
      <c r="C1380" t="s">
        <v>3</v>
      </c>
      <c r="D1380" t="s">
        <v>8</v>
      </c>
      <c r="E1380" t="s">
        <v>2000</v>
      </c>
      <c r="F1380">
        <v>30</v>
      </c>
    </row>
    <row r="1381" spans="1:6" x14ac:dyDescent="0.25">
      <c r="A1381" t="s">
        <v>1474</v>
      </c>
      <c r="B1381" s="2">
        <v>88000</v>
      </c>
      <c r="C1381" t="s">
        <v>16</v>
      </c>
      <c r="D1381" t="s">
        <v>8</v>
      </c>
      <c r="E1381" t="s">
        <v>2001</v>
      </c>
      <c r="F1381">
        <v>21</v>
      </c>
    </row>
    <row r="1382" spans="1:6" x14ac:dyDescent="0.25">
      <c r="A1382" t="s">
        <v>1475</v>
      </c>
      <c r="B1382" s="2">
        <v>64500</v>
      </c>
      <c r="C1382" t="s">
        <v>3</v>
      </c>
      <c r="D1382" t="s">
        <v>8</v>
      </c>
      <c r="E1382" t="s">
        <v>2001</v>
      </c>
      <c r="F1382">
        <v>13</v>
      </c>
    </row>
    <row r="1383" spans="1:6" x14ac:dyDescent="0.25">
      <c r="A1383" t="s">
        <v>1476</v>
      </c>
      <c r="B1383" s="2">
        <v>57600</v>
      </c>
      <c r="C1383" t="s">
        <v>12</v>
      </c>
      <c r="D1383" t="s">
        <v>107</v>
      </c>
      <c r="E1383" t="s">
        <v>2001</v>
      </c>
      <c r="F1383">
        <v>20</v>
      </c>
    </row>
    <row r="1384" spans="1:6" x14ac:dyDescent="0.25">
      <c r="A1384" t="s">
        <v>1477</v>
      </c>
      <c r="B1384" s="2">
        <v>50000</v>
      </c>
      <c r="C1384" t="s">
        <v>24</v>
      </c>
      <c r="D1384" t="s">
        <v>8</v>
      </c>
      <c r="E1384" t="s">
        <v>2001</v>
      </c>
      <c r="F1384">
        <v>15</v>
      </c>
    </row>
    <row r="1385" spans="1:6" x14ac:dyDescent="0.25">
      <c r="A1385" t="s">
        <v>1478</v>
      </c>
      <c r="B1385" s="2">
        <v>120000</v>
      </c>
      <c r="C1385" t="s">
        <v>16</v>
      </c>
      <c r="D1385" t="s">
        <v>8</v>
      </c>
      <c r="E1385" t="s">
        <v>2000</v>
      </c>
      <c r="F1385">
        <v>10</v>
      </c>
    </row>
    <row r="1386" spans="1:6" x14ac:dyDescent="0.25">
      <c r="A1386" t="s">
        <v>1479</v>
      </c>
      <c r="B1386" s="2">
        <v>107000</v>
      </c>
      <c r="C1386" t="s">
        <v>16</v>
      </c>
      <c r="D1386" t="s">
        <v>8</v>
      </c>
      <c r="E1386" t="s">
        <v>2002</v>
      </c>
      <c r="F1386">
        <v>29</v>
      </c>
    </row>
    <row r="1387" spans="1:6" x14ac:dyDescent="0.25">
      <c r="A1387" t="s">
        <v>1480</v>
      </c>
      <c r="B1387" s="2">
        <v>40000</v>
      </c>
      <c r="C1387" t="s">
        <v>3</v>
      </c>
      <c r="D1387" t="s">
        <v>8</v>
      </c>
      <c r="E1387" t="s">
        <v>2000</v>
      </c>
      <c r="F1387">
        <v>6</v>
      </c>
    </row>
    <row r="1388" spans="1:6" x14ac:dyDescent="0.25">
      <c r="A1388" t="s">
        <v>1481</v>
      </c>
      <c r="B1388" s="2">
        <v>81000</v>
      </c>
      <c r="C1388" t="s">
        <v>16</v>
      </c>
      <c r="D1388" t="s">
        <v>8</v>
      </c>
      <c r="E1388" t="s">
        <v>1999</v>
      </c>
      <c r="F1388">
        <v>12</v>
      </c>
    </row>
    <row r="1389" spans="1:6" x14ac:dyDescent="0.25">
      <c r="A1389" t="s">
        <v>1482</v>
      </c>
      <c r="B1389" s="2">
        <v>45000</v>
      </c>
      <c r="C1389" t="s">
        <v>26</v>
      </c>
      <c r="D1389" t="s">
        <v>8</v>
      </c>
      <c r="E1389" t="s">
        <v>2001</v>
      </c>
      <c r="F1389">
        <v>20</v>
      </c>
    </row>
    <row r="1390" spans="1:6" x14ac:dyDescent="0.25">
      <c r="A1390" t="s">
        <v>1483</v>
      </c>
      <c r="B1390" s="2">
        <v>49000</v>
      </c>
      <c r="C1390" t="s">
        <v>26</v>
      </c>
      <c r="D1390" t="s">
        <v>8</v>
      </c>
      <c r="E1390" t="s">
        <v>2001</v>
      </c>
      <c r="F1390">
        <v>5</v>
      </c>
    </row>
    <row r="1391" spans="1:6" x14ac:dyDescent="0.25">
      <c r="A1391" t="s">
        <v>1484</v>
      </c>
      <c r="B1391" s="2">
        <v>13355.937515581925</v>
      </c>
      <c r="C1391" t="s">
        <v>21</v>
      </c>
      <c r="D1391" t="s">
        <v>4</v>
      </c>
      <c r="E1391" t="s">
        <v>1999</v>
      </c>
      <c r="F1391">
        <v>1</v>
      </c>
    </row>
    <row r="1392" spans="1:6" x14ac:dyDescent="0.25">
      <c r="A1392" t="s">
        <v>1485</v>
      </c>
      <c r="B1392" s="2">
        <v>72000</v>
      </c>
      <c r="C1392" t="s">
        <v>16</v>
      </c>
      <c r="D1392" t="s">
        <v>8</v>
      </c>
      <c r="E1392" t="s">
        <v>1999</v>
      </c>
      <c r="F1392">
        <v>20</v>
      </c>
    </row>
    <row r="1393" spans="1:6" x14ac:dyDescent="0.25">
      <c r="A1393" t="s">
        <v>1486</v>
      </c>
      <c r="B1393" s="2">
        <v>50000</v>
      </c>
      <c r="C1393" t="s">
        <v>3</v>
      </c>
      <c r="D1393" t="s">
        <v>8</v>
      </c>
      <c r="E1393" t="s">
        <v>2001</v>
      </c>
      <c r="F1393">
        <v>7</v>
      </c>
    </row>
    <row r="1394" spans="1:6" x14ac:dyDescent="0.25">
      <c r="A1394" t="s">
        <v>1487</v>
      </c>
      <c r="B1394" s="2">
        <v>57678</v>
      </c>
      <c r="C1394" t="s">
        <v>3</v>
      </c>
      <c r="D1394" t="s">
        <v>8</v>
      </c>
      <c r="E1394" t="s">
        <v>2001</v>
      </c>
      <c r="F1394">
        <v>2</v>
      </c>
    </row>
    <row r="1395" spans="1:6" x14ac:dyDescent="0.25">
      <c r="A1395" t="s">
        <v>1488</v>
      </c>
      <c r="B1395" s="2">
        <v>80442</v>
      </c>
      <c r="C1395" t="s">
        <v>3</v>
      </c>
      <c r="D1395" t="s">
        <v>8</v>
      </c>
      <c r="E1395" t="s">
        <v>2001</v>
      </c>
      <c r="F1395">
        <v>16</v>
      </c>
    </row>
    <row r="1396" spans="1:6" x14ac:dyDescent="0.25">
      <c r="A1396" t="s">
        <v>1489</v>
      </c>
      <c r="B1396" s="2">
        <v>75000</v>
      </c>
      <c r="C1396" t="s">
        <v>16</v>
      </c>
      <c r="D1396" t="s">
        <v>8</v>
      </c>
      <c r="E1396" t="s">
        <v>1999</v>
      </c>
      <c r="F1396">
        <v>9</v>
      </c>
    </row>
    <row r="1397" spans="1:6" x14ac:dyDescent="0.25">
      <c r="A1397" t="s">
        <v>1490</v>
      </c>
      <c r="B1397" s="2">
        <v>61000</v>
      </c>
      <c r="C1397" t="s">
        <v>3</v>
      </c>
      <c r="D1397" t="s">
        <v>8</v>
      </c>
      <c r="E1397" t="s">
        <v>2001</v>
      </c>
      <c r="F1397">
        <v>12</v>
      </c>
    </row>
    <row r="1398" spans="1:6" x14ac:dyDescent="0.25">
      <c r="A1398" t="s">
        <v>1491</v>
      </c>
      <c r="B1398" s="2">
        <v>77000</v>
      </c>
      <c r="C1398" t="s">
        <v>12</v>
      </c>
      <c r="D1398" t="s">
        <v>8</v>
      </c>
      <c r="E1398" t="s">
        <v>2001</v>
      </c>
      <c r="F1398">
        <v>10</v>
      </c>
    </row>
    <row r="1399" spans="1:6" x14ac:dyDescent="0.25">
      <c r="A1399" t="s">
        <v>1492</v>
      </c>
      <c r="B1399" s="2">
        <v>92000</v>
      </c>
      <c r="C1399" t="s">
        <v>6</v>
      </c>
      <c r="D1399" t="s">
        <v>8</v>
      </c>
      <c r="E1399" t="s">
        <v>2000</v>
      </c>
      <c r="F1399">
        <v>9</v>
      </c>
    </row>
    <row r="1400" spans="1:6" x14ac:dyDescent="0.25">
      <c r="A1400" t="s">
        <v>1493</v>
      </c>
      <c r="B1400" s="2">
        <v>72000</v>
      </c>
      <c r="C1400" t="s">
        <v>3</v>
      </c>
      <c r="D1400" t="s">
        <v>8</v>
      </c>
      <c r="E1400" t="s">
        <v>2002</v>
      </c>
      <c r="F1400">
        <v>10</v>
      </c>
    </row>
    <row r="1401" spans="1:6" x14ac:dyDescent="0.25">
      <c r="A1401" t="s">
        <v>1494</v>
      </c>
      <c r="B1401" s="2">
        <v>14000</v>
      </c>
      <c r="C1401" t="s">
        <v>59</v>
      </c>
      <c r="D1401" t="s">
        <v>4</v>
      </c>
      <c r="E1401" t="s">
        <v>2001</v>
      </c>
      <c r="F1401">
        <v>3</v>
      </c>
    </row>
    <row r="1402" spans="1:6" x14ac:dyDescent="0.25">
      <c r="A1402" t="s">
        <v>1495</v>
      </c>
      <c r="B1402" s="2">
        <v>111000</v>
      </c>
      <c r="C1402" t="s">
        <v>16</v>
      </c>
      <c r="D1402" t="s">
        <v>8</v>
      </c>
      <c r="E1402" t="s">
        <v>2000</v>
      </c>
      <c r="F1402">
        <v>10</v>
      </c>
    </row>
    <row r="1403" spans="1:6" x14ac:dyDescent="0.25">
      <c r="A1403" t="s">
        <v>1496</v>
      </c>
      <c r="B1403" s="2">
        <v>80000</v>
      </c>
      <c r="C1403" t="s">
        <v>3</v>
      </c>
      <c r="D1403" t="s">
        <v>8</v>
      </c>
      <c r="E1403" t="s">
        <v>2001</v>
      </c>
      <c r="F1403">
        <v>20</v>
      </c>
    </row>
    <row r="1404" spans="1:6" x14ac:dyDescent="0.25">
      <c r="A1404" t="s">
        <v>1497</v>
      </c>
      <c r="B1404" s="2">
        <v>57875.729234188344</v>
      </c>
      <c r="C1404" t="s">
        <v>3</v>
      </c>
      <c r="D1404" t="s">
        <v>4</v>
      </c>
      <c r="E1404" t="s">
        <v>2001</v>
      </c>
      <c r="F1404">
        <v>5.5</v>
      </c>
    </row>
    <row r="1405" spans="1:6" x14ac:dyDescent="0.25">
      <c r="A1405" t="s">
        <v>1498</v>
      </c>
      <c r="B1405" s="2">
        <v>25000</v>
      </c>
      <c r="C1405" t="s">
        <v>24</v>
      </c>
      <c r="D1405" t="s">
        <v>4</v>
      </c>
      <c r="E1405" t="s">
        <v>2000</v>
      </c>
      <c r="F1405">
        <v>8</v>
      </c>
    </row>
    <row r="1406" spans="1:6" x14ac:dyDescent="0.25">
      <c r="A1406" t="s">
        <v>1499</v>
      </c>
      <c r="B1406" s="2">
        <v>24000</v>
      </c>
      <c r="C1406" t="s">
        <v>6</v>
      </c>
      <c r="D1406" t="s">
        <v>8</v>
      </c>
      <c r="E1406" t="s">
        <v>1999</v>
      </c>
      <c r="F1406">
        <v>2</v>
      </c>
    </row>
    <row r="1407" spans="1:6" x14ac:dyDescent="0.25">
      <c r="A1407" t="s">
        <v>1500</v>
      </c>
      <c r="B1407" s="2">
        <v>61000</v>
      </c>
      <c r="C1407" t="s">
        <v>16</v>
      </c>
      <c r="D1407" t="s">
        <v>8</v>
      </c>
      <c r="E1407" t="s">
        <v>2000</v>
      </c>
      <c r="F1407">
        <v>25</v>
      </c>
    </row>
    <row r="1408" spans="1:6" x14ac:dyDescent="0.25">
      <c r="A1408" t="s">
        <v>1501</v>
      </c>
      <c r="B1408" s="2">
        <v>56095.031102144967</v>
      </c>
      <c r="C1408" t="s">
        <v>3</v>
      </c>
      <c r="D1408" t="s">
        <v>65</v>
      </c>
      <c r="E1408" t="s">
        <v>2000</v>
      </c>
      <c r="F1408">
        <v>11</v>
      </c>
    </row>
    <row r="1409" spans="1:6" x14ac:dyDescent="0.25">
      <c r="A1409" t="s">
        <v>1502</v>
      </c>
      <c r="B1409" s="2">
        <v>71393.675948184507</v>
      </c>
      <c r="C1409" t="s">
        <v>24</v>
      </c>
      <c r="D1409" t="s">
        <v>65</v>
      </c>
      <c r="E1409" t="s">
        <v>2000</v>
      </c>
      <c r="F1409">
        <v>5</v>
      </c>
    </row>
    <row r="1410" spans="1:6" x14ac:dyDescent="0.25">
      <c r="A1410" t="s">
        <v>1503</v>
      </c>
      <c r="B1410" s="2">
        <v>96230</v>
      </c>
      <c r="C1410" t="s">
        <v>16</v>
      </c>
      <c r="D1410" t="s">
        <v>8</v>
      </c>
      <c r="E1410" t="s">
        <v>2001</v>
      </c>
      <c r="F1410">
        <v>18</v>
      </c>
    </row>
    <row r="1411" spans="1:6" x14ac:dyDescent="0.25">
      <c r="A1411" t="s">
        <v>1504</v>
      </c>
      <c r="B1411" s="2">
        <v>75000</v>
      </c>
      <c r="C1411" t="s">
        <v>3</v>
      </c>
      <c r="D1411" t="s">
        <v>8</v>
      </c>
      <c r="E1411" t="s">
        <v>2000</v>
      </c>
      <c r="F1411">
        <v>1.5</v>
      </c>
    </row>
    <row r="1412" spans="1:6" x14ac:dyDescent="0.25">
      <c r="A1412" t="s">
        <v>1505</v>
      </c>
      <c r="B1412" s="2">
        <v>102000</v>
      </c>
      <c r="C1412" t="s">
        <v>3</v>
      </c>
      <c r="D1412" t="s">
        <v>8</v>
      </c>
      <c r="E1412" t="s">
        <v>2001</v>
      </c>
      <c r="F1412">
        <v>5</v>
      </c>
    </row>
    <row r="1413" spans="1:6" x14ac:dyDescent="0.25">
      <c r="A1413" t="s">
        <v>1506</v>
      </c>
      <c r="B1413" s="2">
        <v>19008.034062397041</v>
      </c>
      <c r="C1413" t="s">
        <v>16</v>
      </c>
      <c r="D1413" t="s">
        <v>1057</v>
      </c>
      <c r="E1413" t="s">
        <v>2001</v>
      </c>
      <c r="F1413">
        <v>3</v>
      </c>
    </row>
    <row r="1414" spans="1:6" x14ac:dyDescent="0.25">
      <c r="A1414" t="s">
        <v>1507</v>
      </c>
      <c r="B1414" s="2">
        <v>4356</v>
      </c>
      <c r="C1414" t="s">
        <v>3</v>
      </c>
      <c r="D1414" t="s">
        <v>4</v>
      </c>
      <c r="E1414" t="s">
        <v>2001</v>
      </c>
      <c r="F1414">
        <v>5</v>
      </c>
    </row>
    <row r="1415" spans="1:6" x14ac:dyDescent="0.25">
      <c r="A1415" t="s">
        <v>1508</v>
      </c>
      <c r="B1415" s="2">
        <v>5342.3750062327708</v>
      </c>
      <c r="C1415" t="s">
        <v>24</v>
      </c>
      <c r="D1415" t="s">
        <v>4</v>
      </c>
      <c r="E1415" t="s">
        <v>2001</v>
      </c>
      <c r="F1415">
        <v>4</v>
      </c>
    </row>
    <row r="1416" spans="1:6" x14ac:dyDescent="0.25">
      <c r="A1416" t="s">
        <v>1509</v>
      </c>
      <c r="B1416" s="2">
        <v>67000</v>
      </c>
      <c r="C1416" t="s">
        <v>16</v>
      </c>
      <c r="D1416" t="s">
        <v>8</v>
      </c>
      <c r="E1416" t="s">
        <v>2000</v>
      </c>
      <c r="F1416">
        <v>20</v>
      </c>
    </row>
    <row r="1417" spans="1:6" x14ac:dyDescent="0.25">
      <c r="A1417" t="s">
        <v>1510</v>
      </c>
      <c r="B1417" s="2">
        <v>8547.8000099724322</v>
      </c>
      <c r="C1417" t="s">
        <v>3</v>
      </c>
      <c r="D1417" t="s">
        <v>4</v>
      </c>
      <c r="E1417" t="s">
        <v>2001</v>
      </c>
      <c r="F1417">
        <v>7</v>
      </c>
    </row>
    <row r="1418" spans="1:6" x14ac:dyDescent="0.25">
      <c r="A1418" t="s">
        <v>1511</v>
      </c>
      <c r="B1418" s="2">
        <v>16027.125018698311</v>
      </c>
      <c r="C1418" t="s">
        <v>3</v>
      </c>
      <c r="D1418" t="s">
        <v>4</v>
      </c>
      <c r="E1418" t="s">
        <v>2001</v>
      </c>
      <c r="F1418">
        <v>4</v>
      </c>
    </row>
    <row r="1419" spans="1:6" x14ac:dyDescent="0.25">
      <c r="A1419" t="s">
        <v>1512</v>
      </c>
      <c r="B1419" s="2">
        <v>10684.750012465542</v>
      </c>
      <c r="C1419" t="s">
        <v>59</v>
      </c>
      <c r="D1419" t="s">
        <v>4</v>
      </c>
      <c r="E1419" t="s">
        <v>2000</v>
      </c>
      <c r="F1419">
        <v>36</v>
      </c>
    </row>
    <row r="1420" spans="1:6" x14ac:dyDescent="0.25">
      <c r="A1420" t="s">
        <v>1513</v>
      </c>
      <c r="B1420" s="2">
        <v>30000</v>
      </c>
      <c r="C1420" t="s">
        <v>24</v>
      </c>
      <c r="D1420" t="s">
        <v>147</v>
      </c>
      <c r="E1420" t="s">
        <v>2001</v>
      </c>
      <c r="F1420">
        <v>8</v>
      </c>
    </row>
    <row r="1421" spans="1:6" x14ac:dyDescent="0.25">
      <c r="A1421" t="s">
        <v>1514</v>
      </c>
      <c r="B1421" s="2">
        <v>8903.9583437212841</v>
      </c>
      <c r="C1421" t="s">
        <v>16</v>
      </c>
      <c r="D1421" t="s">
        <v>4</v>
      </c>
      <c r="E1421" t="s">
        <v>2000</v>
      </c>
      <c r="F1421">
        <v>0</v>
      </c>
    </row>
    <row r="1422" spans="1:6" x14ac:dyDescent="0.25">
      <c r="A1422" t="s">
        <v>1515</v>
      </c>
      <c r="B1422" s="2">
        <v>20000</v>
      </c>
      <c r="C1422" t="s">
        <v>16</v>
      </c>
      <c r="D1422" t="s">
        <v>4</v>
      </c>
      <c r="E1422" t="s">
        <v>2003</v>
      </c>
      <c r="F1422">
        <v>10</v>
      </c>
    </row>
    <row r="1423" spans="1:6" x14ac:dyDescent="0.25">
      <c r="A1423" t="s">
        <v>1516</v>
      </c>
      <c r="B1423" s="2">
        <v>87712.230450626681</v>
      </c>
      <c r="C1423" t="s">
        <v>3</v>
      </c>
      <c r="D1423" t="s">
        <v>65</v>
      </c>
      <c r="E1423" t="s">
        <v>2001</v>
      </c>
      <c r="F1423">
        <v>10</v>
      </c>
    </row>
    <row r="1424" spans="1:6" x14ac:dyDescent="0.25">
      <c r="A1424" t="s">
        <v>1517</v>
      </c>
      <c r="B1424" s="2">
        <v>17807.916687442568</v>
      </c>
      <c r="C1424" t="s">
        <v>16</v>
      </c>
      <c r="D1424" t="s">
        <v>4</v>
      </c>
      <c r="E1424" t="s">
        <v>2002</v>
      </c>
      <c r="F1424">
        <v>6</v>
      </c>
    </row>
    <row r="1425" spans="1:6" x14ac:dyDescent="0.25">
      <c r="A1425" t="s">
        <v>1518</v>
      </c>
      <c r="B1425" s="2">
        <v>41000</v>
      </c>
      <c r="C1425" t="s">
        <v>3</v>
      </c>
      <c r="D1425" t="s">
        <v>598</v>
      </c>
      <c r="E1425" t="s">
        <v>2000</v>
      </c>
      <c r="F1425">
        <v>2</v>
      </c>
    </row>
    <row r="1426" spans="1:6" x14ac:dyDescent="0.25">
      <c r="A1426" t="s">
        <v>1519</v>
      </c>
      <c r="B1426" s="2">
        <v>60000</v>
      </c>
      <c r="C1426" t="s">
        <v>16</v>
      </c>
      <c r="D1426" t="s">
        <v>8</v>
      </c>
      <c r="E1426" t="s">
        <v>2000</v>
      </c>
      <c r="F1426">
        <v>4</v>
      </c>
    </row>
    <row r="1427" spans="1:6" x14ac:dyDescent="0.25">
      <c r="A1427" t="s">
        <v>1520</v>
      </c>
      <c r="B1427" s="2">
        <v>32187.34988380854</v>
      </c>
      <c r="C1427" t="s">
        <v>3</v>
      </c>
      <c r="D1427" t="s">
        <v>38</v>
      </c>
      <c r="E1427" t="s">
        <v>2002</v>
      </c>
      <c r="F1427">
        <v>2</v>
      </c>
    </row>
    <row r="1428" spans="1:6" x14ac:dyDescent="0.25">
      <c r="A1428" t="s">
        <v>1521</v>
      </c>
      <c r="B1428" s="2">
        <v>39879.404680246938</v>
      </c>
      <c r="C1428" t="s">
        <v>12</v>
      </c>
      <c r="D1428" t="s">
        <v>616</v>
      </c>
      <c r="E1428" t="s">
        <v>2001</v>
      </c>
      <c r="F1428">
        <v>5</v>
      </c>
    </row>
    <row r="1429" spans="1:6" x14ac:dyDescent="0.25">
      <c r="A1429" t="s">
        <v>1522</v>
      </c>
      <c r="B1429" s="2">
        <v>5698.5333399816218</v>
      </c>
      <c r="C1429" t="s">
        <v>3</v>
      </c>
      <c r="D1429" t="s">
        <v>4</v>
      </c>
      <c r="E1429" t="s">
        <v>2000</v>
      </c>
      <c r="F1429">
        <v>2</v>
      </c>
    </row>
    <row r="1430" spans="1:6" x14ac:dyDescent="0.25">
      <c r="A1430" t="s">
        <v>1523</v>
      </c>
      <c r="B1430" s="2">
        <v>7123.1666749770275</v>
      </c>
      <c r="C1430" t="s">
        <v>16</v>
      </c>
      <c r="D1430" t="s">
        <v>4</v>
      </c>
      <c r="E1430" t="s">
        <v>2001</v>
      </c>
      <c r="F1430">
        <v>6</v>
      </c>
    </row>
    <row r="1431" spans="1:6" x14ac:dyDescent="0.25">
      <c r="A1431" t="s">
        <v>1524</v>
      </c>
      <c r="B1431" s="2">
        <v>4451.9791718606421</v>
      </c>
      <c r="C1431" t="s">
        <v>16</v>
      </c>
      <c r="D1431" t="s">
        <v>4</v>
      </c>
      <c r="E1431" t="s">
        <v>2000</v>
      </c>
      <c r="F1431">
        <v>15</v>
      </c>
    </row>
    <row r="1432" spans="1:6" x14ac:dyDescent="0.25">
      <c r="A1432" t="s">
        <v>1525</v>
      </c>
      <c r="B1432" s="2">
        <v>6410.8500074793246</v>
      </c>
      <c r="C1432" t="s">
        <v>3</v>
      </c>
      <c r="D1432" t="s">
        <v>4</v>
      </c>
      <c r="E1432" t="s">
        <v>2000</v>
      </c>
      <c r="F1432">
        <v>6</v>
      </c>
    </row>
    <row r="1433" spans="1:6" x14ac:dyDescent="0.25">
      <c r="A1433" t="s">
        <v>1526</v>
      </c>
      <c r="B1433" s="2">
        <v>20479.104190558952</v>
      </c>
      <c r="C1433" t="s">
        <v>16</v>
      </c>
      <c r="D1433" t="s">
        <v>4</v>
      </c>
      <c r="E1433" t="s">
        <v>2002</v>
      </c>
      <c r="F1433">
        <v>12</v>
      </c>
    </row>
    <row r="1434" spans="1:6" x14ac:dyDescent="0.25">
      <c r="A1434" t="s">
        <v>1527</v>
      </c>
      <c r="B1434" s="2">
        <v>11040.908346214392</v>
      </c>
      <c r="C1434" t="s">
        <v>3</v>
      </c>
      <c r="D1434" t="s">
        <v>4</v>
      </c>
      <c r="E1434" t="s">
        <v>1999</v>
      </c>
      <c r="F1434">
        <v>5</v>
      </c>
    </row>
    <row r="1435" spans="1:6" x14ac:dyDescent="0.25">
      <c r="A1435" t="s">
        <v>1528</v>
      </c>
      <c r="B1435" s="2">
        <v>17807.916687442568</v>
      </c>
      <c r="C1435" t="s">
        <v>26</v>
      </c>
      <c r="D1435" t="s">
        <v>4</v>
      </c>
      <c r="E1435" t="s">
        <v>2000</v>
      </c>
      <c r="F1435">
        <v>7</v>
      </c>
    </row>
    <row r="1436" spans="1:6" x14ac:dyDescent="0.25">
      <c r="A1436" t="s">
        <v>1529</v>
      </c>
      <c r="B1436" s="2">
        <v>3561.5833374885137</v>
      </c>
      <c r="C1436" t="s">
        <v>3</v>
      </c>
      <c r="D1436" t="s">
        <v>4</v>
      </c>
      <c r="E1436" t="s">
        <v>2001</v>
      </c>
      <c r="F1436">
        <v>11</v>
      </c>
    </row>
    <row r="1437" spans="1:6" x14ac:dyDescent="0.25">
      <c r="A1437" t="s">
        <v>1530</v>
      </c>
      <c r="B1437" s="2">
        <v>26795.030625143831</v>
      </c>
      <c r="C1437" t="s">
        <v>3</v>
      </c>
      <c r="D1437" t="s">
        <v>55</v>
      </c>
      <c r="E1437" t="s">
        <v>2000</v>
      </c>
      <c r="F1437">
        <v>5</v>
      </c>
    </row>
    <row r="1438" spans="1:6" x14ac:dyDescent="0.25">
      <c r="A1438" t="s">
        <v>1531</v>
      </c>
      <c r="B1438" s="2">
        <v>20400</v>
      </c>
      <c r="C1438" t="s">
        <v>16</v>
      </c>
      <c r="D1438" t="s">
        <v>1350</v>
      </c>
      <c r="E1438" t="s">
        <v>1999</v>
      </c>
      <c r="F1438">
        <v>10</v>
      </c>
    </row>
    <row r="1439" spans="1:6" x14ac:dyDescent="0.25">
      <c r="A1439" t="s">
        <v>1532</v>
      </c>
      <c r="B1439" s="2">
        <v>39404.456801682099</v>
      </c>
      <c r="C1439" t="s">
        <v>24</v>
      </c>
      <c r="D1439" t="s">
        <v>55</v>
      </c>
      <c r="E1439" t="s">
        <v>2001</v>
      </c>
      <c r="F1439">
        <v>35</v>
      </c>
    </row>
    <row r="1440" spans="1:6" x14ac:dyDescent="0.25">
      <c r="A1440" t="s">
        <v>1533</v>
      </c>
      <c r="B1440" s="2">
        <v>149907.13380100971</v>
      </c>
      <c r="C1440" t="s">
        <v>3</v>
      </c>
      <c r="D1440" t="s">
        <v>1455</v>
      </c>
      <c r="E1440" t="s">
        <v>2001</v>
      </c>
      <c r="F1440">
        <v>7</v>
      </c>
    </row>
    <row r="1441" spans="1:6" x14ac:dyDescent="0.25">
      <c r="A1441" t="s">
        <v>1534</v>
      </c>
      <c r="B1441" s="2">
        <v>4095.8208381117906</v>
      </c>
      <c r="C1441" t="s">
        <v>3</v>
      </c>
      <c r="D1441" t="s">
        <v>4</v>
      </c>
      <c r="E1441" t="s">
        <v>2001</v>
      </c>
      <c r="F1441">
        <v>1.6</v>
      </c>
    </row>
    <row r="1442" spans="1:6" x14ac:dyDescent="0.25">
      <c r="A1442" t="s">
        <v>1535</v>
      </c>
      <c r="B1442" s="2">
        <v>127488.70705032947</v>
      </c>
      <c r="C1442" t="s">
        <v>24</v>
      </c>
      <c r="D1442" t="s">
        <v>65</v>
      </c>
      <c r="E1442" t="s">
        <v>2001</v>
      </c>
      <c r="F1442">
        <v>7</v>
      </c>
    </row>
    <row r="1443" spans="1:6" x14ac:dyDescent="0.25">
      <c r="A1443" t="s">
        <v>1536</v>
      </c>
      <c r="B1443" s="2">
        <v>58318.59606648951</v>
      </c>
      <c r="C1443" t="s">
        <v>16</v>
      </c>
      <c r="D1443" t="s">
        <v>55</v>
      </c>
      <c r="E1443" t="s">
        <v>2002</v>
      </c>
      <c r="F1443">
        <v>20</v>
      </c>
    </row>
    <row r="1444" spans="1:6" x14ac:dyDescent="0.25">
      <c r="A1444" t="s">
        <v>1537</v>
      </c>
      <c r="B1444" s="2">
        <v>9509.8988293070688</v>
      </c>
      <c r="C1444" t="s">
        <v>6</v>
      </c>
      <c r="D1444" t="s">
        <v>38</v>
      </c>
      <c r="E1444" t="s">
        <v>2001</v>
      </c>
      <c r="F1444">
        <v>2</v>
      </c>
    </row>
    <row r="1445" spans="1:6" x14ac:dyDescent="0.25">
      <c r="A1445" t="s">
        <v>1538</v>
      </c>
      <c r="B1445" s="2">
        <v>12821.700014958649</v>
      </c>
      <c r="C1445" t="s">
        <v>3</v>
      </c>
      <c r="D1445" t="s">
        <v>4</v>
      </c>
      <c r="E1445" t="s">
        <v>2001</v>
      </c>
      <c r="F1445">
        <v>3</v>
      </c>
    </row>
    <row r="1446" spans="1:6" x14ac:dyDescent="0.25">
      <c r="A1446" t="s">
        <v>1539</v>
      </c>
      <c r="B1446" s="2">
        <v>4000</v>
      </c>
      <c r="C1446" t="s">
        <v>3</v>
      </c>
      <c r="D1446" t="s">
        <v>4</v>
      </c>
      <c r="E1446" t="s">
        <v>2002</v>
      </c>
      <c r="F1446">
        <v>6</v>
      </c>
    </row>
    <row r="1447" spans="1:6" x14ac:dyDescent="0.25">
      <c r="A1447" t="s">
        <v>1540</v>
      </c>
      <c r="B1447" s="2">
        <v>42000</v>
      </c>
      <c r="C1447" t="s">
        <v>3</v>
      </c>
      <c r="D1447" t="s">
        <v>8</v>
      </c>
      <c r="E1447" t="s">
        <v>2002</v>
      </c>
      <c r="F1447">
        <v>2</v>
      </c>
    </row>
    <row r="1448" spans="1:6" x14ac:dyDescent="0.25">
      <c r="A1448" t="s">
        <v>1541</v>
      </c>
      <c r="B1448" s="2">
        <v>3200</v>
      </c>
      <c r="C1448" t="s">
        <v>16</v>
      </c>
      <c r="D1448" t="s">
        <v>4</v>
      </c>
      <c r="E1448" t="s">
        <v>2002</v>
      </c>
      <c r="F1448">
        <v>19</v>
      </c>
    </row>
    <row r="1449" spans="1:6" x14ac:dyDescent="0.25">
      <c r="A1449" t="s">
        <v>1542</v>
      </c>
      <c r="B1449" s="2">
        <v>60000</v>
      </c>
      <c r="C1449" t="s">
        <v>3</v>
      </c>
      <c r="D1449" t="s">
        <v>163</v>
      </c>
      <c r="E1449" t="s">
        <v>2000</v>
      </c>
      <c r="F1449">
        <v>10</v>
      </c>
    </row>
    <row r="1450" spans="1:6" x14ac:dyDescent="0.25">
      <c r="A1450" t="s">
        <v>1543</v>
      </c>
      <c r="B1450" s="2">
        <v>85000</v>
      </c>
      <c r="C1450" t="s">
        <v>3</v>
      </c>
      <c r="D1450" t="s">
        <v>8</v>
      </c>
      <c r="E1450" t="s">
        <v>2001</v>
      </c>
      <c r="F1450">
        <v>9</v>
      </c>
    </row>
    <row r="1451" spans="1:6" x14ac:dyDescent="0.25">
      <c r="A1451" t="s">
        <v>1544</v>
      </c>
      <c r="B1451" s="2">
        <v>109000</v>
      </c>
      <c r="C1451" t="s">
        <v>16</v>
      </c>
      <c r="D1451" t="s">
        <v>8</v>
      </c>
      <c r="E1451" t="s">
        <v>2001</v>
      </c>
      <c r="F1451">
        <v>15</v>
      </c>
    </row>
    <row r="1452" spans="1:6" x14ac:dyDescent="0.25">
      <c r="A1452" t="s">
        <v>1545</v>
      </c>
      <c r="B1452" s="2">
        <v>76223.966339496474</v>
      </c>
      <c r="C1452" t="s">
        <v>3</v>
      </c>
      <c r="D1452" t="s">
        <v>1259</v>
      </c>
      <c r="E1452" t="s">
        <v>2002</v>
      </c>
      <c r="F1452">
        <v>14</v>
      </c>
    </row>
    <row r="1453" spans="1:6" x14ac:dyDescent="0.25">
      <c r="A1453" t="s">
        <v>1546</v>
      </c>
      <c r="B1453" s="2">
        <v>77000</v>
      </c>
      <c r="C1453" t="s">
        <v>12</v>
      </c>
      <c r="D1453" t="s">
        <v>8</v>
      </c>
      <c r="E1453" t="s">
        <v>2000</v>
      </c>
      <c r="F1453">
        <v>13</v>
      </c>
    </row>
    <row r="1454" spans="1:6" x14ac:dyDescent="0.25">
      <c r="A1454" t="s">
        <v>1547</v>
      </c>
      <c r="B1454" s="2">
        <v>25000</v>
      </c>
      <c r="C1454" t="s">
        <v>3</v>
      </c>
      <c r="D1454" t="s">
        <v>4</v>
      </c>
      <c r="E1454" t="s">
        <v>2002</v>
      </c>
      <c r="F1454">
        <v>4</v>
      </c>
    </row>
    <row r="1455" spans="1:6" x14ac:dyDescent="0.25">
      <c r="A1455" t="s">
        <v>1548</v>
      </c>
      <c r="B1455" s="2">
        <v>64000</v>
      </c>
      <c r="C1455" t="s">
        <v>16</v>
      </c>
      <c r="D1455" t="s">
        <v>8</v>
      </c>
      <c r="E1455" t="s">
        <v>2000</v>
      </c>
      <c r="F1455">
        <v>12</v>
      </c>
    </row>
    <row r="1456" spans="1:6" x14ac:dyDescent="0.25">
      <c r="A1456" t="s">
        <v>1549</v>
      </c>
      <c r="B1456" s="2">
        <v>231119.74856804207</v>
      </c>
      <c r="C1456" t="s">
        <v>12</v>
      </c>
      <c r="D1456" t="s">
        <v>55</v>
      </c>
      <c r="E1456" t="s">
        <v>2000</v>
      </c>
      <c r="F1456">
        <v>10</v>
      </c>
    </row>
    <row r="1457" spans="1:6" x14ac:dyDescent="0.25">
      <c r="A1457" t="s">
        <v>1550</v>
      </c>
      <c r="B1457" s="2">
        <v>76000</v>
      </c>
      <c r="C1457" t="s">
        <v>3</v>
      </c>
      <c r="D1457" t="s">
        <v>8</v>
      </c>
      <c r="E1457" t="s">
        <v>2002</v>
      </c>
      <c r="F1457">
        <v>10</v>
      </c>
    </row>
    <row r="1458" spans="1:6" x14ac:dyDescent="0.25">
      <c r="A1458" t="s">
        <v>1551</v>
      </c>
      <c r="B1458" s="2">
        <v>15761.782720672842</v>
      </c>
      <c r="C1458" t="s">
        <v>3</v>
      </c>
      <c r="D1458" t="s">
        <v>55</v>
      </c>
      <c r="E1458" t="s">
        <v>2000</v>
      </c>
      <c r="F1458">
        <v>8</v>
      </c>
    </row>
    <row r="1459" spans="1:6" x14ac:dyDescent="0.25">
      <c r="A1459" t="s">
        <v>1552</v>
      </c>
      <c r="B1459" s="2">
        <v>168285.09330643489</v>
      </c>
      <c r="C1459" t="s">
        <v>12</v>
      </c>
      <c r="D1459" t="s">
        <v>65</v>
      </c>
      <c r="E1459" t="s">
        <v>2000</v>
      </c>
      <c r="F1459">
        <v>17</v>
      </c>
    </row>
    <row r="1460" spans="1:6" x14ac:dyDescent="0.25">
      <c r="A1460" t="s">
        <v>1553</v>
      </c>
      <c r="B1460" s="2">
        <v>50000</v>
      </c>
      <c r="C1460" t="s">
        <v>3</v>
      </c>
      <c r="D1460" t="s">
        <v>1094</v>
      </c>
      <c r="E1460" t="s">
        <v>2001</v>
      </c>
      <c r="F1460">
        <v>13</v>
      </c>
    </row>
    <row r="1461" spans="1:6" x14ac:dyDescent="0.25">
      <c r="A1461" t="s">
        <v>1554</v>
      </c>
      <c r="B1461" s="2">
        <v>7200</v>
      </c>
      <c r="C1461" t="s">
        <v>6</v>
      </c>
      <c r="D1461" t="s">
        <v>152</v>
      </c>
      <c r="E1461" t="s">
        <v>2001</v>
      </c>
      <c r="F1461">
        <v>8</v>
      </c>
    </row>
    <row r="1462" spans="1:6" x14ac:dyDescent="0.25">
      <c r="A1462" t="s">
        <v>1555</v>
      </c>
      <c r="B1462" s="2">
        <v>53356.776437647524</v>
      </c>
      <c r="C1462" t="s">
        <v>59</v>
      </c>
      <c r="D1462" t="s">
        <v>17</v>
      </c>
      <c r="E1462" t="s">
        <v>2002</v>
      </c>
      <c r="F1462">
        <v>7</v>
      </c>
    </row>
    <row r="1463" spans="1:6" x14ac:dyDescent="0.25">
      <c r="A1463" t="s">
        <v>1556</v>
      </c>
      <c r="B1463" s="2">
        <v>45000</v>
      </c>
      <c r="C1463" t="s">
        <v>26</v>
      </c>
      <c r="D1463" t="s">
        <v>8</v>
      </c>
      <c r="E1463" t="s">
        <v>2000</v>
      </c>
      <c r="F1463">
        <v>10</v>
      </c>
    </row>
    <row r="1464" spans="1:6" x14ac:dyDescent="0.25">
      <c r="A1464" t="s">
        <v>1557</v>
      </c>
      <c r="B1464" s="2">
        <v>5000</v>
      </c>
      <c r="C1464" t="s">
        <v>16</v>
      </c>
      <c r="D1464" t="s">
        <v>4</v>
      </c>
      <c r="E1464" t="s">
        <v>2002</v>
      </c>
      <c r="F1464">
        <v>4</v>
      </c>
    </row>
    <row r="1465" spans="1:6" x14ac:dyDescent="0.25">
      <c r="A1465" t="s">
        <v>1558</v>
      </c>
      <c r="B1465" s="2">
        <v>75473.31457379504</v>
      </c>
      <c r="C1465" t="s">
        <v>3</v>
      </c>
      <c r="D1465" t="s">
        <v>65</v>
      </c>
      <c r="E1465" t="s">
        <v>2002</v>
      </c>
      <c r="F1465">
        <v>20</v>
      </c>
    </row>
    <row r="1466" spans="1:6" x14ac:dyDescent="0.25">
      <c r="A1466" t="s">
        <v>1559</v>
      </c>
      <c r="B1466" s="2">
        <v>15000</v>
      </c>
      <c r="C1466" t="s">
        <v>16</v>
      </c>
      <c r="D1466" t="s">
        <v>449</v>
      </c>
      <c r="E1466" t="s">
        <v>2000</v>
      </c>
      <c r="F1466">
        <v>5</v>
      </c>
    </row>
    <row r="1467" spans="1:6" x14ac:dyDescent="0.25">
      <c r="A1467" t="s">
        <v>1560</v>
      </c>
      <c r="B1467" s="2">
        <v>42558.381206218859</v>
      </c>
      <c r="C1467" t="s">
        <v>6</v>
      </c>
      <c r="D1467" t="s">
        <v>17</v>
      </c>
      <c r="E1467" t="s">
        <v>2002</v>
      </c>
      <c r="F1467">
        <v>8</v>
      </c>
    </row>
    <row r="1468" spans="1:6" x14ac:dyDescent="0.25">
      <c r="A1468" t="s">
        <v>1561</v>
      </c>
      <c r="B1468" s="2">
        <v>61000</v>
      </c>
      <c r="C1468" t="s">
        <v>3</v>
      </c>
      <c r="D1468" t="s">
        <v>8</v>
      </c>
      <c r="E1468" t="s">
        <v>2001</v>
      </c>
      <c r="F1468">
        <v>5</v>
      </c>
    </row>
    <row r="1469" spans="1:6" x14ac:dyDescent="0.25">
      <c r="A1469" t="s">
        <v>1562</v>
      </c>
      <c r="B1469" s="2">
        <v>66000</v>
      </c>
      <c r="C1469" t="s">
        <v>3</v>
      </c>
      <c r="D1469" t="s">
        <v>8</v>
      </c>
      <c r="E1469" t="s">
        <v>2001</v>
      </c>
      <c r="F1469">
        <v>2</v>
      </c>
    </row>
    <row r="1470" spans="1:6" x14ac:dyDescent="0.25">
      <c r="A1470" t="s">
        <v>1563</v>
      </c>
      <c r="B1470" s="2">
        <v>4950.6008391090336</v>
      </c>
      <c r="C1470" t="s">
        <v>37</v>
      </c>
      <c r="D1470" t="s">
        <v>4</v>
      </c>
      <c r="E1470" t="s">
        <v>2002</v>
      </c>
      <c r="F1470">
        <v>8</v>
      </c>
    </row>
    <row r="1471" spans="1:6" x14ac:dyDescent="0.25">
      <c r="A1471" t="s">
        <v>1564</v>
      </c>
      <c r="B1471" s="2">
        <v>55000</v>
      </c>
      <c r="C1471" t="s">
        <v>16</v>
      </c>
      <c r="D1471" t="s">
        <v>8</v>
      </c>
      <c r="E1471" t="s">
        <v>2000</v>
      </c>
      <c r="F1471">
        <v>14</v>
      </c>
    </row>
    <row r="1472" spans="1:6" x14ac:dyDescent="0.25">
      <c r="A1472" t="s">
        <v>1565</v>
      </c>
      <c r="B1472" s="2">
        <v>32000</v>
      </c>
      <c r="C1472" t="s">
        <v>37</v>
      </c>
      <c r="D1472" t="s">
        <v>8</v>
      </c>
      <c r="E1472" t="s">
        <v>2001</v>
      </c>
      <c r="F1472">
        <v>10</v>
      </c>
    </row>
    <row r="1473" spans="1:6" x14ac:dyDescent="0.25">
      <c r="A1473" t="s">
        <v>1566</v>
      </c>
      <c r="B1473" s="2">
        <v>18000</v>
      </c>
      <c r="C1473" t="s">
        <v>3</v>
      </c>
      <c r="D1473" t="s">
        <v>4</v>
      </c>
      <c r="E1473" t="s">
        <v>2002</v>
      </c>
      <c r="F1473">
        <v>6</v>
      </c>
    </row>
    <row r="1474" spans="1:6" x14ac:dyDescent="0.25">
      <c r="A1474" t="s">
        <v>1567</v>
      </c>
      <c r="B1474" s="2">
        <v>11575.14584683767</v>
      </c>
      <c r="C1474" t="s">
        <v>3</v>
      </c>
      <c r="D1474" t="s">
        <v>4</v>
      </c>
      <c r="E1474" t="s">
        <v>2001</v>
      </c>
      <c r="F1474">
        <v>21</v>
      </c>
    </row>
    <row r="1475" spans="1:6" x14ac:dyDescent="0.25">
      <c r="A1475" t="s">
        <v>1568</v>
      </c>
      <c r="B1475" s="2">
        <v>63519.971949580387</v>
      </c>
      <c r="C1475" t="s">
        <v>24</v>
      </c>
      <c r="D1475" t="s">
        <v>1259</v>
      </c>
      <c r="E1475" t="s">
        <v>2002</v>
      </c>
      <c r="F1475">
        <v>15</v>
      </c>
    </row>
    <row r="1476" spans="1:6" x14ac:dyDescent="0.25">
      <c r="A1476" t="s">
        <v>1569</v>
      </c>
      <c r="B1476" s="2">
        <v>71231.666749770273</v>
      </c>
      <c r="C1476" t="s">
        <v>26</v>
      </c>
      <c r="D1476" t="s">
        <v>4</v>
      </c>
      <c r="E1476" t="s">
        <v>2002</v>
      </c>
      <c r="F1476">
        <v>5</v>
      </c>
    </row>
    <row r="1477" spans="1:6" x14ac:dyDescent="0.25">
      <c r="A1477" t="s">
        <v>1570</v>
      </c>
      <c r="B1477" s="2">
        <v>10000</v>
      </c>
      <c r="C1477" t="s">
        <v>3</v>
      </c>
      <c r="D1477" t="s">
        <v>116</v>
      </c>
      <c r="E1477" t="s">
        <v>2001</v>
      </c>
      <c r="F1477">
        <v>1</v>
      </c>
    </row>
    <row r="1478" spans="1:6" x14ac:dyDescent="0.25">
      <c r="A1478" t="s">
        <v>1571</v>
      </c>
      <c r="B1478" s="2">
        <v>74300</v>
      </c>
      <c r="C1478" t="s">
        <v>3</v>
      </c>
      <c r="D1478" t="s">
        <v>8</v>
      </c>
      <c r="E1478" t="s">
        <v>2001</v>
      </c>
      <c r="F1478">
        <v>3</v>
      </c>
    </row>
    <row r="1479" spans="1:6" x14ac:dyDescent="0.25">
      <c r="A1479" t="s">
        <v>1572</v>
      </c>
      <c r="B1479" s="2">
        <v>26711.875031163851</v>
      </c>
      <c r="C1479" t="s">
        <v>59</v>
      </c>
      <c r="D1479" t="s">
        <v>4</v>
      </c>
      <c r="E1479" t="s">
        <v>2001</v>
      </c>
      <c r="F1479">
        <v>10</v>
      </c>
    </row>
    <row r="1480" spans="1:6" x14ac:dyDescent="0.25">
      <c r="A1480" t="s">
        <v>1573</v>
      </c>
      <c r="B1480" s="2">
        <v>9545.0433444692171</v>
      </c>
      <c r="C1480" t="s">
        <v>16</v>
      </c>
      <c r="D1480" t="s">
        <v>4</v>
      </c>
      <c r="E1480" t="s">
        <v>2001</v>
      </c>
      <c r="F1480">
        <v>4</v>
      </c>
    </row>
    <row r="1481" spans="1:6" x14ac:dyDescent="0.25">
      <c r="A1481" t="s">
        <v>1574</v>
      </c>
      <c r="B1481" s="2">
        <v>95000</v>
      </c>
      <c r="C1481" t="s">
        <v>3</v>
      </c>
      <c r="D1481" t="s">
        <v>8</v>
      </c>
      <c r="E1481" t="s">
        <v>2001</v>
      </c>
      <c r="F1481">
        <v>15</v>
      </c>
    </row>
    <row r="1482" spans="1:6" x14ac:dyDescent="0.25">
      <c r="A1482" t="s">
        <v>1575</v>
      </c>
      <c r="B1482" s="2">
        <v>64300</v>
      </c>
      <c r="C1482" t="s">
        <v>24</v>
      </c>
      <c r="D1482" t="s">
        <v>8</v>
      </c>
      <c r="E1482" t="s">
        <v>2001</v>
      </c>
      <c r="F1482">
        <v>15</v>
      </c>
    </row>
    <row r="1483" spans="1:6" x14ac:dyDescent="0.25">
      <c r="A1483" t="s">
        <v>1576</v>
      </c>
      <c r="B1483" s="2">
        <v>250000</v>
      </c>
      <c r="C1483" t="s">
        <v>59</v>
      </c>
      <c r="D1483" t="s">
        <v>8</v>
      </c>
      <c r="E1483" t="s">
        <v>2002</v>
      </c>
      <c r="F1483">
        <v>20</v>
      </c>
    </row>
    <row r="1484" spans="1:6" x14ac:dyDescent="0.25">
      <c r="A1484" t="s">
        <v>1577</v>
      </c>
      <c r="B1484" s="2">
        <v>89000</v>
      </c>
      <c r="C1484" t="s">
        <v>16</v>
      </c>
      <c r="D1484" t="s">
        <v>8</v>
      </c>
      <c r="E1484" t="s">
        <v>2000</v>
      </c>
      <c r="F1484">
        <v>10</v>
      </c>
    </row>
    <row r="1485" spans="1:6" x14ac:dyDescent="0.25">
      <c r="A1485" t="s">
        <v>1578</v>
      </c>
      <c r="B1485" s="2">
        <v>75000</v>
      </c>
      <c r="C1485" t="s">
        <v>3</v>
      </c>
      <c r="D1485" t="s">
        <v>8</v>
      </c>
      <c r="E1485" t="s">
        <v>2002</v>
      </c>
      <c r="F1485">
        <v>1.5</v>
      </c>
    </row>
    <row r="1486" spans="1:6" x14ac:dyDescent="0.25">
      <c r="A1486" t="s">
        <v>1579</v>
      </c>
      <c r="B1486" s="2">
        <v>45000</v>
      </c>
      <c r="C1486" t="s">
        <v>3</v>
      </c>
      <c r="D1486" t="s">
        <v>8</v>
      </c>
      <c r="E1486" t="s">
        <v>2002</v>
      </c>
      <c r="F1486">
        <v>5</v>
      </c>
    </row>
    <row r="1487" spans="1:6" x14ac:dyDescent="0.25">
      <c r="A1487" t="s">
        <v>1580</v>
      </c>
      <c r="B1487" s="2">
        <v>127500</v>
      </c>
      <c r="C1487" t="s">
        <v>21</v>
      </c>
      <c r="D1487" t="s">
        <v>8</v>
      </c>
      <c r="E1487" t="s">
        <v>2002</v>
      </c>
      <c r="F1487">
        <v>22</v>
      </c>
    </row>
    <row r="1488" spans="1:6" x14ac:dyDescent="0.25">
      <c r="A1488" t="s">
        <v>1581</v>
      </c>
      <c r="B1488" s="2">
        <v>170000</v>
      </c>
      <c r="C1488" t="s">
        <v>21</v>
      </c>
      <c r="D1488" t="s">
        <v>8</v>
      </c>
      <c r="E1488" t="s">
        <v>2000</v>
      </c>
      <c r="F1488">
        <v>18</v>
      </c>
    </row>
    <row r="1489" spans="1:6" x14ac:dyDescent="0.25">
      <c r="A1489" t="s">
        <v>1582</v>
      </c>
      <c r="B1489" s="2">
        <v>9600</v>
      </c>
      <c r="C1489" t="s">
        <v>3</v>
      </c>
      <c r="D1489" t="s">
        <v>1583</v>
      </c>
      <c r="E1489" t="s">
        <v>2002</v>
      </c>
      <c r="F1489">
        <v>2</v>
      </c>
    </row>
    <row r="1490" spans="1:6" x14ac:dyDescent="0.25">
      <c r="A1490" t="s">
        <v>1584</v>
      </c>
      <c r="B1490" s="2">
        <v>62000</v>
      </c>
      <c r="C1490" t="s">
        <v>3</v>
      </c>
      <c r="D1490" t="s">
        <v>8</v>
      </c>
      <c r="E1490" t="s">
        <v>2002</v>
      </c>
      <c r="F1490">
        <v>27</v>
      </c>
    </row>
    <row r="1491" spans="1:6" x14ac:dyDescent="0.25">
      <c r="A1491" t="s">
        <v>1585</v>
      </c>
      <c r="B1491" s="2">
        <v>22000</v>
      </c>
      <c r="C1491" t="s">
        <v>16</v>
      </c>
      <c r="D1491" t="s">
        <v>8</v>
      </c>
      <c r="E1491" t="s">
        <v>2001</v>
      </c>
      <c r="F1491">
        <v>3</v>
      </c>
    </row>
    <row r="1492" spans="1:6" x14ac:dyDescent="0.25">
      <c r="A1492" t="s">
        <v>1586</v>
      </c>
      <c r="B1492" s="2">
        <v>45000</v>
      </c>
      <c r="C1492" t="s">
        <v>3</v>
      </c>
      <c r="D1492" t="s">
        <v>8</v>
      </c>
      <c r="E1492" t="s">
        <v>2001</v>
      </c>
      <c r="F1492">
        <v>8</v>
      </c>
    </row>
    <row r="1493" spans="1:6" x14ac:dyDescent="0.25">
      <c r="A1493" t="s">
        <v>1587</v>
      </c>
      <c r="B1493" s="2">
        <v>145000</v>
      </c>
      <c r="C1493" t="s">
        <v>3</v>
      </c>
      <c r="D1493" t="s">
        <v>8</v>
      </c>
      <c r="E1493" t="s">
        <v>2001</v>
      </c>
      <c r="F1493">
        <v>6</v>
      </c>
    </row>
    <row r="1494" spans="1:6" x14ac:dyDescent="0.25">
      <c r="A1494" t="s">
        <v>1588</v>
      </c>
      <c r="B1494" s="2">
        <v>89000</v>
      </c>
      <c r="C1494" t="s">
        <v>3</v>
      </c>
      <c r="D1494" t="s">
        <v>8</v>
      </c>
      <c r="E1494" t="s">
        <v>2002</v>
      </c>
      <c r="F1494">
        <v>14</v>
      </c>
    </row>
    <row r="1495" spans="1:6" x14ac:dyDescent="0.25">
      <c r="A1495" t="s">
        <v>1589</v>
      </c>
      <c r="B1495" s="2">
        <v>38000</v>
      </c>
      <c r="C1495" t="s">
        <v>24</v>
      </c>
      <c r="D1495" t="s">
        <v>8</v>
      </c>
      <c r="E1495" t="s">
        <v>2001</v>
      </c>
      <c r="F1495">
        <v>11</v>
      </c>
    </row>
    <row r="1496" spans="1:6" x14ac:dyDescent="0.25">
      <c r="A1496" t="s">
        <v>1590</v>
      </c>
      <c r="B1496" s="2">
        <v>49168.076151516347</v>
      </c>
      <c r="C1496" t="s">
        <v>3</v>
      </c>
      <c r="D1496" t="s">
        <v>68</v>
      </c>
      <c r="E1496" t="s">
        <v>2001</v>
      </c>
      <c r="F1496">
        <v>3</v>
      </c>
    </row>
    <row r="1497" spans="1:6" x14ac:dyDescent="0.25">
      <c r="A1497" t="s">
        <v>1591</v>
      </c>
      <c r="B1497" s="2">
        <v>8903.9583437212841</v>
      </c>
      <c r="C1497" t="s">
        <v>3</v>
      </c>
      <c r="D1497" t="s">
        <v>4</v>
      </c>
      <c r="E1497" t="s">
        <v>2001</v>
      </c>
      <c r="F1497">
        <v>8</v>
      </c>
    </row>
    <row r="1498" spans="1:6" x14ac:dyDescent="0.25">
      <c r="A1498" t="s">
        <v>1592</v>
      </c>
      <c r="B1498" s="2">
        <v>10000</v>
      </c>
      <c r="C1498" t="s">
        <v>16</v>
      </c>
      <c r="D1498" t="s">
        <v>1593</v>
      </c>
      <c r="E1498" t="s">
        <v>2000</v>
      </c>
      <c r="F1498">
        <v>8</v>
      </c>
    </row>
    <row r="1499" spans="1:6" x14ac:dyDescent="0.25">
      <c r="A1499" t="s">
        <v>1594</v>
      </c>
      <c r="B1499" s="2">
        <v>105000</v>
      </c>
      <c r="C1499" t="s">
        <v>16</v>
      </c>
      <c r="D1499" t="s">
        <v>8</v>
      </c>
      <c r="E1499" t="s">
        <v>1999</v>
      </c>
      <c r="F1499">
        <v>30</v>
      </c>
    </row>
    <row r="1500" spans="1:6" x14ac:dyDescent="0.25">
      <c r="A1500" t="s">
        <v>1595</v>
      </c>
      <c r="B1500" s="2">
        <v>12000</v>
      </c>
      <c r="C1500" t="s">
        <v>3</v>
      </c>
      <c r="D1500" t="s">
        <v>1596</v>
      </c>
      <c r="E1500" t="s">
        <v>2000</v>
      </c>
      <c r="F1500">
        <v>0</v>
      </c>
    </row>
    <row r="1501" spans="1:6" x14ac:dyDescent="0.25">
      <c r="A1501" t="s">
        <v>1597</v>
      </c>
      <c r="B1501" s="2">
        <v>3561.5833374885137</v>
      </c>
      <c r="C1501" t="s">
        <v>24</v>
      </c>
      <c r="D1501" t="s">
        <v>4</v>
      </c>
      <c r="E1501" t="s">
        <v>2002</v>
      </c>
      <c r="F1501">
        <v>3</v>
      </c>
    </row>
    <row r="1502" spans="1:6" x14ac:dyDescent="0.25">
      <c r="A1502" t="s">
        <v>1598</v>
      </c>
      <c r="B1502" s="2">
        <v>86692.320794224041</v>
      </c>
      <c r="C1502" t="s">
        <v>3</v>
      </c>
      <c r="D1502" t="s">
        <v>65</v>
      </c>
      <c r="E1502" t="s">
        <v>1999</v>
      </c>
      <c r="F1502">
        <v>5</v>
      </c>
    </row>
    <row r="1503" spans="1:6" x14ac:dyDescent="0.25">
      <c r="A1503" t="s">
        <v>1599</v>
      </c>
      <c r="B1503" s="2">
        <v>8000</v>
      </c>
      <c r="C1503" t="s">
        <v>21</v>
      </c>
      <c r="D1503" t="s">
        <v>4</v>
      </c>
      <c r="E1503" t="s">
        <v>2001</v>
      </c>
      <c r="F1503">
        <v>18</v>
      </c>
    </row>
    <row r="1504" spans="1:6" x14ac:dyDescent="0.25">
      <c r="A1504" t="s">
        <v>1600</v>
      </c>
      <c r="B1504" s="2">
        <v>6767.0083412281756</v>
      </c>
      <c r="C1504" t="s">
        <v>3</v>
      </c>
      <c r="D1504" t="s">
        <v>4</v>
      </c>
      <c r="E1504" t="s">
        <v>2000</v>
      </c>
      <c r="F1504">
        <v>6</v>
      </c>
    </row>
    <row r="1505" spans="1:6" x14ac:dyDescent="0.25">
      <c r="A1505" t="s">
        <v>1601</v>
      </c>
      <c r="B1505" s="2">
        <v>48073.437298052166</v>
      </c>
      <c r="C1505" t="s">
        <v>59</v>
      </c>
      <c r="D1505" t="s">
        <v>55</v>
      </c>
      <c r="E1505" t="s">
        <v>2001</v>
      </c>
      <c r="F1505">
        <v>14</v>
      </c>
    </row>
    <row r="1506" spans="1:6" x14ac:dyDescent="0.25">
      <c r="A1506" t="s">
        <v>1602</v>
      </c>
      <c r="B1506" s="2">
        <v>76223.966339496474</v>
      </c>
      <c r="C1506" t="s">
        <v>16</v>
      </c>
      <c r="D1506" t="s">
        <v>572</v>
      </c>
      <c r="E1506" t="s">
        <v>2000</v>
      </c>
      <c r="F1506">
        <v>15</v>
      </c>
    </row>
    <row r="1507" spans="1:6" x14ac:dyDescent="0.25">
      <c r="A1507" t="s">
        <v>1603</v>
      </c>
      <c r="B1507" s="2">
        <v>85333.333333333328</v>
      </c>
      <c r="C1507" t="s">
        <v>16</v>
      </c>
      <c r="D1507" t="s">
        <v>107</v>
      </c>
      <c r="E1507" t="s">
        <v>2000</v>
      </c>
      <c r="F1507">
        <v>15</v>
      </c>
    </row>
    <row r="1508" spans="1:6" x14ac:dyDescent="0.25">
      <c r="A1508" t="s">
        <v>1604</v>
      </c>
      <c r="B1508" s="2">
        <v>76223.981237173866</v>
      </c>
      <c r="C1508" t="s">
        <v>16</v>
      </c>
      <c r="D1508" t="s">
        <v>55</v>
      </c>
      <c r="E1508" t="s">
        <v>2002</v>
      </c>
      <c r="F1508">
        <v>8</v>
      </c>
    </row>
    <row r="1509" spans="1:6" x14ac:dyDescent="0.25">
      <c r="A1509" t="s">
        <v>1605</v>
      </c>
      <c r="B1509" s="2">
        <v>30000</v>
      </c>
      <c r="C1509" t="s">
        <v>16</v>
      </c>
      <c r="D1509" t="s">
        <v>10</v>
      </c>
      <c r="E1509" t="s">
        <v>2001</v>
      </c>
      <c r="F1509">
        <v>5</v>
      </c>
    </row>
    <row r="1510" spans="1:6" x14ac:dyDescent="0.25">
      <c r="A1510" t="s">
        <v>1606</v>
      </c>
      <c r="B1510" s="2">
        <v>34000</v>
      </c>
      <c r="C1510" t="s">
        <v>3</v>
      </c>
      <c r="D1510" t="s">
        <v>4</v>
      </c>
      <c r="E1510" t="s">
        <v>2002</v>
      </c>
      <c r="F1510">
        <v>4</v>
      </c>
    </row>
    <row r="1511" spans="1:6" x14ac:dyDescent="0.25">
      <c r="A1511" t="s">
        <v>1607</v>
      </c>
      <c r="B1511" s="2">
        <v>3205.4250037396623</v>
      </c>
      <c r="C1511" t="s">
        <v>16</v>
      </c>
      <c r="D1511" t="s">
        <v>4</v>
      </c>
      <c r="E1511" t="s">
        <v>2001</v>
      </c>
      <c r="F1511">
        <v>5</v>
      </c>
    </row>
    <row r="1512" spans="1:6" x14ac:dyDescent="0.25">
      <c r="A1512" t="s">
        <v>1608</v>
      </c>
      <c r="B1512" s="2">
        <v>45000</v>
      </c>
      <c r="C1512" t="s">
        <v>16</v>
      </c>
      <c r="D1512" t="s">
        <v>17</v>
      </c>
      <c r="E1512" t="s">
        <v>2000</v>
      </c>
      <c r="F1512">
        <v>5</v>
      </c>
    </row>
    <row r="1513" spans="1:6" x14ac:dyDescent="0.25">
      <c r="A1513" t="s">
        <v>1609</v>
      </c>
      <c r="B1513" s="2">
        <v>24864</v>
      </c>
      <c r="C1513" t="s">
        <v>16</v>
      </c>
      <c r="D1513" t="s">
        <v>1610</v>
      </c>
      <c r="E1513" t="s">
        <v>2002</v>
      </c>
      <c r="F1513">
        <v>8</v>
      </c>
    </row>
    <row r="1514" spans="1:6" x14ac:dyDescent="0.25">
      <c r="A1514" t="s">
        <v>1611</v>
      </c>
      <c r="B1514" s="2">
        <v>47285.348162018527</v>
      </c>
      <c r="C1514" t="s">
        <v>3</v>
      </c>
      <c r="D1514" t="s">
        <v>55</v>
      </c>
      <c r="E1514" t="s">
        <v>2001</v>
      </c>
      <c r="F1514">
        <v>7</v>
      </c>
    </row>
    <row r="1515" spans="1:6" x14ac:dyDescent="0.25">
      <c r="A1515" t="s">
        <v>1612</v>
      </c>
      <c r="B1515" s="2">
        <v>17807.916687442568</v>
      </c>
      <c r="C1515" t="s">
        <v>3</v>
      </c>
      <c r="D1515" t="s">
        <v>4</v>
      </c>
      <c r="E1515" t="s">
        <v>2002</v>
      </c>
      <c r="F1515">
        <v>10</v>
      </c>
    </row>
    <row r="1516" spans="1:6" x14ac:dyDescent="0.25">
      <c r="A1516" t="s">
        <v>1613</v>
      </c>
      <c r="B1516" s="2">
        <v>55166.239522354947</v>
      </c>
      <c r="C1516" t="s">
        <v>3</v>
      </c>
      <c r="D1516" t="s">
        <v>55</v>
      </c>
      <c r="E1516" t="s">
        <v>2001</v>
      </c>
      <c r="F1516">
        <v>3</v>
      </c>
    </row>
    <row r="1517" spans="1:6" x14ac:dyDescent="0.25">
      <c r="A1517" t="s">
        <v>1614</v>
      </c>
      <c r="B1517" s="2">
        <v>69871.969144538423</v>
      </c>
      <c r="C1517" t="s">
        <v>16</v>
      </c>
      <c r="D1517" t="s">
        <v>572</v>
      </c>
      <c r="E1517" t="s">
        <v>1999</v>
      </c>
      <c r="F1517">
        <v>5</v>
      </c>
    </row>
    <row r="1518" spans="1:6" x14ac:dyDescent="0.25">
      <c r="A1518" t="s">
        <v>1615</v>
      </c>
      <c r="B1518" s="2">
        <v>70970</v>
      </c>
      <c r="C1518" t="s">
        <v>3</v>
      </c>
      <c r="D1518" t="s">
        <v>8</v>
      </c>
      <c r="E1518" t="s">
        <v>2001</v>
      </c>
      <c r="F1518">
        <v>17</v>
      </c>
    </row>
    <row r="1519" spans="1:6" x14ac:dyDescent="0.25">
      <c r="A1519" t="s">
        <v>1616</v>
      </c>
      <c r="B1519" s="2">
        <v>76223.966339496474</v>
      </c>
      <c r="C1519" t="s">
        <v>12</v>
      </c>
      <c r="D1519" t="s">
        <v>572</v>
      </c>
      <c r="E1519" t="s">
        <v>2001</v>
      </c>
      <c r="F1519">
        <v>7</v>
      </c>
    </row>
    <row r="1520" spans="1:6" x14ac:dyDescent="0.25">
      <c r="A1520" t="s">
        <v>1617</v>
      </c>
      <c r="B1520" s="2">
        <v>110000</v>
      </c>
      <c r="C1520" t="s">
        <v>6</v>
      </c>
      <c r="D1520" t="s">
        <v>526</v>
      </c>
      <c r="E1520" t="s">
        <v>2002</v>
      </c>
      <c r="F1520">
        <v>5</v>
      </c>
    </row>
    <row r="1521" spans="1:6" x14ac:dyDescent="0.25">
      <c r="A1521" t="s">
        <v>1618</v>
      </c>
      <c r="B1521" s="2">
        <v>14400</v>
      </c>
      <c r="C1521" t="s">
        <v>3</v>
      </c>
      <c r="D1521" t="s">
        <v>1619</v>
      </c>
      <c r="E1521" t="s">
        <v>2002</v>
      </c>
      <c r="F1521">
        <v>15</v>
      </c>
    </row>
    <row r="1522" spans="1:6" x14ac:dyDescent="0.25">
      <c r="A1522" t="s">
        <v>1620</v>
      </c>
      <c r="B1522" s="2">
        <v>125000</v>
      </c>
      <c r="C1522" t="s">
        <v>59</v>
      </c>
      <c r="D1522" t="s">
        <v>8</v>
      </c>
      <c r="E1522" t="s">
        <v>2002</v>
      </c>
      <c r="F1522">
        <v>8</v>
      </c>
    </row>
    <row r="1523" spans="1:6" x14ac:dyDescent="0.25">
      <c r="A1523" t="s">
        <v>1621</v>
      </c>
      <c r="B1523" s="2">
        <v>72768.752704244194</v>
      </c>
      <c r="C1523" t="s">
        <v>3</v>
      </c>
      <c r="D1523" t="s">
        <v>68</v>
      </c>
      <c r="E1523" t="s">
        <v>2001</v>
      </c>
      <c r="F1523">
        <v>10</v>
      </c>
    </row>
    <row r="1524" spans="1:6" x14ac:dyDescent="0.25">
      <c r="A1524" t="s">
        <v>1622</v>
      </c>
      <c r="B1524" s="2">
        <v>59000</v>
      </c>
      <c r="C1524" t="s">
        <v>16</v>
      </c>
      <c r="D1524" t="s">
        <v>8</v>
      </c>
      <c r="E1524" t="s">
        <v>2001</v>
      </c>
      <c r="F1524">
        <v>15</v>
      </c>
    </row>
    <row r="1525" spans="1:6" x14ac:dyDescent="0.25">
      <c r="A1525" t="s">
        <v>1623</v>
      </c>
      <c r="B1525" s="2">
        <v>71500</v>
      </c>
      <c r="C1525" t="s">
        <v>3</v>
      </c>
      <c r="D1525" t="s">
        <v>8</v>
      </c>
      <c r="E1525" t="s">
        <v>2001</v>
      </c>
      <c r="F1525">
        <v>5</v>
      </c>
    </row>
    <row r="1526" spans="1:6" x14ac:dyDescent="0.25">
      <c r="A1526" t="s">
        <v>1624</v>
      </c>
      <c r="B1526" s="2">
        <v>39404.456801682099</v>
      </c>
      <c r="C1526" t="s">
        <v>37</v>
      </c>
      <c r="D1526" t="s">
        <v>55</v>
      </c>
      <c r="E1526" t="s">
        <v>2001</v>
      </c>
      <c r="F1526">
        <v>2</v>
      </c>
    </row>
    <row r="1527" spans="1:6" x14ac:dyDescent="0.25">
      <c r="A1527" t="s">
        <v>1625</v>
      </c>
      <c r="B1527" s="2">
        <v>88927.960729412545</v>
      </c>
      <c r="C1527" t="s">
        <v>26</v>
      </c>
      <c r="D1527" t="s">
        <v>17</v>
      </c>
      <c r="E1527" t="s">
        <v>1999</v>
      </c>
      <c r="F1527">
        <v>5</v>
      </c>
    </row>
    <row r="1528" spans="1:6" x14ac:dyDescent="0.25">
      <c r="A1528" t="s">
        <v>1626</v>
      </c>
      <c r="B1528" s="2">
        <v>90000</v>
      </c>
      <c r="C1528" t="s">
        <v>16</v>
      </c>
      <c r="D1528" t="s">
        <v>8</v>
      </c>
      <c r="E1528" t="s">
        <v>2001</v>
      </c>
      <c r="F1528">
        <v>25</v>
      </c>
    </row>
    <row r="1529" spans="1:6" x14ac:dyDescent="0.25">
      <c r="A1529" t="s">
        <v>1627</v>
      </c>
      <c r="B1529" s="2">
        <v>12465.541681209797</v>
      </c>
      <c r="C1529" t="s">
        <v>16</v>
      </c>
      <c r="D1529" t="s">
        <v>4</v>
      </c>
      <c r="E1529" t="s">
        <v>2002</v>
      </c>
      <c r="F1529">
        <v>30</v>
      </c>
    </row>
    <row r="1530" spans="1:6" x14ac:dyDescent="0.25">
      <c r="A1530" t="s">
        <v>1628</v>
      </c>
      <c r="B1530" s="2">
        <v>40000</v>
      </c>
      <c r="C1530" t="s">
        <v>3</v>
      </c>
      <c r="D1530" t="s">
        <v>8</v>
      </c>
      <c r="E1530" t="s">
        <v>2001</v>
      </c>
      <c r="F1530">
        <v>8</v>
      </c>
    </row>
    <row r="1531" spans="1:6" x14ac:dyDescent="0.25">
      <c r="A1531" t="s">
        <v>1629</v>
      </c>
      <c r="B1531" s="2">
        <v>30000</v>
      </c>
      <c r="C1531" t="s">
        <v>3</v>
      </c>
      <c r="D1531" t="s">
        <v>4</v>
      </c>
      <c r="E1531" t="s">
        <v>2002</v>
      </c>
      <c r="F1531">
        <v>4</v>
      </c>
    </row>
    <row r="1532" spans="1:6" x14ac:dyDescent="0.25">
      <c r="A1532" t="s">
        <v>1630</v>
      </c>
      <c r="B1532" s="2">
        <v>46325</v>
      </c>
      <c r="C1532" t="s">
        <v>6</v>
      </c>
      <c r="D1532" t="s">
        <v>8</v>
      </c>
      <c r="E1532" t="s">
        <v>2001</v>
      </c>
      <c r="F1532">
        <v>1</v>
      </c>
    </row>
    <row r="1533" spans="1:6" x14ac:dyDescent="0.25">
      <c r="A1533" t="s">
        <v>1631</v>
      </c>
      <c r="B1533" s="2">
        <v>15000</v>
      </c>
      <c r="C1533" t="s">
        <v>3</v>
      </c>
      <c r="D1533" t="s">
        <v>8</v>
      </c>
      <c r="E1533" t="s">
        <v>2002</v>
      </c>
      <c r="F1533">
        <v>8</v>
      </c>
    </row>
    <row r="1534" spans="1:6" x14ac:dyDescent="0.25">
      <c r="A1534" t="s">
        <v>1632</v>
      </c>
      <c r="B1534" s="2">
        <v>31200</v>
      </c>
      <c r="C1534" t="s">
        <v>3</v>
      </c>
      <c r="D1534" t="s">
        <v>8</v>
      </c>
      <c r="E1534" t="s">
        <v>2001</v>
      </c>
      <c r="F1534">
        <v>15</v>
      </c>
    </row>
    <row r="1535" spans="1:6" x14ac:dyDescent="0.25">
      <c r="A1535" t="s">
        <v>1633</v>
      </c>
      <c r="B1535" s="2">
        <v>8903.9583437212841</v>
      </c>
      <c r="C1535" t="s">
        <v>3</v>
      </c>
      <c r="D1535" t="s">
        <v>4</v>
      </c>
      <c r="E1535" t="s">
        <v>2001</v>
      </c>
      <c r="F1535">
        <v>9</v>
      </c>
    </row>
    <row r="1536" spans="1:6" x14ac:dyDescent="0.25">
      <c r="A1536" t="s">
        <v>1634</v>
      </c>
      <c r="B1536" s="2">
        <v>15840</v>
      </c>
      <c r="C1536" t="s">
        <v>3</v>
      </c>
      <c r="D1536" t="s">
        <v>1635</v>
      </c>
      <c r="E1536" t="s">
        <v>2002</v>
      </c>
      <c r="F1536">
        <v>8</v>
      </c>
    </row>
    <row r="1537" spans="1:6" x14ac:dyDescent="0.25">
      <c r="A1537" t="s">
        <v>1636</v>
      </c>
      <c r="B1537" s="2">
        <v>15136.729184326183</v>
      </c>
      <c r="C1537" t="s">
        <v>3</v>
      </c>
      <c r="D1537" t="s">
        <v>4</v>
      </c>
      <c r="E1537" t="s">
        <v>2001</v>
      </c>
      <c r="F1537">
        <v>5</v>
      </c>
    </row>
    <row r="1538" spans="1:6" x14ac:dyDescent="0.25">
      <c r="A1538" t="s">
        <v>1637</v>
      </c>
      <c r="B1538" s="2">
        <v>41000</v>
      </c>
      <c r="C1538" t="s">
        <v>59</v>
      </c>
      <c r="D1538" t="s">
        <v>8</v>
      </c>
      <c r="E1538" t="s">
        <v>2001</v>
      </c>
      <c r="F1538">
        <v>10</v>
      </c>
    </row>
    <row r="1539" spans="1:6" x14ac:dyDescent="0.25">
      <c r="A1539" t="s">
        <v>1638</v>
      </c>
      <c r="B1539" s="2">
        <v>11000</v>
      </c>
      <c r="C1539" t="s">
        <v>16</v>
      </c>
      <c r="D1539" t="s">
        <v>136</v>
      </c>
      <c r="E1539" t="s">
        <v>2001</v>
      </c>
      <c r="F1539">
        <v>2</v>
      </c>
    </row>
    <row r="1540" spans="1:6" x14ac:dyDescent="0.25">
      <c r="A1540" t="s">
        <v>1639</v>
      </c>
      <c r="B1540" s="2">
        <v>55166.239522354947</v>
      </c>
      <c r="C1540" t="s">
        <v>21</v>
      </c>
      <c r="D1540" t="s">
        <v>55</v>
      </c>
      <c r="E1540" t="s">
        <v>2000</v>
      </c>
      <c r="F1540">
        <v>30</v>
      </c>
    </row>
    <row r="1541" spans="1:6" x14ac:dyDescent="0.25">
      <c r="A1541" t="s">
        <v>1640</v>
      </c>
      <c r="B1541" s="2">
        <v>5689.2125418690484</v>
      </c>
      <c r="C1541" t="s">
        <v>16</v>
      </c>
      <c r="D1541" t="s">
        <v>311</v>
      </c>
      <c r="E1541" t="s">
        <v>2001</v>
      </c>
      <c r="F1541">
        <v>15</v>
      </c>
    </row>
    <row r="1542" spans="1:6" x14ac:dyDescent="0.25">
      <c r="A1542" t="s">
        <v>1641</v>
      </c>
      <c r="B1542" s="2">
        <v>17728</v>
      </c>
      <c r="C1542" t="s">
        <v>3</v>
      </c>
      <c r="D1542" t="s">
        <v>136</v>
      </c>
      <c r="E1542" t="s">
        <v>2001</v>
      </c>
      <c r="F1542">
        <v>3</v>
      </c>
    </row>
    <row r="1543" spans="1:6" x14ac:dyDescent="0.25">
      <c r="A1543" t="s">
        <v>1642</v>
      </c>
      <c r="B1543" s="2">
        <v>13745.704467353951</v>
      </c>
      <c r="C1543" t="s">
        <v>6</v>
      </c>
      <c r="D1543" t="s">
        <v>1643</v>
      </c>
      <c r="E1543" t="s">
        <v>2002</v>
      </c>
      <c r="F1543">
        <v>8</v>
      </c>
    </row>
    <row r="1544" spans="1:6" x14ac:dyDescent="0.25">
      <c r="A1544" t="s">
        <v>1644</v>
      </c>
      <c r="B1544" s="2">
        <v>50000</v>
      </c>
      <c r="C1544" t="s">
        <v>24</v>
      </c>
      <c r="D1544" t="s">
        <v>8</v>
      </c>
      <c r="E1544" t="s">
        <v>2001</v>
      </c>
      <c r="F1544">
        <v>15</v>
      </c>
    </row>
    <row r="1545" spans="1:6" x14ac:dyDescent="0.25">
      <c r="A1545" t="s">
        <v>1645</v>
      </c>
      <c r="B1545" s="2">
        <v>78668.921842426149</v>
      </c>
      <c r="C1545" t="s">
        <v>3</v>
      </c>
      <c r="D1545" t="s">
        <v>68</v>
      </c>
      <c r="E1545" t="s">
        <v>2001</v>
      </c>
      <c r="F1545">
        <v>7</v>
      </c>
    </row>
    <row r="1546" spans="1:6" x14ac:dyDescent="0.25">
      <c r="A1546" t="s">
        <v>1646</v>
      </c>
      <c r="B1546" s="2">
        <v>85000</v>
      </c>
      <c r="C1546" t="s">
        <v>37</v>
      </c>
      <c r="D1546" t="s">
        <v>8</v>
      </c>
      <c r="E1546" t="s">
        <v>2001</v>
      </c>
      <c r="F1546">
        <v>10</v>
      </c>
    </row>
    <row r="1547" spans="1:6" x14ac:dyDescent="0.25">
      <c r="A1547" t="s">
        <v>1647</v>
      </c>
      <c r="B1547" s="2">
        <v>101990.96564026357</v>
      </c>
      <c r="C1547" t="s">
        <v>16</v>
      </c>
      <c r="D1547" t="s">
        <v>65</v>
      </c>
      <c r="E1547" t="s">
        <v>2001</v>
      </c>
      <c r="F1547">
        <v>20</v>
      </c>
    </row>
    <row r="1548" spans="1:6" x14ac:dyDescent="0.25">
      <c r="A1548" t="s">
        <v>1648</v>
      </c>
      <c r="B1548" s="2">
        <v>100614.72928405051</v>
      </c>
      <c r="C1548" t="s">
        <v>37</v>
      </c>
      <c r="D1548" t="s">
        <v>4</v>
      </c>
      <c r="E1548" t="s">
        <v>2000</v>
      </c>
      <c r="F1548">
        <v>6</v>
      </c>
    </row>
    <row r="1549" spans="1:6" x14ac:dyDescent="0.25">
      <c r="A1549" t="s">
        <v>1649</v>
      </c>
      <c r="B1549" s="2">
        <v>86692.320794224041</v>
      </c>
      <c r="C1549" t="s">
        <v>3</v>
      </c>
      <c r="D1549" t="s">
        <v>65</v>
      </c>
      <c r="E1549" t="s">
        <v>2001</v>
      </c>
      <c r="F1549">
        <v>30</v>
      </c>
    </row>
    <row r="1550" spans="1:6" x14ac:dyDescent="0.25">
      <c r="A1550" t="s">
        <v>1650</v>
      </c>
      <c r="B1550" s="2">
        <v>122389.15876831629</v>
      </c>
      <c r="C1550" t="s">
        <v>3</v>
      </c>
      <c r="D1550" t="s">
        <v>65</v>
      </c>
      <c r="E1550" t="s">
        <v>2000</v>
      </c>
      <c r="F1550">
        <v>5</v>
      </c>
    </row>
    <row r="1551" spans="1:6" x14ac:dyDescent="0.25">
      <c r="A1551" t="s">
        <v>1651</v>
      </c>
      <c r="B1551" s="2">
        <v>6410.8500074793246</v>
      </c>
      <c r="C1551" t="s">
        <v>16</v>
      </c>
      <c r="D1551" t="s">
        <v>4</v>
      </c>
      <c r="E1551" t="s">
        <v>2000</v>
      </c>
      <c r="F1551">
        <v>8</v>
      </c>
    </row>
    <row r="1552" spans="1:6" x14ac:dyDescent="0.25">
      <c r="A1552" t="s">
        <v>1652</v>
      </c>
      <c r="B1552" s="2">
        <v>44000</v>
      </c>
      <c r="C1552" t="s">
        <v>3</v>
      </c>
      <c r="D1552" t="s">
        <v>8</v>
      </c>
      <c r="E1552" t="s">
        <v>2001</v>
      </c>
      <c r="F1552">
        <v>3.5</v>
      </c>
    </row>
    <row r="1553" spans="1:6" x14ac:dyDescent="0.25">
      <c r="A1553" t="s">
        <v>1653</v>
      </c>
      <c r="B1553" s="2">
        <v>4451.9791718606421</v>
      </c>
      <c r="C1553" t="s">
        <v>12</v>
      </c>
      <c r="D1553" t="s">
        <v>4</v>
      </c>
      <c r="E1553" t="s">
        <v>2001</v>
      </c>
      <c r="F1553">
        <v>2.5</v>
      </c>
    </row>
    <row r="1554" spans="1:6" x14ac:dyDescent="0.25">
      <c r="A1554" t="s">
        <v>1654</v>
      </c>
      <c r="B1554" s="2">
        <v>4500</v>
      </c>
      <c r="C1554" t="s">
        <v>3</v>
      </c>
      <c r="D1554" t="s">
        <v>10</v>
      </c>
      <c r="E1554" t="s">
        <v>2001</v>
      </c>
      <c r="F1554">
        <v>6</v>
      </c>
    </row>
    <row r="1555" spans="1:6" x14ac:dyDescent="0.25">
      <c r="A1555" t="s">
        <v>1655</v>
      </c>
      <c r="B1555" s="2">
        <v>30273.458368652366</v>
      </c>
      <c r="C1555" t="s">
        <v>21</v>
      </c>
      <c r="D1555" t="s">
        <v>4</v>
      </c>
      <c r="E1555" t="s">
        <v>2001</v>
      </c>
      <c r="F1555">
        <v>6</v>
      </c>
    </row>
    <row r="1556" spans="1:6" x14ac:dyDescent="0.25">
      <c r="A1556" t="s">
        <v>1656</v>
      </c>
      <c r="B1556" s="2">
        <v>52000</v>
      </c>
      <c r="C1556" t="s">
        <v>3</v>
      </c>
      <c r="D1556" t="s">
        <v>8</v>
      </c>
      <c r="E1556" t="s">
        <v>2002</v>
      </c>
      <c r="F1556">
        <v>5</v>
      </c>
    </row>
    <row r="1557" spans="1:6" x14ac:dyDescent="0.25">
      <c r="A1557" t="s">
        <v>1657</v>
      </c>
      <c r="B1557" s="2">
        <v>75000</v>
      </c>
      <c r="C1557" t="s">
        <v>59</v>
      </c>
      <c r="D1557" t="s">
        <v>17</v>
      </c>
      <c r="E1557" t="s">
        <v>2000</v>
      </c>
      <c r="F1557">
        <v>9</v>
      </c>
    </row>
    <row r="1558" spans="1:6" x14ac:dyDescent="0.25">
      <c r="A1558" t="s">
        <v>1658</v>
      </c>
      <c r="B1558" s="2">
        <v>17807.916687442568</v>
      </c>
      <c r="C1558" t="s">
        <v>3</v>
      </c>
      <c r="D1558" t="s">
        <v>4</v>
      </c>
      <c r="E1558" t="s">
        <v>2002</v>
      </c>
      <c r="F1558">
        <v>4</v>
      </c>
    </row>
    <row r="1559" spans="1:6" x14ac:dyDescent="0.25">
      <c r="A1559" t="s">
        <v>1659</v>
      </c>
      <c r="B1559" s="2">
        <v>177600</v>
      </c>
      <c r="C1559" t="s">
        <v>24</v>
      </c>
      <c r="D1559" t="s">
        <v>1660</v>
      </c>
      <c r="E1559" t="s">
        <v>2001</v>
      </c>
      <c r="F1559">
        <v>6</v>
      </c>
    </row>
    <row r="1560" spans="1:6" x14ac:dyDescent="0.25">
      <c r="A1560" t="s">
        <v>1661</v>
      </c>
      <c r="B1560" s="2">
        <v>11575.14584683767</v>
      </c>
      <c r="C1560" t="s">
        <v>3</v>
      </c>
      <c r="D1560" t="s">
        <v>4</v>
      </c>
      <c r="E1560" t="s">
        <v>2001</v>
      </c>
      <c r="F1560">
        <v>5</v>
      </c>
    </row>
    <row r="1561" spans="1:6" x14ac:dyDescent="0.25">
      <c r="A1561" t="s">
        <v>1662</v>
      </c>
      <c r="B1561" s="2">
        <v>26678.388218823762</v>
      </c>
      <c r="C1561" t="s">
        <v>16</v>
      </c>
      <c r="D1561" t="s">
        <v>22</v>
      </c>
      <c r="E1561" t="s">
        <v>2001</v>
      </c>
      <c r="F1561">
        <v>10</v>
      </c>
    </row>
    <row r="1562" spans="1:6" x14ac:dyDescent="0.25">
      <c r="A1562" t="s">
        <v>1663</v>
      </c>
      <c r="B1562" s="2">
        <v>126094.26176538273</v>
      </c>
      <c r="C1562" t="s">
        <v>59</v>
      </c>
      <c r="D1562" t="s">
        <v>55</v>
      </c>
      <c r="E1562" t="s">
        <v>2001</v>
      </c>
      <c r="F1562">
        <v>12</v>
      </c>
    </row>
    <row r="1563" spans="1:6" x14ac:dyDescent="0.25">
      <c r="A1563" t="s">
        <v>1664</v>
      </c>
      <c r="B1563" s="2">
        <v>6000</v>
      </c>
      <c r="C1563" t="s">
        <v>3</v>
      </c>
      <c r="D1563" t="s">
        <v>4</v>
      </c>
      <c r="E1563" t="s">
        <v>2001</v>
      </c>
      <c r="F1563">
        <v>2</v>
      </c>
    </row>
    <row r="1564" spans="1:6" x14ac:dyDescent="0.25">
      <c r="A1564" t="s">
        <v>1665</v>
      </c>
      <c r="B1564" s="2">
        <v>10000</v>
      </c>
      <c r="C1564" t="s">
        <v>37</v>
      </c>
      <c r="D1564" t="s">
        <v>4</v>
      </c>
      <c r="E1564" t="s">
        <v>2002</v>
      </c>
      <c r="F1564">
        <v>6</v>
      </c>
    </row>
    <row r="1565" spans="1:6" x14ac:dyDescent="0.25">
      <c r="A1565" t="s">
        <v>1666</v>
      </c>
      <c r="B1565" s="2">
        <v>50000</v>
      </c>
      <c r="C1565" t="s">
        <v>3</v>
      </c>
      <c r="D1565" t="s">
        <v>8</v>
      </c>
      <c r="E1565" t="s">
        <v>2002</v>
      </c>
      <c r="F1565">
        <v>2</v>
      </c>
    </row>
    <row r="1566" spans="1:6" x14ac:dyDescent="0.25">
      <c r="A1566" t="s">
        <v>1667</v>
      </c>
      <c r="B1566" s="2">
        <v>10000</v>
      </c>
      <c r="C1566" t="s">
        <v>16</v>
      </c>
      <c r="D1566" t="s">
        <v>4</v>
      </c>
      <c r="E1566" t="s">
        <v>2002</v>
      </c>
      <c r="F1566">
        <v>12</v>
      </c>
    </row>
    <row r="1567" spans="1:6" x14ac:dyDescent="0.25">
      <c r="A1567" t="s">
        <v>1668</v>
      </c>
      <c r="B1567" s="2">
        <v>50000</v>
      </c>
      <c r="C1567" t="s">
        <v>3</v>
      </c>
      <c r="D1567" t="s">
        <v>8</v>
      </c>
      <c r="E1567" t="s">
        <v>2002</v>
      </c>
      <c r="F1567">
        <v>12</v>
      </c>
    </row>
    <row r="1568" spans="1:6" x14ac:dyDescent="0.25">
      <c r="A1568" t="s">
        <v>1669</v>
      </c>
      <c r="B1568" s="2">
        <v>20000</v>
      </c>
      <c r="C1568" t="s">
        <v>16</v>
      </c>
      <c r="D1568" t="s">
        <v>4</v>
      </c>
      <c r="E1568" t="s">
        <v>2001</v>
      </c>
      <c r="F1568">
        <v>1</v>
      </c>
    </row>
    <row r="1569" spans="1:6" x14ac:dyDescent="0.25">
      <c r="A1569" t="s">
        <v>1670</v>
      </c>
      <c r="B1569" s="2">
        <v>31523.565441345683</v>
      </c>
      <c r="C1569" t="s">
        <v>3</v>
      </c>
      <c r="D1569" t="s">
        <v>55</v>
      </c>
      <c r="E1569" t="s">
        <v>2002</v>
      </c>
      <c r="F1569">
        <v>3</v>
      </c>
    </row>
    <row r="1570" spans="1:6" x14ac:dyDescent="0.25">
      <c r="A1570" t="s">
        <v>1671</v>
      </c>
      <c r="B1570" s="2">
        <v>63519.971949580387</v>
      </c>
      <c r="C1570" t="s">
        <v>6</v>
      </c>
      <c r="D1570" t="s">
        <v>572</v>
      </c>
      <c r="E1570" t="s">
        <v>2001</v>
      </c>
      <c r="F1570">
        <v>10</v>
      </c>
    </row>
    <row r="1571" spans="1:6" x14ac:dyDescent="0.25">
      <c r="A1571" t="s">
        <v>1672</v>
      </c>
      <c r="B1571" s="2">
        <v>35063.024516168378</v>
      </c>
      <c r="C1571" t="s">
        <v>6</v>
      </c>
      <c r="D1571" t="s">
        <v>29</v>
      </c>
      <c r="E1571" t="s">
        <v>2002</v>
      </c>
      <c r="F1571">
        <v>15</v>
      </c>
    </row>
    <row r="1572" spans="1:6" x14ac:dyDescent="0.25">
      <c r="A1572" t="s">
        <v>1673</v>
      </c>
      <c r="B1572" s="2">
        <v>55000</v>
      </c>
      <c r="C1572" t="s">
        <v>3</v>
      </c>
      <c r="D1572" t="s">
        <v>8</v>
      </c>
      <c r="E1572" t="s">
        <v>2001</v>
      </c>
      <c r="F1572">
        <v>2</v>
      </c>
    </row>
    <row r="1573" spans="1:6" x14ac:dyDescent="0.25">
      <c r="A1573" t="s">
        <v>1674</v>
      </c>
      <c r="B1573" s="2">
        <v>38000</v>
      </c>
      <c r="C1573" t="s">
        <v>3</v>
      </c>
      <c r="D1573" t="s">
        <v>8</v>
      </c>
      <c r="E1573" t="s">
        <v>2002</v>
      </c>
      <c r="F1573">
        <v>1</v>
      </c>
    </row>
    <row r="1574" spans="1:6" x14ac:dyDescent="0.25">
      <c r="A1574" t="s">
        <v>1675</v>
      </c>
      <c r="B1574" s="2">
        <v>32054.250037396621</v>
      </c>
      <c r="C1574" t="s">
        <v>3</v>
      </c>
      <c r="D1574" t="s">
        <v>4</v>
      </c>
      <c r="E1574" t="s">
        <v>2002</v>
      </c>
      <c r="F1574">
        <v>1</v>
      </c>
    </row>
    <row r="1575" spans="1:6" x14ac:dyDescent="0.25">
      <c r="A1575" t="s">
        <v>1676</v>
      </c>
      <c r="B1575" s="2">
        <v>35500</v>
      </c>
      <c r="C1575" t="s">
        <v>3</v>
      </c>
      <c r="D1575" t="s">
        <v>8</v>
      </c>
      <c r="E1575" t="s">
        <v>2001</v>
      </c>
      <c r="F1575">
        <v>20</v>
      </c>
    </row>
    <row r="1576" spans="1:6" x14ac:dyDescent="0.25">
      <c r="A1576" t="s">
        <v>1677</v>
      </c>
      <c r="B1576" s="2">
        <v>62000</v>
      </c>
      <c r="C1576" t="s">
        <v>3</v>
      </c>
      <c r="D1576" t="s">
        <v>8</v>
      </c>
      <c r="E1576" t="s">
        <v>2000</v>
      </c>
      <c r="F1576">
        <v>5</v>
      </c>
    </row>
    <row r="1577" spans="1:6" x14ac:dyDescent="0.25">
      <c r="A1577" t="s">
        <v>1678</v>
      </c>
      <c r="B1577" s="2">
        <v>33887.832849446611</v>
      </c>
      <c r="C1577" t="s">
        <v>3</v>
      </c>
      <c r="D1577" t="s">
        <v>55</v>
      </c>
      <c r="E1577" t="s">
        <v>2002</v>
      </c>
      <c r="F1577">
        <v>1</v>
      </c>
    </row>
    <row r="1578" spans="1:6" x14ac:dyDescent="0.25">
      <c r="A1578" t="s">
        <v>1679</v>
      </c>
      <c r="B1578" s="2">
        <v>60000</v>
      </c>
      <c r="C1578" t="s">
        <v>3</v>
      </c>
      <c r="D1578" t="s">
        <v>8</v>
      </c>
      <c r="E1578" t="s">
        <v>2000</v>
      </c>
      <c r="F1578">
        <v>1</v>
      </c>
    </row>
    <row r="1579" spans="1:6" x14ac:dyDescent="0.25">
      <c r="A1579" t="s">
        <v>1680</v>
      </c>
      <c r="B1579" s="2">
        <v>32884</v>
      </c>
      <c r="C1579" t="s">
        <v>3</v>
      </c>
      <c r="D1579" t="s">
        <v>8</v>
      </c>
      <c r="E1579" t="s">
        <v>2002</v>
      </c>
      <c r="F1579">
        <v>10</v>
      </c>
    </row>
    <row r="1580" spans="1:6" x14ac:dyDescent="0.25">
      <c r="A1580" t="s">
        <v>1681</v>
      </c>
      <c r="B1580" s="2">
        <v>42000</v>
      </c>
      <c r="C1580" t="s">
        <v>3</v>
      </c>
      <c r="D1580" t="s">
        <v>8</v>
      </c>
      <c r="E1580" t="s">
        <v>2001</v>
      </c>
      <c r="F1580">
        <v>2</v>
      </c>
    </row>
    <row r="1581" spans="1:6" x14ac:dyDescent="0.25">
      <c r="A1581" t="s">
        <v>1682</v>
      </c>
      <c r="B1581" s="2">
        <v>68000</v>
      </c>
      <c r="C1581" t="s">
        <v>3</v>
      </c>
      <c r="D1581" t="s">
        <v>8</v>
      </c>
      <c r="E1581" t="s">
        <v>2001</v>
      </c>
      <c r="F1581">
        <v>12</v>
      </c>
    </row>
    <row r="1582" spans="1:6" x14ac:dyDescent="0.25">
      <c r="A1582" t="s">
        <v>1683</v>
      </c>
      <c r="B1582" s="2">
        <v>85000</v>
      </c>
      <c r="C1582" t="s">
        <v>24</v>
      </c>
      <c r="D1582" t="s">
        <v>8</v>
      </c>
      <c r="E1582" t="s">
        <v>2000</v>
      </c>
      <c r="F1582">
        <v>8</v>
      </c>
    </row>
    <row r="1583" spans="1:6" x14ac:dyDescent="0.25">
      <c r="A1583" t="s">
        <v>1684</v>
      </c>
      <c r="B1583" s="2">
        <v>13000</v>
      </c>
      <c r="C1583" t="s">
        <v>3</v>
      </c>
      <c r="D1583" t="s">
        <v>116</v>
      </c>
      <c r="E1583" t="s">
        <v>2002</v>
      </c>
      <c r="F1583">
        <v>4</v>
      </c>
    </row>
    <row r="1584" spans="1:6" x14ac:dyDescent="0.25">
      <c r="A1584" t="s">
        <v>1685</v>
      </c>
      <c r="B1584" s="2">
        <v>15000</v>
      </c>
      <c r="C1584" t="s">
        <v>3</v>
      </c>
      <c r="D1584" t="s">
        <v>4</v>
      </c>
      <c r="E1584" t="s">
        <v>2001</v>
      </c>
      <c r="F1584">
        <v>5</v>
      </c>
    </row>
    <row r="1585" spans="1:6" x14ac:dyDescent="0.25">
      <c r="A1585" t="s">
        <v>1686</v>
      </c>
      <c r="B1585" s="2">
        <v>50000</v>
      </c>
      <c r="C1585" t="s">
        <v>21</v>
      </c>
      <c r="D1585" t="s">
        <v>4</v>
      </c>
      <c r="E1585" t="s">
        <v>1999</v>
      </c>
      <c r="F1585">
        <v>8</v>
      </c>
    </row>
    <row r="1586" spans="1:6" x14ac:dyDescent="0.25">
      <c r="A1586" t="s">
        <v>1687</v>
      </c>
      <c r="B1586" s="2">
        <v>7000</v>
      </c>
      <c r="C1586" t="s">
        <v>37</v>
      </c>
      <c r="D1586" t="s">
        <v>4</v>
      </c>
      <c r="E1586" t="s">
        <v>2001</v>
      </c>
      <c r="F1586">
        <v>1</v>
      </c>
    </row>
    <row r="1587" spans="1:6" x14ac:dyDescent="0.25">
      <c r="A1587" t="s">
        <v>1688</v>
      </c>
      <c r="B1587" s="2">
        <v>140000</v>
      </c>
      <c r="C1587" t="s">
        <v>16</v>
      </c>
      <c r="D1587" t="s">
        <v>8</v>
      </c>
      <c r="E1587" t="s">
        <v>2001</v>
      </c>
      <c r="F1587">
        <v>12</v>
      </c>
    </row>
    <row r="1588" spans="1:6" x14ac:dyDescent="0.25">
      <c r="A1588" t="s">
        <v>1689</v>
      </c>
      <c r="B1588" s="2">
        <v>7123.1666749770275</v>
      </c>
      <c r="C1588" t="s">
        <v>3</v>
      </c>
      <c r="D1588" t="s">
        <v>4</v>
      </c>
      <c r="E1588" t="s">
        <v>1999</v>
      </c>
      <c r="F1588">
        <v>2.5</v>
      </c>
    </row>
    <row r="1589" spans="1:6" x14ac:dyDescent="0.25">
      <c r="A1589" t="s">
        <v>1690</v>
      </c>
      <c r="B1589" s="2">
        <v>58318.59606648951</v>
      </c>
      <c r="C1589" t="s">
        <v>3</v>
      </c>
      <c r="D1589" t="s">
        <v>55</v>
      </c>
      <c r="E1589" t="s">
        <v>2001</v>
      </c>
      <c r="F1589">
        <v>9</v>
      </c>
    </row>
    <row r="1590" spans="1:6" x14ac:dyDescent="0.25">
      <c r="A1590" t="s">
        <v>1691</v>
      </c>
      <c r="B1590" s="2">
        <v>12109.383347460946</v>
      </c>
      <c r="C1590" t="s">
        <v>16</v>
      </c>
      <c r="D1590" t="s">
        <v>4</v>
      </c>
      <c r="E1590" t="s">
        <v>1999</v>
      </c>
      <c r="F1590">
        <v>2</v>
      </c>
    </row>
    <row r="1591" spans="1:6" x14ac:dyDescent="0.25">
      <c r="A1591" t="s">
        <v>1692</v>
      </c>
      <c r="B1591" s="2">
        <v>55000</v>
      </c>
      <c r="C1591" t="s">
        <v>3</v>
      </c>
      <c r="D1591" t="s">
        <v>8</v>
      </c>
      <c r="E1591" t="s">
        <v>2001</v>
      </c>
      <c r="F1591">
        <v>1</v>
      </c>
    </row>
    <row r="1592" spans="1:6" x14ac:dyDescent="0.25">
      <c r="A1592" t="s">
        <v>1693</v>
      </c>
      <c r="B1592" s="2">
        <v>60000</v>
      </c>
      <c r="C1592" t="s">
        <v>16</v>
      </c>
      <c r="D1592" t="s">
        <v>674</v>
      </c>
      <c r="E1592" t="s">
        <v>2000</v>
      </c>
      <c r="F1592">
        <v>16</v>
      </c>
    </row>
    <row r="1593" spans="1:6" x14ac:dyDescent="0.25">
      <c r="A1593" t="s">
        <v>1694</v>
      </c>
      <c r="B1593" s="2">
        <v>5698.5333399816218</v>
      </c>
      <c r="C1593" t="s">
        <v>16</v>
      </c>
      <c r="D1593" t="s">
        <v>4</v>
      </c>
      <c r="E1593" t="s">
        <v>2001</v>
      </c>
      <c r="F1593">
        <v>5</v>
      </c>
    </row>
    <row r="1594" spans="1:6" x14ac:dyDescent="0.25">
      <c r="A1594" t="s">
        <v>1695</v>
      </c>
      <c r="B1594" s="2">
        <v>9376.2513877177607</v>
      </c>
      <c r="C1594" t="s">
        <v>12</v>
      </c>
      <c r="D1594" t="s">
        <v>1696</v>
      </c>
      <c r="E1594" t="s">
        <v>2001</v>
      </c>
      <c r="F1594">
        <v>7</v>
      </c>
    </row>
    <row r="1595" spans="1:6" x14ac:dyDescent="0.25">
      <c r="A1595" t="s">
        <v>1697</v>
      </c>
      <c r="B1595" s="2">
        <v>94570.696324037053</v>
      </c>
      <c r="C1595" t="s">
        <v>3</v>
      </c>
      <c r="D1595" t="s">
        <v>55</v>
      </c>
      <c r="E1595" t="s">
        <v>2001</v>
      </c>
      <c r="F1595">
        <v>5</v>
      </c>
    </row>
    <row r="1596" spans="1:6" x14ac:dyDescent="0.25">
      <c r="A1596" t="s">
        <v>1698</v>
      </c>
      <c r="B1596" s="2">
        <v>36000</v>
      </c>
      <c r="C1596" t="s">
        <v>59</v>
      </c>
      <c r="D1596" t="s">
        <v>1699</v>
      </c>
      <c r="E1596" t="s">
        <v>2001</v>
      </c>
      <c r="F1596">
        <v>5</v>
      </c>
    </row>
    <row r="1597" spans="1:6" x14ac:dyDescent="0.25">
      <c r="A1597" t="s">
        <v>1700</v>
      </c>
      <c r="B1597" s="2">
        <v>65889.291743537498</v>
      </c>
      <c r="C1597" t="s">
        <v>16</v>
      </c>
      <c r="D1597" t="s">
        <v>4</v>
      </c>
      <c r="E1597" t="s">
        <v>2002</v>
      </c>
      <c r="F1597">
        <v>4</v>
      </c>
    </row>
    <row r="1598" spans="1:6" x14ac:dyDescent="0.25">
      <c r="A1598" t="s">
        <v>1701</v>
      </c>
      <c r="B1598" s="2">
        <v>106000</v>
      </c>
      <c r="C1598" t="s">
        <v>3</v>
      </c>
      <c r="D1598" t="s">
        <v>814</v>
      </c>
      <c r="E1598" t="s">
        <v>1999</v>
      </c>
      <c r="F1598">
        <v>7</v>
      </c>
    </row>
    <row r="1599" spans="1:6" x14ac:dyDescent="0.25">
      <c r="A1599" t="s">
        <v>1702</v>
      </c>
      <c r="B1599" s="2">
        <v>82888.5550559455</v>
      </c>
      <c r="C1599" t="s">
        <v>6</v>
      </c>
      <c r="D1599" t="s">
        <v>814</v>
      </c>
      <c r="E1599" t="s">
        <v>2001</v>
      </c>
      <c r="F1599">
        <v>18</v>
      </c>
    </row>
    <row r="1600" spans="1:6" x14ac:dyDescent="0.25">
      <c r="A1600" t="s">
        <v>1703</v>
      </c>
      <c r="B1600" s="2">
        <v>59819.107020370408</v>
      </c>
      <c r="C1600" t="s">
        <v>3</v>
      </c>
      <c r="D1600" t="s">
        <v>616</v>
      </c>
      <c r="E1600" t="s">
        <v>2000</v>
      </c>
      <c r="F1600">
        <v>10</v>
      </c>
    </row>
    <row r="1601" spans="1:6" x14ac:dyDescent="0.25">
      <c r="A1601" t="s">
        <v>1704</v>
      </c>
      <c r="B1601" s="2">
        <v>6545</v>
      </c>
      <c r="C1601" t="s">
        <v>16</v>
      </c>
      <c r="D1601" t="s">
        <v>4</v>
      </c>
      <c r="E1601" t="s">
        <v>2002</v>
      </c>
      <c r="F1601">
        <v>9</v>
      </c>
    </row>
    <row r="1602" spans="1:6" x14ac:dyDescent="0.25">
      <c r="A1602" t="s">
        <v>1705</v>
      </c>
      <c r="B1602" s="2">
        <v>17807.916687442568</v>
      </c>
      <c r="C1602" t="s">
        <v>16</v>
      </c>
      <c r="D1602" t="s">
        <v>4</v>
      </c>
      <c r="E1602" t="s">
        <v>2000</v>
      </c>
      <c r="F1602">
        <v>13</v>
      </c>
    </row>
    <row r="1603" spans="1:6" x14ac:dyDescent="0.25">
      <c r="A1603" t="s">
        <v>1706</v>
      </c>
      <c r="B1603" s="2">
        <v>54000</v>
      </c>
      <c r="C1603" t="s">
        <v>21</v>
      </c>
      <c r="D1603" t="s">
        <v>8</v>
      </c>
      <c r="E1603" t="s">
        <v>2001</v>
      </c>
      <c r="F1603">
        <v>10</v>
      </c>
    </row>
    <row r="1604" spans="1:6" x14ac:dyDescent="0.25">
      <c r="A1604" t="s">
        <v>1707</v>
      </c>
      <c r="B1604" s="2">
        <v>100000</v>
      </c>
      <c r="C1604" t="s">
        <v>59</v>
      </c>
      <c r="D1604" t="s">
        <v>8</v>
      </c>
      <c r="E1604" t="s">
        <v>2000</v>
      </c>
      <c r="F1604">
        <v>4</v>
      </c>
    </row>
    <row r="1605" spans="1:6" x14ac:dyDescent="0.25">
      <c r="A1605" t="s">
        <v>1708</v>
      </c>
      <c r="B1605" s="2">
        <v>49168.076151516347</v>
      </c>
      <c r="C1605" t="s">
        <v>3</v>
      </c>
      <c r="D1605" t="s">
        <v>68</v>
      </c>
      <c r="E1605" t="s">
        <v>2001</v>
      </c>
      <c r="F1605">
        <v>5</v>
      </c>
    </row>
    <row r="1606" spans="1:6" x14ac:dyDescent="0.25">
      <c r="A1606" t="s">
        <v>1709</v>
      </c>
      <c r="B1606" s="2">
        <v>4019</v>
      </c>
      <c r="C1606" t="s">
        <v>26</v>
      </c>
      <c r="D1606" t="s">
        <v>311</v>
      </c>
      <c r="E1606" t="s">
        <v>2000</v>
      </c>
      <c r="F1606">
        <v>3</v>
      </c>
    </row>
    <row r="1607" spans="1:6" x14ac:dyDescent="0.25">
      <c r="A1607" t="s">
        <v>1710</v>
      </c>
      <c r="B1607" s="2">
        <v>15000</v>
      </c>
      <c r="C1607" t="s">
        <v>3</v>
      </c>
      <c r="D1607" t="s">
        <v>10</v>
      </c>
      <c r="E1607" t="s">
        <v>2001</v>
      </c>
      <c r="F1607">
        <v>5</v>
      </c>
    </row>
    <row r="1608" spans="1:6" x14ac:dyDescent="0.25">
      <c r="A1608" t="s">
        <v>1711</v>
      </c>
      <c r="B1608" s="2">
        <v>17807.916687442568</v>
      </c>
      <c r="C1608" t="s">
        <v>3</v>
      </c>
      <c r="D1608" t="s">
        <v>4</v>
      </c>
      <c r="E1608" t="s">
        <v>2002</v>
      </c>
      <c r="F1608">
        <v>4</v>
      </c>
    </row>
    <row r="1609" spans="1:6" x14ac:dyDescent="0.25">
      <c r="A1609" t="s">
        <v>1712</v>
      </c>
      <c r="B1609" s="2">
        <v>12000</v>
      </c>
      <c r="C1609" t="s">
        <v>37</v>
      </c>
      <c r="D1609" t="s">
        <v>4</v>
      </c>
      <c r="E1609" t="s">
        <v>2002</v>
      </c>
      <c r="F1609">
        <v>3</v>
      </c>
    </row>
    <row r="1610" spans="1:6" x14ac:dyDescent="0.25">
      <c r="A1610" t="s">
        <v>1713</v>
      </c>
      <c r="B1610" s="2">
        <v>2225.989585930321</v>
      </c>
      <c r="C1610" t="s">
        <v>3</v>
      </c>
      <c r="D1610" t="s">
        <v>4</v>
      </c>
      <c r="E1610" t="s">
        <v>2000</v>
      </c>
      <c r="F1610">
        <v>4</v>
      </c>
    </row>
    <row r="1611" spans="1:6" x14ac:dyDescent="0.25">
      <c r="A1611" t="s">
        <v>1714</v>
      </c>
      <c r="B1611" s="2">
        <v>86000</v>
      </c>
      <c r="C1611" t="s">
        <v>3</v>
      </c>
      <c r="D1611" t="s">
        <v>311</v>
      </c>
      <c r="E1611" t="s">
        <v>2002</v>
      </c>
      <c r="F1611">
        <v>3</v>
      </c>
    </row>
    <row r="1612" spans="1:6" x14ac:dyDescent="0.25">
      <c r="A1612" t="s">
        <v>1715</v>
      </c>
      <c r="B1612" s="2">
        <v>6054.6916737304728</v>
      </c>
      <c r="C1612" t="s">
        <v>16</v>
      </c>
      <c r="D1612" t="s">
        <v>4</v>
      </c>
      <c r="E1612" t="s">
        <v>2001</v>
      </c>
      <c r="F1612">
        <v>5</v>
      </c>
    </row>
    <row r="1613" spans="1:6" x14ac:dyDescent="0.25">
      <c r="A1613" t="s">
        <v>1716</v>
      </c>
      <c r="B1613" s="2">
        <v>3360</v>
      </c>
      <c r="C1613" t="s">
        <v>3</v>
      </c>
      <c r="D1613" t="s">
        <v>4</v>
      </c>
      <c r="E1613" t="s">
        <v>1999</v>
      </c>
      <c r="F1613">
        <v>3</v>
      </c>
    </row>
    <row r="1614" spans="1:6" x14ac:dyDescent="0.25">
      <c r="A1614" t="s">
        <v>1717</v>
      </c>
      <c r="B1614" s="2">
        <v>10000</v>
      </c>
      <c r="C1614" t="s">
        <v>21</v>
      </c>
      <c r="D1614" t="s">
        <v>4</v>
      </c>
      <c r="E1614" t="s">
        <v>2002</v>
      </c>
      <c r="F1614">
        <v>1</v>
      </c>
    </row>
    <row r="1615" spans="1:6" x14ac:dyDescent="0.25">
      <c r="A1615" t="s">
        <v>1718</v>
      </c>
      <c r="B1615" s="2">
        <v>70000</v>
      </c>
      <c r="C1615" t="s">
        <v>3</v>
      </c>
      <c r="D1615" t="s">
        <v>8</v>
      </c>
      <c r="E1615" t="s">
        <v>2001</v>
      </c>
      <c r="F1615">
        <v>9</v>
      </c>
    </row>
    <row r="1616" spans="1:6" x14ac:dyDescent="0.25">
      <c r="A1616" t="s">
        <v>1719</v>
      </c>
      <c r="B1616" s="2">
        <v>155000</v>
      </c>
      <c r="C1616" t="s">
        <v>16</v>
      </c>
      <c r="D1616" t="s">
        <v>8</v>
      </c>
      <c r="E1616" t="s">
        <v>1999</v>
      </c>
      <c r="F1616">
        <v>14</v>
      </c>
    </row>
    <row r="1617" spans="1:6" x14ac:dyDescent="0.25">
      <c r="A1617" t="s">
        <v>1720</v>
      </c>
      <c r="B1617" s="2">
        <v>225000</v>
      </c>
      <c r="C1617" t="s">
        <v>21</v>
      </c>
      <c r="D1617" t="s">
        <v>8</v>
      </c>
      <c r="E1617" t="s">
        <v>2001</v>
      </c>
      <c r="F1617">
        <v>15</v>
      </c>
    </row>
    <row r="1618" spans="1:6" x14ac:dyDescent="0.25">
      <c r="A1618" t="s">
        <v>1721</v>
      </c>
      <c r="B1618" s="2">
        <v>10000</v>
      </c>
      <c r="C1618" t="s">
        <v>37</v>
      </c>
      <c r="D1618" t="s">
        <v>4</v>
      </c>
      <c r="E1618" t="s">
        <v>2002</v>
      </c>
      <c r="F1618">
        <v>2</v>
      </c>
    </row>
    <row r="1619" spans="1:6" x14ac:dyDescent="0.25">
      <c r="A1619" t="s">
        <v>1722</v>
      </c>
      <c r="B1619" s="2">
        <v>5342.3750062327708</v>
      </c>
      <c r="C1619" t="s">
        <v>3</v>
      </c>
      <c r="D1619" t="s">
        <v>4</v>
      </c>
      <c r="E1619" t="s">
        <v>2001</v>
      </c>
      <c r="F1619">
        <v>8</v>
      </c>
    </row>
    <row r="1620" spans="1:6" x14ac:dyDescent="0.25">
      <c r="A1620" t="s">
        <v>1723</v>
      </c>
      <c r="B1620" s="2">
        <v>85672.4111378214</v>
      </c>
      <c r="C1620" t="s">
        <v>59</v>
      </c>
      <c r="D1620" t="s">
        <v>65</v>
      </c>
      <c r="E1620" t="s">
        <v>2001</v>
      </c>
      <c r="F1620">
        <v>6</v>
      </c>
    </row>
    <row r="1621" spans="1:6" x14ac:dyDescent="0.25">
      <c r="A1621" t="s">
        <v>1724</v>
      </c>
      <c r="B1621" s="2">
        <v>4273.9000049862161</v>
      </c>
      <c r="C1621" t="s">
        <v>6</v>
      </c>
      <c r="D1621" t="s">
        <v>4</v>
      </c>
      <c r="E1621" t="s">
        <v>2000</v>
      </c>
      <c r="F1621">
        <v>15</v>
      </c>
    </row>
    <row r="1622" spans="1:6" x14ac:dyDescent="0.25">
      <c r="A1622" t="s">
        <v>1725</v>
      </c>
      <c r="B1622" s="2">
        <v>8903.9583437212841</v>
      </c>
      <c r="C1622" t="s">
        <v>16</v>
      </c>
      <c r="D1622" t="s">
        <v>4</v>
      </c>
      <c r="E1622" t="s">
        <v>2002</v>
      </c>
      <c r="F1622">
        <v>20</v>
      </c>
    </row>
    <row r="1623" spans="1:6" x14ac:dyDescent="0.25">
      <c r="A1623" t="s">
        <v>1726</v>
      </c>
      <c r="B1623" s="2">
        <v>66199.48742682593</v>
      </c>
      <c r="C1623" t="s">
        <v>16</v>
      </c>
      <c r="D1623" t="s">
        <v>55</v>
      </c>
      <c r="E1623" t="s">
        <v>2001</v>
      </c>
      <c r="F1623">
        <v>23</v>
      </c>
    </row>
    <row r="1624" spans="1:6" x14ac:dyDescent="0.25">
      <c r="A1624" t="s">
        <v>1727</v>
      </c>
      <c r="B1624" s="2">
        <v>5698.5333399816218</v>
      </c>
      <c r="C1624" t="s">
        <v>3</v>
      </c>
      <c r="D1624" t="s">
        <v>4</v>
      </c>
      <c r="E1624" t="s">
        <v>2001</v>
      </c>
      <c r="F1624">
        <v>2.5</v>
      </c>
    </row>
    <row r="1625" spans="1:6" x14ac:dyDescent="0.25">
      <c r="A1625" t="s">
        <v>1728</v>
      </c>
      <c r="B1625" s="2">
        <v>34675.92198548025</v>
      </c>
      <c r="C1625" t="s">
        <v>16</v>
      </c>
      <c r="D1625" t="s">
        <v>55</v>
      </c>
      <c r="E1625" t="s">
        <v>2001</v>
      </c>
      <c r="F1625">
        <v>17</v>
      </c>
    </row>
    <row r="1626" spans="1:6" x14ac:dyDescent="0.25">
      <c r="A1626" t="s">
        <v>1729</v>
      </c>
      <c r="B1626" s="2">
        <v>31200</v>
      </c>
      <c r="C1626" t="s">
        <v>37</v>
      </c>
      <c r="D1626" t="s">
        <v>374</v>
      </c>
      <c r="E1626" t="s">
        <v>2002</v>
      </c>
      <c r="F1626">
        <v>11</v>
      </c>
    </row>
    <row r="1627" spans="1:6" x14ac:dyDescent="0.25">
      <c r="A1627" t="s">
        <v>1730</v>
      </c>
      <c r="B1627" s="2">
        <v>55068.245289698301</v>
      </c>
      <c r="C1627" t="s">
        <v>59</v>
      </c>
      <c r="D1627" t="s">
        <v>68</v>
      </c>
      <c r="E1627" t="s">
        <v>2002</v>
      </c>
      <c r="F1627">
        <v>1</v>
      </c>
    </row>
    <row r="1628" spans="1:6" x14ac:dyDescent="0.25">
      <c r="A1628" t="s">
        <v>1731</v>
      </c>
      <c r="B1628" s="2">
        <v>13000</v>
      </c>
      <c r="C1628" t="s">
        <v>3</v>
      </c>
      <c r="D1628" t="s">
        <v>1732</v>
      </c>
      <c r="E1628" t="s">
        <v>2002</v>
      </c>
      <c r="F1628">
        <v>6</v>
      </c>
    </row>
    <row r="1629" spans="1:6" x14ac:dyDescent="0.25">
      <c r="A1629" t="s">
        <v>1733</v>
      </c>
      <c r="B1629" s="2">
        <v>92000</v>
      </c>
      <c r="C1629" t="s">
        <v>37</v>
      </c>
      <c r="D1629" t="s">
        <v>8</v>
      </c>
      <c r="E1629" t="s">
        <v>2000</v>
      </c>
      <c r="F1629">
        <v>12</v>
      </c>
    </row>
    <row r="1630" spans="1:6" x14ac:dyDescent="0.25">
      <c r="A1630" t="s">
        <v>1734</v>
      </c>
      <c r="B1630" s="2">
        <v>85000</v>
      </c>
      <c r="C1630" t="s">
        <v>16</v>
      </c>
      <c r="D1630" t="s">
        <v>8</v>
      </c>
      <c r="E1630" t="s">
        <v>2002</v>
      </c>
      <c r="F1630">
        <v>10</v>
      </c>
    </row>
    <row r="1631" spans="1:6" x14ac:dyDescent="0.25">
      <c r="A1631" t="s">
        <v>1735</v>
      </c>
      <c r="B1631" s="2">
        <v>11000</v>
      </c>
      <c r="C1631" t="s">
        <v>3</v>
      </c>
      <c r="D1631" t="s">
        <v>1736</v>
      </c>
      <c r="E1631" t="s">
        <v>2001</v>
      </c>
      <c r="F1631">
        <v>8</v>
      </c>
    </row>
    <row r="1632" spans="1:6" x14ac:dyDescent="0.25">
      <c r="A1632" t="s">
        <v>1737</v>
      </c>
      <c r="B1632" s="2">
        <v>38111.983169748237</v>
      </c>
      <c r="C1632" t="s">
        <v>3</v>
      </c>
      <c r="D1632" t="s">
        <v>550</v>
      </c>
      <c r="E1632" t="s">
        <v>1999</v>
      </c>
      <c r="F1632">
        <v>12</v>
      </c>
    </row>
    <row r="1633" spans="1:6" x14ac:dyDescent="0.25">
      <c r="A1633" t="s">
        <v>1738</v>
      </c>
      <c r="B1633" s="2">
        <v>49000</v>
      </c>
      <c r="C1633" t="s">
        <v>3</v>
      </c>
      <c r="D1633" t="s">
        <v>8</v>
      </c>
      <c r="E1633" t="s">
        <v>2000</v>
      </c>
      <c r="F1633">
        <v>3</v>
      </c>
    </row>
    <row r="1634" spans="1:6" x14ac:dyDescent="0.25">
      <c r="A1634" t="s">
        <v>1739</v>
      </c>
      <c r="B1634" s="2">
        <v>59000</v>
      </c>
      <c r="C1634" t="s">
        <v>16</v>
      </c>
      <c r="D1634" t="s">
        <v>8</v>
      </c>
      <c r="E1634" t="s">
        <v>1999</v>
      </c>
      <c r="F1634">
        <v>3</v>
      </c>
    </row>
    <row r="1635" spans="1:6" x14ac:dyDescent="0.25">
      <c r="A1635" t="s">
        <v>1740</v>
      </c>
      <c r="B1635" s="2">
        <v>55000</v>
      </c>
      <c r="C1635" t="s">
        <v>3</v>
      </c>
      <c r="D1635" t="s">
        <v>8</v>
      </c>
      <c r="E1635" t="s">
        <v>2001</v>
      </c>
      <c r="F1635">
        <v>15</v>
      </c>
    </row>
    <row r="1636" spans="1:6" x14ac:dyDescent="0.25">
      <c r="A1636" t="s">
        <v>1741</v>
      </c>
      <c r="B1636" s="2">
        <v>75000</v>
      </c>
      <c r="C1636" t="s">
        <v>24</v>
      </c>
      <c r="D1636" t="s">
        <v>8</v>
      </c>
      <c r="E1636" t="s">
        <v>2001</v>
      </c>
      <c r="F1636">
        <v>10</v>
      </c>
    </row>
    <row r="1637" spans="1:6" x14ac:dyDescent="0.25">
      <c r="A1637" t="s">
        <v>1742</v>
      </c>
      <c r="B1637" s="2">
        <v>50307.817784067665</v>
      </c>
      <c r="C1637" t="s">
        <v>16</v>
      </c>
      <c r="D1637" t="s">
        <v>1455</v>
      </c>
      <c r="E1637" t="s">
        <v>1999</v>
      </c>
      <c r="F1637">
        <v>5</v>
      </c>
    </row>
    <row r="1638" spans="1:6" x14ac:dyDescent="0.25">
      <c r="A1638" t="s">
        <v>1743</v>
      </c>
      <c r="B1638" s="2">
        <v>30500</v>
      </c>
      <c r="C1638" t="s">
        <v>3</v>
      </c>
      <c r="D1638" t="s">
        <v>116</v>
      </c>
      <c r="E1638" t="s">
        <v>2002</v>
      </c>
      <c r="F1638">
        <v>8</v>
      </c>
    </row>
    <row r="1639" spans="1:6" x14ac:dyDescent="0.25">
      <c r="A1639" t="s">
        <v>1744</v>
      </c>
      <c r="B1639" s="2">
        <v>80000</v>
      </c>
      <c r="C1639" t="s">
        <v>26</v>
      </c>
      <c r="D1639" t="s">
        <v>8</v>
      </c>
      <c r="E1639" t="s">
        <v>2000</v>
      </c>
      <c r="F1639">
        <v>2</v>
      </c>
    </row>
    <row r="1640" spans="1:6" x14ac:dyDescent="0.25">
      <c r="A1640" t="s">
        <v>1745</v>
      </c>
      <c r="B1640" s="2">
        <v>12000</v>
      </c>
      <c r="C1640" t="s">
        <v>3</v>
      </c>
      <c r="D1640" t="s">
        <v>8</v>
      </c>
      <c r="E1640" t="s">
        <v>2000</v>
      </c>
      <c r="F1640">
        <v>1</v>
      </c>
    </row>
    <row r="1641" spans="1:6" x14ac:dyDescent="0.25">
      <c r="A1641" t="s">
        <v>1746</v>
      </c>
      <c r="B1641" s="2">
        <v>48500</v>
      </c>
      <c r="C1641" t="s">
        <v>3</v>
      </c>
      <c r="D1641" t="s">
        <v>8</v>
      </c>
      <c r="E1641" t="s">
        <v>2001</v>
      </c>
      <c r="F1641">
        <v>6</v>
      </c>
    </row>
    <row r="1642" spans="1:6" x14ac:dyDescent="0.25">
      <c r="A1642" t="s">
        <v>1747</v>
      </c>
      <c r="B1642" s="2">
        <v>63047.130882691366</v>
      </c>
      <c r="C1642" t="s">
        <v>26</v>
      </c>
      <c r="D1642" t="s">
        <v>55</v>
      </c>
      <c r="E1642" t="s">
        <v>2000</v>
      </c>
      <c r="F1642">
        <v>25</v>
      </c>
    </row>
    <row r="1643" spans="1:6" x14ac:dyDescent="0.25">
      <c r="A1643" t="s">
        <v>1748</v>
      </c>
      <c r="B1643" s="2">
        <v>3419.1200039889732</v>
      </c>
      <c r="C1643" t="s">
        <v>3</v>
      </c>
      <c r="D1643" t="s">
        <v>4</v>
      </c>
      <c r="E1643" t="s">
        <v>2001</v>
      </c>
      <c r="F1643">
        <v>5</v>
      </c>
    </row>
    <row r="1644" spans="1:6" x14ac:dyDescent="0.25">
      <c r="A1644" t="s">
        <v>1749</v>
      </c>
      <c r="B1644" s="2">
        <v>87734.690296543267</v>
      </c>
      <c r="C1644" t="s">
        <v>16</v>
      </c>
      <c r="D1644" t="s">
        <v>616</v>
      </c>
      <c r="E1644" t="s">
        <v>2001</v>
      </c>
      <c r="F1644">
        <v>6</v>
      </c>
    </row>
    <row r="1645" spans="1:6" x14ac:dyDescent="0.25">
      <c r="A1645" t="s">
        <v>1750</v>
      </c>
      <c r="B1645" s="2">
        <v>56628.754645950656</v>
      </c>
      <c r="C1645" t="s">
        <v>3</v>
      </c>
      <c r="D1645" t="s">
        <v>616</v>
      </c>
      <c r="E1645" t="s">
        <v>2002</v>
      </c>
      <c r="F1645">
        <v>6</v>
      </c>
    </row>
    <row r="1646" spans="1:6" x14ac:dyDescent="0.25">
      <c r="A1646" t="s">
        <v>1751</v>
      </c>
      <c r="B1646" s="2">
        <v>8013.5625093491553</v>
      </c>
      <c r="C1646" t="s">
        <v>37</v>
      </c>
      <c r="D1646" t="s">
        <v>4</v>
      </c>
      <c r="E1646" t="s">
        <v>2002</v>
      </c>
      <c r="F1646">
        <v>4</v>
      </c>
    </row>
    <row r="1647" spans="1:6" x14ac:dyDescent="0.25">
      <c r="A1647" t="s">
        <v>1752</v>
      </c>
      <c r="B1647" s="2">
        <v>3561.5833374885137</v>
      </c>
      <c r="C1647" t="s">
        <v>3</v>
      </c>
      <c r="D1647" t="s">
        <v>4</v>
      </c>
      <c r="E1647" t="s">
        <v>1999</v>
      </c>
      <c r="F1647">
        <v>16</v>
      </c>
    </row>
    <row r="1648" spans="1:6" x14ac:dyDescent="0.25">
      <c r="A1648" t="s">
        <v>1753</v>
      </c>
      <c r="B1648" s="2">
        <v>62000</v>
      </c>
      <c r="C1648" t="s">
        <v>12</v>
      </c>
      <c r="D1648" t="s">
        <v>8</v>
      </c>
      <c r="E1648" t="s">
        <v>2000</v>
      </c>
      <c r="F1648">
        <v>12</v>
      </c>
    </row>
    <row r="1649" spans="1:6" x14ac:dyDescent="0.25">
      <c r="A1649" t="s">
        <v>1754</v>
      </c>
      <c r="B1649" s="2">
        <v>26678.388218823762</v>
      </c>
      <c r="C1649" t="s">
        <v>3</v>
      </c>
      <c r="D1649" t="s">
        <v>22</v>
      </c>
      <c r="E1649" t="s">
        <v>2001</v>
      </c>
      <c r="F1649">
        <v>5</v>
      </c>
    </row>
    <row r="1650" spans="1:6" x14ac:dyDescent="0.25">
      <c r="A1650" t="s">
        <v>1755</v>
      </c>
      <c r="B1650" s="2">
        <v>70928.022243027779</v>
      </c>
      <c r="C1650" t="s">
        <v>3</v>
      </c>
      <c r="D1650" t="s">
        <v>55</v>
      </c>
      <c r="E1650" t="s">
        <v>2002</v>
      </c>
      <c r="F1650">
        <v>5</v>
      </c>
    </row>
    <row r="1651" spans="1:6" x14ac:dyDescent="0.25">
      <c r="A1651" t="s">
        <v>1756</v>
      </c>
      <c r="B1651" s="2">
        <v>41923.181486723057</v>
      </c>
      <c r="C1651" t="s">
        <v>3</v>
      </c>
      <c r="D1651" t="s">
        <v>85</v>
      </c>
      <c r="E1651" t="s">
        <v>2001</v>
      </c>
      <c r="F1651">
        <v>6</v>
      </c>
    </row>
    <row r="1652" spans="1:6" x14ac:dyDescent="0.25">
      <c r="A1652" t="s">
        <v>1757</v>
      </c>
      <c r="B1652" s="2">
        <v>90000</v>
      </c>
      <c r="C1652" t="s">
        <v>3</v>
      </c>
      <c r="D1652" t="s">
        <v>8</v>
      </c>
      <c r="E1652" t="s">
        <v>2000</v>
      </c>
      <c r="F1652">
        <v>8</v>
      </c>
    </row>
    <row r="1653" spans="1:6" x14ac:dyDescent="0.25">
      <c r="A1653" t="s">
        <v>1758</v>
      </c>
      <c r="B1653" s="2">
        <v>67700.452577525488</v>
      </c>
      <c r="C1653" t="s">
        <v>3</v>
      </c>
      <c r="D1653" t="s">
        <v>526</v>
      </c>
      <c r="E1653" t="s">
        <v>2002</v>
      </c>
      <c r="F1653">
        <v>5</v>
      </c>
    </row>
    <row r="1654" spans="1:6" x14ac:dyDescent="0.25">
      <c r="A1654" t="s">
        <v>1759</v>
      </c>
      <c r="B1654" s="2">
        <v>85000</v>
      </c>
      <c r="C1654" t="s">
        <v>3</v>
      </c>
      <c r="D1654" t="s">
        <v>8</v>
      </c>
      <c r="E1654" t="s">
        <v>2001</v>
      </c>
      <c r="F1654">
        <v>12</v>
      </c>
    </row>
    <row r="1655" spans="1:6" x14ac:dyDescent="0.25">
      <c r="A1655" t="s">
        <v>1760</v>
      </c>
      <c r="B1655" s="2">
        <v>78808.913603364199</v>
      </c>
      <c r="C1655" t="s">
        <v>21</v>
      </c>
      <c r="D1655" t="s">
        <v>55</v>
      </c>
      <c r="E1655" t="s">
        <v>2001</v>
      </c>
      <c r="F1655">
        <v>10</v>
      </c>
    </row>
    <row r="1656" spans="1:6" x14ac:dyDescent="0.25">
      <c r="A1656" t="s">
        <v>1761</v>
      </c>
      <c r="B1656" s="2">
        <v>65000</v>
      </c>
      <c r="C1656" t="s">
        <v>3</v>
      </c>
      <c r="D1656" t="s">
        <v>8</v>
      </c>
      <c r="E1656" t="s">
        <v>2001</v>
      </c>
      <c r="F1656">
        <v>8</v>
      </c>
    </row>
    <row r="1657" spans="1:6" x14ac:dyDescent="0.25">
      <c r="A1657" t="s">
        <v>1762</v>
      </c>
      <c r="B1657" s="2">
        <v>75000</v>
      </c>
      <c r="C1657" t="s">
        <v>21</v>
      </c>
      <c r="D1657" t="s">
        <v>8</v>
      </c>
      <c r="E1657" t="s">
        <v>2000</v>
      </c>
      <c r="F1657">
        <v>3</v>
      </c>
    </row>
    <row r="1658" spans="1:6" x14ac:dyDescent="0.25">
      <c r="A1658" t="s">
        <v>1763</v>
      </c>
      <c r="B1658" s="2">
        <v>92000</v>
      </c>
      <c r="C1658" t="s">
        <v>3</v>
      </c>
      <c r="D1658" t="s">
        <v>8</v>
      </c>
      <c r="E1658" t="s">
        <v>2001</v>
      </c>
      <c r="F1658">
        <v>9</v>
      </c>
    </row>
    <row r="1659" spans="1:6" x14ac:dyDescent="0.25">
      <c r="A1659" t="s">
        <v>1764</v>
      </c>
      <c r="B1659" s="2">
        <v>50815.977559664309</v>
      </c>
      <c r="C1659" t="s">
        <v>3</v>
      </c>
      <c r="D1659" t="s">
        <v>17</v>
      </c>
      <c r="E1659" t="s">
        <v>2000</v>
      </c>
      <c r="F1659">
        <v>3</v>
      </c>
    </row>
    <row r="1660" spans="1:6" x14ac:dyDescent="0.25">
      <c r="A1660" t="s">
        <v>1765</v>
      </c>
      <c r="B1660" s="2">
        <v>55954.328658388586</v>
      </c>
      <c r="C1660" t="s">
        <v>24</v>
      </c>
      <c r="D1660" t="s">
        <v>55</v>
      </c>
      <c r="E1660" t="s">
        <v>2001</v>
      </c>
      <c r="F1660">
        <v>8</v>
      </c>
    </row>
    <row r="1661" spans="1:6" x14ac:dyDescent="0.25">
      <c r="A1661" t="s">
        <v>1766</v>
      </c>
      <c r="B1661" s="2">
        <v>45000</v>
      </c>
      <c r="C1661" t="s">
        <v>3</v>
      </c>
      <c r="D1661" t="s">
        <v>8</v>
      </c>
      <c r="E1661" t="s">
        <v>2000</v>
      </c>
      <c r="F1661">
        <v>4</v>
      </c>
    </row>
    <row r="1662" spans="1:6" x14ac:dyDescent="0.25">
      <c r="A1662" t="s">
        <v>1767</v>
      </c>
      <c r="B1662" s="2">
        <v>7123.1666749770275</v>
      </c>
      <c r="C1662" t="s">
        <v>3</v>
      </c>
      <c r="D1662" t="s">
        <v>4</v>
      </c>
      <c r="E1662" t="s">
        <v>2001</v>
      </c>
      <c r="F1662">
        <v>4</v>
      </c>
    </row>
    <row r="1663" spans="1:6" x14ac:dyDescent="0.25">
      <c r="A1663" t="s">
        <v>1768</v>
      </c>
      <c r="B1663" s="2">
        <v>49443.946165553374</v>
      </c>
      <c r="C1663" t="s">
        <v>3</v>
      </c>
      <c r="D1663" t="s">
        <v>48</v>
      </c>
      <c r="E1663" t="s">
        <v>2001</v>
      </c>
      <c r="F1663">
        <v>1.5</v>
      </c>
    </row>
    <row r="1664" spans="1:6" x14ac:dyDescent="0.25">
      <c r="A1664" t="s">
        <v>1769</v>
      </c>
      <c r="B1664" s="2">
        <v>45000</v>
      </c>
      <c r="C1664" t="s">
        <v>21</v>
      </c>
      <c r="D1664" t="s">
        <v>136</v>
      </c>
      <c r="E1664" t="s">
        <v>2001</v>
      </c>
      <c r="F1664">
        <v>5</v>
      </c>
    </row>
    <row r="1665" spans="1:6" x14ac:dyDescent="0.25">
      <c r="A1665" t="s">
        <v>1770</v>
      </c>
      <c r="B1665" s="2">
        <v>60000</v>
      </c>
      <c r="C1665" t="s">
        <v>3</v>
      </c>
      <c r="D1665" t="s">
        <v>8</v>
      </c>
      <c r="E1665" t="s">
        <v>2002</v>
      </c>
      <c r="F1665">
        <v>1</v>
      </c>
    </row>
    <row r="1666" spans="1:6" x14ac:dyDescent="0.25">
      <c r="A1666" t="s">
        <v>1771</v>
      </c>
      <c r="B1666" s="2">
        <v>65000</v>
      </c>
      <c r="C1666" t="s">
        <v>3</v>
      </c>
      <c r="D1666" t="s">
        <v>8</v>
      </c>
      <c r="E1666" t="s">
        <v>2002</v>
      </c>
      <c r="F1666">
        <v>4</v>
      </c>
    </row>
    <row r="1667" spans="1:6" x14ac:dyDescent="0.25">
      <c r="A1667" t="s">
        <v>1772</v>
      </c>
      <c r="B1667" s="2">
        <v>73000</v>
      </c>
      <c r="C1667" t="s">
        <v>16</v>
      </c>
      <c r="D1667" t="s">
        <v>8</v>
      </c>
      <c r="E1667" t="s">
        <v>2000</v>
      </c>
      <c r="F1667">
        <v>6</v>
      </c>
    </row>
    <row r="1668" spans="1:6" x14ac:dyDescent="0.25">
      <c r="A1668" t="s">
        <v>1773</v>
      </c>
      <c r="B1668" s="2">
        <v>54000</v>
      </c>
      <c r="C1668" t="s">
        <v>3</v>
      </c>
      <c r="D1668" t="s">
        <v>8</v>
      </c>
      <c r="E1668" t="s">
        <v>2002</v>
      </c>
      <c r="F1668">
        <v>6</v>
      </c>
    </row>
    <row r="1669" spans="1:6" x14ac:dyDescent="0.25">
      <c r="A1669" t="s">
        <v>1774</v>
      </c>
      <c r="B1669" s="2">
        <v>81000</v>
      </c>
      <c r="C1669" t="s">
        <v>3</v>
      </c>
      <c r="D1669" t="s">
        <v>8</v>
      </c>
      <c r="E1669" t="s">
        <v>2001</v>
      </c>
      <c r="F1669">
        <v>6</v>
      </c>
    </row>
    <row r="1670" spans="1:6" x14ac:dyDescent="0.25">
      <c r="A1670" t="s">
        <v>1775</v>
      </c>
      <c r="B1670" s="2">
        <v>10000</v>
      </c>
      <c r="C1670" t="s">
        <v>3</v>
      </c>
      <c r="D1670" t="s">
        <v>8</v>
      </c>
      <c r="E1670" t="s">
        <v>2001</v>
      </c>
      <c r="F1670">
        <v>2</v>
      </c>
    </row>
    <row r="1671" spans="1:6" x14ac:dyDescent="0.25">
      <c r="A1671" t="s">
        <v>1776</v>
      </c>
      <c r="B1671" s="2">
        <v>42000</v>
      </c>
      <c r="C1671" t="s">
        <v>24</v>
      </c>
      <c r="D1671" t="s">
        <v>8</v>
      </c>
      <c r="E1671" t="s">
        <v>2001</v>
      </c>
      <c r="F1671">
        <v>1</v>
      </c>
    </row>
    <row r="1672" spans="1:6" x14ac:dyDescent="0.25">
      <c r="A1672" t="s">
        <v>1777</v>
      </c>
      <c r="B1672" s="2">
        <v>81592.772512210868</v>
      </c>
      <c r="C1672" t="s">
        <v>26</v>
      </c>
      <c r="D1672" t="s">
        <v>65</v>
      </c>
      <c r="E1672" t="s">
        <v>2001</v>
      </c>
      <c r="F1672">
        <v>5</v>
      </c>
    </row>
    <row r="1673" spans="1:6" x14ac:dyDescent="0.25">
      <c r="A1673" t="s">
        <v>1778</v>
      </c>
      <c r="B1673" s="2">
        <v>35401.014829091764</v>
      </c>
      <c r="C1673" t="s">
        <v>3</v>
      </c>
      <c r="D1673" t="s">
        <v>68</v>
      </c>
      <c r="E1673" t="s">
        <v>2002</v>
      </c>
      <c r="F1673">
        <v>2</v>
      </c>
    </row>
    <row r="1674" spans="1:6" x14ac:dyDescent="0.25">
      <c r="A1674" t="s">
        <v>1779</v>
      </c>
      <c r="B1674" s="2">
        <v>8903.9583437212841</v>
      </c>
      <c r="C1674" t="s">
        <v>3</v>
      </c>
      <c r="D1674" t="s">
        <v>4</v>
      </c>
      <c r="E1674" t="s">
        <v>2001</v>
      </c>
      <c r="F1674">
        <v>4</v>
      </c>
    </row>
    <row r="1675" spans="1:6" x14ac:dyDescent="0.25">
      <c r="A1675" t="s">
        <v>1780</v>
      </c>
      <c r="B1675" s="2">
        <v>10684.750012465542</v>
      </c>
      <c r="C1675" t="s">
        <v>3</v>
      </c>
      <c r="D1675" t="s">
        <v>4</v>
      </c>
      <c r="E1675" t="s">
        <v>2002</v>
      </c>
      <c r="F1675">
        <v>5</v>
      </c>
    </row>
    <row r="1676" spans="1:6" x14ac:dyDescent="0.25">
      <c r="A1676" t="s">
        <v>1781</v>
      </c>
      <c r="B1676" s="2">
        <v>8400</v>
      </c>
      <c r="C1676" t="s">
        <v>3</v>
      </c>
      <c r="D1676" t="s">
        <v>674</v>
      </c>
      <c r="E1676" t="s">
        <v>2001</v>
      </c>
      <c r="F1676">
        <v>14</v>
      </c>
    </row>
    <row r="1677" spans="1:6" x14ac:dyDescent="0.25">
      <c r="A1677" t="s">
        <v>1782</v>
      </c>
      <c r="B1677" s="2">
        <v>9794.354178093412</v>
      </c>
      <c r="C1677" t="s">
        <v>16</v>
      </c>
      <c r="D1677" t="s">
        <v>4</v>
      </c>
      <c r="E1677" t="s">
        <v>2001</v>
      </c>
      <c r="F1677">
        <v>13</v>
      </c>
    </row>
    <row r="1678" spans="1:6" x14ac:dyDescent="0.25">
      <c r="A1678" t="s">
        <v>1783</v>
      </c>
      <c r="B1678" s="2">
        <v>14400</v>
      </c>
      <c r="C1678" t="s">
        <v>12</v>
      </c>
      <c r="D1678" t="s">
        <v>4</v>
      </c>
      <c r="E1678" t="s">
        <v>1999</v>
      </c>
      <c r="F1678">
        <v>8</v>
      </c>
    </row>
    <row r="1679" spans="1:6" x14ac:dyDescent="0.25">
      <c r="A1679" t="s">
        <v>1784</v>
      </c>
      <c r="B1679" s="2">
        <v>2671.1875031163854</v>
      </c>
      <c r="C1679" t="s">
        <v>37</v>
      </c>
      <c r="D1679" t="s">
        <v>4</v>
      </c>
      <c r="E1679" t="s">
        <v>2002</v>
      </c>
      <c r="F1679">
        <v>3</v>
      </c>
    </row>
    <row r="1680" spans="1:6" x14ac:dyDescent="0.25">
      <c r="A1680" t="s">
        <v>1785</v>
      </c>
      <c r="B1680" s="2">
        <v>22000</v>
      </c>
      <c r="C1680" t="s">
        <v>16</v>
      </c>
      <c r="D1680" t="s">
        <v>4</v>
      </c>
      <c r="E1680" t="s">
        <v>2002</v>
      </c>
      <c r="F1680">
        <v>6</v>
      </c>
    </row>
    <row r="1681" spans="1:6" x14ac:dyDescent="0.25">
      <c r="A1681" t="s">
        <v>1786</v>
      </c>
      <c r="B1681" s="2">
        <v>100000</v>
      </c>
      <c r="C1681" t="s">
        <v>3</v>
      </c>
      <c r="D1681" t="s">
        <v>52</v>
      </c>
      <c r="E1681" t="s">
        <v>2002</v>
      </c>
      <c r="F1681">
        <v>6</v>
      </c>
    </row>
    <row r="1682" spans="1:6" x14ac:dyDescent="0.25">
      <c r="A1682" t="s">
        <v>1787</v>
      </c>
      <c r="B1682" s="2">
        <v>63047.130882691366</v>
      </c>
      <c r="C1682" t="s">
        <v>16</v>
      </c>
      <c r="D1682" t="s">
        <v>55</v>
      </c>
      <c r="E1682" t="s">
        <v>2001</v>
      </c>
      <c r="F1682">
        <v>15</v>
      </c>
    </row>
    <row r="1683" spans="1:6" x14ac:dyDescent="0.25">
      <c r="A1683" t="s">
        <v>1788</v>
      </c>
      <c r="B1683" s="2">
        <v>56742.417794422225</v>
      </c>
      <c r="C1683" t="s">
        <v>16</v>
      </c>
      <c r="D1683" t="s">
        <v>55</v>
      </c>
      <c r="E1683" t="s">
        <v>1999</v>
      </c>
      <c r="F1683">
        <v>25</v>
      </c>
    </row>
    <row r="1684" spans="1:6" x14ac:dyDescent="0.25">
      <c r="A1684" t="s">
        <v>1789</v>
      </c>
      <c r="B1684" s="2">
        <v>25000</v>
      </c>
      <c r="C1684" t="s">
        <v>3</v>
      </c>
      <c r="D1684" t="s">
        <v>4</v>
      </c>
      <c r="E1684" t="s">
        <v>2002</v>
      </c>
      <c r="F1684">
        <v>8</v>
      </c>
    </row>
    <row r="1685" spans="1:6" x14ac:dyDescent="0.25">
      <c r="A1685" t="s">
        <v>1790</v>
      </c>
      <c r="B1685" s="2">
        <v>8903.9583437212841</v>
      </c>
      <c r="C1685" t="s">
        <v>3</v>
      </c>
      <c r="D1685" t="s">
        <v>4</v>
      </c>
      <c r="E1685" t="s">
        <v>2001</v>
      </c>
      <c r="F1685">
        <v>2</v>
      </c>
    </row>
    <row r="1686" spans="1:6" x14ac:dyDescent="0.25">
      <c r="A1686" t="s">
        <v>1791</v>
      </c>
      <c r="B1686" s="2">
        <v>42556.81334581667</v>
      </c>
      <c r="C1686" t="s">
        <v>3</v>
      </c>
      <c r="D1686" t="s">
        <v>55</v>
      </c>
      <c r="E1686" t="s">
        <v>2001</v>
      </c>
      <c r="F1686">
        <v>2</v>
      </c>
    </row>
    <row r="1687" spans="1:6" x14ac:dyDescent="0.25">
      <c r="A1687" t="s">
        <v>1792</v>
      </c>
      <c r="B1687" s="2">
        <v>131770.4440860638</v>
      </c>
      <c r="C1687" t="s">
        <v>24</v>
      </c>
      <c r="D1687" t="s">
        <v>68</v>
      </c>
      <c r="E1687" t="s">
        <v>2002</v>
      </c>
      <c r="F1687">
        <v>20</v>
      </c>
    </row>
    <row r="1688" spans="1:6" x14ac:dyDescent="0.25">
      <c r="A1688" t="s">
        <v>1793</v>
      </c>
      <c r="B1688" s="2">
        <v>68835.306612122877</v>
      </c>
      <c r="C1688" t="s">
        <v>3</v>
      </c>
      <c r="D1688" t="s">
        <v>68</v>
      </c>
      <c r="E1688" t="s">
        <v>2002</v>
      </c>
      <c r="F1688">
        <v>2</v>
      </c>
    </row>
    <row r="1689" spans="1:6" x14ac:dyDescent="0.25">
      <c r="A1689" t="s">
        <v>1794</v>
      </c>
      <c r="B1689" s="2">
        <v>6000</v>
      </c>
      <c r="C1689" t="s">
        <v>37</v>
      </c>
      <c r="D1689" t="s">
        <v>1795</v>
      </c>
      <c r="E1689" t="s">
        <v>2002</v>
      </c>
      <c r="F1689">
        <v>5</v>
      </c>
    </row>
    <row r="1690" spans="1:6" x14ac:dyDescent="0.25">
      <c r="A1690" t="s">
        <v>1796</v>
      </c>
      <c r="B1690" s="2">
        <v>78808.913603364199</v>
      </c>
      <c r="C1690" t="s">
        <v>3</v>
      </c>
      <c r="D1690" t="s">
        <v>55</v>
      </c>
      <c r="E1690" t="s">
        <v>2000</v>
      </c>
      <c r="F1690">
        <v>2</v>
      </c>
    </row>
    <row r="1691" spans="1:6" x14ac:dyDescent="0.25">
      <c r="A1691" t="s">
        <v>1797</v>
      </c>
      <c r="B1691" s="2">
        <v>7497.1329254133216</v>
      </c>
      <c r="C1691" t="s">
        <v>3</v>
      </c>
      <c r="D1691" t="s">
        <v>4</v>
      </c>
      <c r="E1691" t="s">
        <v>2001</v>
      </c>
      <c r="F1691">
        <v>4</v>
      </c>
    </row>
    <row r="1692" spans="1:6" x14ac:dyDescent="0.25">
      <c r="A1692" t="s">
        <v>1798</v>
      </c>
      <c r="B1692" s="2">
        <v>10000</v>
      </c>
      <c r="C1692" t="s">
        <v>16</v>
      </c>
      <c r="D1692" t="s">
        <v>4</v>
      </c>
      <c r="E1692" t="s">
        <v>2001</v>
      </c>
      <c r="F1692">
        <v>11</v>
      </c>
    </row>
    <row r="1693" spans="1:6" x14ac:dyDescent="0.25">
      <c r="A1693" t="s">
        <v>1799</v>
      </c>
      <c r="B1693" s="2">
        <v>6410.8500074793246</v>
      </c>
      <c r="C1693" t="s">
        <v>59</v>
      </c>
      <c r="D1693" t="s">
        <v>4</v>
      </c>
      <c r="E1693" t="s">
        <v>1999</v>
      </c>
      <c r="F1693">
        <v>2</v>
      </c>
    </row>
    <row r="1694" spans="1:6" x14ac:dyDescent="0.25">
      <c r="A1694" t="s">
        <v>1800</v>
      </c>
      <c r="B1694" s="2">
        <v>63047.130882691366</v>
      </c>
      <c r="C1694" t="s">
        <v>3</v>
      </c>
      <c r="D1694" t="s">
        <v>55</v>
      </c>
      <c r="E1694" t="s">
        <v>2001</v>
      </c>
      <c r="F1694">
        <v>5</v>
      </c>
    </row>
    <row r="1695" spans="1:6" x14ac:dyDescent="0.25">
      <c r="A1695" t="s">
        <v>1801</v>
      </c>
      <c r="B1695" s="2">
        <v>61194.579384158147</v>
      </c>
      <c r="C1695" t="s">
        <v>3</v>
      </c>
      <c r="D1695" t="s">
        <v>65</v>
      </c>
      <c r="E1695" t="s">
        <v>2000</v>
      </c>
      <c r="F1695">
        <v>3</v>
      </c>
    </row>
    <row r="1696" spans="1:6" x14ac:dyDescent="0.25">
      <c r="A1696" t="s">
        <v>1802</v>
      </c>
      <c r="B1696" s="2">
        <v>115061.01386091174</v>
      </c>
      <c r="C1696" t="s">
        <v>6</v>
      </c>
      <c r="D1696" t="s">
        <v>55</v>
      </c>
      <c r="E1696" t="s">
        <v>2001</v>
      </c>
      <c r="F1696">
        <v>8</v>
      </c>
    </row>
    <row r="1697" spans="1:6" x14ac:dyDescent="0.25">
      <c r="A1697" t="s">
        <v>1803</v>
      </c>
      <c r="B1697" s="2">
        <v>45000</v>
      </c>
      <c r="C1697" t="s">
        <v>3</v>
      </c>
      <c r="D1697" t="s">
        <v>8</v>
      </c>
      <c r="E1697" t="s">
        <v>2002</v>
      </c>
      <c r="F1697">
        <v>2</v>
      </c>
    </row>
    <row r="1698" spans="1:6" x14ac:dyDescent="0.25">
      <c r="A1698" t="s">
        <v>1804</v>
      </c>
      <c r="B1698" s="2">
        <v>36000</v>
      </c>
      <c r="C1698" t="s">
        <v>3</v>
      </c>
      <c r="D1698" t="s">
        <v>8</v>
      </c>
      <c r="E1698" t="s">
        <v>2001</v>
      </c>
      <c r="F1698">
        <v>4</v>
      </c>
    </row>
    <row r="1699" spans="1:6" x14ac:dyDescent="0.25">
      <c r="A1699" t="s">
        <v>1805</v>
      </c>
      <c r="B1699" s="2">
        <v>68000</v>
      </c>
      <c r="C1699" t="s">
        <v>3</v>
      </c>
      <c r="D1699" t="s">
        <v>8</v>
      </c>
      <c r="E1699" t="s">
        <v>2001</v>
      </c>
      <c r="F1699">
        <v>2.5</v>
      </c>
    </row>
    <row r="1700" spans="1:6" x14ac:dyDescent="0.25">
      <c r="A1700" t="s">
        <v>1806</v>
      </c>
      <c r="B1700" s="2">
        <v>75000</v>
      </c>
      <c r="C1700" t="s">
        <v>3</v>
      </c>
      <c r="D1700" t="s">
        <v>8</v>
      </c>
      <c r="E1700" t="s">
        <v>2002</v>
      </c>
      <c r="F1700">
        <v>5</v>
      </c>
    </row>
    <row r="1701" spans="1:6" x14ac:dyDescent="0.25">
      <c r="A1701" t="s">
        <v>1807</v>
      </c>
      <c r="B1701" s="2">
        <v>88000</v>
      </c>
      <c r="C1701" t="s">
        <v>3</v>
      </c>
      <c r="D1701" t="s">
        <v>8</v>
      </c>
      <c r="E1701" t="s">
        <v>2002</v>
      </c>
      <c r="F1701">
        <v>10</v>
      </c>
    </row>
    <row r="1702" spans="1:6" x14ac:dyDescent="0.25">
      <c r="A1702" t="s">
        <v>1808</v>
      </c>
      <c r="B1702" s="2">
        <v>4594.4425053601826</v>
      </c>
      <c r="C1702" t="s">
        <v>3</v>
      </c>
      <c r="D1702" t="s">
        <v>4</v>
      </c>
      <c r="E1702" t="s">
        <v>2001</v>
      </c>
      <c r="F1702">
        <v>4</v>
      </c>
    </row>
    <row r="1703" spans="1:6" x14ac:dyDescent="0.25">
      <c r="A1703" t="s">
        <v>1809</v>
      </c>
      <c r="B1703" s="2">
        <v>69000</v>
      </c>
      <c r="C1703" t="s">
        <v>3</v>
      </c>
      <c r="D1703" t="s">
        <v>8</v>
      </c>
      <c r="E1703" t="s">
        <v>2002</v>
      </c>
      <c r="F1703">
        <v>15</v>
      </c>
    </row>
    <row r="1704" spans="1:6" x14ac:dyDescent="0.25">
      <c r="A1704" t="s">
        <v>1810</v>
      </c>
      <c r="B1704" s="2">
        <v>30000</v>
      </c>
      <c r="C1704" t="s">
        <v>16</v>
      </c>
      <c r="D1704" t="s">
        <v>8</v>
      </c>
      <c r="E1704" t="s">
        <v>2001</v>
      </c>
      <c r="F1704">
        <v>1</v>
      </c>
    </row>
    <row r="1705" spans="1:6" x14ac:dyDescent="0.25">
      <c r="A1705" t="s">
        <v>1811</v>
      </c>
      <c r="B1705" s="2">
        <v>80000</v>
      </c>
      <c r="C1705" t="s">
        <v>16</v>
      </c>
      <c r="D1705" t="s">
        <v>8</v>
      </c>
      <c r="E1705" t="s">
        <v>2001</v>
      </c>
      <c r="F1705">
        <v>7</v>
      </c>
    </row>
    <row r="1706" spans="1:6" x14ac:dyDescent="0.25">
      <c r="A1706" t="s">
        <v>1812</v>
      </c>
      <c r="B1706" s="2">
        <v>75000</v>
      </c>
      <c r="C1706" t="s">
        <v>24</v>
      </c>
      <c r="D1706" t="s">
        <v>8</v>
      </c>
      <c r="E1706" t="s">
        <v>2002</v>
      </c>
      <c r="F1706">
        <v>1</v>
      </c>
    </row>
    <row r="1707" spans="1:6" x14ac:dyDescent="0.25">
      <c r="A1707" t="s">
        <v>1813</v>
      </c>
      <c r="B1707" s="2">
        <v>31200</v>
      </c>
      <c r="C1707" t="s">
        <v>3</v>
      </c>
      <c r="D1707" t="s">
        <v>116</v>
      </c>
      <c r="E1707" t="s">
        <v>2001</v>
      </c>
      <c r="F1707">
        <v>4</v>
      </c>
    </row>
    <row r="1708" spans="1:6" x14ac:dyDescent="0.25">
      <c r="A1708" t="s">
        <v>1814</v>
      </c>
      <c r="B1708" s="2">
        <v>85000</v>
      </c>
      <c r="C1708" t="s">
        <v>24</v>
      </c>
      <c r="D1708" t="s">
        <v>8</v>
      </c>
      <c r="E1708" t="s">
        <v>2001</v>
      </c>
      <c r="F1708">
        <v>20</v>
      </c>
    </row>
    <row r="1709" spans="1:6" x14ac:dyDescent="0.25">
      <c r="A1709" t="s">
        <v>1815</v>
      </c>
      <c r="B1709" s="2">
        <v>16917.52085307044</v>
      </c>
      <c r="C1709" t="s">
        <v>16</v>
      </c>
      <c r="D1709" t="s">
        <v>4</v>
      </c>
      <c r="E1709" t="s">
        <v>2000</v>
      </c>
      <c r="F1709">
        <v>9</v>
      </c>
    </row>
    <row r="1710" spans="1:6" x14ac:dyDescent="0.25">
      <c r="A1710" t="s">
        <v>1816</v>
      </c>
      <c r="B1710" s="2">
        <v>3205.4250037396623</v>
      </c>
      <c r="C1710" t="s">
        <v>37</v>
      </c>
      <c r="D1710" t="s">
        <v>4</v>
      </c>
      <c r="E1710" t="s">
        <v>2001</v>
      </c>
      <c r="F1710">
        <v>2</v>
      </c>
    </row>
    <row r="1711" spans="1:6" x14ac:dyDescent="0.25">
      <c r="A1711" t="s">
        <v>1817</v>
      </c>
      <c r="B1711" s="2">
        <v>60000</v>
      </c>
      <c r="C1711" t="s">
        <v>16</v>
      </c>
      <c r="D1711" t="s">
        <v>8</v>
      </c>
      <c r="E1711" t="s">
        <v>2002</v>
      </c>
      <c r="F1711">
        <v>2</v>
      </c>
    </row>
    <row r="1712" spans="1:6" x14ac:dyDescent="0.25">
      <c r="A1712" t="s">
        <v>1818</v>
      </c>
      <c r="B1712" s="2">
        <v>60000</v>
      </c>
      <c r="C1712" t="s">
        <v>16</v>
      </c>
      <c r="D1712" t="s">
        <v>8</v>
      </c>
      <c r="E1712" t="s">
        <v>2002</v>
      </c>
      <c r="F1712">
        <v>2</v>
      </c>
    </row>
    <row r="1713" spans="1:6" x14ac:dyDescent="0.25">
      <c r="A1713" t="s">
        <v>1819</v>
      </c>
      <c r="B1713" s="2">
        <v>14246.333349954055</v>
      </c>
      <c r="C1713" t="s">
        <v>16</v>
      </c>
      <c r="D1713" t="s">
        <v>4</v>
      </c>
      <c r="E1713" t="s">
        <v>2000</v>
      </c>
      <c r="F1713">
        <v>0</v>
      </c>
    </row>
    <row r="1714" spans="1:6" x14ac:dyDescent="0.25">
      <c r="A1714" t="s">
        <v>1820</v>
      </c>
      <c r="B1714" s="2">
        <v>14246.333349954055</v>
      </c>
      <c r="C1714" t="s">
        <v>16</v>
      </c>
      <c r="D1714" t="s">
        <v>4</v>
      </c>
      <c r="E1714" t="s">
        <v>2000</v>
      </c>
      <c r="F1714">
        <v>0</v>
      </c>
    </row>
    <row r="1715" spans="1:6" x14ac:dyDescent="0.25">
      <c r="A1715" t="s">
        <v>1821</v>
      </c>
      <c r="B1715" s="2">
        <v>28995</v>
      </c>
      <c r="C1715" t="s">
        <v>16</v>
      </c>
      <c r="D1715" t="s">
        <v>4</v>
      </c>
      <c r="E1715" t="s">
        <v>2001</v>
      </c>
      <c r="F1715">
        <v>6</v>
      </c>
    </row>
    <row r="1716" spans="1:6" x14ac:dyDescent="0.25">
      <c r="A1716" t="s">
        <v>1822</v>
      </c>
      <c r="B1716" s="2">
        <v>21903.737525554359</v>
      </c>
      <c r="C1716" t="s">
        <v>3</v>
      </c>
      <c r="D1716" t="s">
        <v>4</v>
      </c>
      <c r="E1716" t="s">
        <v>2002</v>
      </c>
      <c r="F1716">
        <v>3</v>
      </c>
    </row>
    <row r="1717" spans="1:6" x14ac:dyDescent="0.25">
      <c r="A1717" t="s">
        <v>1823</v>
      </c>
      <c r="B1717" s="2">
        <v>20122.945856810104</v>
      </c>
      <c r="C1717" t="s">
        <v>3</v>
      </c>
      <c r="D1717" t="s">
        <v>4</v>
      </c>
      <c r="E1717" t="s">
        <v>2002</v>
      </c>
      <c r="F1717">
        <v>3</v>
      </c>
    </row>
    <row r="1718" spans="1:6" x14ac:dyDescent="0.25">
      <c r="A1718" t="s">
        <v>1824</v>
      </c>
      <c r="B1718" s="2">
        <v>70928.022243027779</v>
      </c>
      <c r="C1718" t="s">
        <v>3</v>
      </c>
      <c r="D1718" t="s">
        <v>55</v>
      </c>
      <c r="E1718" t="s">
        <v>2002</v>
      </c>
      <c r="F1718">
        <v>20</v>
      </c>
    </row>
    <row r="1719" spans="1:6" x14ac:dyDescent="0.25">
      <c r="A1719" t="s">
        <v>1825</v>
      </c>
      <c r="B1719" s="2">
        <v>67000</v>
      </c>
      <c r="C1719" t="s">
        <v>16</v>
      </c>
      <c r="D1719" t="s">
        <v>8</v>
      </c>
      <c r="E1719" t="s">
        <v>2001</v>
      </c>
      <c r="F1719">
        <v>16</v>
      </c>
    </row>
    <row r="1720" spans="1:6" x14ac:dyDescent="0.25">
      <c r="A1720" t="s">
        <v>1826</v>
      </c>
      <c r="B1720" s="2">
        <v>30000</v>
      </c>
      <c r="C1720" t="s">
        <v>3</v>
      </c>
      <c r="D1720" t="s">
        <v>8</v>
      </c>
      <c r="E1720" t="s">
        <v>2000</v>
      </c>
      <c r="F1720">
        <v>4</v>
      </c>
    </row>
    <row r="1721" spans="1:6" x14ac:dyDescent="0.25">
      <c r="A1721" t="s">
        <v>1827</v>
      </c>
      <c r="B1721" s="2">
        <v>148102.22862117883</v>
      </c>
      <c r="C1721" t="s">
        <v>16</v>
      </c>
      <c r="D1721" t="s">
        <v>35</v>
      </c>
      <c r="E1721" t="s">
        <v>2000</v>
      </c>
      <c r="F1721">
        <v>6</v>
      </c>
    </row>
    <row r="1722" spans="1:6" x14ac:dyDescent="0.25">
      <c r="A1722" t="s">
        <v>1828</v>
      </c>
      <c r="B1722" s="2">
        <v>71500</v>
      </c>
      <c r="C1722" t="s">
        <v>16</v>
      </c>
      <c r="D1722" t="s">
        <v>8</v>
      </c>
      <c r="E1722" t="s">
        <v>2002</v>
      </c>
      <c r="F1722">
        <v>11</v>
      </c>
    </row>
    <row r="1723" spans="1:6" x14ac:dyDescent="0.25">
      <c r="A1723" t="s">
        <v>1829</v>
      </c>
      <c r="B1723" s="2">
        <v>67000</v>
      </c>
      <c r="C1723" t="s">
        <v>16</v>
      </c>
      <c r="D1723" t="s">
        <v>8</v>
      </c>
      <c r="E1723" t="s">
        <v>2003</v>
      </c>
      <c r="F1723">
        <v>6</v>
      </c>
    </row>
    <row r="1724" spans="1:6" x14ac:dyDescent="0.25">
      <c r="A1724" t="s">
        <v>1830</v>
      </c>
      <c r="B1724" s="2">
        <v>40000</v>
      </c>
      <c r="C1724" t="s">
        <v>3</v>
      </c>
      <c r="D1724" t="s">
        <v>8</v>
      </c>
      <c r="E1724" t="s">
        <v>2001</v>
      </c>
      <c r="F1724">
        <v>5</v>
      </c>
    </row>
    <row r="1725" spans="1:6" x14ac:dyDescent="0.25">
      <c r="A1725" t="s">
        <v>1831</v>
      </c>
      <c r="B1725" s="2">
        <v>65000</v>
      </c>
      <c r="C1725" t="s">
        <v>16</v>
      </c>
      <c r="D1725" t="s">
        <v>8</v>
      </c>
      <c r="E1725" t="s">
        <v>2001</v>
      </c>
      <c r="F1725">
        <v>2</v>
      </c>
    </row>
    <row r="1726" spans="1:6" x14ac:dyDescent="0.25">
      <c r="A1726" t="s">
        <v>1832</v>
      </c>
      <c r="B1726" s="2">
        <v>72000</v>
      </c>
      <c r="C1726" t="s">
        <v>59</v>
      </c>
      <c r="D1726" t="s">
        <v>8</v>
      </c>
      <c r="E1726" t="s">
        <v>2000</v>
      </c>
      <c r="F1726">
        <v>13</v>
      </c>
    </row>
    <row r="1727" spans="1:6" x14ac:dyDescent="0.25">
      <c r="A1727" t="s">
        <v>1833</v>
      </c>
      <c r="B1727" s="2">
        <v>52500</v>
      </c>
      <c r="C1727" t="s">
        <v>16</v>
      </c>
      <c r="D1727" t="s">
        <v>8</v>
      </c>
      <c r="E1727" t="s">
        <v>2002</v>
      </c>
      <c r="F1727">
        <v>3</v>
      </c>
    </row>
    <row r="1728" spans="1:6" x14ac:dyDescent="0.25">
      <c r="A1728" t="s">
        <v>1834</v>
      </c>
      <c r="B1728" s="2">
        <v>5320</v>
      </c>
      <c r="C1728" t="s">
        <v>16</v>
      </c>
      <c r="D1728" t="s">
        <v>4</v>
      </c>
      <c r="E1728" t="s">
        <v>2000</v>
      </c>
      <c r="F1728">
        <v>5</v>
      </c>
    </row>
    <row r="1729" spans="1:6" x14ac:dyDescent="0.25">
      <c r="A1729" t="s">
        <v>1835</v>
      </c>
      <c r="B1729" s="2">
        <v>18000</v>
      </c>
      <c r="C1729" t="s">
        <v>24</v>
      </c>
      <c r="D1729" t="s">
        <v>147</v>
      </c>
      <c r="E1729" t="s">
        <v>2002</v>
      </c>
      <c r="F1729">
        <v>3</v>
      </c>
    </row>
    <row r="1730" spans="1:6" x14ac:dyDescent="0.25">
      <c r="A1730" t="s">
        <v>1836</v>
      </c>
      <c r="B1730" s="2">
        <v>2493.1083362419595</v>
      </c>
      <c r="C1730" t="s">
        <v>71</v>
      </c>
      <c r="D1730" t="s">
        <v>4</v>
      </c>
      <c r="E1730" t="s">
        <v>2001</v>
      </c>
      <c r="F1730">
        <v>5</v>
      </c>
    </row>
    <row r="1731" spans="1:6" x14ac:dyDescent="0.25">
      <c r="A1731" t="s">
        <v>1837</v>
      </c>
      <c r="B1731" s="2">
        <v>21342.710575059013</v>
      </c>
      <c r="C1731" t="s">
        <v>24</v>
      </c>
      <c r="D1731" t="s">
        <v>22</v>
      </c>
      <c r="E1731" t="s">
        <v>2001</v>
      </c>
      <c r="F1731">
        <v>15</v>
      </c>
    </row>
    <row r="1732" spans="1:6" x14ac:dyDescent="0.25">
      <c r="A1732" t="s">
        <v>1838</v>
      </c>
      <c r="B1732" s="2">
        <v>85000</v>
      </c>
      <c r="C1732" t="s">
        <v>16</v>
      </c>
      <c r="D1732" t="s">
        <v>8</v>
      </c>
      <c r="E1732" t="s">
        <v>2000</v>
      </c>
      <c r="F1732">
        <v>15</v>
      </c>
    </row>
    <row r="1733" spans="1:6" x14ac:dyDescent="0.25">
      <c r="A1733" t="s">
        <v>1839</v>
      </c>
      <c r="B1733" s="2">
        <v>80000</v>
      </c>
      <c r="C1733" t="s">
        <v>12</v>
      </c>
      <c r="D1733" t="s">
        <v>116</v>
      </c>
      <c r="E1733" t="s">
        <v>1999</v>
      </c>
      <c r="F1733">
        <v>9</v>
      </c>
    </row>
    <row r="1734" spans="1:6" x14ac:dyDescent="0.25">
      <c r="A1734" t="s">
        <v>1840</v>
      </c>
      <c r="B1734" s="2">
        <v>8903.9583437212841</v>
      </c>
      <c r="C1734" t="s">
        <v>3</v>
      </c>
      <c r="D1734" t="s">
        <v>4</v>
      </c>
      <c r="E1734" t="s">
        <v>2002</v>
      </c>
      <c r="F1734">
        <v>0</v>
      </c>
    </row>
    <row r="1735" spans="1:6" x14ac:dyDescent="0.25">
      <c r="A1735" t="s">
        <v>1841</v>
      </c>
      <c r="B1735" s="2">
        <v>125000</v>
      </c>
      <c r="C1735" t="s">
        <v>16</v>
      </c>
      <c r="D1735" t="s">
        <v>8</v>
      </c>
      <c r="E1735" t="s">
        <v>2002</v>
      </c>
      <c r="F1735">
        <v>10</v>
      </c>
    </row>
    <row r="1736" spans="1:6" x14ac:dyDescent="0.25">
      <c r="A1736" t="s">
        <v>1842</v>
      </c>
      <c r="B1736" s="2">
        <v>23150.291693675339</v>
      </c>
      <c r="C1736" t="s">
        <v>16</v>
      </c>
      <c r="D1736" t="s">
        <v>4</v>
      </c>
      <c r="E1736" t="s">
        <v>2002</v>
      </c>
      <c r="F1736">
        <v>9</v>
      </c>
    </row>
    <row r="1737" spans="1:6" x14ac:dyDescent="0.25">
      <c r="A1737" t="s">
        <v>1843</v>
      </c>
      <c r="B1737" s="2">
        <v>12000</v>
      </c>
      <c r="C1737" t="s">
        <v>12</v>
      </c>
      <c r="D1737" t="s">
        <v>4</v>
      </c>
      <c r="E1737" t="s">
        <v>2000</v>
      </c>
      <c r="F1737">
        <v>7</v>
      </c>
    </row>
    <row r="1738" spans="1:6" x14ac:dyDescent="0.25">
      <c r="A1738" t="s">
        <v>1844</v>
      </c>
      <c r="B1738" s="2">
        <v>30000</v>
      </c>
      <c r="C1738" t="s">
        <v>3</v>
      </c>
      <c r="D1738" t="s">
        <v>1057</v>
      </c>
      <c r="E1738" t="s">
        <v>1999</v>
      </c>
      <c r="F1738">
        <v>12</v>
      </c>
    </row>
    <row r="1739" spans="1:6" x14ac:dyDescent="0.25">
      <c r="A1739" t="s">
        <v>1845</v>
      </c>
      <c r="B1739" s="2">
        <v>91468.759607395754</v>
      </c>
      <c r="C1739" t="s">
        <v>16</v>
      </c>
      <c r="D1739" t="s">
        <v>864</v>
      </c>
      <c r="E1739" t="s">
        <v>1999</v>
      </c>
      <c r="F1739">
        <v>3</v>
      </c>
    </row>
    <row r="1740" spans="1:6" x14ac:dyDescent="0.25">
      <c r="A1740" t="s">
        <v>1846</v>
      </c>
      <c r="B1740" s="2">
        <v>35148.775467100437</v>
      </c>
      <c r="C1740" t="s">
        <v>3</v>
      </c>
      <c r="D1740" t="s">
        <v>55</v>
      </c>
      <c r="E1740" t="s">
        <v>2002</v>
      </c>
      <c r="F1740">
        <v>4</v>
      </c>
    </row>
    <row r="1741" spans="1:6" x14ac:dyDescent="0.25">
      <c r="A1741" t="s">
        <v>1847</v>
      </c>
      <c r="B1741" s="2">
        <v>49153.119414418252</v>
      </c>
      <c r="C1741" t="s">
        <v>16</v>
      </c>
      <c r="D1741" t="s">
        <v>55</v>
      </c>
      <c r="E1741" t="s">
        <v>2001</v>
      </c>
      <c r="F1741">
        <v>7</v>
      </c>
    </row>
    <row r="1742" spans="1:6" x14ac:dyDescent="0.25">
      <c r="A1742" t="s">
        <v>1848</v>
      </c>
      <c r="B1742" s="2">
        <v>2671.1875031163854</v>
      </c>
      <c r="C1742" t="s">
        <v>12</v>
      </c>
      <c r="D1742" t="s">
        <v>4</v>
      </c>
      <c r="E1742" t="s">
        <v>2000</v>
      </c>
      <c r="F1742">
        <v>1</v>
      </c>
    </row>
    <row r="1743" spans="1:6" x14ac:dyDescent="0.25">
      <c r="A1743" t="s">
        <v>1849</v>
      </c>
      <c r="B1743" s="2">
        <v>42556.81334581667</v>
      </c>
      <c r="C1743" t="s">
        <v>16</v>
      </c>
      <c r="D1743" t="s">
        <v>55</v>
      </c>
      <c r="E1743" t="s">
        <v>2001</v>
      </c>
      <c r="F1743">
        <v>3</v>
      </c>
    </row>
    <row r="1744" spans="1:6" x14ac:dyDescent="0.25">
      <c r="A1744" t="s">
        <v>1850</v>
      </c>
      <c r="B1744" s="2">
        <v>42556.81334581667</v>
      </c>
      <c r="C1744" t="s">
        <v>16</v>
      </c>
      <c r="D1744" t="s">
        <v>55</v>
      </c>
      <c r="E1744" t="s">
        <v>2001</v>
      </c>
      <c r="F1744">
        <v>3</v>
      </c>
    </row>
    <row r="1745" spans="1:6" x14ac:dyDescent="0.25">
      <c r="A1745" t="s">
        <v>1851</v>
      </c>
      <c r="B1745" s="2">
        <v>74461</v>
      </c>
      <c r="C1745" t="s">
        <v>71</v>
      </c>
      <c r="D1745" t="s">
        <v>8</v>
      </c>
      <c r="E1745" t="s">
        <v>1999</v>
      </c>
      <c r="F1745">
        <v>9</v>
      </c>
    </row>
    <row r="1746" spans="1:6" x14ac:dyDescent="0.25">
      <c r="A1746" t="s">
        <v>1852</v>
      </c>
      <c r="B1746" s="2">
        <v>41768.724209783031</v>
      </c>
      <c r="C1746" t="s">
        <v>16</v>
      </c>
      <c r="D1746" t="s">
        <v>55</v>
      </c>
      <c r="E1746" t="s">
        <v>2001</v>
      </c>
      <c r="F1746">
        <v>16</v>
      </c>
    </row>
    <row r="1747" spans="1:6" x14ac:dyDescent="0.25">
      <c r="A1747" t="s">
        <v>1853</v>
      </c>
      <c r="B1747" s="2">
        <v>8547.8000099724322</v>
      </c>
      <c r="C1747" t="s">
        <v>3</v>
      </c>
      <c r="D1747" t="s">
        <v>4</v>
      </c>
      <c r="E1747" t="s">
        <v>2001</v>
      </c>
      <c r="F1747">
        <v>1</v>
      </c>
    </row>
    <row r="1748" spans="1:6" x14ac:dyDescent="0.25">
      <c r="A1748" t="s">
        <v>1854</v>
      </c>
      <c r="B1748" s="2">
        <v>2400</v>
      </c>
      <c r="C1748" t="s">
        <v>3</v>
      </c>
      <c r="D1748" t="s">
        <v>4</v>
      </c>
      <c r="E1748" t="s">
        <v>2000</v>
      </c>
      <c r="F1748">
        <v>3</v>
      </c>
    </row>
    <row r="1749" spans="1:6" x14ac:dyDescent="0.25">
      <c r="A1749" t="s">
        <v>1855</v>
      </c>
      <c r="B1749" s="2">
        <v>3000</v>
      </c>
      <c r="C1749" t="s">
        <v>3</v>
      </c>
      <c r="D1749" t="s">
        <v>435</v>
      </c>
      <c r="E1749" t="s">
        <v>1999</v>
      </c>
      <c r="F1749">
        <v>12</v>
      </c>
    </row>
    <row r="1750" spans="1:6" x14ac:dyDescent="0.25">
      <c r="A1750" t="s">
        <v>1856</v>
      </c>
      <c r="B1750" s="2">
        <v>11000</v>
      </c>
      <c r="C1750" t="s">
        <v>3</v>
      </c>
      <c r="D1750" t="s">
        <v>4</v>
      </c>
      <c r="E1750" t="s">
        <v>2001</v>
      </c>
      <c r="F1750">
        <v>2</v>
      </c>
    </row>
    <row r="1751" spans="1:6" x14ac:dyDescent="0.25">
      <c r="A1751" t="s">
        <v>1857</v>
      </c>
      <c r="B1751" s="2">
        <v>40000</v>
      </c>
      <c r="C1751" t="s">
        <v>3</v>
      </c>
      <c r="D1751" t="s">
        <v>8</v>
      </c>
      <c r="E1751" t="s">
        <v>2000</v>
      </c>
      <c r="F1751">
        <v>2</v>
      </c>
    </row>
    <row r="1752" spans="1:6" x14ac:dyDescent="0.25">
      <c r="A1752" t="s">
        <v>1858</v>
      </c>
      <c r="B1752" s="2">
        <v>3600</v>
      </c>
      <c r="C1752" t="s">
        <v>3</v>
      </c>
      <c r="D1752" t="s">
        <v>4</v>
      </c>
      <c r="E1752" t="s">
        <v>2001</v>
      </c>
      <c r="F1752">
        <v>1</v>
      </c>
    </row>
    <row r="1753" spans="1:6" x14ac:dyDescent="0.25">
      <c r="A1753" t="s">
        <v>1859</v>
      </c>
      <c r="B1753" s="2">
        <v>56600</v>
      </c>
      <c r="C1753" t="s">
        <v>16</v>
      </c>
      <c r="D1753" t="s">
        <v>8</v>
      </c>
      <c r="E1753" t="s">
        <v>2001</v>
      </c>
      <c r="F1753">
        <v>12</v>
      </c>
    </row>
    <row r="1754" spans="1:6" x14ac:dyDescent="0.25">
      <c r="A1754" t="s">
        <v>1860</v>
      </c>
      <c r="B1754" s="2">
        <v>33600</v>
      </c>
      <c r="C1754" t="s">
        <v>3</v>
      </c>
      <c r="D1754" t="s">
        <v>245</v>
      </c>
      <c r="E1754" t="s">
        <v>2002</v>
      </c>
      <c r="F1754">
        <v>2</v>
      </c>
    </row>
    <row r="1755" spans="1:6" x14ac:dyDescent="0.25">
      <c r="A1755" t="s">
        <v>1861</v>
      </c>
      <c r="B1755" s="2">
        <v>33600</v>
      </c>
      <c r="C1755" t="s">
        <v>3</v>
      </c>
      <c r="D1755" t="s">
        <v>245</v>
      </c>
      <c r="E1755" t="s">
        <v>2002</v>
      </c>
      <c r="F1755">
        <v>2</v>
      </c>
    </row>
    <row r="1756" spans="1:6" x14ac:dyDescent="0.25">
      <c r="A1756" t="s">
        <v>1862</v>
      </c>
      <c r="B1756" s="2">
        <v>100000</v>
      </c>
      <c r="C1756" t="s">
        <v>3</v>
      </c>
      <c r="D1756" t="s">
        <v>8</v>
      </c>
      <c r="E1756" t="s">
        <v>2002</v>
      </c>
      <c r="F1756">
        <v>12</v>
      </c>
    </row>
    <row r="1757" spans="1:6" x14ac:dyDescent="0.25">
      <c r="A1757" t="s">
        <v>1863</v>
      </c>
      <c r="B1757" s="2">
        <v>39334.460921213074</v>
      </c>
      <c r="C1757" t="s">
        <v>3</v>
      </c>
      <c r="D1757" t="s">
        <v>68</v>
      </c>
      <c r="E1757" t="s">
        <v>1999</v>
      </c>
      <c r="F1757">
        <v>1</v>
      </c>
    </row>
    <row r="1758" spans="1:6" x14ac:dyDescent="0.25">
      <c r="A1758" t="s">
        <v>1864</v>
      </c>
      <c r="B1758" s="2">
        <v>7123.1666749770275</v>
      </c>
      <c r="C1758" t="s">
        <v>3</v>
      </c>
      <c r="D1758" t="s">
        <v>4</v>
      </c>
      <c r="E1758" t="s">
        <v>2000</v>
      </c>
      <c r="F1758">
        <v>3</v>
      </c>
    </row>
    <row r="1759" spans="1:6" x14ac:dyDescent="0.25">
      <c r="A1759" t="s">
        <v>1865</v>
      </c>
      <c r="B1759" s="2">
        <v>65000</v>
      </c>
      <c r="C1759" t="s">
        <v>3</v>
      </c>
      <c r="D1759" t="s">
        <v>8</v>
      </c>
      <c r="E1759" t="s">
        <v>2001</v>
      </c>
      <c r="F1759">
        <v>14</v>
      </c>
    </row>
    <row r="1760" spans="1:6" x14ac:dyDescent="0.25">
      <c r="A1760" t="s">
        <v>1866</v>
      </c>
      <c r="B1760" s="2">
        <v>65000</v>
      </c>
      <c r="C1760" t="s">
        <v>3</v>
      </c>
      <c r="D1760" t="s">
        <v>8</v>
      </c>
      <c r="E1760" t="s">
        <v>2000</v>
      </c>
      <c r="F1760">
        <v>10</v>
      </c>
    </row>
    <row r="1761" spans="1:6" x14ac:dyDescent="0.25">
      <c r="A1761" t="s">
        <v>1867</v>
      </c>
      <c r="B1761" s="2">
        <v>65000</v>
      </c>
      <c r="C1761" t="s">
        <v>6</v>
      </c>
      <c r="D1761" t="s">
        <v>8</v>
      </c>
      <c r="E1761" t="s">
        <v>2000</v>
      </c>
      <c r="F1761">
        <v>13</v>
      </c>
    </row>
    <row r="1762" spans="1:6" x14ac:dyDescent="0.25">
      <c r="A1762" t="s">
        <v>1868</v>
      </c>
      <c r="B1762" s="2">
        <v>76702.198796365497</v>
      </c>
      <c r="C1762" t="s">
        <v>3</v>
      </c>
      <c r="D1762" t="s">
        <v>68</v>
      </c>
      <c r="E1762" t="s">
        <v>2002</v>
      </c>
      <c r="F1762">
        <v>4</v>
      </c>
    </row>
    <row r="1763" spans="1:6" x14ac:dyDescent="0.25">
      <c r="A1763" t="s">
        <v>1869</v>
      </c>
      <c r="B1763" s="2">
        <v>63000</v>
      </c>
      <c r="C1763" t="s">
        <v>3</v>
      </c>
      <c r="D1763" t="s">
        <v>8</v>
      </c>
      <c r="E1763" t="s">
        <v>2002</v>
      </c>
      <c r="F1763">
        <v>10</v>
      </c>
    </row>
    <row r="1764" spans="1:6" x14ac:dyDescent="0.25">
      <c r="A1764" t="s">
        <v>1870</v>
      </c>
      <c r="B1764" s="2">
        <v>87000</v>
      </c>
      <c r="C1764" t="s">
        <v>71</v>
      </c>
      <c r="D1764" t="s">
        <v>8</v>
      </c>
      <c r="E1764" t="s">
        <v>2001</v>
      </c>
      <c r="F1764">
        <v>3</v>
      </c>
    </row>
    <row r="1765" spans="1:6" x14ac:dyDescent="0.25">
      <c r="A1765" t="s">
        <v>1871</v>
      </c>
      <c r="B1765" s="2">
        <v>45000</v>
      </c>
      <c r="C1765" t="s">
        <v>3</v>
      </c>
      <c r="D1765" t="s">
        <v>8</v>
      </c>
      <c r="E1765" t="s">
        <v>2001</v>
      </c>
      <c r="F1765">
        <v>4</v>
      </c>
    </row>
    <row r="1766" spans="1:6" x14ac:dyDescent="0.25">
      <c r="A1766" t="s">
        <v>1872</v>
      </c>
      <c r="B1766" s="2">
        <v>85000</v>
      </c>
      <c r="C1766" t="s">
        <v>3</v>
      </c>
      <c r="D1766" t="s">
        <v>8</v>
      </c>
      <c r="E1766" t="s">
        <v>2002</v>
      </c>
      <c r="F1766">
        <v>3</v>
      </c>
    </row>
    <row r="1767" spans="1:6" x14ac:dyDescent="0.25">
      <c r="A1767" t="s">
        <v>1873</v>
      </c>
      <c r="B1767" s="2">
        <v>159105.90639881117</v>
      </c>
      <c r="C1767" t="s">
        <v>12</v>
      </c>
      <c r="D1767" t="s">
        <v>65</v>
      </c>
      <c r="E1767" t="s">
        <v>2000</v>
      </c>
      <c r="F1767">
        <v>12</v>
      </c>
    </row>
    <row r="1768" spans="1:6" x14ac:dyDescent="0.25">
      <c r="A1768" t="s">
        <v>1874</v>
      </c>
      <c r="B1768" s="2">
        <v>9972.4333449678379</v>
      </c>
      <c r="C1768" t="s">
        <v>16</v>
      </c>
      <c r="D1768" t="s">
        <v>4</v>
      </c>
      <c r="E1768" t="s">
        <v>2000</v>
      </c>
      <c r="F1768">
        <v>4</v>
      </c>
    </row>
    <row r="1769" spans="1:6" x14ac:dyDescent="0.25">
      <c r="A1769" t="s">
        <v>1875</v>
      </c>
      <c r="B1769" s="2">
        <v>14000</v>
      </c>
      <c r="C1769" t="s">
        <v>16</v>
      </c>
      <c r="D1769" t="s">
        <v>4</v>
      </c>
      <c r="E1769" t="s">
        <v>2001</v>
      </c>
      <c r="F1769">
        <v>5</v>
      </c>
    </row>
    <row r="1770" spans="1:6" x14ac:dyDescent="0.25">
      <c r="A1770" t="s">
        <v>1876</v>
      </c>
      <c r="B1770" s="2">
        <v>50437.70470615309</v>
      </c>
      <c r="C1770" t="s">
        <v>3</v>
      </c>
      <c r="D1770" t="s">
        <v>55</v>
      </c>
      <c r="E1770" t="s">
        <v>2001</v>
      </c>
      <c r="F1770">
        <v>20</v>
      </c>
    </row>
    <row r="1771" spans="1:6" x14ac:dyDescent="0.25">
      <c r="A1771" t="s">
        <v>1877</v>
      </c>
      <c r="B1771" s="2">
        <v>50437.70470615309</v>
      </c>
      <c r="C1771" t="s">
        <v>3</v>
      </c>
      <c r="D1771" t="s">
        <v>55</v>
      </c>
      <c r="E1771" t="s">
        <v>2002</v>
      </c>
      <c r="F1771">
        <v>1</v>
      </c>
    </row>
    <row r="1772" spans="1:6" x14ac:dyDescent="0.25">
      <c r="A1772" t="s">
        <v>1878</v>
      </c>
      <c r="B1772" s="2">
        <v>13603.016099449767</v>
      </c>
      <c r="C1772" t="s">
        <v>16</v>
      </c>
      <c r="D1772" t="s">
        <v>10</v>
      </c>
      <c r="E1772" t="s">
        <v>2002</v>
      </c>
      <c r="F1772">
        <v>8</v>
      </c>
    </row>
    <row r="1773" spans="1:6" x14ac:dyDescent="0.25">
      <c r="A1773" t="s">
        <v>1879</v>
      </c>
      <c r="B1773" s="2">
        <v>147886.90017838217</v>
      </c>
      <c r="C1773" t="s">
        <v>6</v>
      </c>
      <c r="D1773" t="s">
        <v>65</v>
      </c>
      <c r="E1773" t="s">
        <v>2000</v>
      </c>
      <c r="F1773">
        <v>15</v>
      </c>
    </row>
    <row r="1774" spans="1:6" x14ac:dyDescent="0.25">
      <c r="A1774" t="s">
        <v>1880</v>
      </c>
      <c r="B1774" s="2">
        <v>4986.216672483919</v>
      </c>
      <c r="C1774" t="s">
        <v>3</v>
      </c>
      <c r="D1774" t="s">
        <v>4</v>
      </c>
      <c r="E1774" t="s">
        <v>2002</v>
      </c>
      <c r="F1774">
        <v>8</v>
      </c>
    </row>
    <row r="1775" spans="1:6" x14ac:dyDescent="0.25">
      <c r="A1775" t="s">
        <v>1881</v>
      </c>
      <c r="B1775" s="2">
        <v>4800</v>
      </c>
      <c r="C1775" t="s">
        <v>16</v>
      </c>
      <c r="D1775" t="s">
        <v>4</v>
      </c>
      <c r="E1775" t="s">
        <v>2002</v>
      </c>
      <c r="F1775">
        <v>3</v>
      </c>
    </row>
    <row r="1776" spans="1:6" x14ac:dyDescent="0.25">
      <c r="A1776" t="s">
        <v>1882</v>
      </c>
      <c r="B1776" s="2">
        <v>8013.5625093491553</v>
      </c>
      <c r="C1776" t="s">
        <v>37</v>
      </c>
      <c r="D1776" t="s">
        <v>4</v>
      </c>
      <c r="E1776" t="s">
        <v>2001</v>
      </c>
      <c r="F1776">
        <v>4</v>
      </c>
    </row>
    <row r="1777" spans="1:6" x14ac:dyDescent="0.25">
      <c r="A1777" t="s">
        <v>1883</v>
      </c>
      <c r="B1777" s="2">
        <v>80000</v>
      </c>
      <c r="C1777" t="s">
        <v>16</v>
      </c>
      <c r="D1777" t="s">
        <v>8</v>
      </c>
      <c r="E1777" t="s">
        <v>2001</v>
      </c>
      <c r="F1777">
        <v>2</v>
      </c>
    </row>
    <row r="1778" spans="1:6" x14ac:dyDescent="0.25">
      <c r="A1778" t="s">
        <v>1884</v>
      </c>
      <c r="B1778" s="2">
        <v>57167.974754622352</v>
      </c>
      <c r="C1778" t="s">
        <v>3</v>
      </c>
      <c r="D1778" t="s">
        <v>572</v>
      </c>
      <c r="E1778" t="s">
        <v>2000</v>
      </c>
      <c r="F1778">
        <v>14</v>
      </c>
    </row>
    <row r="1779" spans="1:6" x14ac:dyDescent="0.25">
      <c r="A1779" t="s">
        <v>1885</v>
      </c>
      <c r="B1779" s="2">
        <v>20000</v>
      </c>
      <c r="C1779" t="s">
        <v>3</v>
      </c>
      <c r="D1779" t="s">
        <v>68</v>
      </c>
      <c r="E1779" t="s">
        <v>2000</v>
      </c>
      <c r="F1779">
        <v>2</v>
      </c>
    </row>
    <row r="1780" spans="1:6" x14ac:dyDescent="0.25">
      <c r="A1780" t="s">
        <v>1886</v>
      </c>
      <c r="B1780" s="2">
        <v>70000</v>
      </c>
      <c r="C1780" t="s">
        <v>3</v>
      </c>
      <c r="D1780" t="s">
        <v>8</v>
      </c>
      <c r="E1780" t="s">
        <v>2000</v>
      </c>
      <c r="F1780">
        <v>5</v>
      </c>
    </row>
    <row r="1781" spans="1:6" x14ac:dyDescent="0.25">
      <c r="A1781" t="s">
        <v>1887</v>
      </c>
      <c r="B1781" s="2">
        <v>214000</v>
      </c>
      <c r="C1781" t="s">
        <v>6</v>
      </c>
      <c r="D1781" t="s">
        <v>8</v>
      </c>
      <c r="E1781" t="s">
        <v>2002</v>
      </c>
      <c r="F1781">
        <v>20</v>
      </c>
    </row>
    <row r="1782" spans="1:6" x14ac:dyDescent="0.25">
      <c r="A1782" t="s">
        <v>1888</v>
      </c>
      <c r="B1782" s="2">
        <v>78000</v>
      </c>
      <c r="C1782" t="s">
        <v>12</v>
      </c>
      <c r="D1782" t="s">
        <v>8</v>
      </c>
      <c r="E1782" t="s">
        <v>2002</v>
      </c>
      <c r="F1782">
        <v>5</v>
      </c>
    </row>
    <row r="1783" spans="1:6" x14ac:dyDescent="0.25">
      <c r="A1783" t="s">
        <v>1889</v>
      </c>
      <c r="B1783" s="2">
        <v>42307</v>
      </c>
      <c r="C1783" t="s">
        <v>3</v>
      </c>
      <c r="D1783" t="s">
        <v>8</v>
      </c>
      <c r="E1783" t="s">
        <v>2000</v>
      </c>
      <c r="F1783">
        <v>25</v>
      </c>
    </row>
    <row r="1784" spans="1:6" x14ac:dyDescent="0.25">
      <c r="A1784" t="s">
        <v>1890</v>
      </c>
      <c r="B1784" s="2">
        <v>33250</v>
      </c>
      <c r="C1784" t="s">
        <v>16</v>
      </c>
      <c r="D1784" t="s">
        <v>8</v>
      </c>
      <c r="E1784" t="s">
        <v>2002</v>
      </c>
      <c r="F1784">
        <v>20</v>
      </c>
    </row>
    <row r="1785" spans="1:6" x14ac:dyDescent="0.25">
      <c r="A1785" t="s">
        <v>1891</v>
      </c>
      <c r="B1785" s="2">
        <v>24391.669228638868</v>
      </c>
      <c r="C1785" t="s">
        <v>3</v>
      </c>
      <c r="D1785" t="s">
        <v>1259</v>
      </c>
      <c r="E1785" t="s">
        <v>2001</v>
      </c>
      <c r="F1785">
        <v>10</v>
      </c>
    </row>
    <row r="1786" spans="1:6" x14ac:dyDescent="0.25">
      <c r="A1786" t="s">
        <v>1892</v>
      </c>
      <c r="B1786" s="2">
        <v>120000</v>
      </c>
      <c r="C1786" t="s">
        <v>24</v>
      </c>
      <c r="D1786" t="s">
        <v>8</v>
      </c>
      <c r="E1786" t="s">
        <v>2001</v>
      </c>
      <c r="F1786">
        <v>20</v>
      </c>
    </row>
    <row r="1787" spans="1:6" x14ac:dyDescent="0.25">
      <c r="A1787" t="s">
        <v>1893</v>
      </c>
      <c r="B1787" s="2">
        <v>20000</v>
      </c>
      <c r="C1787" t="s">
        <v>3</v>
      </c>
      <c r="D1787" t="s">
        <v>1894</v>
      </c>
      <c r="E1787" t="s">
        <v>1999</v>
      </c>
      <c r="F1787">
        <v>1</v>
      </c>
    </row>
    <row r="1788" spans="1:6" x14ac:dyDescent="0.25">
      <c r="A1788" t="s">
        <v>1895</v>
      </c>
      <c r="B1788" s="2">
        <v>15000</v>
      </c>
      <c r="C1788" t="s">
        <v>3</v>
      </c>
      <c r="D1788" t="s">
        <v>4</v>
      </c>
      <c r="E1788" t="s">
        <v>2000</v>
      </c>
      <c r="F1788">
        <v>0.3</v>
      </c>
    </row>
    <row r="1789" spans="1:6" x14ac:dyDescent="0.25">
      <c r="A1789" t="s">
        <v>1896</v>
      </c>
      <c r="B1789" s="2">
        <v>17807.916687442568</v>
      </c>
      <c r="C1789" t="s">
        <v>16</v>
      </c>
      <c r="D1789" t="s">
        <v>4</v>
      </c>
      <c r="E1789" t="s">
        <v>2000</v>
      </c>
      <c r="F1789">
        <v>10</v>
      </c>
    </row>
    <row r="1790" spans="1:6" x14ac:dyDescent="0.25">
      <c r="A1790" t="s">
        <v>1897</v>
      </c>
      <c r="B1790" s="2">
        <v>16027.125018698311</v>
      </c>
      <c r="C1790" t="s">
        <v>16</v>
      </c>
      <c r="D1790" t="s">
        <v>4</v>
      </c>
      <c r="E1790" t="s">
        <v>2000</v>
      </c>
      <c r="F1790">
        <v>6</v>
      </c>
    </row>
    <row r="1791" spans="1:6" x14ac:dyDescent="0.25">
      <c r="A1791" t="s">
        <v>1898</v>
      </c>
      <c r="B1791" s="2">
        <v>56742.417794422225</v>
      </c>
      <c r="C1791" t="s">
        <v>16</v>
      </c>
      <c r="D1791" t="s">
        <v>55</v>
      </c>
      <c r="E1791" t="s">
        <v>2002</v>
      </c>
      <c r="F1791">
        <v>7</v>
      </c>
    </row>
    <row r="1792" spans="1:6" x14ac:dyDescent="0.25">
      <c r="A1792" t="s">
        <v>1899</v>
      </c>
      <c r="B1792" s="2">
        <v>21369.500024931083</v>
      </c>
      <c r="C1792" t="s">
        <v>16</v>
      </c>
      <c r="D1792" t="s">
        <v>4</v>
      </c>
      <c r="E1792" t="s">
        <v>2001</v>
      </c>
      <c r="F1792">
        <v>7</v>
      </c>
    </row>
    <row r="1793" spans="1:6" x14ac:dyDescent="0.25">
      <c r="A1793" t="s">
        <v>1900</v>
      </c>
      <c r="B1793" s="2">
        <v>7568.3645921630914</v>
      </c>
      <c r="C1793" t="s">
        <v>24</v>
      </c>
      <c r="D1793" t="s">
        <v>4</v>
      </c>
      <c r="E1793" t="s">
        <v>2000</v>
      </c>
      <c r="F1793">
        <v>6</v>
      </c>
    </row>
    <row r="1794" spans="1:6" x14ac:dyDescent="0.25">
      <c r="A1794" t="s">
        <v>1901</v>
      </c>
      <c r="B1794" s="2">
        <v>78808.913603364199</v>
      </c>
      <c r="C1794" t="s">
        <v>24</v>
      </c>
      <c r="D1794" t="s">
        <v>55</v>
      </c>
      <c r="E1794" t="s">
        <v>2000</v>
      </c>
      <c r="F1794">
        <v>10</v>
      </c>
    </row>
    <row r="1795" spans="1:6" x14ac:dyDescent="0.25">
      <c r="A1795" t="s">
        <v>1902</v>
      </c>
      <c r="B1795" s="2">
        <v>60000</v>
      </c>
      <c r="C1795" t="s">
        <v>3</v>
      </c>
      <c r="D1795" t="s">
        <v>8</v>
      </c>
      <c r="E1795" t="s">
        <v>2001</v>
      </c>
      <c r="F1795">
        <v>15</v>
      </c>
    </row>
    <row r="1796" spans="1:6" x14ac:dyDescent="0.25">
      <c r="A1796" t="s">
        <v>1903</v>
      </c>
      <c r="B1796" s="2">
        <v>57000</v>
      </c>
      <c r="C1796" t="s">
        <v>24</v>
      </c>
      <c r="D1796" t="s">
        <v>8</v>
      </c>
      <c r="E1796" t="s">
        <v>2001</v>
      </c>
      <c r="F1796">
        <v>9</v>
      </c>
    </row>
    <row r="1797" spans="1:6" x14ac:dyDescent="0.25">
      <c r="A1797" t="s">
        <v>1904</v>
      </c>
      <c r="B1797" s="2">
        <v>40000</v>
      </c>
      <c r="C1797" t="s">
        <v>3</v>
      </c>
      <c r="D1797" t="s">
        <v>8</v>
      </c>
      <c r="E1797" t="s">
        <v>2000</v>
      </c>
      <c r="F1797">
        <v>0</v>
      </c>
    </row>
    <row r="1798" spans="1:6" x14ac:dyDescent="0.25">
      <c r="A1798" t="s">
        <v>1905</v>
      </c>
      <c r="B1798" s="2">
        <v>80000</v>
      </c>
      <c r="C1798" t="s">
        <v>6</v>
      </c>
      <c r="D1798" t="s">
        <v>8</v>
      </c>
      <c r="E1798" t="s">
        <v>2001</v>
      </c>
      <c r="F1798">
        <v>9</v>
      </c>
    </row>
    <row r="1799" spans="1:6" x14ac:dyDescent="0.25">
      <c r="A1799" t="s">
        <v>1906</v>
      </c>
      <c r="B1799" s="2">
        <v>118000</v>
      </c>
      <c r="C1799" t="s">
        <v>21</v>
      </c>
      <c r="D1799" t="s">
        <v>8</v>
      </c>
      <c r="E1799" t="s">
        <v>2001</v>
      </c>
      <c r="F1799">
        <v>6</v>
      </c>
    </row>
    <row r="1800" spans="1:6" x14ac:dyDescent="0.25">
      <c r="A1800" t="s">
        <v>1907</v>
      </c>
      <c r="B1800" s="2">
        <v>60000</v>
      </c>
      <c r="C1800" t="s">
        <v>3</v>
      </c>
      <c r="D1800" t="s">
        <v>147</v>
      </c>
      <c r="E1800" t="s">
        <v>2001</v>
      </c>
      <c r="F1800">
        <v>5</v>
      </c>
    </row>
    <row r="1801" spans="1:6" x14ac:dyDescent="0.25">
      <c r="A1801" t="s">
        <v>1908</v>
      </c>
      <c r="B1801" s="2">
        <v>6720</v>
      </c>
      <c r="C1801" t="s">
        <v>24</v>
      </c>
      <c r="D1801" t="s">
        <v>4</v>
      </c>
      <c r="E1801" t="s">
        <v>2001</v>
      </c>
      <c r="F1801">
        <v>5</v>
      </c>
    </row>
    <row r="1802" spans="1:6" x14ac:dyDescent="0.25">
      <c r="A1802" t="s">
        <v>1909</v>
      </c>
      <c r="B1802" s="2">
        <v>20640</v>
      </c>
      <c r="C1802" t="s">
        <v>16</v>
      </c>
      <c r="D1802" t="s">
        <v>245</v>
      </c>
      <c r="E1802" t="s">
        <v>2001</v>
      </c>
      <c r="F1802">
        <v>3</v>
      </c>
    </row>
    <row r="1803" spans="1:6" x14ac:dyDescent="0.25">
      <c r="A1803" t="s">
        <v>1910</v>
      </c>
      <c r="B1803" s="2">
        <v>50000</v>
      </c>
      <c r="C1803" t="s">
        <v>3</v>
      </c>
      <c r="D1803" t="s">
        <v>8</v>
      </c>
      <c r="E1803" t="s">
        <v>2002</v>
      </c>
      <c r="F1803">
        <v>15</v>
      </c>
    </row>
    <row r="1804" spans="1:6" x14ac:dyDescent="0.25">
      <c r="A1804" t="s">
        <v>1911</v>
      </c>
      <c r="B1804" s="2">
        <v>24000</v>
      </c>
      <c r="C1804" t="s">
        <v>6</v>
      </c>
      <c r="D1804" t="s">
        <v>52</v>
      </c>
      <c r="E1804" t="s">
        <v>2002</v>
      </c>
      <c r="F1804">
        <v>23</v>
      </c>
    </row>
    <row r="1805" spans="1:6" x14ac:dyDescent="0.25">
      <c r="A1805" t="s">
        <v>1912</v>
      </c>
      <c r="B1805" s="2">
        <v>60000</v>
      </c>
      <c r="C1805" t="s">
        <v>3</v>
      </c>
      <c r="D1805" t="s">
        <v>8</v>
      </c>
      <c r="E1805" t="s">
        <v>2000</v>
      </c>
      <c r="F1805">
        <v>3</v>
      </c>
    </row>
    <row r="1806" spans="1:6" x14ac:dyDescent="0.25">
      <c r="A1806" t="s">
        <v>1913</v>
      </c>
      <c r="B1806" s="2">
        <v>37500</v>
      </c>
      <c r="C1806" t="s">
        <v>59</v>
      </c>
      <c r="D1806" t="s">
        <v>4</v>
      </c>
      <c r="E1806" t="s">
        <v>2002</v>
      </c>
      <c r="F1806">
        <v>0</v>
      </c>
    </row>
    <row r="1807" spans="1:6" x14ac:dyDescent="0.25">
      <c r="A1807" t="s">
        <v>1914</v>
      </c>
      <c r="B1807" s="2">
        <v>40000</v>
      </c>
      <c r="C1807" t="s">
        <v>26</v>
      </c>
      <c r="D1807" t="s">
        <v>8</v>
      </c>
      <c r="E1807" t="s">
        <v>2001</v>
      </c>
      <c r="F1807">
        <v>1</v>
      </c>
    </row>
    <row r="1808" spans="1:6" x14ac:dyDescent="0.25">
      <c r="A1808" t="s">
        <v>1915</v>
      </c>
      <c r="B1808" s="2">
        <v>85000</v>
      </c>
      <c r="C1808" t="s">
        <v>21</v>
      </c>
      <c r="D1808" t="s">
        <v>8</v>
      </c>
      <c r="E1808" t="s">
        <v>2000</v>
      </c>
      <c r="F1808">
        <v>15</v>
      </c>
    </row>
    <row r="1809" spans="1:6" x14ac:dyDescent="0.25">
      <c r="A1809" t="s">
        <v>1916</v>
      </c>
      <c r="B1809" s="2">
        <v>30000</v>
      </c>
      <c r="C1809" t="s">
        <v>3</v>
      </c>
      <c r="D1809" t="s">
        <v>116</v>
      </c>
      <c r="E1809" t="s">
        <v>2000</v>
      </c>
      <c r="F1809">
        <v>1</v>
      </c>
    </row>
    <row r="1810" spans="1:6" x14ac:dyDescent="0.25">
      <c r="A1810" t="s">
        <v>1917</v>
      </c>
      <c r="B1810" s="2">
        <v>52801.972114254015</v>
      </c>
      <c r="C1810" t="s">
        <v>12</v>
      </c>
      <c r="D1810" t="s">
        <v>55</v>
      </c>
      <c r="E1810" t="s">
        <v>2000</v>
      </c>
      <c r="F1810">
        <v>7</v>
      </c>
    </row>
    <row r="1811" spans="1:6" x14ac:dyDescent="0.25">
      <c r="A1811" t="s">
        <v>1918</v>
      </c>
      <c r="B1811" s="2">
        <v>29000</v>
      </c>
      <c r="C1811" t="s">
        <v>12</v>
      </c>
      <c r="D1811" t="s">
        <v>8</v>
      </c>
      <c r="E1811" t="s">
        <v>2002</v>
      </c>
      <c r="F1811">
        <v>1</v>
      </c>
    </row>
    <row r="1812" spans="1:6" x14ac:dyDescent="0.25">
      <c r="A1812" t="s">
        <v>1919</v>
      </c>
      <c r="B1812" s="2">
        <v>48000</v>
      </c>
      <c r="C1812" t="s">
        <v>24</v>
      </c>
      <c r="D1812" t="s">
        <v>8</v>
      </c>
      <c r="E1812" t="s">
        <v>2001</v>
      </c>
      <c r="F1812">
        <v>1</v>
      </c>
    </row>
    <row r="1813" spans="1:6" x14ac:dyDescent="0.25">
      <c r="A1813" t="s">
        <v>1920</v>
      </c>
      <c r="B1813" s="2">
        <v>48000</v>
      </c>
      <c r="C1813" t="s">
        <v>24</v>
      </c>
      <c r="D1813" t="s">
        <v>8</v>
      </c>
      <c r="E1813" t="s">
        <v>2001</v>
      </c>
      <c r="F1813">
        <v>1</v>
      </c>
    </row>
    <row r="1814" spans="1:6" x14ac:dyDescent="0.25">
      <c r="A1814" t="s">
        <v>1921</v>
      </c>
      <c r="B1814" s="2">
        <v>8400</v>
      </c>
      <c r="C1814" t="s">
        <v>3</v>
      </c>
      <c r="D1814" t="s">
        <v>1922</v>
      </c>
      <c r="E1814" t="s">
        <v>2002</v>
      </c>
      <c r="F1814">
        <v>0.3</v>
      </c>
    </row>
    <row r="1815" spans="1:6" x14ac:dyDescent="0.25">
      <c r="A1815" t="s">
        <v>1923</v>
      </c>
      <c r="B1815" s="2">
        <v>4808.137505609493</v>
      </c>
      <c r="C1815" t="s">
        <v>16</v>
      </c>
      <c r="D1815" t="s">
        <v>4</v>
      </c>
      <c r="E1815" t="s">
        <v>2000</v>
      </c>
      <c r="F1815">
        <v>5</v>
      </c>
    </row>
    <row r="1816" spans="1:6" x14ac:dyDescent="0.25">
      <c r="A1816" t="s">
        <v>1924</v>
      </c>
      <c r="B1816" s="2">
        <v>24931.083362419595</v>
      </c>
      <c r="C1816" t="s">
        <v>16</v>
      </c>
      <c r="D1816" t="s">
        <v>4</v>
      </c>
      <c r="E1816" t="s">
        <v>2001</v>
      </c>
      <c r="F1816">
        <v>10</v>
      </c>
    </row>
    <row r="1817" spans="1:6" x14ac:dyDescent="0.25">
      <c r="A1817" t="s">
        <v>1925</v>
      </c>
      <c r="B1817" s="2">
        <v>12465.541681209797</v>
      </c>
      <c r="C1817" t="s">
        <v>3</v>
      </c>
      <c r="D1817" t="s">
        <v>4</v>
      </c>
      <c r="E1817" t="s">
        <v>2000</v>
      </c>
      <c r="F1817">
        <v>4</v>
      </c>
    </row>
    <row r="1818" spans="1:6" x14ac:dyDescent="0.25">
      <c r="A1818" t="s">
        <v>1926</v>
      </c>
      <c r="B1818" s="2">
        <v>31523.565441345683</v>
      </c>
      <c r="C1818" t="s">
        <v>24</v>
      </c>
      <c r="D1818" t="s">
        <v>55</v>
      </c>
      <c r="E1818" t="s">
        <v>2000</v>
      </c>
      <c r="F1818">
        <v>10</v>
      </c>
    </row>
    <row r="1819" spans="1:6" x14ac:dyDescent="0.25">
      <c r="A1819" t="s">
        <v>1927</v>
      </c>
      <c r="B1819" s="2">
        <v>17807.916687442568</v>
      </c>
      <c r="C1819" t="s">
        <v>16</v>
      </c>
      <c r="D1819" t="s">
        <v>4</v>
      </c>
      <c r="E1819" t="s">
        <v>2002</v>
      </c>
      <c r="F1819">
        <v>10</v>
      </c>
    </row>
    <row r="1820" spans="1:6" x14ac:dyDescent="0.25">
      <c r="A1820" t="s">
        <v>1928</v>
      </c>
      <c r="B1820" s="2">
        <v>112000</v>
      </c>
      <c r="C1820" t="s">
        <v>16</v>
      </c>
      <c r="D1820" t="s">
        <v>8</v>
      </c>
      <c r="E1820" t="s">
        <v>2000</v>
      </c>
      <c r="F1820">
        <v>8</v>
      </c>
    </row>
    <row r="1821" spans="1:6" x14ac:dyDescent="0.25">
      <c r="A1821" t="s">
        <v>1929</v>
      </c>
      <c r="B1821" s="2">
        <v>11000</v>
      </c>
      <c r="C1821" t="s">
        <v>16</v>
      </c>
      <c r="D1821" t="s">
        <v>4</v>
      </c>
      <c r="E1821" t="s">
        <v>2002</v>
      </c>
      <c r="F1821">
        <v>8</v>
      </c>
    </row>
    <row r="1822" spans="1:6" x14ac:dyDescent="0.25">
      <c r="A1822" t="s">
        <v>1930</v>
      </c>
      <c r="B1822" s="2">
        <v>114335.9495092447</v>
      </c>
      <c r="C1822" t="s">
        <v>6</v>
      </c>
      <c r="D1822" t="s">
        <v>1455</v>
      </c>
      <c r="E1822" t="s">
        <v>2000</v>
      </c>
      <c r="F1822">
        <v>20</v>
      </c>
    </row>
    <row r="1823" spans="1:6" x14ac:dyDescent="0.25">
      <c r="A1823" t="s">
        <v>1931</v>
      </c>
      <c r="B1823" s="2">
        <v>16110</v>
      </c>
      <c r="C1823" t="s">
        <v>3</v>
      </c>
      <c r="D1823" t="s">
        <v>152</v>
      </c>
      <c r="E1823" t="s">
        <v>2002</v>
      </c>
      <c r="F1823">
        <v>10</v>
      </c>
    </row>
    <row r="1824" spans="1:6" x14ac:dyDescent="0.25">
      <c r="A1824" t="s">
        <v>1932</v>
      </c>
      <c r="B1824" s="2">
        <v>72000</v>
      </c>
      <c r="C1824" t="s">
        <v>16</v>
      </c>
      <c r="D1824" t="s">
        <v>8</v>
      </c>
      <c r="E1824" t="s">
        <v>2001</v>
      </c>
      <c r="F1824">
        <v>10</v>
      </c>
    </row>
    <row r="1825" spans="1:6" x14ac:dyDescent="0.25">
      <c r="A1825" t="s">
        <v>1933</v>
      </c>
      <c r="B1825" s="2">
        <v>60000</v>
      </c>
      <c r="C1825" t="s">
        <v>3</v>
      </c>
      <c r="D1825" t="s">
        <v>8</v>
      </c>
      <c r="E1825" t="s">
        <v>2002</v>
      </c>
      <c r="F1825">
        <v>10</v>
      </c>
    </row>
    <row r="1826" spans="1:6" x14ac:dyDescent="0.25">
      <c r="A1826" t="s">
        <v>1934</v>
      </c>
      <c r="B1826" s="2">
        <v>67000</v>
      </c>
      <c r="C1826" t="s">
        <v>3</v>
      </c>
      <c r="D1826" t="s">
        <v>8</v>
      </c>
      <c r="E1826" t="s">
        <v>2001</v>
      </c>
      <c r="F1826">
        <v>6</v>
      </c>
    </row>
    <row r="1827" spans="1:6" x14ac:dyDescent="0.25">
      <c r="A1827" t="s">
        <v>1935</v>
      </c>
      <c r="B1827" s="2">
        <v>54000</v>
      </c>
      <c r="C1827" t="s">
        <v>3</v>
      </c>
      <c r="D1827" t="s">
        <v>8</v>
      </c>
      <c r="E1827" t="s">
        <v>2001</v>
      </c>
      <c r="F1827">
        <v>18</v>
      </c>
    </row>
    <row r="1828" spans="1:6" x14ac:dyDescent="0.25">
      <c r="A1828" t="s">
        <v>1936</v>
      </c>
      <c r="B1828" s="2">
        <v>38666</v>
      </c>
      <c r="C1828" t="s">
        <v>26</v>
      </c>
      <c r="D1828" t="s">
        <v>38</v>
      </c>
      <c r="E1828" t="s">
        <v>2002</v>
      </c>
      <c r="F1828">
        <v>10</v>
      </c>
    </row>
    <row r="1829" spans="1:6" x14ac:dyDescent="0.25">
      <c r="A1829" t="s">
        <v>1937</v>
      </c>
      <c r="B1829" s="2">
        <v>63000</v>
      </c>
      <c r="C1829" t="s">
        <v>3</v>
      </c>
      <c r="D1829" t="s">
        <v>8</v>
      </c>
      <c r="E1829" t="s">
        <v>2001</v>
      </c>
      <c r="F1829">
        <v>6</v>
      </c>
    </row>
    <row r="1830" spans="1:6" x14ac:dyDescent="0.25">
      <c r="A1830" t="s">
        <v>1938</v>
      </c>
      <c r="B1830" s="2">
        <v>63000</v>
      </c>
      <c r="C1830" t="s">
        <v>3</v>
      </c>
      <c r="D1830" t="s">
        <v>8</v>
      </c>
      <c r="E1830" t="s">
        <v>2002</v>
      </c>
      <c r="F1830">
        <v>1</v>
      </c>
    </row>
    <row r="1831" spans="1:6" x14ac:dyDescent="0.25">
      <c r="A1831" t="s">
        <v>1939</v>
      </c>
      <c r="B1831" s="2">
        <v>6410.8500074793246</v>
      </c>
      <c r="C1831" t="s">
        <v>3</v>
      </c>
      <c r="D1831" t="s">
        <v>4</v>
      </c>
      <c r="E1831" t="s">
        <v>2002</v>
      </c>
      <c r="F1831">
        <v>2</v>
      </c>
    </row>
    <row r="1832" spans="1:6" x14ac:dyDescent="0.25">
      <c r="A1832" t="s">
        <v>1940</v>
      </c>
      <c r="B1832" s="2">
        <v>10684.750012465542</v>
      </c>
      <c r="C1832" t="s">
        <v>16</v>
      </c>
      <c r="D1832" t="s">
        <v>4</v>
      </c>
      <c r="E1832" t="s">
        <v>2001</v>
      </c>
      <c r="F1832">
        <v>12</v>
      </c>
    </row>
    <row r="1833" spans="1:6" x14ac:dyDescent="0.25">
      <c r="A1833" t="s">
        <v>1941</v>
      </c>
      <c r="B1833" s="2">
        <v>40000</v>
      </c>
      <c r="C1833" t="s">
        <v>16</v>
      </c>
      <c r="D1833" t="s">
        <v>4</v>
      </c>
      <c r="E1833" t="s">
        <v>2001</v>
      </c>
      <c r="F1833">
        <v>5</v>
      </c>
    </row>
    <row r="1834" spans="1:6" x14ac:dyDescent="0.25">
      <c r="A1834" t="s">
        <v>1942</v>
      </c>
      <c r="B1834" s="2">
        <v>6232.7708406048987</v>
      </c>
      <c r="C1834" t="s">
        <v>3</v>
      </c>
      <c r="D1834" t="s">
        <v>4</v>
      </c>
      <c r="E1834" t="s">
        <v>2001</v>
      </c>
      <c r="F1834">
        <v>6</v>
      </c>
    </row>
    <row r="1835" spans="1:6" x14ac:dyDescent="0.25">
      <c r="A1835" t="s">
        <v>1943</v>
      </c>
      <c r="B1835" s="2">
        <v>41712.231189497601</v>
      </c>
      <c r="C1835" t="s">
        <v>71</v>
      </c>
      <c r="D1835" t="s">
        <v>4</v>
      </c>
      <c r="E1835" t="s">
        <v>2000</v>
      </c>
      <c r="F1835">
        <v>12</v>
      </c>
    </row>
    <row r="1836" spans="1:6" x14ac:dyDescent="0.25">
      <c r="A1836" t="s">
        <v>1944</v>
      </c>
      <c r="B1836" s="2">
        <v>12465.541681209797</v>
      </c>
      <c r="C1836" t="s">
        <v>16</v>
      </c>
      <c r="D1836" t="s">
        <v>4</v>
      </c>
      <c r="E1836" t="s">
        <v>2000</v>
      </c>
      <c r="F1836">
        <v>9</v>
      </c>
    </row>
    <row r="1837" spans="1:6" x14ac:dyDescent="0.25">
      <c r="A1837" t="s">
        <v>1945</v>
      </c>
      <c r="B1837" s="2">
        <v>32311.654577379326</v>
      </c>
      <c r="C1837" t="s">
        <v>3</v>
      </c>
      <c r="D1837" t="s">
        <v>55</v>
      </c>
      <c r="E1837" t="s">
        <v>2001</v>
      </c>
      <c r="F1837">
        <v>20</v>
      </c>
    </row>
    <row r="1838" spans="1:6" x14ac:dyDescent="0.25">
      <c r="A1838" t="s">
        <v>1946</v>
      </c>
      <c r="B1838" s="2">
        <v>7123.1666749770275</v>
      </c>
      <c r="C1838" t="s">
        <v>3</v>
      </c>
      <c r="D1838" t="s">
        <v>4</v>
      </c>
      <c r="E1838" t="s">
        <v>1999</v>
      </c>
      <c r="F1838">
        <v>2</v>
      </c>
    </row>
    <row r="1839" spans="1:6" x14ac:dyDescent="0.25">
      <c r="A1839" t="s">
        <v>1947</v>
      </c>
      <c r="B1839" s="2">
        <v>100000</v>
      </c>
      <c r="C1839" t="s">
        <v>16</v>
      </c>
      <c r="D1839" t="s">
        <v>147</v>
      </c>
      <c r="E1839" t="s">
        <v>2002</v>
      </c>
      <c r="F1839">
        <v>15</v>
      </c>
    </row>
    <row r="1840" spans="1:6" x14ac:dyDescent="0.25">
      <c r="A1840" t="s">
        <v>1948</v>
      </c>
      <c r="B1840" s="2">
        <v>59819.107020370408</v>
      </c>
      <c r="C1840" t="s">
        <v>24</v>
      </c>
      <c r="D1840" t="s">
        <v>616</v>
      </c>
      <c r="E1840" t="s">
        <v>2001</v>
      </c>
      <c r="F1840">
        <v>4</v>
      </c>
    </row>
    <row r="1841" spans="1:6" x14ac:dyDescent="0.25">
      <c r="A1841" t="s">
        <v>1949</v>
      </c>
      <c r="B1841" s="2">
        <v>25000</v>
      </c>
      <c r="C1841" t="s">
        <v>3</v>
      </c>
      <c r="D1841" t="s">
        <v>4</v>
      </c>
      <c r="E1841" t="s">
        <v>2002</v>
      </c>
      <c r="F1841">
        <v>1.5</v>
      </c>
    </row>
    <row r="1842" spans="1:6" x14ac:dyDescent="0.25">
      <c r="A1842" t="s">
        <v>1950</v>
      </c>
      <c r="B1842" s="2">
        <v>5000</v>
      </c>
      <c r="C1842" t="s">
        <v>3</v>
      </c>
      <c r="D1842" t="s">
        <v>4</v>
      </c>
      <c r="E1842" t="s">
        <v>2000</v>
      </c>
      <c r="F1842">
        <v>10</v>
      </c>
    </row>
    <row r="1843" spans="1:6" x14ac:dyDescent="0.25">
      <c r="A1843" t="s">
        <v>1951</v>
      </c>
      <c r="B1843" s="2">
        <v>64254.308353366054</v>
      </c>
      <c r="C1843" t="s">
        <v>24</v>
      </c>
      <c r="D1843" t="s">
        <v>65</v>
      </c>
      <c r="E1843" t="s">
        <v>2002</v>
      </c>
      <c r="F1843">
        <v>3</v>
      </c>
    </row>
    <row r="1844" spans="1:6" x14ac:dyDescent="0.25">
      <c r="A1844" t="s">
        <v>1952</v>
      </c>
      <c r="B1844" s="2">
        <v>76223.966339496474</v>
      </c>
      <c r="C1844" t="s">
        <v>16</v>
      </c>
      <c r="D1844" t="s">
        <v>17</v>
      </c>
      <c r="E1844" t="s">
        <v>2001</v>
      </c>
      <c r="F1844">
        <v>6</v>
      </c>
    </row>
    <row r="1845" spans="1:6" x14ac:dyDescent="0.25">
      <c r="A1845" t="s">
        <v>1953</v>
      </c>
      <c r="B1845" s="2">
        <v>102542.54233725216</v>
      </c>
      <c r="C1845" t="s">
        <v>12</v>
      </c>
      <c r="D1845" t="s">
        <v>814</v>
      </c>
      <c r="E1845" t="s">
        <v>2000</v>
      </c>
      <c r="F1845">
        <v>20</v>
      </c>
    </row>
    <row r="1846" spans="1:6" x14ac:dyDescent="0.25">
      <c r="A1846" t="s">
        <v>1954</v>
      </c>
      <c r="B1846" s="2">
        <v>46000</v>
      </c>
      <c r="C1846" t="s">
        <v>3</v>
      </c>
      <c r="D1846" t="s">
        <v>8</v>
      </c>
      <c r="E1846" t="s">
        <v>2002</v>
      </c>
      <c r="F1846">
        <v>1</v>
      </c>
    </row>
    <row r="1847" spans="1:6" x14ac:dyDescent="0.25">
      <c r="A1847" t="s">
        <v>1955</v>
      </c>
      <c r="B1847" s="2">
        <v>5000</v>
      </c>
      <c r="C1847" t="s">
        <v>3</v>
      </c>
      <c r="D1847" t="s">
        <v>4</v>
      </c>
      <c r="E1847" t="s">
        <v>2002</v>
      </c>
      <c r="F1847">
        <v>2</v>
      </c>
    </row>
    <row r="1848" spans="1:6" x14ac:dyDescent="0.25">
      <c r="A1848" t="s">
        <v>1956</v>
      </c>
      <c r="B1848" s="2">
        <v>77819.106783521114</v>
      </c>
      <c r="C1848" t="s">
        <v>3</v>
      </c>
      <c r="D1848" t="s">
        <v>65</v>
      </c>
      <c r="E1848" t="s">
        <v>2002</v>
      </c>
      <c r="F1848">
        <v>3</v>
      </c>
    </row>
    <row r="1849" spans="1:6" x14ac:dyDescent="0.25">
      <c r="A1849" t="s">
        <v>1957</v>
      </c>
      <c r="B1849" s="2">
        <v>6232.7708406048987</v>
      </c>
      <c r="C1849" t="s">
        <v>16</v>
      </c>
      <c r="D1849" t="s">
        <v>4</v>
      </c>
      <c r="E1849" t="s">
        <v>2000</v>
      </c>
      <c r="F1849">
        <v>27</v>
      </c>
    </row>
    <row r="1850" spans="1:6" x14ac:dyDescent="0.25">
      <c r="A1850" t="s">
        <v>1958</v>
      </c>
      <c r="B1850" s="2">
        <v>55166.239522354947</v>
      </c>
      <c r="C1850" t="s">
        <v>3</v>
      </c>
      <c r="D1850" t="s">
        <v>55</v>
      </c>
      <c r="E1850" t="s">
        <v>2002</v>
      </c>
      <c r="F1850">
        <v>34</v>
      </c>
    </row>
    <row r="1851" spans="1:6" x14ac:dyDescent="0.25">
      <c r="A1851" t="s">
        <v>1959</v>
      </c>
      <c r="B1851" s="2">
        <v>45000</v>
      </c>
      <c r="C1851" t="s">
        <v>24</v>
      </c>
      <c r="D1851" t="s">
        <v>8</v>
      </c>
      <c r="E1851" t="s">
        <v>2000</v>
      </c>
      <c r="F1851">
        <v>5</v>
      </c>
    </row>
    <row r="1852" spans="1:6" x14ac:dyDescent="0.25">
      <c r="A1852" t="s">
        <v>1960</v>
      </c>
      <c r="B1852" s="2">
        <v>60000</v>
      </c>
      <c r="C1852" t="s">
        <v>16</v>
      </c>
      <c r="D1852" t="s">
        <v>68</v>
      </c>
      <c r="E1852" t="s">
        <v>2000</v>
      </c>
      <c r="F1852">
        <v>10</v>
      </c>
    </row>
    <row r="1853" spans="1:6" x14ac:dyDescent="0.25">
      <c r="A1853" t="s">
        <v>1961</v>
      </c>
      <c r="B1853" s="2">
        <v>43000</v>
      </c>
      <c r="C1853" t="s">
        <v>3</v>
      </c>
      <c r="D1853" t="s">
        <v>8</v>
      </c>
      <c r="E1853" t="s">
        <v>2001</v>
      </c>
      <c r="F1853">
        <v>5</v>
      </c>
    </row>
    <row r="1854" spans="1:6" x14ac:dyDescent="0.25">
      <c r="A1854" t="s">
        <v>1962</v>
      </c>
      <c r="B1854" s="2">
        <v>35571.184291765021</v>
      </c>
      <c r="C1854" t="s">
        <v>6</v>
      </c>
      <c r="D1854" t="s">
        <v>550</v>
      </c>
      <c r="E1854" t="s">
        <v>2001</v>
      </c>
      <c r="F1854">
        <v>8</v>
      </c>
    </row>
    <row r="1855" spans="1:6" x14ac:dyDescent="0.25">
      <c r="A1855" t="s">
        <v>1963</v>
      </c>
      <c r="B1855" s="2">
        <v>48000</v>
      </c>
      <c r="C1855" t="s">
        <v>3</v>
      </c>
      <c r="D1855" t="s">
        <v>8</v>
      </c>
      <c r="E1855" t="s">
        <v>2001</v>
      </c>
      <c r="F1855">
        <v>12</v>
      </c>
    </row>
    <row r="1856" spans="1:6" x14ac:dyDescent="0.25">
      <c r="A1856" t="s">
        <v>1964</v>
      </c>
      <c r="B1856" s="2">
        <v>122389.15876831629</v>
      </c>
      <c r="C1856" t="s">
        <v>16</v>
      </c>
      <c r="D1856" t="s">
        <v>65</v>
      </c>
      <c r="E1856" t="s">
        <v>1999</v>
      </c>
      <c r="F1856">
        <v>8</v>
      </c>
    </row>
    <row r="1857" spans="1:6" x14ac:dyDescent="0.25">
      <c r="A1857" t="s">
        <v>1965</v>
      </c>
      <c r="B1857" s="2">
        <v>4000</v>
      </c>
      <c r="C1857" t="s">
        <v>3</v>
      </c>
      <c r="D1857" t="s">
        <v>4</v>
      </c>
      <c r="E1857" t="s">
        <v>2000</v>
      </c>
      <c r="F1857">
        <v>4</v>
      </c>
    </row>
    <row r="1858" spans="1:6" x14ac:dyDescent="0.25">
      <c r="A1858" t="s">
        <v>1966</v>
      </c>
      <c r="B1858" s="2">
        <v>4451.9791718606421</v>
      </c>
      <c r="C1858" t="s">
        <v>37</v>
      </c>
      <c r="D1858" t="s">
        <v>4</v>
      </c>
      <c r="E1858" t="s">
        <v>2001</v>
      </c>
      <c r="F1858">
        <v>3</v>
      </c>
    </row>
    <row r="1859" spans="1:6" x14ac:dyDescent="0.25">
      <c r="A1859" t="s">
        <v>1967</v>
      </c>
      <c r="B1859" s="2">
        <v>2953.8461538461538</v>
      </c>
      <c r="C1859" t="s">
        <v>37</v>
      </c>
      <c r="D1859" t="s">
        <v>1968</v>
      </c>
      <c r="E1859" t="s">
        <v>2001</v>
      </c>
      <c r="F1859">
        <v>3</v>
      </c>
    </row>
    <row r="1860" spans="1:6" x14ac:dyDescent="0.25">
      <c r="A1860" t="s">
        <v>1969</v>
      </c>
      <c r="B1860" s="2">
        <v>39404.456801682099</v>
      </c>
      <c r="C1860" t="s">
        <v>3</v>
      </c>
      <c r="D1860" t="s">
        <v>55</v>
      </c>
      <c r="E1860" t="s">
        <v>2001</v>
      </c>
      <c r="F1860">
        <v>3</v>
      </c>
    </row>
    <row r="1861" spans="1:6" x14ac:dyDescent="0.25">
      <c r="A1861" t="s">
        <v>1970</v>
      </c>
      <c r="B1861" s="2">
        <v>75473.31457379504</v>
      </c>
      <c r="C1861" t="s">
        <v>3</v>
      </c>
      <c r="D1861" t="s">
        <v>65</v>
      </c>
      <c r="E1861" t="s">
        <v>2001</v>
      </c>
      <c r="F1861">
        <v>8</v>
      </c>
    </row>
    <row r="1862" spans="1:6" x14ac:dyDescent="0.25">
      <c r="A1862" t="s">
        <v>1971</v>
      </c>
      <c r="B1862" s="2">
        <v>13355.937515581925</v>
      </c>
      <c r="C1862" t="s">
        <v>3</v>
      </c>
      <c r="D1862" t="s">
        <v>4</v>
      </c>
      <c r="E1862" t="s">
        <v>2001</v>
      </c>
      <c r="F1862">
        <v>5</v>
      </c>
    </row>
    <row r="1863" spans="1:6" x14ac:dyDescent="0.25">
      <c r="A1863" t="s">
        <v>1972</v>
      </c>
      <c r="B1863" s="2">
        <v>25000</v>
      </c>
      <c r="C1863" t="s">
        <v>16</v>
      </c>
      <c r="D1863" t="s">
        <v>4</v>
      </c>
      <c r="E1863" t="s">
        <v>2001</v>
      </c>
      <c r="F1863">
        <v>10</v>
      </c>
    </row>
    <row r="1864" spans="1:6" x14ac:dyDescent="0.25">
      <c r="A1864" t="s">
        <v>1973</v>
      </c>
      <c r="B1864" s="2">
        <v>7479.3250087258784</v>
      </c>
      <c r="C1864" t="s">
        <v>3</v>
      </c>
      <c r="D1864" t="s">
        <v>4</v>
      </c>
      <c r="E1864" t="s">
        <v>2001</v>
      </c>
      <c r="F1864">
        <v>2</v>
      </c>
    </row>
    <row r="1865" spans="1:6" x14ac:dyDescent="0.25">
      <c r="A1865" t="s">
        <v>1974</v>
      </c>
      <c r="B1865" s="2">
        <v>62000</v>
      </c>
      <c r="C1865" t="s">
        <v>3</v>
      </c>
      <c r="D1865" t="s">
        <v>8</v>
      </c>
      <c r="E1865" t="s">
        <v>2001</v>
      </c>
      <c r="F1865">
        <v>4</v>
      </c>
    </row>
    <row r="1866" spans="1:6" x14ac:dyDescent="0.25">
      <c r="A1866" t="s">
        <v>1975</v>
      </c>
      <c r="B1866" s="2">
        <v>48000</v>
      </c>
      <c r="C1866" t="s">
        <v>3</v>
      </c>
      <c r="D1866" t="s">
        <v>8</v>
      </c>
      <c r="E1866" t="s">
        <v>2001</v>
      </c>
      <c r="F1866">
        <v>1</v>
      </c>
    </row>
    <row r="1867" spans="1:6" x14ac:dyDescent="0.25">
      <c r="A1867" t="s">
        <v>1976</v>
      </c>
      <c r="B1867" s="2">
        <v>5000</v>
      </c>
      <c r="C1867" t="s">
        <v>71</v>
      </c>
      <c r="D1867" t="s">
        <v>4</v>
      </c>
      <c r="E1867" t="s">
        <v>2001</v>
      </c>
      <c r="F1867">
        <v>3</v>
      </c>
    </row>
    <row r="1868" spans="1:6" x14ac:dyDescent="0.25">
      <c r="A1868" t="s">
        <v>1977</v>
      </c>
      <c r="B1868" s="2">
        <v>4914.9850057341491</v>
      </c>
      <c r="C1868" t="s">
        <v>37</v>
      </c>
      <c r="D1868" t="s">
        <v>4</v>
      </c>
      <c r="E1868" t="s">
        <v>2002</v>
      </c>
      <c r="F1868">
        <v>6</v>
      </c>
    </row>
    <row r="1869" spans="1:6" x14ac:dyDescent="0.25">
      <c r="A1869" t="s">
        <v>1978</v>
      </c>
      <c r="B1869" s="2">
        <v>75000</v>
      </c>
      <c r="C1869" t="s">
        <v>3</v>
      </c>
      <c r="D1869" t="s">
        <v>8</v>
      </c>
      <c r="E1869" t="s">
        <v>1999</v>
      </c>
      <c r="F1869">
        <v>3</v>
      </c>
    </row>
    <row r="1870" spans="1:6" x14ac:dyDescent="0.25">
      <c r="A1870" t="s">
        <v>1979</v>
      </c>
      <c r="B1870" s="2">
        <v>4451.9791718606421</v>
      </c>
      <c r="C1870" t="s">
        <v>3</v>
      </c>
      <c r="D1870" t="s">
        <v>4</v>
      </c>
      <c r="E1870" t="s">
        <v>2003</v>
      </c>
      <c r="F1870">
        <v>1.6</v>
      </c>
    </row>
    <row r="1871" spans="1:6" x14ac:dyDescent="0.25">
      <c r="A1871" t="s">
        <v>1980</v>
      </c>
      <c r="B1871" s="2">
        <v>8400</v>
      </c>
      <c r="C1871" t="s">
        <v>37</v>
      </c>
      <c r="D1871" t="s">
        <v>4</v>
      </c>
      <c r="E1871" t="s">
        <v>2002</v>
      </c>
      <c r="F1871">
        <v>6</v>
      </c>
    </row>
    <row r="1872" spans="1:6" x14ac:dyDescent="0.25">
      <c r="A1872" t="s">
        <v>1981</v>
      </c>
      <c r="B1872" s="2">
        <v>20000</v>
      </c>
      <c r="C1872" t="s">
        <v>16</v>
      </c>
      <c r="D1872" t="s">
        <v>4</v>
      </c>
      <c r="E1872" t="s">
        <v>2000</v>
      </c>
      <c r="F1872">
        <v>5</v>
      </c>
    </row>
    <row r="1873" spans="1:6" x14ac:dyDescent="0.25">
      <c r="A1873" t="s">
        <v>1982</v>
      </c>
      <c r="B1873" s="2">
        <v>110000</v>
      </c>
      <c r="C1873" t="s">
        <v>21</v>
      </c>
      <c r="D1873" t="s">
        <v>8</v>
      </c>
      <c r="E1873" t="s">
        <v>2001</v>
      </c>
      <c r="F1873">
        <v>10</v>
      </c>
    </row>
    <row r="1874" spans="1:6" x14ac:dyDescent="0.25">
      <c r="A1874" t="s">
        <v>1983</v>
      </c>
      <c r="B1874" s="2">
        <v>50000</v>
      </c>
      <c r="C1874" t="s">
        <v>3</v>
      </c>
      <c r="D1874" t="s">
        <v>8</v>
      </c>
      <c r="E1874" t="s">
        <v>2002</v>
      </c>
      <c r="F1874">
        <v>3.5</v>
      </c>
    </row>
    <row r="1875" spans="1:6" x14ac:dyDescent="0.25">
      <c r="A1875" t="s">
        <v>1984</v>
      </c>
      <c r="B1875" s="2">
        <v>46000</v>
      </c>
      <c r="C1875" t="s">
        <v>3</v>
      </c>
      <c r="D1875" t="s">
        <v>8</v>
      </c>
      <c r="E1875" t="s">
        <v>2001</v>
      </c>
      <c r="F1875">
        <v>8</v>
      </c>
    </row>
    <row r="1876" spans="1:6" x14ac:dyDescent="0.25">
      <c r="A1876" t="s">
        <v>1985</v>
      </c>
      <c r="B1876" s="2">
        <v>115000</v>
      </c>
      <c r="C1876" t="s">
        <v>3</v>
      </c>
      <c r="D1876" t="s">
        <v>8</v>
      </c>
      <c r="E1876" t="s">
        <v>2002</v>
      </c>
      <c r="F1876">
        <v>15</v>
      </c>
    </row>
    <row r="1877" spans="1:6" x14ac:dyDescent="0.25">
      <c r="A1877" t="s">
        <v>1986</v>
      </c>
      <c r="B1877" s="2">
        <v>3205.4250037396623</v>
      </c>
      <c r="C1877" t="s">
        <v>3</v>
      </c>
      <c r="D1877" t="s">
        <v>4</v>
      </c>
      <c r="E1877" t="s">
        <v>2001</v>
      </c>
      <c r="F1877">
        <v>3</v>
      </c>
    </row>
    <row r="1878" spans="1:6" x14ac:dyDescent="0.25">
      <c r="A1878" t="s">
        <v>1987</v>
      </c>
      <c r="B1878" s="2">
        <v>76223.966339496474</v>
      </c>
      <c r="C1878" t="s">
        <v>16</v>
      </c>
      <c r="D1878" t="s">
        <v>1455</v>
      </c>
      <c r="E1878" t="s">
        <v>2000</v>
      </c>
      <c r="F1878">
        <v>20</v>
      </c>
    </row>
    <row r="1879" spans="1:6" x14ac:dyDescent="0.25">
      <c r="A1879" t="s">
        <v>1988</v>
      </c>
      <c r="B1879" s="2">
        <v>52500</v>
      </c>
      <c r="C1879" t="s">
        <v>3</v>
      </c>
      <c r="D1879" t="s">
        <v>38</v>
      </c>
      <c r="E1879" t="s">
        <v>2001</v>
      </c>
      <c r="F1879">
        <v>21</v>
      </c>
    </row>
    <row r="1880" spans="1:6" x14ac:dyDescent="0.25">
      <c r="A1880" t="s">
        <v>1989</v>
      </c>
      <c r="B1880" s="2">
        <v>100800</v>
      </c>
      <c r="C1880" t="s">
        <v>21</v>
      </c>
      <c r="D1880" t="s">
        <v>1990</v>
      </c>
      <c r="E1880" t="s">
        <v>2001</v>
      </c>
      <c r="F1880">
        <v>4</v>
      </c>
    </row>
    <row r="1881" spans="1:6" x14ac:dyDescent="0.25">
      <c r="A1881" t="s">
        <v>1991</v>
      </c>
      <c r="B1881" s="2">
        <v>21000</v>
      </c>
      <c r="C1881" t="s">
        <v>71</v>
      </c>
      <c r="D1881" t="s">
        <v>4</v>
      </c>
      <c r="E1881" t="s">
        <v>2002</v>
      </c>
      <c r="F1881">
        <v>5</v>
      </c>
    </row>
    <row r="1882" spans="1:6" x14ac:dyDescent="0.25">
      <c r="A1882" t="s">
        <v>1992</v>
      </c>
      <c r="B1882" s="2">
        <v>40000</v>
      </c>
      <c r="C1882" t="s">
        <v>3</v>
      </c>
      <c r="D1882" t="s">
        <v>8</v>
      </c>
      <c r="E1882" t="s">
        <v>1999</v>
      </c>
      <c r="F1882">
        <v>3</v>
      </c>
    </row>
    <row r="1883" spans="1:6" x14ac:dyDescent="0.25">
      <c r="A1883" t="s">
        <v>1993</v>
      </c>
      <c r="B1883" s="2">
        <v>46359</v>
      </c>
      <c r="C1883" t="s">
        <v>3</v>
      </c>
      <c r="D1883" t="s">
        <v>8</v>
      </c>
      <c r="E1883" t="s">
        <v>2002</v>
      </c>
      <c r="F1883">
        <v>5</v>
      </c>
    </row>
    <row r="1884" spans="1:6" x14ac:dyDescent="0.25">
      <c r="A1884" t="s">
        <v>1994</v>
      </c>
      <c r="B1884" s="2">
        <v>70000</v>
      </c>
      <c r="C1884" t="s">
        <v>3</v>
      </c>
      <c r="D1884" t="s">
        <v>8</v>
      </c>
      <c r="E1884" t="s">
        <v>2001</v>
      </c>
      <c r="F1884">
        <v>10</v>
      </c>
    </row>
  </sheetData>
  <mergeCells count="2">
    <mergeCell ref="T3:U3"/>
    <mergeCell ref="V3:W3"/>
  </mergeCells>
  <conditionalFormatting sqref="A2:A1884 C2:H1884">
    <cfRule type="expression" dxfId="4" priority="4">
      <formula>$B2="ERR"</formula>
    </cfRule>
  </conditionalFormatting>
  <conditionalFormatting sqref="B2:B1884">
    <cfRule type="expression" dxfId="3" priority="1">
      <formula>$F2="ERR"</formula>
    </cfRule>
  </conditionalFormatting>
  <dataValidations count="1">
    <dataValidation operator="greaterThan" showErrorMessage="1" prompt="error" sqref="V3:W3"/>
  </dataValidations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View</vt:lpstr>
      <vt:lpstr>Data</vt:lpstr>
      <vt:lpstr>DataBase</vt:lpstr>
    </vt:vector>
  </TitlesOfParts>
  <Company>Buccaneer Software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2012-06-29T10:37:50Z</dcterms:created>
  <dcterms:modified xsi:type="dcterms:W3CDTF">2012-07-05T16:15:21Z</dcterms:modified>
</cp:coreProperties>
</file>