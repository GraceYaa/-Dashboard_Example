
<file path=[Content_Types].xml><?xml version="1.0" encoding="utf-8"?>
<Types xmlns="http://schemas.openxmlformats.org/package/2006/content-types">
  <Default Extension="bin" ContentType="application/vnd.openxmlformats-officedocument.spreadsheetml.printerSettings"/>
  <Override PartName="/xl/diagrams/layout1.xml" ContentType="application/vnd.openxmlformats-officedocument.drawingml.diagramLayout+xml"/>
  <Override PartName="/xl/diagrams/quickStyle1.xml" ContentType="application/vnd.openxmlformats-officedocument.drawingml.diagramStyle+xml"/>
  <Default Extension="png" ContentType="image/png"/>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charts/chart4.xml" ContentType="application/vnd.openxmlformats-officedocument.drawingml.chart+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Default Extension="jpeg" ContentType="image/jpeg"/>
  <Override PartName="/xl/diagrams/data1.xml" ContentType="application/vnd.openxmlformats-officedocument.drawingml.diagramData+xml"/>
  <Override PartName="/xl/diagrams/colors1.xml" ContentType="application/vnd.openxmlformats-officedocument.drawingml.diagramColor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ml.chartshapes+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ml.chartshapes+xml"/>
  <Override PartName="/xl/diagrams/drawing1.xml" ContentType="application/vnd.ms-office.drawingml.diagram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Methodology &amp; Notes" sheetId="7" r:id="rId1"/>
    <sheet name="Dashboard" sheetId="5" r:id="rId2"/>
    <sheet name="Sheet1" sheetId="1" r:id="rId3"/>
    <sheet name="Sheet2" sheetId="2" r:id="rId4"/>
    <sheet name="Sheet3" sheetId="3" r:id="rId5"/>
    <sheet name="Pivot" sheetId="8" r:id="rId6"/>
    <sheet name="Data" sheetId="6" r:id="rId7"/>
  </sheets>
  <definedNames>
    <definedName name="_xlnm._FilterDatabase" localSheetId="6" hidden="1">Data!$G$1896:$H$1896</definedName>
    <definedName name="_xlnm._FilterDatabase" localSheetId="4" hidden="1">Sheet3!$A$1:$C$182</definedName>
    <definedName name="Curr">Dashboard!$F$47</definedName>
    <definedName name="Currency">Data!$H$2</definedName>
  </definedNames>
  <calcPr calcId="125725"/>
  <pivotCaches>
    <pivotCache cacheId="1" r:id="rId8"/>
  </pivotCaches>
</workbook>
</file>

<file path=xl/calcChain.xml><?xml version="1.0" encoding="utf-8"?>
<calcChain xmlns="http://schemas.openxmlformats.org/spreadsheetml/2006/main">
  <c r="E48" i="5"/>
  <c r="M1916" i="6"/>
  <c r="M1917"/>
  <c r="M1918"/>
  <c r="M1919"/>
  <c r="M1920"/>
  <c r="M1921"/>
  <c r="M1922"/>
  <c r="M1923"/>
  <c r="M1924"/>
  <c r="M1925"/>
  <c r="M1926"/>
  <c r="M1927"/>
  <c r="M1928"/>
  <c r="M1929"/>
  <c r="M1930"/>
  <c r="M1931"/>
  <c r="M1932"/>
  <c r="M1933"/>
  <c r="M1934"/>
  <c r="M1935"/>
  <c r="M1936"/>
  <c r="M1937"/>
  <c r="M1938"/>
  <c r="M1939"/>
  <c r="M1940"/>
  <c r="M1941"/>
  <c r="M1942"/>
  <c r="M1943"/>
  <c r="M1944"/>
  <c r="M1945"/>
  <c r="M1946"/>
  <c r="M1947"/>
  <c r="M1948"/>
  <c r="M1949"/>
  <c r="M1950"/>
  <c r="M1951"/>
  <c r="M1952"/>
  <c r="M1953"/>
  <c r="M1954"/>
  <c r="M1955"/>
  <c r="M1956"/>
  <c r="M1957"/>
  <c r="M1958"/>
  <c r="M1959"/>
  <c r="M1960"/>
  <c r="M1961"/>
  <c r="M1962"/>
  <c r="M1963"/>
  <c r="M1964"/>
  <c r="M1965"/>
  <c r="M1966"/>
  <c r="M1967"/>
  <c r="M1968"/>
  <c r="M1969"/>
  <c r="M1970"/>
  <c r="M1971"/>
  <c r="M1972"/>
  <c r="M1973"/>
  <c r="M1974"/>
  <c r="M1975"/>
  <c r="M1976"/>
  <c r="M1977"/>
  <c r="M1978"/>
  <c r="M1979"/>
  <c r="M1980"/>
  <c r="M1981"/>
  <c r="M1982"/>
  <c r="M1983"/>
  <c r="M1984"/>
  <c r="M1985"/>
  <c r="M1986"/>
  <c r="M1987"/>
  <c r="M1988"/>
  <c r="M1989"/>
  <c r="M1990"/>
  <c r="M1991"/>
  <c r="M1992"/>
  <c r="M1993"/>
  <c r="M1994"/>
  <c r="M1995"/>
  <c r="M1996"/>
  <c r="M1997"/>
  <c r="M1998"/>
  <c r="M1999"/>
  <c r="M2000"/>
  <c r="M2001"/>
  <c r="M2002"/>
  <c r="M2003"/>
  <c r="M1898"/>
  <c r="M1899"/>
  <c r="M1900"/>
  <c r="M1901"/>
  <c r="M1902"/>
  <c r="M1903"/>
  <c r="M1904"/>
  <c r="M1905"/>
  <c r="M1906"/>
  <c r="M1907"/>
  <c r="M1908"/>
  <c r="M1909"/>
  <c r="M1910"/>
  <c r="M1911"/>
  <c r="M1912"/>
  <c r="M1913"/>
  <c r="M1914"/>
  <c r="M1915"/>
  <c r="M1897"/>
  <c r="L1898"/>
  <c r="L1899"/>
  <c r="L1900"/>
  <c r="L1901"/>
  <c r="L1902"/>
  <c r="L1903"/>
  <c r="L1904"/>
  <c r="L1905"/>
  <c r="L1906"/>
  <c r="L1907"/>
  <c r="L1908"/>
  <c r="L1909"/>
  <c r="L1910"/>
  <c r="L1911"/>
  <c r="L1912"/>
  <c r="L1913"/>
  <c r="L1914"/>
  <c r="L1915"/>
  <c r="L1916"/>
  <c r="L1917"/>
  <c r="L1918"/>
  <c r="L1919"/>
  <c r="L1920"/>
  <c r="L1921"/>
  <c r="L1922"/>
  <c r="L1923"/>
  <c r="L1924"/>
  <c r="L1925"/>
  <c r="L1926"/>
  <c r="L1927"/>
  <c r="L1928"/>
  <c r="L1929"/>
  <c r="L1930"/>
  <c r="L1931"/>
  <c r="L1932"/>
  <c r="L1933"/>
  <c r="L1934"/>
  <c r="L1935"/>
  <c r="L1936"/>
  <c r="L1937"/>
  <c r="L1938"/>
  <c r="L1939"/>
  <c r="L1940"/>
  <c r="L1941"/>
  <c r="L1942"/>
  <c r="L1943"/>
  <c r="L1944"/>
  <c r="L1945"/>
  <c r="L1946"/>
  <c r="L1947"/>
  <c r="L1948"/>
  <c r="L1949"/>
  <c r="L1950"/>
  <c r="L1951"/>
  <c r="L1952"/>
  <c r="L1953"/>
  <c r="L1954"/>
  <c r="L1955"/>
  <c r="L1956"/>
  <c r="L1957"/>
  <c r="L1958"/>
  <c r="L1959"/>
  <c r="L1960"/>
  <c r="L1961"/>
  <c r="L1962"/>
  <c r="L1963"/>
  <c r="L1964"/>
  <c r="L1965"/>
  <c r="L1966"/>
  <c r="L1967"/>
  <c r="L1968"/>
  <c r="L1969"/>
  <c r="L1970"/>
  <c r="L1971"/>
  <c r="L1972"/>
  <c r="L1973"/>
  <c r="L1974"/>
  <c r="L1975"/>
  <c r="L1976"/>
  <c r="L1977"/>
  <c r="L1978"/>
  <c r="L1979"/>
  <c r="L1980"/>
  <c r="L1981"/>
  <c r="L1982"/>
  <c r="L1983"/>
  <c r="L1984"/>
  <c r="L1985"/>
  <c r="L1986"/>
  <c r="L1987"/>
  <c r="L1988"/>
  <c r="L1989"/>
  <c r="L1990"/>
  <c r="L1991"/>
  <c r="L1992"/>
  <c r="L1993"/>
  <c r="L1994"/>
  <c r="L1995"/>
  <c r="L1996"/>
  <c r="L1997"/>
  <c r="L1998"/>
  <c r="L1999"/>
  <c r="L2000"/>
  <c r="L2001"/>
  <c r="L2002"/>
  <c r="L2003"/>
  <c r="L1897"/>
  <c r="K1898"/>
  <c r="K1899"/>
  <c r="K1900"/>
  <c r="K1901"/>
  <c r="K1902"/>
  <c r="K1903"/>
  <c r="K1904"/>
  <c r="K1905"/>
  <c r="K1906"/>
  <c r="K1907"/>
  <c r="K1908"/>
  <c r="K1909"/>
  <c r="K1910"/>
  <c r="K1911"/>
  <c r="K1912"/>
  <c r="K1913"/>
  <c r="K1914"/>
  <c r="K1915"/>
  <c r="K1916"/>
  <c r="K1917"/>
  <c r="K1918"/>
  <c r="K1919"/>
  <c r="K1920"/>
  <c r="K1921"/>
  <c r="K1922"/>
  <c r="K1923"/>
  <c r="K1924"/>
  <c r="K1925"/>
  <c r="K1926"/>
  <c r="K1927"/>
  <c r="K1928"/>
  <c r="K1929"/>
  <c r="K1930"/>
  <c r="K1931"/>
  <c r="K1932"/>
  <c r="K1933"/>
  <c r="K1934"/>
  <c r="K1935"/>
  <c r="K1936"/>
  <c r="K1937"/>
  <c r="K1938"/>
  <c r="K1939"/>
  <c r="K1940"/>
  <c r="K1941"/>
  <c r="K1942"/>
  <c r="K1943"/>
  <c r="K1944"/>
  <c r="K1945"/>
  <c r="K1946"/>
  <c r="K1947"/>
  <c r="K1948"/>
  <c r="K1949"/>
  <c r="K1950"/>
  <c r="K1951"/>
  <c r="K1952"/>
  <c r="K1953"/>
  <c r="K1954"/>
  <c r="K1955"/>
  <c r="K1956"/>
  <c r="K1957"/>
  <c r="K1958"/>
  <c r="K1959"/>
  <c r="K1960"/>
  <c r="K1961"/>
  <c r="K1962"/>
  <c r="K1963"/>
  <c r="K1964"/>
  <c r="K1965"/>
  <c r="K1966"/>
  <c r="K1967"/>
  <c r="K1968"/>
  <c r="K1969"/>
  <c r="K1970"/>
  <c r="K1971"/>
  <c r="K1972"/>
  <c r="K1973"/>
  <c r="K1974"/>
  <c r="K1975"/>
  <c r="K1976"/>
  <c r="K1977"/>
  <c r="K1978"/>
  <c r="K1979"/>
  <c r="K1980"/>
  <c r="K1981"/>
  <c r="K1982"/>
  <c r="K1983"/>
  <c r="K1984"/>
  <c r="K1985"/>
  <c r="K1986"/>
  <c r="K1987"/>
  <c r="K1988"/>
  <c r="K1989"/>
  <c r="K1990"/>
  <c r="K1991"/>
  <c r="K1992"/>
  <c r="K1993"/>
  <c r="K1994"/>
  <c r="K1995"/>
  <c r="K1996"/>
  <c r="K1997"/>
  <c r="K1998"/>
  <c r="K1999"/>
  <c r="K2000"/>
  <c r="K2001"/>
  <c r="K2002"/>
  <c r="K2003"/>
  <c r="K1897"/>
  <c r="J1898"/>
  <c r="J1899"/>
  <c r="J1900"/>
  <c r="J1901"/>
  <c r="J1902"/>
  <c r="J1903"/>
  <c r="J1904"/>
  <c r="J1905"/>
  <c r="J1906"/>
  <c r="J1907"/>
  <c r="J1908"/>
  <c r="J1909"/>
  <c r="J1910"/>
  <c r="J1911"/>
  <c r="J1912"/>
  <c r="J1913"/>
  <c r="J1914"/>
  <c r="J1915"/>
  <c r="J1916"/>
  <c r="J1917"/>
  <c r="J1918"/>
  <c r="J1919"/>
  <c r="J1920"/>
  <c r="J1921"/>
  <c r="J1922"/>
  <c r="J1923"/>
  <c r="J1924"/>
  <c r="J1925"/>
  <c r="J1926"/>
  <c r="J1927"/>
  <c r="J1928"/>
  <c r="J1929"/>
  <c r="J1930"/>
  <c r="J1931"/>
  <c r="J1932"/>
  <c r="J1933"/>
  <c r="J1934"/>
  <c r="J1935"/>
  <c r="J1936"/>
  <c r="J1937"/>
  <c r="J1938"/>
  <c r="J1939"/>
  <c r="J1940"/>
  <c r="J1941"/>
  <c r="J1942"/>
  <c r="J1943"/>
  <c r="J1944"/>
  <c r="J1945"/>
  <c r="J1946"/>
  <c r="J1947"/>
  <c r="J1948"/>
  <c r="J1949"/>
  <c r="J1950"/>
  <c r="J1951"/>
  <c r="J1952"/>
  <c r="J1953"/>
  <c r="J1954"/>
  <c r="J1955"/>
  <c r="J1956"/>
  <c r="J1957"/>
  <c r="J1958"/>
  <c r="J1959"/>
  <c r="J1960"/>
  <c r="J1961"/>
  <c r="J1962"/>
  <c r="J1963"/>
  <c r="J1964"/>
  <c r="J1965"/>
  <c r="J1966"/>
  <c r="J1967"/>
  <c r="J1968"/>
  <c r="J1969"/>
  <c r="J1970"/>
  <c r="J1971"/>
  <c r="J1972"/>
  <c r="J1973"/>
  <c r="J1974"/>
  <c r="J1975"/>
  <c r="J1976"/>
  <c r="J1977"/>
  <c r="J1978"/>
  <c r="J1979"/>
  <c r="J1980"/>
  <c r="J1981"/>
  <c r="J1982"/>
  <c r="J1983"/>
  <c r="J1984"/>
  <c r="J1985"/>
  <c r="J1986"/>
  <c r="J1987"/>
  <c r="J1988"/>
  <c r="J1989"/>
  <c r="J1990"/>
  <c r="J1991"/>
  <c r="J1992"/>
  <c r="J1993"/>
  <c r="J1994"/>
  <c r="J1995"/>
  <c r="J1996"/>
  <c r="J1997"/>
  <c r="J1998"/>
  <c r="J1999"/>
  <c r="J2000"/>
  <c r="J2001"/>
  <c r="J2002"/>
  <c r="J2003"/>
  <c r="J1897"/>
  <c r="I1900"/>
  <c r="I1901"/>
  <c r="I1902"/>
  <c r="I1903"/>
  <c r="I1904"/>
  <c r="I1905"/>
  <c r="I1906"/>
  <c r="I1907"/>
  <c r="I1908"/>
  <c r="I1909"/>
  <c r="I1910"/>
  <c r="I1911"/>
  <c r="I1912"/>
  <c r="I1913"/>
  <c r="I1914"/>
  <c r="I1915"/>
  <c r="I1916"/>
  <c r="I1917"/>
  <c r="I1918"/>
  <c r="I1919"/>
  <c r="I1920"/>
  <c r="I1921"/>
  <c r="I1922"/>
  <c r="I1923"/>
  <c r="I1924"/>
  <c r="I1925"/>
  <c r="I1926"/>
  <c r="I1927"/>
  <c r="I1928"/>
  <c r="I1929"/>
  <c r="I1930"/>
  <c r="I1931"/>
  <c r="I1932"/>
  <c r="I1933"/>
  <c r="I1934"/>
  <c r="I1935"/>
  <c r="I1936"/>
  <c r="I1937"/>
  <c r="I1938"/>
  <c r="I1939"/>
  <c r="I1940"/>
  <c r="I1941"/>
  <c r="I1942"/>
  <c r="I1943"/>
  <c r="I1944"/>
  <c r="I1945"/>
  <c r="I1946"/>
  <c r="I1947"/>
  <c r="I1948"/>
  <c r="I1949"/>
  <c r="I1950"/>
  <c r="I1951"/>
  <c r="I1952"/>
  <c r="I1953"/>
  <c r="I1954"/>
  <c r="I1955"/>
  <c r="I1956"/>
  <c r="I1957"/>
  <c r="I1958"/>
  <c r="I1959"/>
  <c r="I1960"/>
  <c r="I1961"/>
  <c r="I1962"/>
  <c r="I1963"/>
  <c r="I1964"/>
  <c r="I1965"/>
  <c r="I1966"/>
  <c r="I1967"/>
  <c r="I1968"/>
  <c r="I1969"/>
  <c r="I1970"/>
  <c r="I1971"/>
  <c r="I1972"/>
  <c r="I1973"/>
  <c r="I1974"/>
  <c r="I1975"/>
  <c r="I1976"/>
  <c r="I1977"/>
  <c r="I1978"/>
  <c r="I1979"/>
  <c r="I1980"/>
  <c r="I1981"/>
  <c r="I1982"/>
  <c r="I1983"/>
  <c r="I1984"/>
  <c r="I1985"/>
  <c r="I1986"/>
  <c r="I1987"/>
  <c r="I1988"/>
  <c r="I1989"/>
  <c r="I1990"/>
  <c r="I1991"/>
  <c r="I1992"/>
  <c r="I1993"/>
  <c r="I1994"/>
  <c r="I1995"/>
  <c r="I1996"/>
  <c r="I1997"/>
  <c r="I1998"/>
  <c r="I1999"/>
  <c r="I2000"/>
  <c r="I2001"/>
  <c r="I2002"/>
  <c r="I2003"/>
  <c r="I1898"/>
  <c r="I1899"/>
  <c r="I1897"/>
  <c r="H1952" a="1"/>
  <c r="H1952" s="1"/>
  <c r="H1953" a="1"/>
  <c r="H1953" s="1"/>
  <c r="H1954" a="1"/>
  <c r="H1954"/>
  <c r="H1955" a="1"/>
  <c r="H1955" s="1"/>
  <c r="H1956" a="1"/>
  <c r="H1956" s="1"/>
  <c r="H1900" a="1"/>
  <c r="H1900" s="1"/>
  <c r="H1957" a="1"/>
  <c r="H1957" s="1"/>
  <c r="H1958" a="1"/>
  <c r="H1958" s="1"/>
  <c r="H1959" a="1"/>
  <c r="H1959" s="1"/>
  <c r="H1942" a="1"/>
  <c r="H1942" s="1"/>
  <c r="H1930" a="1"/>
  <c r="H1930"/>
  <c r="H1960" a="1"/>
  <c r="H1960" s="1"/>
  <c r="H1961" a="1"/>
  <c r="H1961" s="1"/>
  <c r="H1962" a="1"/>
  <c r="H1962" s="1"/>
  <c r="H1934" a="1"/>
  <c r="H1934" s="1"/>
  <c r="H1906" a="1"/>
  <c r="H1906" s="1"/>
  <c r="H1963" a="1"/>
  <c r="H1963" s="1"/>
  <c r="H1964" a="1"/>
  <c r="H1964" s="1"/>
  <c r="H1901" a="1"/>
  <c r="H1901"/>
  <c r="H1943" a="1"/>
  <c r="H1943" s="1"/>
  <c r="H1965" a="1"/>
  <c r="H1965" s="1"/>
  <c r="H1944" a="1"/>
  <c r="H1944" s="1"/>
  <c r="H1924" a="1"/>
  <c r="H1924" s="1"/>
  <c r="H2000" a="1"/>
  <c r="H2000" s="1"/>
  <c r="H1935" a="1"/>
  <c r="H1935" s="1"/>
  <c r="H1966" a="1"/>
  <c r="H1966" s="1"/>
  <c r="H1919" a="1"/>
  <c r="H1919"/>
  <c r="H1967" a="1"/>
  <c r="H1967" s="1"/>
  <c r="H1931" a="1"/>
  <c r="H1931" s="1"/>
  <c r="H2001" a="1"/>
  <c r="H2001" s="1"/>
  <c r="H1968" a="1"/>
  <c r="H1968" s="1"/>
  <c r="H1969" a="1"/>
  <c r="H1969" s="1"/>
  <c r="H1925" a="1"/>
  <c r="H1925" s="1"/>
  <c r="H1936" a="1"/>
  <c r="H1936" s="1"/>
  <c r="H1920" a="1"/>
  <c r="H1920"/>
  <c r="H1907" a="1"/>
  <c r="H1907" s="1"/>
  <c r="H1970" a="1"/>
  <c r="H1970" s="1"/>
  <c r="H1937" a="1"/>
  <c r="H1937" s="1"/>
  <c r="H1971" a="1"/>
  <c r="H1971" s="1"/>
  <c r="H1972" a="1"/>
  <c r="H1972" s="1"/>
  <c r="H1926" a="1"/>
  <c r="H1926" s="1"/>
  <c r="H1973" a="1"/>
  <c r="H1973" s="1"/>
  <c r="H1898" a="1"/>
  <c r="H1898"/>
  <c r="H1916" a="1"/>
  <c r="H1916" s="1"/>
  <c r="H1938" a="1"/>
  <c r="H1938" s="1"/>
  <c r="H1927" a="1"/>
  <c r="H1927" s="1"/>
  <c r="H1928" a="1"/>
  <c r="H1928" s="1"/>
  <c r="H1921" a="1"/>
  <c r="H1921" s="1"/>
  <c r="H1939" a="1"/>
  <c r="H1939" s="1"/>
  <c r="H2002" a="1"/>
  <c r="H2002" s="1"/>
  <c r="H1940" a="1"/>
  <c r="H1940"/>
  <c r="H1974" a="1"/>
  <c r="H1974" s="1"/>
  <c r="H1975" a="1"/>
  <c r="H1975" s="1"/>
  <c r="H1976" a="1"/>
  <c r="H1976" s="1"/>
  <c r="H1977" a="1"/>
  <c r="H1977" s="1"/>
  <c r="H1978" a="1"/>
  <c r="H1978" s="1"/>
  <c r="H1917" a="1"/>
  <c r="H1917" s="1"/>
  <c r="H1979" a="1"/>
  <c r="H1979" s="1"/>
  <c r="H1912" a="1"/>
  <c r="H1912"/>
  <c r="H2003" a="1"/>
  <c r="H2003" s="1"/>
  <c r="H1980" a="1"/>
  <c r="H1980" s="1"/>
  <c r="H1981" a="1"/>
  <c r="H1981" s="1"/>
  <c r="H1982" a="1"/>
  <c r="H1982" s="1"/>
  <c r="H1945" a="1"/>
  <c r="H1945" s="1"/>
  <c r="H1983" a="1"/>
  <c r="H1983" s="1"/>
  <c r="H1903" a="1"/>
  <c r="H1903" s="1"/>
  <c r="H1908" a="1"/>
  <c r="H1908"/>
  <c r="H1984" a="1"/>
  <c r="H1984" s="1"/>
  <c r="H1918" a="1"/>
  <c r="H1918" s="1"/>
  <c r="H1985" a="1"/>
  <c r="H1985" s="1"/>
  <c r="H1902" a="1"/>
  <c r="H1902" s="1"/>
  <c r="H1946" a="1"/>
  <c r="H1946" s="1"/>
  <c r="H1986" a="1"/>
  <c r="H1986" s="1"/>
  <c r="H1987" a="1"/>
  <c r="H1987" s="1"/>
  <c r="H1910" a="1"/>
  <c r="H1910"/>
  <c r="H1922" a="1"/>
  <c r="H1922" s="1"/>
  <c r="H1913" a="1"/>
  <c r="H1913" s="1"/>
  <c r="H1941" a="1"/>
  <c r="H1941" s="1"/>
  <c r="H1988" a="1"/>
  <c r="H1988" s="1"/>
  <c r="H1989" a="1"/>
  <c r="H1989" s="1"/>
  <c r="H1923" a="1"/>
  <c r="H1923" s="1"/>
  <c r="H1915" a="1"/>
  <c r="H1915" s="1"/>
  <c r="H1911" a="1"/>
  <c r="H1911"/>
  <c r="H1990" a="1"/>
  <c r="H1990" s="1"/>
  <c r="H1909" a="1"/>
  <c r="H1909" s="1"/>
  <c r="H1991" a="1"/>
  <c r="H1991" s="1"/>
  <c r="H1992" a="1"/>
  <c r="H1992" s="1"/>
  <c r="H1993" a="1"/>
  <c r="H1993" s="1"/>
  <c r="H1904" a="1"/>
  <c r="H1904" s="1"/>
  <c r="H1914" a="1"/>
  <c r="H1914" s="1"/>
  <c r="H1929" a="1"/>
  <c r="H1929"/>
  <c r="H1947" a="1"/>
  <c r="H1947" s="1"/>
  <c r="H1932" a="1"/>
  <c r="H1932" s="1"/>
  <c r="H1948" a="1"/>
  <c r="H1948" s="1"/>
  <c r="H1994" a="1"/>
  <c r="H1994" s="1"/>
  <c r="H1949" a="1"/>
  <c r="H1949" s="1"/>
  <c r="H1905" a="1"/>
  <c r="H1905" s="1"/>
  <c r="H1995" a="1"/>
  <c r="H1995" s="1"/>
  <c r="H1899" a="1"/>
  <c r="H1899" s="1"/>
  <c r="H1933" a="1"/>
  <c r="H1933" s="1"/>
  <c r="H1996" a="1"/>
  <c r="H1996" s="1"/>
  <c r="H1897" a="1"/>
  <c r="H1897" s="1"/>
  <c r="H1997" a="1"/>
  <c r="H1997" s="1"/>
  <c r="H1998" a="1"/>
  <c r="H1998" s="1"/>
  <c r="H1950" a="1"/>
  <c r="H1950" s="1"/>
  <c r="H1999" a="1"/>
  <c r="H1999" s="1"/>
  <c r="H1951" a="1"/>
  <c r="H1951" s="1"/>
  <c r="D1905" a="1"/>
  <c r="D1905" s="1"/>
  <c r="D1906" a="1"/>
  <c r="D1906" s="1"/>
  <c r="D1898" a="1"/>
  <c r="D1898" s="1"/>
  <c r="D1899" a="1"/>
  <c r="D1899" s="1"/>
  <c r="D1900" a="1"/>
  <c r="D1900" s="1"/>
  <c r="D1901" a="1"/>
  <c r="D1901" s="1"/>
  <c r="D1902" a="1"/>
  <c r="D1902" s="1"/>
  <c r="D1903" a="1"/>
  <c r="D1903" s="1"/>
  <c r="D1904" a="1"/>
  <c r="D1904" s="1"/>
  <c r="D1897" a="1"/>
  <c r="D1897" s="1"/>
  <c r="E46" i="5"/>
  <c r="E45"/>
  <c r="E44"/>
  <c r="C15"/>
  <c r="C16"/>
  <c r="C17"/>
  <c r="C18"/>
  <c r="C19"/>
  <c r="C14"/>
  <c r="G6" i="6"/>
  <c r="G7"/>
  <c r="G8"/>
  <c r="G9"/>
  <c r="G10"/>
  <c r="G11"/>
  <c r="G12"/>
  <c r="F1834"/>
  <c r="G1834" s="1"/>
  <c r="F1572"/>
  <c r="G1572" s="1"/>
  <c r="F646"/>
  <c r="G646" s="1"/>
  <c r="F851"/>
  <c r="G851" s="1"/>
  <c r="F720"/>
  <c r="G720" s="1"/>
  <c r="F1021"/>
  <c r="G1021" s="1"/>
  <c r="F47"/>
  <c r="G47" s="1"/>
  <c r="F1646"/>
  <c r="G1646" s="1"/>
  <c r="F972"/>
  <c r="G972" s="1"/>
  <c r="F1307"/>
  <c r="G1307" s="1"/>
  <c r="F663"/>
  <c r="G663" s="1"/>
  <c r="F1614"/>
  <c r="G1614" s="1"/>
  <c r="F1158"/>
  <c r="G1158" s="1"/>
  <c r="F839"/>
  <c r="G839" s="1"/>
  <c r="F278"/>
  <c r="G278" s="1"/>
  <c r="F378"/>
  <c r="G378" s="1"/>
  <c r="F149"/>
  <c r="G149" s="1"/>
  <c r="F924"/>
  <c r="G924" s="1"/>
  <c r="F1327"/>
  <c r="G1327" s="1"/>
  <c r="F789"/>
  <c r="G789" s="1"/>
  <c r="F1622"/>
  <c r="G1622" s="1"/>
  <c r="F204"/>
  <c r="G204" s="1"/>
  <c r="F871"/>
  <c r="G871" s="1"/>
  <c r="F379"/>
  <c r="G379" s="1"/>
  <c r="F1049"/>
  <c r="G1049" s="1"/>
  <c r="F587"/>
  <c r="G587" s="1"/>
  <c r="F1151"/>
  <c r="G1151" s="1"/>
  <c r="F998"/>
  <c r="G998" s="1"/>
  <c r="F1280"/>
  <c r="G1280" s="1"/>
  <c r="F1030"/>
  <c r="G1030" s="1"/>
  <c r="F1532"/>
  <c r="G1532" s="1"/>
  <c r="F764"/>
  <c r="G764" s="1"/>
  <c r="F1477"/>
  <c r="G1477" s="1"/>
  <c r="F1370"/>
  <c r="G1370" s="1"/>
  <c r="F51"/>
  <c r="G51" s="1"/>
  <c r="F462"/>
  <c r="G462" s="1"/>
  <c r="F1249"/>
  <c r="G1249" s="1"/>
  <c r="F1485"/>
  <c r="G1485" s="1"/>
  <c r="F978"/>
  <c r="G978" s="1"/>
  <c r="F1593"/>
  <c r="G1593" s="1"/>
  <c r="F688"/>
  <c r="G688" s="1"/>
  <c r="F647"/>
  <c r="G647" s="1"/>
  <c r="F241"/>
  <c r="G241" s="1"/>
  <c r="F1109"/>
  <c r="G1109" s="1"/>
  <c r="F892"/>
  <c r="G892" s="1"/>
  <c r="F1647"/>
  <c r="G1647" s="1"/>
  <c r="F829"/>
  <c r="G829" s="1"/>
  <c r="F172"/>
  <c r="G172" s="1"/>
  <c r="F655"/>
  <c r="G655" s="1"/>
  <c r="F637"/>
  <c r="G637" s="1"/>
  <c r="F1324"/>
  <c r="G1324" s="1"/>
  <c r="F1865"/>
  <c r="G1865" s="1"/>
  <c r="F561"/>
  <c r="G561" s="1"/>
  <c r="F1792"/>
  <c r="G1792" s="1"/>
  <c r="F1322"/>
  <c r="G1322" s="1"/>
  <c r="F729"/>
  <c r="G729" s="1"/>
  <c r="F1102"/>
  <c r="G1102" s="1"/>
  <c r="F1031"/>
  <c r="G1031" s="1"/>
  <c r="F473"/>
  <c r="G473" s="1"/>
  <c r="F954"/>
  <c r="G954" s="1"/>
  <c r="F574"/>
  <c r="G574" s="1"/>
  <c r="F890"/>
  <c r="G890" s="1"/>
  <c r="F279"/>
  <c r="G279" s="1"/>
  <c r="F1020"/>
  <c r="G1020" s="1"/>
  <c r="F734"/>
  <c r="G734" s="1"/>
  <c r="F277"/>
  <c r="G277" s="1"/>
  <c r="F790"/>
  <c r="G790" s="1"/>
  <c r="F173"/>
  <c r="G173" s="1"/>
  <c r="F656"/>
  <c r="G656" s="1"/>
  <c r="F380"/>
  <c r="G380" s="1"/>
  <c r="F550"/>
  <c r="G550" s="1"/>
  <c r="F1187"/>
  <c r="G1187" s="1"/>
  <c r="F900"/>
  <c r="G900" s="1"/>
  <c r="F1573"/>
  <c r="G1573" s="1"/>
  <c r="F588"/>
  <c r="G588" s="1"/>
  <c r="F63"/>
  <c r="G63" s="1"/>
  <c r="F1510"/>
  <c r="G1510" s="1"/>
  <c r="F791"/>
  <c r="G791" s="1"/>
  <c r="F1332"/>
  <c r="G1332" s="1"/>
  <c r="F957"/>
  <c r="G957" s="1"/>
  <c r="F52"/>
  <c r="G52" s="1"/>
  <c r="F101"/>
  <c r="G101" s="1"/>
  <c r="F1371"/>
  <c r="G1371" s="1"/>
  <c r="F1221"/>
  <c r="G1221" s="1"/>
  <c r="F132"/>
  <c r="G132" s="1"/>
  <c r="F313"/>
  <c r="G313" s="1"/>
  <c r="F1050"/>
  <c r="G1050" s="1"/>
  <c r="F1189"/>
  <c r="G1189" s="1"/>
  <c r="F89"/>
  <c r="G89" s="1"/>
  <c r="F1136"/>
  <c r="G1136" s="1"/>
  <c r="F1809"/>
  <c r="G1809" s="1"/>
  <c r="F381"/>
  <c r="G381" s="1"/>
  <c r="F213"/>
  <c r="G213" s="1"/>
  <c r="F1354"/>
  <c r="G1354" s="1"/>
  <c r="F237"/>
  <c r="G237" s="1"/>
  <c r="F1051"/>
  <c r="G1051" s="1"/>
  <c r="F657"/>
  <c r="G657" s="1"/>
  <c r="F405"/>
  <c r="G405" s="1"/>
  <c r="F319"/>
  <c r="G319" s="1"/>
  <c r="F242"/>
  <c r="G242" s="1"/>
  <c r="F1441"/>
  <c r="G1441" s="1"/>
  <c r="F755"/>
  <c r="G755" s="1"/>
  <c r="F1478"/>
  <c r="G1478" s="1"/>
  <c r="F1137"/>
  <c r="G1137" s="1"/>
  <c r="F653"/>
  <c r="G653" s="1"/>
  <c r="F507"/>
  <c r="G507" s="1"/>
  <c r="F1096"/>
  <c r="G1096" s="1"/>
  <c r="F280"/>
  <c r="G280" s="1"/>
  <c r="F792"/>
  <c r="G792" s="1"/>
  <c r="F648"/>
  <c r="G648" s="1"/>
  <c r="F1108"/>
  <c r="G1108" s="1"/>
  <c r="F852"/>
  <c r="G852" s="1"/>
  <c r="F479"/>
  <c r="G479" s="1"/>
  <c r="F281"/>
  <c r="G281" s="1"/>
  <c r="F680"/>
  <c r="G680" s="1"/>
  <c r="F1355"/>
  <c r="G1355" s="1"/>
  <c r="F756"/>
  <c r="G756" s="1"/>
  <c r="F868"/>
  <c r="G868" s="1"/>
  <c r="F441"/>
  <c r="G441" s="1"/>
  <c r="F793"/>
  <c r="G793" s="1"/>
  <c r="F139"/>
  <c r="G139" s="1"/>
  <c r="F320"/>
  <c r="G320" s="1"/>
  <c r="F85"/>
  <c r="G85" s="1"/>
  <c r="F973"/>
  <c r="G973" s="1"/>
  <c r="F510"/>
  <c r="G510" s="1"/>
  <c r="F1138"/>
  <c r="G1138" s="1"/>
  <c r="F1648"/>
  <c r="G1648" s="1"/>
  <c r="F1024"/>
  <c r="G1024" s="1"/>
  <c r="F925"/>
  <c r="G925" s="1"/>
  <c r="F721"/>
  <c r="G721" s="1"/>
  <c r="F165"/>
  <c r="G165" s="1"/>
  <c r="F438"/>
  <c r="G438" s="1"/>
  <c r="F1110"/>
  <c r="G1110" s="1"/>
  <c r="F689"/>
  <c r="G689" s="1"/>
  <c r="F1087"/>
  <c r="G1087" s="1"/>
  <c r="F1052"/>
  <c r="G1052" s="1"/>
  <c r="F838"/>
  <c r="G838" s="1"/>
  <c r="F1561"/>
  <c r="G1561" s="1"/>
  <c r="F741"/>
  <c r="G741" s="1"/>
  <c r="F162"/>
  <c r="G162" s="1"/>
  <c r="F658"/>
  <c r="G658" s="1"/>
  <c r="F926"/>
  <c r="G926" s="1"/>
  <c r="F230"/>
  <c r="G230" s="1"/>
  <c r="F263"/>
  <c r="G263" s="1"/>
  <c r="F321"/>
  <c r="G321" s="1"/>
  <c r="F463"/>
  <c r="G463" s="1"/>
  <c r="F794"/>
  <c r="G794" s="1"/>
  <c r="F1161"/>
  <c r="G1161" s="1"/>
  <c r="F205"/>
  <c r="G205" s="1"/>
  <c r="F511"/>
  <c r="G511" s="1"/>
  <c r="F1120"/>
  <c r="G1120" s="1"/>
  <c r="F1566"/>
  <c r="G1566" s="1"/>
  <c r="F243"/>
  <c r="G243" s="1"/>
  <c r="F489"/>
  <c r="G489" s="1"/>
  <c r="F174"/>
  <c r="G174" s="1"/>
  <c r="F866"/>
  <c r="G866" s="1"/>
  <c r="F1468"/>
  <c r="G1468" s="1"/>
  <c r="F382"/>
  <c r="G382" s="1"/>
  <c r="F649"/>
  <c r="G649" s="1"/>
  <c r="F699"/>
  <c r="G699" s="1"/>
  <c r="F589"/>
  <c r="G589" s="1"/>
  <c r="F571"/>
  <c r="G571" s="1"/>
  <c r="F301"/>
  <c r="G301" s="1"/>
  <c r="F65"/>
  <c r="G65" s="1"/>
  <c r="F1404"/>
  <c r="G1404" s="1"/>
  <c r="F322"/>
  <c r="G322" s="1"/>
  <c r="F1372"/>
  <c r="G1372" s="1"/>
  <c r="F434"/>
  <c r="G434" s="1"/>
  <c r="F1761"/>
  <c r="G1761" s="1"/>
  <c r="F902"/>
  <c r="G902" s="1"/>
  <c r="F480"/>
  <c r="G480" s="1"/>
  <c r="F752"/>
  <c r="G752" s="1"/>
  <c r="F231"/>
  <c r="G231" s="1"/>
  <c r="F383"/>
  <c r="G383" s="1"/>
  <c r="F1762"/>
  <c r="G1762" s="1"/>
  <c r="F1315"/>
  <c r="G1315" s="1"/>
  <c r="F1053"/>
  <c r="G1053" s="1"/>
  <c r="F125"/>
  <c r="G125" s="1"/>
  <c r="F1025"/>
  <c r="G1025" s="1"/>
  <c r="F442"/>
  <c r="G442" s="1"/>
  <c r="F1042"/>
  <c r="G1042" s="1"/>
  <c r="F1054"/>
  <c r="G1054" s="1"/>
  <c r="F590"/>
  <c r="G590" s="1"/>
  <c r="F417"/>
  <c r="G417" s="1"/>
  <c r="F1621"/>
  <c r="G1621" s="1"/>
  <c r="F323"/>
  <c r="G323" s="1"/>
  <c r="F869"/>
  <c r="G869" s="1"/>
  <c r="F1308"/>
  <c r="G1308" s="1"/>
  <c r="F591"/>
  <c r="G591" s="1"/>
  <c r="F206"/>
  <c r="G206" s="1"/>
  <c r="F481"/>
  <c r="G481" s="1"/>
  <c r="F443"/>
  <c r="G443" s="1"/>
  <c r="F1693"/>
  <c r="G1693" s="1"/>
  <c r="F195"/>
  <c r="G195" s="1"/>
  <c r="F244"/>
  <c r="G244" s="1"/>
  <c r="F1634"/>
  <c r="G1634" s="1"/>
  <c r="F1750"/>
  <c r="G1750" s="1"/>
  <c r="F778"/>
  <c r="G778" s="1"/>
  <c r="F175"/>
  <c r="G175" s="1"/>
  <c r="F274"/>
  <c r="G274" s="1"/>
  <c r="F958"/>
  <c r="G958" s="1"/>
  <c r="F693"/>
  <c r="G693" s="1"/>
  <c r="F143"/>
  <c r="G143" s="1"/>
  <c r="F795"/>
  <c r="G795" s="1"/>
  <c r="F16"/>
  <c r="G16" s="1"/>
  <c r="F987"/>
  <c r="G987" s="1"/>
  <c r="F1318"/>
  <c r="G1318" s="1"/>
  <c r="F1032"/>
  <c r="G1032" s="1"/>
  <c r="F176"/>
  <c r="G176" s="1"/>
  <c r="F1010"/>
  <c r="G1010" s="1"/>
  <c r="F324"/>
  <c r="G324" s="1"/>
  <c r="F1022"/>
  <c r="G1022" s="1"/>
  <c r="F927"/>
  <c r="G927" s="1"/>
  <c r="F355"/>
  <c r="G355" s="1"/>
  <c r="F1373"/>
  <c r="G1373" s="1"/>
  <c r="F1544"/>
  <c r="G1544" s="1"/>
  <c r="F420"/>
  <c r="G420" s="1"/>
  <c r="F72"/>
  <c r="G72" s="1"/>
  <c r="F1405"/>
  <c r="G1405" s="1"/>
  <c r="F325"/>
  <c r="G325" s="1"/>
  <c r="F796"/>
  <c r="G796" s="1"/>
  <c r="F1152"/>
  <c r="G1152" s="1"/>
  <c r="F538"/>
  <c r="G538" s="1"/>
  <c r="F1733"/>
  <c r="G1733" s="1"/>
  <c r="F512"/>
  <c r="G512" s="1"/>
  <c r="F122"/>
  <c r="G122" s="1"/>
  <c r="F214"/>
  <c r="G214" s="1"/>
  <c r="F746"/>
  <c r="G746" s="1"/>
  <c r="F491"/>
  <c r="G491" s="1"/>
  <c r="F592"/>
  <c r="G592" s="1"/>
  <c r="F509"/>
  <c r="G509" s="1"/>
  <c r="F664"/>
  <c r="G664" s="1"/>
  <c r="F348"/>
  <c r="G348" s="1"/>
  <c r="F1627"/>
  <c r="G1627" s="1"/>
  <c r="F414"/>
  <c r="G414" s="1"/>
  <c r="F797"/>
  <c r="G797" s="1"/>
  <c r="F351"/>
  <c r="G351" s="1"/>
  <c r="F245"/>
  <c r="G245" s="1"/>
  <c r="F444"/>
  <c r="G444" s="1"/>
  <c r="F772"/>
  <c r="G772" s="1"/>
  <c r="F326"/>
  <c r="G326" s="1"/>
  <c r="F68"/>
  <c r="G68" s="1"/>
  <c r="F207"/>
  <c r="G207" s="1"/>
  <c r="F1451"/>
  <c r="G1451" s="1"/>
  <c r="F864"/>
  <c r="G864" s="1"/>
  <c r="F1342"/>
  <c r="G1342" s="1"/>
  <c r="F747"/>
  <c r="G747" s="1"/>
  <c r="F1055"/>
  <c r="G1055" s="1"/>
  <c r="F1228"/>
  <c r="G1228" s="1"/>
  <c r="F359"/>
  <c r="G359" s="1"/>
  <c r="F79"/>
  <c r="G79" s="1"/>
  <c r="F1419"/>
  <c r="G1419" s="1"/>
  <c r="F779"/>
  <c r="G779" s="1"/>
  <c r="F258"/>
  <c r="G258" s="1"/>
  <c r="F238"/>
  <c r="G238" s="1"/>
  <c r="F1026"/>
  <c r="G1026" s="1"/>
  <c r="F415"/>
  <c r="G415" s="1"/>
  <c r="F560"/>
  <c r="G560" s="1"/>
  <c r="F1313"/>
  <c r="G1313" s="1"/>
  <c r="F722"/>
  <c r="G722" s="1"/>
  <c r="F1631"/>
  <c r="G1631" s="1"/>
  <c r="F363"/>
  <c r="G363" s="1"/>
  <c r="F368"/>
  <c r="G368" s="1"/>
  <c r="F167"/>
  <c r="G167" s="1"/>
  <c r="F1790"/>
  <c r="G1790" s="1"/>
  <c r="F1056"/>
  <c r="G1056" s="1"/>
  <c r="F327"/>
  <c r="G327" s="1"/>
  <c r="F700"/>
  <c r="G700" s="1"/>
  <c r="F196"/>
  <c r="G196" s="1"/>
  <c r="F1508"/>
  <c r="G1508" s="1"/>
  <c r="F384"/>
  <c r="G384" s="1"/>
  <c r="F328"/>
  <c r="G328" s="1"/>
  <c r="F1452"/>
  <c r="G1452" s="1"/>
  <c r="F1057"/>
  <c r="G1057" s="1"/>
  <c r="F910"/>
  <c r="G910" s="1"/>
  <c r="F1615"/>
  <c r="G1615" s="1"/>
  <c r="F445"/>
  <c r="G445" s="1"/>
  <c r="F1139"/>
  <c r="G1139" s="1"/>
  <c r="F1574"/>
  <c r="G1574" s="1"/>
  <c r="F435"/>
  <c r="G435" s="1"/>
  <c r="F1474"/>
  <c r="G1474" s="1"/>
  <c r="F1424"/>
  <c r="G1424" s="1"/>
  <c r="F474"/>
  <c r="G474" s="1"/>
  <c r="F201"/>
  <c r="G201" s="1"/>
  <c r="F917"/>
  <c r="G917" s="1"/>
  <c r="F513"/>
  <c r="G513" s="1"/>
  <c r="F986"/>
  <c r="G986" s="1"/>
  <c r="F1429"/>
  <c r="G1429" s="1"/>
  <c r="F798"/>
  <c r="G798" s="1"/>
  <c r="F928"/>
  <c r="G928" s="1"/>
  <c r="F1763"/>
  <c r="G1763" s="1"/>
  <c r="F593"/>
  <c r="G593" s="1"/>
  <c r="F1229"/>
  <c r="G1229" s="1"/>
  <c r="F385"/>
  <c r="G385" s="1"/>
  <c r="F1557"/>
  <c r="G1557" s="1"/>
  <c r="F1140"/>
  <c r="G1140" s="1"/>
  <c r="F1190"/>
  <c r="G1190" s="1"/>
  <c r="F742"/>
  <c r="G742" s="1"/>
  <c r="F430"/>
  <c r="G430" s="1"/>
  <c r="F482"/>
  <c r="G482" s="1"/>
  <c r="F1649"/>
  <c r="G1649" s="1"/>
  <c r="F282"/>
  <c r="G282" s="1"/>
  <c r="F26"/>
  <c r="G26" s="1"/>
  <c r="F1058"/>
  <c r="G1058" s="1"/>
  <c r="F1267"/>
  <c r="G1267" s="1"/>
  <c r="F1033"/>
  <c r="G1033" s="1"/>
  <c r="F497"/>
  <c r="G497" s="1"/>
  <c r="F90"/>
  <c r="G90" s="1"/>
  <c r="F870"/>
  <c r="G870" s="1"/>
  <c r="F1563"/>
  <c r="G1563" s="1"/>
  <c r="F446"/>
  <c r="G446" s="1"/>
  <c r="F17"/>
  <c r="G17" s="1"/>
  <c r="F701"/>
  <c r="G701" s="1"/>
  <c r="F594"/>
  <c r="G594" s="1"/>
  <c r="F872"/>
  <c r="G872" s="1"/>
  <c r="F1059"/>
  <c r="G1059" s="1"/>
  <c r="F73"/>
  <c r="G73" s="1"/>
  <c r="F1859"/>
  <c r="G1859" s="1"/>
  <c r="F994"/>
  <c r="G994" s="1"/>
  <c r="F897"/>
  <c r="G897" s="1"/>
  <c r="F514"/>
  <c r="G514" s="1"/>
  <c r="F1473"/>
  <c r="G1473" s="1"/>
  <c r="F232"/>
  <c r="G232" s="1"/>
  <c r="F1425"/>
  <c r="G1425" s="1"/>
  <c r="F144"/>
  <c r="G144" s="1"/>
  <c r="F575"/>
  <c r="G575" s="1"/>
  <c r="F773"/>
  <c r="G773" s="1"/>
  <c r="F799"/>
  <c r="G799" s="1"/>
  <c r="F53"/>
  <c r="G53" s="1"/>
  <c r="F1486"/>
  <c r="G1486" s="1"/>
  <c r="F54"/>
  <c r="G54" s="1"/>
  <c r="F929"/>
  <c r="G929" s="1"/>
  <c r="F76"/>
  <c r="G76" s="1"/>
  <c r="F1533"/>
  <c r="G1533" s="1"/>
  <c r="F1275"/>
  <c r="G1275" s="1"/>
  <c r="F1636"/>
  <c r="G1636" s="1"/>
  <c r="F544"/>
  <c r="G544" s="1"/>
  <c r="F215"/>
  <c r="G215" s="1"/>
  <c r="F177"/>
  <c r="G177" s="1"/>
  <c r="F1875"/>
  <c r="G1875" s="1"/>
  <c r="F1682"/>
  <c r="G1682" s="1"/>
  <c r="F955"/>
  <c r="G955" s="1"/>
  <c r="F743"/>
  <c r="G743" s="1"/>
  <c r="F80"/>
  <c r="G80" s="1"/>
  <c r="F1527"/>
  <c r="G1527" s="1"/>
  <c r="F87"/>
  <c r="G87" s="1"/>
  <c r="F966"/>
  <c r="G966" s="1"/>
  <c r="F682"/>
  <c r="G682" s="1"/>
  <c r="F421"/>
  <c r="G421" s="1"/>
  <c r="F633"/>
  <c r="G633" s="1"/>
  <c r="F43"/>
  <c r="G43" s="1"/>
  <c r="F475"/>
  <c r="G475" s="1"/>
  <c r="F386"/>
  <c r="G386" s="1"/>
  <c r="F559"/>
  <c r="G559" s="1"/>
  <c r="F1343"/>
  <c r="G1343" s="1"/>
  <c r="F843"/>
  <c r="G843" s="1"/>
  <c r="F283"/>
  <c r="G283" s="1"/>
  <c r="F539"/>
  <c r="G539" s="1"/>
  <c r="F255"/>
  <c r="G255" s="1"/>
  <c r="F1162"/>
  <c r="G1162" s="1"/>
  <c r="F867"/>
  <c r="G867" s="1"/>
  <c r="F81"/>
  <c r="G81" s="1"/>
  <c r="F1511"/>
  <c r="G1511" s="1"/>
  <c r="F1406"/>
  <c r="G1406" s="1"/>
  <c r="F1018"/>
  <c r="G1018" s="1"/>
  <c r="F25"/>
  <c r="G25" s="1"/>
  <c r="F34"/>
  <c r="G34" s="1"/>
  <c r="F15"/>
  <c r="G15" s="1"/>
  <c r="F1374"/>
  <c r="G1374" s="1"/>
  <c r="F542"/>
  <c r="G542" s="1"/>
  <c r="F1472"/>
  <c r="G1472" s="1"/>
  <c r="F259"/>
  <c r="G259" s="1"/>
  <c r="F216"/>
  <c r="G216" s="1"/>
  <c r="F1334"/>
  <c r="G1334" s="1"/>
  <c r="F853"/>
  <c r="G853" s="1"/>
  <c r="F911"/>
  <c r="G911" s="1"/>
  <c r="F1575"/>
  <c r="G1575" s="1"/>
  <c r="F1273"/>
  <c r="G1273" s="1"/>
  <c r="F1027"/>
  <c r="G1027" s="1"/>
  <c r="F898"/>
  <c r="G898" s="1"/>
  <c r="F974"/>
  <c r="G974" s="1"/>
  <c r="F702"/>
  <c r="G702" s="1"/>
  <c r="F1650"/>
  <c r="G1650" s="1"/>
  <c r="F800"/>
  <c r="G800" s="1"/>
  <c r="F1153"/>
  <c r="G1153" s="1"/>
  <c r="F192"/>
  <c r="G192" s="1"/>
  <c r="F916"/>
  <c r="G916" s="1"/>
  <c r="F447"/>
  <c r="G447" s="1"/>
  <c r="F178"/>
  <c r="G178" s="1"/>
  <c r="F977"/>
  <c r="G977" s="1"/>
  <c r="F284"/>
  <c r="G284" s="1"/>
  <c r="F899"/>
  <c r="G899" s="1"/>
  <c r="F1060"/>
  <c r="G1060" s="1"/>
  <c r="F1250"/>
  <c r="G1250" s="1"/>
  <c r="F662"/>
  <c r="G662" s="1"/>
  <c r="F1178"/>
  <c r="G1178" s="1"/>
  <c r="F757"/>
  <c r="G757" s="1"/>
  <c r="F1596"/>
  <c r="G1596" s="1"/>
  <c r="F1487"/>
  <c r="G1487" s="1"/>
  <c r="F536"/>
  <c r="G536" s="1"/>
  <c r="F765"/>
  <c r="G765" s="1"/>
  <c r="F595"/>
  <c r="G595" s="1"/>
  <c r="F1479"/>
  <c r="G1479" s="1"/>
  <c r="F6"/>
  <c r="F683"/>
  <c r="G683" s="1"/>
  <c r="F758"/>
  <c r="G758" s="1"/>
  <c r="F763"/>
  <c r="G763" s="1"/>
  <c r="F1163"/>
  <c r="G1163" s="1"/>
  <c r="F684"/>
  <c r="G684" s="1"/>
  <c r="F117"/>
  <c r="G117" s="1"/>
  <c r="F199"/>
  <c r="G199" s="1"/>
  <c r="F1734"/>
  <c r="G1734" s="1"/>
  <c r="F422"/>
  <c r="G422" s="1"/>
  <c r="F246"/>
  <c r="G246" s="1"/>
  <c r="F1775"/>
  <c r="G1775" s="1"/>
  <c r="F1651"/>
  <c r="G1651" s="1"/>
  <c r="F22"/>
  <c r="G22" s="1"/>
  <c r="F358"/>
  <c r="G358" s="1"/>
  <c r="F1683"/>
  <c r="G1683" s="1"/>
  <c r="F1251"/>
  <c r="G1251" s="1"/>
  <c r="F1252"/>
  <c r="G1252" s="1"/>
  <c r="F1356"/>
  <c r="G1356" s="1"/>
  <c r="F596"/>
  <c r="G596" s="1"/>
  <c r="F367"/>
  <c r="G367" s="1"/>
  <c r="F210"/>
  <c r="G210" s="1"/>
  <c r="F1819"/>
  <c r="G1819" s="1"/>
  <c r="F247"/>
  <c r="G247" s="1"/>
  <c r="F1776"/>
  <c r="G1776" s="1"/>
  <c r="F387"/>
  <c r="G387" s="1"/>
  <c r="F423"/>
  <c r="G423" s="1"/>
  <c r="F515"/>
  <c r="G515" s="1"/>
  <c r="F102"/>
  <c r="G102" s="1"/>
  <c r="F36"/>
  <c r="G36" s="1"/>
  <c r="F1597"/>
  <c r="G1597" s="1"/>
  <c r="F753"/>
  <c r="G753" s="1"/>
  <c r="F329"/>
  <c r="G329" s="1"/>
  <c r="F67"/>
  <c r="G67" s="1"/>
  <c r="F270"/>
  <c r="G270" s="1"/>
  <c r="F780"/>
  <c r="G780" s="1"/>
  <c r="F1848"/>
  <c r="G1848" s="1"/>
  <c r="F406"/>
  <c r="G406" s="1"/>
  <c r="F260"/>
  <c r="G260" s="1"/>
  <c r="F801"/>
  <c r="G801" s="1"/>
  <c r="F1375"/>
  <c r="G1375" s="1"/>
  <c r="F356"/>
  <c r="G356" s="1"/>
  <c r="F999"/>
  <c r="G999" s="1"/>
  <c r="F1793"/>
  <c r="G1793" s="1"/>
  <c r="F597"/>
  <c r="G597" s="1"/>
  <c r="F1111"/>
  <c r="G1111" s="1"/>
  <c r="F330"/>
  <c r="G330" s="1"/>
  <c r="F681"/>
  <c r="G681" s="1"/>
  <c r="F1029"/>
  <c r="G1029" s="1"/>
  <c r="F91"/>
  <c r="G91" s="1"/>
  <c r="F759"/>
  <c r="G759" s="1"/>
  <c r="F930"/>
  <c r="G930" s="1"/>
  <c r="F1125"/>
  <c r="G1125" s="1"/>
  <c r="F598"/>
  <c r="G598" s="1"/>
  <c r="F690"/>
  <c r="G690" s="1"/>
  <c r="F1844"/>
  <c r="G1844" s="1"/>
  <c r="F469"/>
  <c r="G469" s="1"/>
  <c r="F1832"/>
  <c r="G1832" s="1"/>
  <c r="F55"/>
  <c r="G55" s="1"/>
  <c r="F802"/>
  <c r="G802" s="1"/>
  <c r="F448"/>
  <c r="G448" s="1"/>
  <c r="F1011"/>
  <c r="G1011" s="1"/>
  <c r="F1453"/>
  <c r="G1453" s="1"/>
  <c r="F1652"/>
  <c r="G1652" s="1"/>
  <c r="F13"/>
  <c r="G13" s="1"/>
  <c r="F1253"/>
  <c r="G1253" s="1"/>
  <c r="F1357"/>
  <c r="G1357" s="1"/>
  <c r="F233"/>
  <c r="G233" s="1"/>
  <c r="F760"/>
  <c r="G760" s="1"/>
  <c r="F45"/>
  <c r="G45" s="1"/>
  <c r="F133"/>
  <c r="G133" s="1"/>
  <c r="F40"/>
  <c r="G40" s="1"/>
  <c r="F269"/>
  <c r="G269" s="1"/>
  <c r="F803"/>
  <c r="G803" s="1"/>
  <c r="F516"/>
  <c r="G516" s="1"/>
  <c r="F1134"/>
  <c r="G1134" s="1"/>
  <c r="F703"/>
  <c r="G703" s="1"/>
  <c r="F1454"/>
  <c r="G1454" s="1"/>
  <c r="F1823"/>
  <c r="G1823" s="1"/>
  <c r="F19"/>
  <c r="G19" s="1"/>
  <c r="F1023"/>
  <c r="G1023" s="1"/>
  <c r="F1061"/>
  <c r="G1061" s="1"/>
  <c r="F145"/>
  <c r="G145" s="1"/>
  <c r="F1735"/>
  <c r="G1735" s="1"/>
  <c r="F302"/>
  <c r="G302" s="1"/>
  <c r="F845"/>
  <c r="G845" s="1"/>
  <c r="F1172"/>
  <c r="G1172" s="1"/>
  <c r="F719"/>
  <c r="G719" s="1"/>
  <c r="F1401"/>
  <c r="G1401" s="1"/>
  <c r="F272"/>
  <c r="G272" s="1"/>
  <c r="F364"/>
  <c r="G364" s="1"/>
  <c r="F179"/>
  <c r="G179" s="1"/>
  <c r="F687"/>
  <c r="G687" s="1"/>
  <c r="F1550"/>
  <c r="G1550" s="1"/>
  <c r="F1281"/>
  <c r="G1281" s="1"/>
  <c r="F1777"/>
  <c r="G1777" s="1"/>
  <c r="F1376"/>
  <c r="G1376" s="1"/>
  <c r="F1653"/>
  <c r="G1653" s="1"/>
  <c r="F517"/>
  <c r="G517" s="1"/>
  <c r="F1353"/>
  <c r="G1353" s="1"/>
  <c r="F121"/>
  <c r="G121" s="1"/>
  <c r="F369"/>
  <c r="G369" s="1"/>
  <c r="F56"/>
  <c r="G56" s="1"/>
  <c r="F723"/>
  <c r="G723" s="1"/>
  <c r="F659"/>
  <c r="G659" s="1"/>
  <c r="F576"/>
  <c r="G576" s="1"/>
  <c r="F449"/>
  <c r="G449" s="1"/>
  <c r="F1576"/>
  <c r="G1576" s="1"/>
  <c r="F461"/>
  <c r="G461" s="1"/>
  <c r="F419"/>
  <c r="G419" s="1"/>
  <c r="F180"/>
  <c r="G180" s="1"/>
  <c r="F163"/>
  <c r="G163" s="1"/>
  <c r="F1282"/>
  <c r="G1282" s="1"/>
  <c r="F31"/>
  <c r="G31" s="1"/>
  <c r="F718"/>
  <c r="G718" s="1"/>
  <c r="F731"/>
  <c r="G731" s="1"/>
  <c r="F306"/>
  <c r="G306" s="1"/>
  <c r="F217"/>
  <c r="G217" s="1"/>
  <c r="F30"/>
  <c r="G30" s="1"/>
  <c r="F424"/>
  <c r="G424" s="1"/>
  <c r="F1117"/>
  <c r="G1117" s="1"/>
  <c r="F103"/>
  <c r="G103" s="1"/>
  <c r="F218"/>
  <c r="G218" s="1"/>
  <c r="F804"/>
  <c r="G804" s="1"/>
  <c r="F147"/>
  <c r="G147" s="1"/>
  <c r="F805"/>
  <c r="G805" s="1"/>
  <c r="F912"/>
  <c r="G912" s="1"/>
  <c r="F1591"/>
  <c r="G1591" s="1"/>
  <c r="F735"/>
  <c r="G735" s="1"/>
  <c r="F1430"/>
  <c r="G1430" s="1"/>
  <c r="F988"/>
  <c r="G988" s="1"/>
  <c r="F1512"/>
  <c r="G1512" s="1"/>
  <c r="F704"/>
  <c r="G704" s="1"/>
  <c r="F1377"/>
  <c r="G1377" s="1"/>
  <c r="F931"/>
  <c r="G931" s="1"/>
  <c r="F806"/>
  <c r="G806" s="1"/>
  <c r="F331"/>
  <c r="G331" s="1"/>
  <c r="F483"/>
  <c r="G483" s="1"/>
  <c r="F126"/>
  <c r="G126" s="1"/>
  <c r="F104"/>
  <c r="G104" s="1"/>
  <c r="F1268"/>
  <c r="G1268" s="1"/>
  <c r="F848"/>
  <c r="G848" s="1"/>
  <c r="F599"/>
  <c r="G599" s="1"/>
  <c r="F1164"/>
  <c r="G1164" s="1"/>
  <c r="F694"/>
  <c r="G694" s="1"/>
  <c r="F724"/>
  <c r="G724" s="1"/>
  <c r="F1564"/>
  <c r="G1564" s="1"/>
  <c r="F1165"/>
  <c r="G1165" s="1"/>
  <c r="F39"/>
  <c r="G39" s="1"/>
  <c r="F1314"/>
  <c r="G1314" s="1"/>
  <c r="F69"/>
  <c r="G69" s="1"/>
  <c r="F584"/>
  <c r="G584" s="1"/>
  <c r="F932"/>
  <c r="G932" s="1"/>
  <c r="F219"/>
  <c r="G219" s="1"/>
  <c r="F200"/>
  <c r="G200" s="1"/>
  <c r="F849"/>
  <c r="G849" s="1"/>
  <c r="F1103"/>
  <c r="G1103" s="1"/>
  <c r="F248"/>
  <c r="G248" s="1"/>
  <c r="F1007"/>
  <c r="G1007" s="1"/>
  <c r="F1230"/>
  <c r="G1230" s="1"/>
  <c r="F1866"/>
  <c r="G1866" s="1"/>
  <c r="F1824"/>
  <c r="G1824" s="1"/>
  <c r="F1620"/>
  <c r="G1620" s="1"/>
  <c r="F249"/>
  <c r="G249" s="1"/>
  <c r="F57"/>
  <c r="G57" s="1"/>
  <c r="F310"/>
  <c r="G310" s="1"/>
  <c r="F933"/>
  <c r="G933" s="1"/>
  <c r="F807"/>
  <c r="G807" s="1"/>
  <c r="F18"/>
  <c r="G18" s="1"/>
  <c r="F535"/>
  <c r="G535" s="1"/>
  <c r="F118"/>
  <c r="G118" s="1"/>
  <c r="F450"/>
  <c r="G450" s="1"/>
  <c r="F490"/>
  <c r="G490" s="1"/>
  <c r="F388"/>
  <c r="G388" s="1"/>
  <c r="F1043"/>
  <c r="G1043" s="1"/>
  <c r="F518"/>
  <c r="G518" s="1"/>
  <c r="F105"/>
  <c r="G105" s="1"/>
  <c r="F1888"/>
  <c r="G1888" s="1"/>
  <c r="F1141"/>
  <c r="G1141" s="1"/>
  <c r="F695"/>
  <c r="G695" s="1"/>
  <c r="F146"/>
  <c r="G146" s="1"/>
  <c r="F389"/>
  <c r="G389" s="1"/>
  <c r="F1488"/>
  <c r="G1488" s="1"/>
  <c r="F808"/>
  <c r="G808" s="1"/>
  <c r="F934"/>
  <c r="G934" s="1"/>
  <c r="F935"/>
  <c r="G935" s="1"/>
  <c r="F250"/>
  <c r="G250" s="1"/>
  <c r="F1684"/>
  <c r="G1684" s="1"/>
  <c r="F809"/>
  <c r="G809" s="1"/>
  <c r="F519"/>
  <c r="G519" s="1"/>
  <c r="F451"/>
  <c r="G451" s="1"/>
  <c r="F46"/>
  <c r="G46" s="1"/>
  <c r="F551"/>
  <c r="G551" s="1"/>
  <c r="F1520"/>
  <c r="G1520" s="1"/>
  <c r="F1254"/>
  <c r="G1254" s="1"/>
  <c r="F1469"/>
  <c r="G1469" s="1"/>
  <c r="F577"/>
  <c r="G577" s="1"/>
  <c r="F1619"/>
  <c r="G1619" s="1"/>
  <c r="F1045"/>
  <c r="G1045" s="1"/>
  <c r="F275"/>
  <c r="G275" s="1"/>
  <c r="F332"/>
  <c r="G332" s="1"/>
  <c r="F1442"/>
  <c r="G1442" s="1"/>
  <c r="F33"/>
  <c r="G33" s="1"/>
  <c r="F1791"/>
  <c r="G1791" s="1"/>
  <c r="F1778"/>
  <c r="G1778" s="1"/>
  <c r="F736"/>
  <c r="G736" s="1"/>
  <c r="F810"/>
  <c r="G810" s="1"/>
  <c r="F1870"/>
  <c r="G1870" s="1"/>
  <c r="F552"/>
  <c r="G552" s="1"/>
  <c r="F220"/>
  <c r="G220" s="1"/>
  <c r="F1708"/>
  <c r="G1708" s="1"/>
  <c r="F1867"/>
  <c r="G1867" s="1"/>
  <c r="F1173"/>
  <c r="G1173" s="1"/>
  <c r="F1092"/>
  <c r="G1092" s="1"/>
  <c r="F600"/>
  <c r="G600" s="1"/>
  <c r="F153"/>
  <c r="G153" s="1"/>
  <c r="F92"/>
  <c r="G92" s="1"/>
  <c r="F844"/>
  <c r="G844" s="1"/>
  <c r="F1736"/>
  <c r="G1736" s="1"/>
  <c r="F333"/>
  <c r="G333" s="1"/>
  <c r="F1283"/>
  <c r="G1283" s="1"/>
  <c r="F1598"/>
  <c r="G1598" s="1"/>
  <c r="F37"/>
  <c r="G37" s="1"/>
  <c r="F29"/>
  <c r="G29" s="1"/>
  <c r="F985"/>
  <c r="G985" s="1"/>
  <c r="F744"/>
  <c r="G744" s="1"/>
  <c r="F1599"/>
  <c r="G1599" s="1"/>
  <c r="F1489"/>
  <c r="G1489" s="1"/>
  <c r="F1284"/>
  <c r="G1284" s="1"/>
  <c r="F1871"/>
  <c r="G1871" s="1"/>
  <c r="F1783"/>
  <c r="G1783" s="1"/>
  <c r="F1801"/>
  <c r="G1801" s="1"/>
  <c r="F1112"/>
  <c r="G1112" s="1"/>
  <c r="F1407"/>
  <c r="G1407" s="1"/>
  <c r="F1447"/>
  <c r="G1447" s="1"/>
  <c r="F1872"/>
  <c r="G1872" s="1"/>
  <c r="F1841"/>
  <c r="G1841" s="1"/>
  <c r="F14"/>
  <c r="G14" s="1"/>
  <c r="F1428"/>
  <c r="G1428" s="1"/>
  <c r="F1577"/>
  <c r="G1577" s="1"/>
  <c r="F1855"/>
  <c r="G1855" s="1"/>
  <c r="F951"/>
  <c r="G951" s="1"/>
  <c r="F1789"/>
  <c r="G1789" s="1"/>
  <c r="F1542"/>
  <c r="G1542" s="1"/>
  <c r="F1122"/>
  <c r="G1122" s="1"/>
  <c r="F1600"/>
  <c r="G1600" s="1"/>
  <c r="F1737"/>
  <c r="G1737" s="1"/>
  <c r="F1408"/>
  <c r="G1408" s="1"/>
  <c r="F1835"/>
  <c r="G1835" s="1"/>
  <c r="F1699"/>
  <c r="G1699" s="1"/>
  <c r="F1632"/>
  <c r="G1632" s="1"/>
  <c r="F1358"/>
  <c r="G1358" s="1"/>
  <c r="F1359"/>
  <c r="G1359" s="1"/>
  <c r="F1756"/>
  <c r="G1756" s="1"/>
  <c r="F1578"/>
  <c r="G1578" s="1"/>
  <c r="F679"/>
  <c r="G679" s="1"/>
  <c r="F1707"/>
  <c r="G1707" s="1"/>
  <c r="F1568"/>
  <c r="G1568" s="1"/>
  <c r="F157"/>
  <c r="G157" s="1"/>
  <c r="F1668"/>
  <c r="G1668" s="1"/>
  <c r="F1420"/>
  <c r="G1420" s="1"/>
  <c r="F1222"/>
  <c r="G1222" s="1"/>
  <c r="F553"/>
  <c r="G553" s="1"/>
  <c r="F1704"/>
  <c r="G1704" s="1"/>
  <c r="F761"/>
  <c r="G761" s="1"/>
  <c r="F1644"/>
  <c r="G1644" s="1"/>
  <c r="F1836"/>
  <c r="G1836" s="1"/>
  <c r="F1637"/>
  <c r="G1637" s="1"/>
  <c r="F1810"/>
  <c r="G1810" s="1"/>
  <c r="F716"/>
  <c r="G716" s="1"/>
  <c r="F1186"/>
  <c r="G1186" s="1"/>
  <c r="F811"/>
  <c r="G811" s="1"/>
  <c r="F1601"/>
  <c r="G1601" s="1"/>
  <c r="F1238"/>
  <c r="G1238" s="1"/>
  <c r="F1806"/>
  <c r="G1806" s="1"/>
  <c r="F1521"/>
  <c r="G1521" s="1"/>
  <c r="F1882"/>
  <c r="G1882" s="1"/>
  <c r="F1669"/>
  <c r="G1669" s="1"/>
  <c r="F1802"/>
  <c r="G1802" s="1"/>
  <c r="F1628"/>
  <c r="G1628" s="1"/>
  <c r="F1764"/>
  <c r="G1764" s="1"/>
  <c r="F1113"/>
  <c r="G1113" s="1"/>
  <c r="F1602"/>
  <c r="G1602" s="1"/>
  <c r="F1528"/>
  <c r="G1528" s="1"/>
  <c r="F1529"/>
  <c r="G1529" s="1"/>
  <c r="F1166"/>
  <c r="G1166" s="1"/>
  <c r="F1174"/>
  <c r="G1174" s="1"/>
  <c r="F1285"/>
  <c r="G1285" s="1"/>
  <c r="F1709"/>
  <c r="G1709" s="1"/>
  <c r="F1837"/>
  <c r="G1837" s="1"/>
  <c r="F1409"/>
  <c r="G1409" s="1"/>
  <c r="F1431"/>
  <c r="G1431" s="1"/>
  <c r="F1490"/>
  <c r="G1490" s="1"/>
  <c r="F140"/>
  <c r="G140" s="1"/>
  <c r="F1245"/>
  <c r="G1245" s="1"/>
  <c r="F1579"/>
  <c r="G1579" s="1"/>
  <c r="F1654"/>
  <c r="G1654" s="1"/>
  <c r="F1378"/>
  <c r="G1378" s="1"/>
  <c r="F1379"/>
  <c r="G1379" s="1"/>
  <c r="F1175"/>
  <c r="G1175" s="1"/>
  <c r="F1765"/>
  <c r="G1765" s="1"/>
  <c r="F1524"/>
  <c r="G1524" s="1"/>
  <c r="F776"/>
  <c r="G776" s="1"/>
  <c r="F1224"/>
  <c r="G1224" s="1"/>
  <c r="F1846"/>
  <c r="G1846" s="1"/>
  <c r="F1491"/>
  <c r="G1491" s="1"/>
  <c r="F82"/>
  <c r="G82" s="1"/>
  <c r="F1670"/>
  <c r="G1670" s="1"/>
  <c r="F1731"/>
  <c r="G1731" s="1"/>
  <c r="F1506"/>
  <c r="G1506" s="1"/>
  <c r="F1286"/>
  <c r="G1286" s="1"/>
  <c r="F1410"/>
  <c r="G1410" s="1"/>
  <c r="F1167"/>
  <c r="G1167" s="1"/>
  <c r="F873"/>
  <c r="G873" s="1"/>
  <c r="F1766"/>
  <c r="G1766" s="1"/>
  <c r="F601"/>
  <c r="G601" s="1"/>
  <c r="F1114"/>
  <c r="G1114" s="1"/>
  <c r="F1287"/>
  <c r="G1287" s="1"/>
  <c r="F1062"/>
  <c r="G1062" s="1"/>
  <c r="F1847"/>
  <c r="G1847" s="1"/>
  <c r="F1475"/>
  <c r="G1475" s="1"/>
  <c r="F7"/>
  <c r="F1288"/>
  <c r="G1288" s="1"/>
  <c r="F1856"/>
  <c r="G1856" s="1"/>
  <c r="F418"/>
  <c r="G418" s="1"/>
  <c r="F1580"/>
  <c r="G1580" s="1"/>
  <c r="F1710"/>
  <c r="G1710" s="1"/>
  <c r="F137"/>
  <c r="G137" s="1"/>
  <c r="F1212"/>
  <c r="G1212" s="1"/>
  <c r="F211"/>
  <c r="G211" s="1"/>
  <c r="F1558"/>
  <c r="G1558" s="1"/>
  <c r="F1825"/>
  <c r="G1825" s="1"/>
  <c r="F1534"/>
  <c r="G1534" s="1"/>
  <c r="F1142"/>
  <c r="G1142" s="1"/>
  <c r="F1455"/>
  <c r="G1455" s="1"/>
  <c r="F1685"/>
  <c r="G1685" s="1"/>
  <c r="F1160"/>
  <c r="G1160" s="1"/>
  <c r="F1694"/>
  <c r="G1694" s="1"/>
  <c r="F1784"/>
  <c r="G1784" s="1"/>
  <c r="F1702"/>
  <c r="G1702" s="1"/>
  <c r="F8"/>
  <c r="F1686"/>
  <c r="G1686" s="1"/>
  <c r="F1191"/>
  <c r="G1191" s="1"/>
  <c r="F1360"/>
  <c r="G1360" s="1"/>
  <c r="F1456"/>
  <c r="G1456" s="1"/>
  <c r="F562"/>
  <c r="G562" s="1"/>
  <c r="F1589"/>
  <c r="G1589" s="1"/>
  <c r="F1838"/>
  <c r="G1838" s="1"/>
  <c r="F1243"/>
  <c r="G1243" s="1"/>
  <c r="F1034"/>
  <c r="G1034" s="1"/>
  <c r="F630"/>
  <c r="G630" s="1"/>
  <c r="F665"/>
  <c r="G665" s="1"/>
  <c r="F1728"/>
  <c r="G1728" s="1"/>
  <c r="F1480"/>
  <c r="G1480" s="1"/>
  <c r="F1603"/>
  <c r="G1603" s="1"/>
  <c r="F854"/>
  <c r="G854" s="1"/>
  <c r="F1705"/>
  <c r="G1705" s="1"/>
  <c r="F1623"/>
  <c r="G1623" s="1"/>
  <c r="F936"/>
  <c r="G936" s="1"/>
  <c r="F585"/>
  <c r="G585" s="1"/>
  <c r="F1411"/>
  <c r="G1411" s="1"/>
  <c r="F1821"/>
  <c r="G1821" s="1"/>
  <c r="F1319"/>
  <c r="G1319" s="1"/>
  <c r="F1246"/>
  <c r="G1246" s="1"/>
  <c r="F1862"/>
  <c r="G1862" s="1"/>
  <c r="F1143"/>
  <c r="G1143" s="1"/>
  <c r="F152"/>
  <c r="G152" s="1"/>
  <c r="F1559"/>
  <c r="G1559" s="1"/>
  <c r="F1687"/>
  <c r="G1687" s="1"/>
  <c r="F1492"/>
  <c r="G1492" s="1"/>
  <c r="F1711"/>
  <c r="G1711" s="1"/>
  <c r="F751"/>
  <c r="G751" s="1"/>
  <c r="F520"/>
  <c r="G520" s="1"/>
  <c r="F1432"/>
  <c r="G1432" s="1"/>
  <c r="F349"/>
  <c r="G349" s="1"/>
  <c r="F1803"/>
  <c r="G1803" s="1"/>
  <c r="F208"/>
  <c r="G208" s="1"/>
  <c r="F713"/>
  <c r="G713" s="1"/>
  <c r="F1551"/>
  <c r="G1551" s="1"/>
  <c r="F1038"/>
  <c r="G1038" s="1"/>
  <c r="F1523"/>
  <c r="G1523" s="1"/>
  <c r="F995"/>
  <c r="G995" s="1"/>
  <c r="F846"/>
  <c r="G846" s="1"/>
  <c r="F1289"/>
  <c r="G1289" s="1"/>
  <c r="F1182"/>
  <c r="G1182" s="1"/>
  <c r="F62"/>
  <c r="G62" s="1"/>
  <c r="F1046"/>
  <c r="G1046" s="1"/>
  <c r="F285"/>
  <c r="G285" s="1"/>
  <c r="F1433"/>
  <c r="G1433" s="1"/>
  <c r="F855"/>
  <c r="G855" s="1"/>
  <c r="F1782"/>
  <c r="G1782" s="1"/>
  <c r="F1630"/>
  <c r="G1630" s="1"/>
  <c r="F602"/>
  <c r="G602" s="1"/>
  <c r="F1361"/>
  <c r="G1361" s="1"/>
  <c r="F1688"/>
  <c r="G1688" s="1"/>
  <c r="F1232"/>
  <c r="G1232" s="1"/>
  <c r="F221"/>
  <c r="G221" s="1"/>
  <c r="F1351"/>
  <c r="G1351" s="1"/>
  <c r="F1369"/>
  <c r="G1369" s="1"/>
  <c r="F1811"/>
  <c r="G1811" s="1"/>
  <c r="F311"/>
  <c r="G311" s="1"/>
  <c r="F1567"/>
  <c r="G1567" s="1"/>
  <c r="F74"/>
  <c r="G74" s="1"/>
  <c r="F1290"/>
  <c r="G1290" s="1"/>
  <c r="F390"/>
  <c r="G390" s="1"/>
  <c r="F1655"/>
  <c r="G1655" s="1"/>
  <c r="F316"/>
  <c r="G316" s="1"/>
  <c r="F1255"/>
  <c r="G1255" s="1"/>
  <c r="F1535"/>
  <c r="G1535" s="1"/>
  <c r="F181"/>
  <c r="G181" s="1"/>
  <c r="F907"/>
  <c r="G907" s="1"/>
  <c r="F1063"/>
  <c r="G1063" s="1"/>
  <c r="F1328"/>
  <c r="G1328" s="1"/>
  <c r="F1331"/>
  <c r="G1331" s="1"/>
  <c r="F1531"/>
  <c r="G1531" s="1"/>
  <c r="F1291"/>
  <c r="G1291" s="1"/>
  <c r="F1292"/>
  <c r="G1292" s="1"/>
  <c r="F874"/>
  <c r="G874" s="1"/>
  <c r="F1638"/>
  <c r="G1638" s="1"/>
  <c r="F1000"/>
  <c r="G1000" s="1"/>
  <c r="F286"/>
  <c r="G286" s="1"/>
  <c r="F1826"/>
  <c r="G1826" s="1"/>
  <c r="F1256"/>
  <c r="G1256" s="1"/>
  <c r="F64"/>
  <c r="G64" s="1"/>
  <c r="F666"/>
  <c r="G666" s="1"/>
  <c r="F1738"/>
  <c r="G1738" s="1"/>
  <c r="F1849"/>
  <c r="G1849" s="1"/>
  <c r="F1739"/>
  <c r="G1739" s="1"/>
  <c r="F1201"/>
  <c r="G1201" s="1"/>
  <c r="F875"/>
  <c r="G875" s="1"/>
  <c r="F1233"/>
  <c r="G1233" s="1"/>
  <c r="F350"/>
  <c r="G350" s="1"/>
  <c r="F229"/>
  <c r="G229" s="1"/>
  <c r="F1329"/>
  <c r="G1329" s="1"/>
  <c r="F1213"/>
  <c r="G1213" s="1"/>
  <c r="F705"/>
  <c r="G705" s="1"/>
  <c r="F1064"/>
  <c r="G1064" s="1"/>
  <c r="F1883"/>
  <c r="G1883" s="1"/>
  <c r="F983"/>
  <c r="G983" s="1"/>
  <c r="F1335"/>
  <c r="G1335" s="1"/>
  <c r="F1168"/>
  <c r="G1168" s="1"/>
  <c r="F1656"/>
  <c r="G1656" s="1"/>
  <c r="F1850"/>
  <c r="G1850" s="1"/>
  <c r="F1421"/>
  <c r="G1421" s="1"/>
  <c r="F521"/>
  <c r="G521" s="1"/>
  <c r="F1065"/>
  <c r="G1065" s="1"/>
  <c r="F197"/>
  <c r="G197" s="1"/>
  <c r="F812"/>
  <c r="G812" s="1"/>
  <c r="F77"/>
  <c r="G77" s="1"/>
  <c r="F93"/>
  <c r="G93" s="1"/>
  <c r="F1860"/>
  <c r="G1860" s="1"/>
  <c r="F119"/>
  <c r="G119" s="1"/>
  <c r="F452"/>
  <c r="G452" s="1"/>
  <c r="F603"/>
  <c r="G603" s="1"/>
  <c r="F267"/>
  <c r="G267" s="1"/>
  <c r="F1326"/>
  <c r="G1326" s="1"/>
  <c r="F1657"/>
  <c r="G1657" s="1"/>
  <c r="F1812"/>
  <c r="G1812" s="1"/>
  <c r="F563"/>
  <c r="G563" s="1"/>
  <c r="F1604"/>
  <c r="G1604" s="1"/>
  <c r="F967"/>
  <c r="G967" s="1"/>
  <c r="F1337"/>
  <c r="G1337" s="1"/>
  <c r="F1176"/>
  <c r="G1176" s="1"/>
  <c r="F1293"/>
  <c r="G1293" s="1"/>
  <c r="F1706"/>
  <c r="G1706" s="1"/>
  <c r="F94"/>
  <c r="G94" s="1"/>
  <c r="F989"/>
  <c r="G989" s="1"/>
  <c r="F1493"/>
  <c r="G1493" s="1"/>
  <c r="F1712"/>
  <c r="G1712" s="1"/>
  <c r="F1380"/>
  <c r="G1380" s="1"/>
  <c r="F1132"/>
  <c r="G1132" s="1"/>
  <c r="F182"/>
  <c r="G182" s="1"/>
  <c r="F1494"/>
  <c r="G1494" s="1"/>
  <c r="F141"/>
  <c r="G141" s="1"/>
  <c r="F667"/>
  <c r="G667" s="1"/>
  <c r="F1839"/>
  <c r="G1839" s="1"/>
  <c r="F1381"/>
  <c r="G1381" s="1"/>
  <c r="F876"/>
  <c r="G876" s="1"/>
  <c r="F1047"/>
  <c r="G1047" s="1"/>
  <c r="F1795"/>
  <c r="G1795" s="1"/>
  <c r="F1565"/>
  <c r="G1565" s="1"/>
  <c r="F1767"/>
  <c r="G1767" s="1"/>
  <c r="F1713"/>
  <c r="G1713" s="1"/>
  <c r="F377"/>
  <c r="G377" s="1"/>
  <c r="F1294"/>
  <c r="G1294" s="1"/>
  <c r="F1554"/>
  <c r="G1554" s="1"/>
  <c r="F112"/>
  <c r="G112" s="1"/>
  <c r="F604"/>
  <c r="G604" s="1"/>
  <c r="F572"/>
  <c r="G572" s="1"/>
  <c r="F1131"/>
  <c r="G1131" s="1"/>
  <c r="F828"/>
  <c r="G828" s="1"/>
  <c r="F1144"/>
  <c r="G1144" s="1"/>
  <c r="F1400"/>
  <c r="G1400" s="1"/>
  <c r="F212"/>
  <c r="G212" s="1"/>
  <c r="F1133"/>
  <c r="G1133" s="1"/>
  <c r="F225"/>
  <c r="G225" s="1"/>
  <c r="F1605"/>
  <c r="G1605" s="1"/>
  <c r="F1449"/>
  <c r="G1449" s="1"/>
  <c r="F1416"/>
  <c r="G1416" s="1"/>
  <c r="F631"/>
  <c r="G631" s="1"/>
  <c r="F1813"/>
  <c r="G1813" s="1"/>
  <c r="F1768"/>
  <c r="G1768" s="1"/>
  <c r="F1295"/>
  <c r="G1295" s="1"/>
  <c r="F58"/>
  <c r="G58" s="1"/>
  <c r="F1192"/>
  <c r="G1192" s="1"/>
  <c r="F1552"/>
  <c r="G1552" s="1"/>
  <c r="F158"/>
  <c r="G158" s="1"/>
  <c r="F1362"/>
  <c r="G1362" s="1"/>
  <c r="F408"/>
  <c r="G408" s="1"/>
  <c r="F1013"/>
  <c r="G1013" s="1"/>
  <c r="F1757"/>
  <c r="G1757" s="1"/>
  <c r="F605"/>
  <c r="G605" s="1"/>
  <c r="F877"/>
  <c r="G877" s="1"/>
  <c r="F1193"/>
  <c r="G1193" s="1"/>
  <c r="F1446"/>
  <c r="G1446" s="1"/>
  <c r="F1879"/>
  <c r="G1879" s="1"/>
  <c r="F1509"/>
  <c r="G1509" s="1"/>
  <c r="F1257"/>
  <c r="G1257" s="1"/>
  <c r="F1363"/>
  <c r="G1363" s="1"/>
  <c r="F460"/>
  <c r="G460" s="1"/>
  <c r="F453"/>
  <c r="G453" s="1"/>
  <c r="F1412"/>
  <c r="G1412" s="1"/>
  <c r="F1296"/>
  <c r="G1296" s="1"/>
  <c r="F1297"/>
  <c r="G1297" s="1"/>
  <c r="F1457"/>
  <c r="G1457" s="1"/>
  <c r="F908"/>
  <c r="G908" s="1"/>
  <c r="F1145"/>
  <c r="G1145" s="1"/>
  <c r="F660"/>
  <c r="G660" s="1"/>
  <c r="F78"/>
  <c r="G78" s="1"/>
  <c r="F304"/>
  <c r="G304" s="1"/>
  <c r="F830"/>
  <c r="G830" s="1"/>
  <c r="F9"/>
  <c r="F1785"/>
  <c r="G1785" s="1"/>
  <c r="F856"/>
  <c r="G856" s="1"/>
  <c r="F1066"/>
  <c r="G1066" s="1"/>
  <c r="F920"/>
  <c r="G920" s="1"/>
  <c r="F59"/>
  <c r="G59" s="1"/>
  <c r="F783"/>
  <c r="G783" s="1"/>
  <c r="F632"/>
  <c r="G632" s="1"/>
  <c r="F677"/>
  <c r="G677" s="1"/>
  <c r="F1581"/>
  <c r="G1581" s="1"/>
  <c r="F1039"/>
  <c r="G1039" s="1"/>
  <c r="F554"/>
  <c r="G554" s="1"/>
  <c r="F606"/>
  <c r="G606" s="1"/>
  <c r="F1321"/>
  <c r="G1321" s="1"/>
  <c r="F918"/>
  <c r="G918" s="1"/>
  <c r="F654"/>
  <c r="G654" s="1"/>
  <c r="F1159"/>
  <c r="G1159" s="1"/>
  <c r="F1458"/>
  <c r="G1458" s="1"/>
  <c r="F88"/>
  <c r="G88" s="1"/>
  <c r="F1219"/>
  <c r="G1219" s="1"/>
  <c r="F352"/>
  <c r="G352" s="1"/>
  <c r="F1040"/>
  <c r="G1040" s="1"/>
  <c r="F1094"/>
  <c r="G1094" s="1"/>
  <c r="F21"/>
  <c r="G21" s="1"/>
  <c r="F467"/>
  <c r="G467" s="1"/>
  <c r="F979"/>
  <c r="G979" s="1"/>
  <c r="F287"/>
  <c r="G287" s="1"/>
  <c r="F642"/>
  <c r="G642" s="1"/>
  <c r="F478"/>
  <c r="G478" s="1"/>
  <c r="F1146"/>
  <c r="G1146" s="1"/>
  <c r="F373"/>
  <c r="G373" s="1"/>
  <c r="F1209"/>
  <c r="G1209" s="1"/>
  <c r="F95"/>
  <c r="G95" s="1"/>
  <c r="F1481"/>
  <c r="G1481" s="1"/>
  <c r="F651"/>
  <c r="G651" s="1"/>
  <c r="F555"/>
  <c r="G555" s="1"/>
  <c r="F374"/>
  <c r="G374" s="1"/>
  <c r="F1312"/>
  <c r="G1312" s="1"/>
  <c r="F1658"/>
  <c r="G1658" s="1"/>
  <c r="F1729"/>
  <c r="G1729" s="1"/>
  <c r="F668"/>
  <c r="G668" s="1"/>
  <c r="F1382"/>
  <c r="G1382" s="1"/>
  <c r="F1352"/>
  <c r="G1352" s="1"/>
  <c r="F142"/>
  <c r="G142" s="1"/>
  <c r="F1333"/>
  <c r="G1333" s="1"/>
  <c r="F878"/>
  <c r="G878" s="1"/>
  <c r="F1769"/>
  <c r="G1769" s="1"/>
  <c r="F937"/>
  <c r="G937" s="1"/>
  <c r="F1194"/>
  <c r="G1194" s="1"/>
  <c r="F643"/>
  <c r="G643" s="1"/>
  <c r="F154"/>
  <c r="G154" s="1"/>
  <c r="F1234"/>
  <c r="G1234" s="1"/>
  <c r="F1513"/>
  <c r="G1513" s="1"/>
  <c r="F980"/>
  <c r="G980" s="1"/>
  <c r="F1545"/>
  <c r="G1545" s="1"/>
  <c r="F1877"/>
  <c r="G1877" s="1"/>
  <c r="F1242"/>
  <c r="G1242" s="1"/>
  <c r="F1582"/>
  <c r="G1582" s="1"/>
  <c r="F777"/>
  <c r="G777" s="1"/>
  <c r="F1530"/>
  <c r="G1530" s="1"/>
  <c r="F1459"/>
  <c r="G1459" s="1"/>
  <c r="F1796"/>
  <c r="G1796" s="1"/>
  <c r="F10"/>
  <c r="F1434"/>
  <c r="G1434" s="1"/>
  <c r="F1320"/>
  <c r="G1320" s="1"/>
  <c r="F522"/>
  <c r="G522" s="1"/>
  <c r="F1794"/>
  <c r="G1794" s="1"/>
  <c r="F1278"/>
  <c r="G1278" s="1"/>
  <c r="F1701"/>
  <c r="G1701" s="1"/>
  <c r="F1840"/>
  <c r="G1840" s="1"/>
  <c r="F938"/>
  <c r="G938" s="1"/>
  <c r="F1495"/>
  <c r="G1495" s="1"/>
  <c r="F1606"/>
  <c r="G1606" s="1"/>
  <c r="F1514"/>
  <c r="G1514" s="1"/>
  <c r="F1692"/>
  <c r="G1692" s="1"/>
  <c r="F1470"/>
  <c r="G1470" s="1"/>
  <c r="F1725"/>
  <c r="G1725" s="1"/>
  <c r="F1014"/>
  <c r="G1014" s="1"/>
  <c r="F1309"/>
  <c r="G1309" s="1"/>
  <c r="F1827"/>
  <c r="G1827" s="1"/>
  <c r="F1200"/>
  <c r="G1200" s="1"/>
  <c r="F879"/>
  <c r="G879" s="1"/>
  <c r="F1298"/>
  <c r="G1298" s="1"/>
  <c r="F607"/>
  <c r="G607" s="1"/>
  <c r="F1417"/>
  <c r="G1417" s="1"/>
  <c r="F1759"/>
  <c r="G1759" s="1"/>
  <c r="F1740"/>
  <c r="G1740" s="1"/>
  <c r="F1770"/>
  <c r="G1770" s="1"/>
  <c r="F1666"/>
  <c r="G1666" s="1"/>
  <c r="F1195"/>
  <c r="G1195" s="1"/>
  <c r="F1886"/>
  <c r="G1886" s="1"/>
  <c r="F706"/>
  <c r="G706" s="1"/>
  <c r="F1659"/>
  <c r="G1659" s="1"/>
  <c r="F862"/>
  <c r="G862" s="1"/>
  <c r="F669"/>
  <c r="G669" s="1"/>
  <c r="F1099"/>
  <c r="G1099" s="1"/>
  <c r="F1220"/>
  <c r="G1220" s="1"/>
  <c r="F1526"/>
  <c r="G1526" s="1"/>
  <c r="F1660"/>
  <c r="G1660" s="1"/>
  <c r="F1081"/>
  <c r="G1081" s="1"/>
  <c r="F1467"/>
  <c r="G1467" s="1"/>
  <c r="F1476"/>
  <c r="G1476" s="1"/>
  <c r="F1028"/>
  <c r="G1028" s="1"/>
  <c r="F1340"/>
  <c r="G1340" s="1"/>
  <c r="F1515"/>
  <c r="G1515" s="1"/>
  <c r="F1741"/>
  <c r="G1741" s="1"/>
  <c r="F1742"/>
  <c r="G1742" s="1"/>
  <c r="F1845"/>
  <c r="G1845" s="1"/>
  <c r="F670"/>
  <c r="G670" s="1"/>
  <c r="F1607"/>
  <c r="G1607" s="1"/>
  <c r="F813"/>
  <c r="G813" s="1"/>
  <c r="F371"/>
  <c r="G371" s="1"/>
  <c r="F1403"/>
  <c r="G1403" s="1"/>
  <c r="F1807"/>
  <c r="G1807" s="1"/>
  <c r="F1444"/>
  <c r="G1444" s="1"/>
  <c r="F409"/>
  <c r="G409" s="1"/>
  <c r="F1815"/>
  <c r="G1815" s="1"/>
  <c r="F1671"/>
  <c r="G1671" s="1"/>
  <c r="F959"/>
  <c r="G959" s="1"/>
  <c r="F1797"/>
  <c r="G1797" s="1"/>
  <c r="F110"/>
  <c r="G110" s="1"/>
  <c r="F1817"/>
  <c r="G1817" s="1"/>
  <c r="F1269"/>
  <c r="G1269" s="1"/>
  <c r="F671"/>
  <c r="G671" s="1"/>
  <c r="F113"/>
  <c r="G113" s="1"/>
  <c r="F228"/>
  <c r="G228" s="1"/>
  <c r="F312"/>
  <c r="G312" s="1"/>
  <c r="F814"/>
  <c r="G814" s="1"/>
  <c r="F1689"/>
  <c r="G1689" s="1"/>
  <c r="F1672"/>
  <c r="G1672" s="1"/>
  <c r="F1299"/>
  <c r="G1299" s="1"/>
  <c r="F629"/>
  <c r="G629" s="1"/>
  <c r="F1180"/>
  <c r="G1180" s="1"/>
  <c r="F1788"/>
  <c r="G1788" s="1"/>
  <c r="F1383"/>
  <c r="G1383" s="1"/>
  <c r="F968"/>
  <c r="G968" s="1"/>
  <c r="F960"/>
  <c r="G960" s="1"/>
  <c r="F440"/>
  <c r="G440" s="1"/>
  <c r="F1690"/>
  <c r="G1690" s="1"/>
  <c r="F1041"/>
  <c r="G1041" s="1"/>
  <c r="F961"/>
  <c r="G961" s="1"/>
  <c r="F273"/>
  <c r="G273" s="1"/>
  <c r="F116"/>
  <c r="G116" s="1"/>
  <c r="F531"/>
  <c r="G531" s="1"/>
  <c r="F1878"/>
  <c r="G1878" s="1"/>
  <c r="F638"/>
  <c r="G638" s="1"/>
  <c r="F549"/>
  <c r="G549" s="1"/>
  <c r="F969"/>
  <c r="G969" s="1"/>
  <c r="F672"/>
  <c r="G672" s="1"/>
  <c r="F766"/>
  <c r="G766" s="1"/>
  <c r="F1771"/>
  <c r="G1771" s="1"/>
  <c r="F1300"/>
  <c r="G1300" s="1"/>
  <c r="F1608"/>
  <c r="G1608" s="1"/>
  <c r="F129"/>
  <c r="G129" s="1"/>
  <c r="F1543"/>
  <c r="G1543" s="1"/>
  <c r="F492"/>
  <c r="G492" s="1"/>
  <c r="F1126"/>
  <c r="G1126" s="1"/>
  <c r="F1484"/>
  <c r="G1484" s="1"/>
  <c r="F1012"/>
  <c r="G1012" s="1"/>
  <c r="F608"/>
  <c r="G608" s="1"/>
  <c r="F488"/>
  <c r="G488" s="1"/>
  <c r="F1667"/>
  <c r="G1667" s="1"/>
  <c r="F1681"/>
  <c r="G1681" s="1"/>
  <c r="F1726"/>
  <c r="G1726" s="1"/>
  <c r="F501"/>
  <c r="G501" s="1"/>
  <c r="F1397"/>
  <c r="G1397" s="1"/>
  <c r="F1482"/>
  <c r="G1482" s="1"/>
  <c r="F696"/>
  <c r="G696" s="1"/>
  <c r="F1001"/>
  <c r="G1001" s="1"/>
  <c r="F1496"/>
  <c r="G1496" s="1"/>
  <c r="F1800"/>
  <c r="G1800" s="1"/>
  <c r="F1422"/>
  <c r="G1422" s="1"/>
  <c r="F831"/>
  <c r="G831" s="1"/>
  <c r="F123"/>
  <c r="G123" s="1"/>
  <c r="F1749"/>
  <c r="G1749" s="1"/>
  <c r="F131"/>
  <c r="G131" s="1"/>
  <c r="F251"/>
  <c r="G251" s="1"/>
  <c r="F1497"/>
  <c r="G1497" s="1"/>
  <c r="F1714"/>
  <c r="G1714" s="1"/>
  <c r="F996"/>
  <c r="G996" s="1"/>
  <c r="F1743"/>
  <c r="G1743" s="1"/>
  <c r="F1202"/>
  <c r="G1202" s="1"/>
  <c r="F609"/>
  <c r="G609" s="1"/>
  <c r="F1067"/>
  <c r="G1067" s="1"/>
  <c r="F1044"/>
  <c r="G1044" s="1"/>
  <c r="F193"/>
  <c r="G193" s="1"/>
  <c r="F1181"/>
  <c r="G1181" s="1"/>
  <c r="F962"/>
  <c r="G962" s="1"/>
  <c r="F361"/>
  <c r="G361" s="1"/>
  <c r="F1828"/>
  <c r="G1828" s="1"/>
  <c r="F1169"/>
  <c r="G1169" s="1"/>
  <c r="F767"/>
  <c r="G767" s="1"/>
  <c r="F1868"/>
  <c r="G1868" s="1"/>
  <c r="F1624"/>
  <c r="G1624" s="1"/>
  <c r="F692"/>
  <c r="G692" s="1"/>
  <c r="F1185"/>
  <c r="G1185" s="1"/>
  <c r="F583"/>
  <c r="G583" s="1"/>
  <c r="F464"/>
  <c r="G464" s="1"/>
  <c r="F1829"/>
  <c r="G1829" s="1"/>
  <c r="F1384"/>
  <c r="G1384" s="1"/>
  <c r="F1258"/>
  <c r="G1258" s="1"/>
  <c r="F1760"/>
  <c r="G1760" s="1"/>
  <c r="F309"/>
  <c r="G309" s="1"/>
  <c r="F1339"/>
  <c r="G1339" s="1"/>
  <c r="F774"/>
  <c r="G774" s="1"/>
  <c r="F391"/>
  <c r="G391" s="1"/>
  <c r="F634"/>
  <c r="G634" s="1"/>
  <c r="F815"/>
  <c r="G815" s="1"/>
  <c r="F114"/>
  <c r="G114" s="1"/>
  <c r="F1350"/>
  <c r="G1350" s="1"/>
  <c r="F1385"/>
  <c r="G1385" s="1"/>
  <c r="F1758"/>
  <c r="G1758" s="1"/>
  <c r="F893"/>
  <c r="G893" s="1"/>
  <c r="F540"/>
  <c r="G540" s="1"/>
  <c r="F1019"/>
  <c r="G1019" s="1"/>
  <c r="F1744"/>
  <c r="G1744" s="1"/>
  <c r="F1435"/>
  <c r="G1435" s="1"/>
  <c r="F1310"/>
  <c r="G1310" s="1"/>
  <c r="F901"/>
  <c r="G901" s="1"/>
  <c r="F894"/>
  <c r="G894" s="1"/>
  <c r="F1311"/>
  <c r="G1311" s="1"/>
  <c r="F1546"/>
  <c r="G1546" s="1"/>
  <c r="F816"/>
  <c r="G816" s="1"/>
  <c r="F857"/>
  <c r="G857" s="1"/>
  <c r="F1364"/>
  <c r="G1364" s="1"/>
  <c r="F392"/>
  <c r="G392" s="1"/>
  <c r="F1009"/>
  <c r="G1009" s="1"/>
  <c r="F836"/>
  <c r="G836" s="1"/>
  <c r="F610"/>
  <c r="G610" s="1"/>
  <c r="F1317"/>
  <c r="G1317" s="1"/>
  <c r="F1798"/>
  <c r="G1798" s="1"/>
  <c r="F685"/>
  <c r="G685" s="1"/>
  <c r="F1336"/>
  <c r="G1336" s="1"/>
  <c r="F11"/>
  <c r="F240"/>
  <c r="G240" s="1"/>
  <c r="F264"/>
  <c r="G264" s="1"/>
  <c r="F334"/>
  <c r="G334" s="1"/>
  <c r="F1483"/>
  <c r="G1483" s="1"/>
  <c r="F1553"/>
  <c r="G1553" s="1"/>
  <c r="F1413"/>
  <c r="G1413" s="1"/>
  <c r="F754"/>
  <c r="G754" s="1"/>
  <c r="F578"/>
  <c r="G578" s="1"/>
  <c r="F786"/>
  <c r="G786" s="1"/>
  <c r="F787"/>
  <c r="G787" s="1"/>
  <c r="F1673"/>
  <c r="G1673" s="1"/>
  <c r="F1423"/>
  <c r="G1423" s="1"/>
  <c r="F1402"/>
  <c r="G1402" s="1"/>
  <c r="F1002"/>
  <c r="G1002" s="1"/>
  <c r="F611"/>
  <c r="G611" s="1"/>
  <c r="F1857"/>
  <c r="G1857" s="1"/>
  <c r="F500"/>
  <c r="G500" s="1"/>
  <c r="F1386"/>
  <c r="G1386" s="1"/>
  <c r="F612"/>
  <c r="G612" s="1"/>
  <c r="F100"/>
  <c r="G100" s="1"/>
  <c r="F1154"/>
  <c r="G1154" s="1"/>
  <c r="F407"/>
  <c r="G407" s="1"/>
  <c r="F209"/>
  <c r="G209" s="1"/>
  <c r="F1068"/>
  <c r="G1068" s="1"/>
  <c r="F1863"/>
  <c r="G1863" s="1"/>
  <c r="F252"/>
  <c r="G252" s="1"/>
  <c r="F1436"/>
  <c r="G1436" s="1"/>
  <c r="F880"/>
  <c r="G880" s="1"/>
  <c r="F1196"/>
  <c r="G1196" s="1"/>
  <c r="F335"/>
  <c r="G335" s="1"/>
  <c r="F183"/>
  <c r="G183" s="1"/>
  <c r="F837"/>
  <c r="G837" s="1"/>
  <c r="F1752"/>
  <c r="G1752" s="1"/>
  <c r="F1609"/>
  <c r="G1609" s="1"/>
  <c r="F1069"/>
  <c r="G1069" s="1"/>
  <c r="F1100"/>
  <c r="G1100" s="1"/>
  <c r="F997"/>
  <c r="G997" s="1"/>
  <c r="F1498"/>
  <c r="G1498" s="1"/>
  <c r="F184"/>
  <c r="G184" s="1"/>
  <c r="F470"/>
  <c r="G470" s="1"/>
  <c r="F226"/>
  <c r="G226" s="1"/>
  <c r="F1097"/>
  <c r="G1097" s="1"/>
  <c r="F1203"/>
  <c r="G1203" s="1"/>
  <c r="F130"/>
  <c r="G130" s="1"/>
  <c r="F1127"/>
  <c r="G1127" s="1"/>
  <c r="F354"/>
  <c r="G354" s="1"/>
  <c r="F963"/>
  <c r="G963" s="1"/>
  <c r="F686"/>
  <c r="G686" s="1"/>
  <c r="F1814"/>
  <c r="G1814" s="1"/>
  <c r="F788"/>
  <c r="G788" s="1"/>
  <c r="F865"/>
  <c r="G865" s="1"/>
  <c r="F288"/>
  <c r="G288" s="1"/>
  <c r="F425"/>
  <c r="G425" s="1"/>
  <c r="F707"/>
  <c r="G707" s="1"/>
  <c r="F541"/>
  <c r="G541" s="1"/>
  <c r="F1107"/>
  <c r="G1107" s="1"/>
  <c r="F781"/>
  <c r="G781" s="1"/>
  <c r="F545"/>
  <c r="G545" s="1"/>
  <c r="F784"/>
  <c r="G784" s="1"/>
  <c r="F782"/>
  <c r="G782" s="1"/>
  <c r="F1270"/>
  <c r="G1270" s="1"/>
  <c r="F454"/>
  <c r="G454" s="1"/>
  <c r="F775"/>
  <c r="G775" s="1"/>
  <c r="F12"/>
  <c r="F1507"/>
  <c r="G1507" s="1"/>
  <c r="F106"/>
  <c r="G106" s="1"/>
  <c r="F678"/>
  <c r="G678" s="1"/>
  <c r="F468"/>
  <c r="G468" s="1"/>
  <c r="F1070"/>
  <c r="G1070" s="1"/>
  <c r="F150"/>
  <c r="G150" s="1"/>
  <c r="F307"/>
  <c r="G307" s="1"/>
  <c r="F556"/>
  <c r="G556" s="1"/>
  <c r="F990"/>
  <c r="G990" s="1"/>
  <c r="F465"/>
  <c r="G465" s="1"/>
  <c r="F1259"/>
  <c r="G1259" s="1"/>
  <c r="F1248"/>
  <c r="G1248" s="1"/>
  <c r="F455"/>
  <c r="G455" s="1"/>
  <c r="F939"/>
  <c r="G939" s="1"/>
  <c r="F1170"/>
  <c r="G1170" s="1"/>
  <c r="F1387"/>
  <c r="G1387" s="1"/>
  <c r="F919"/>
  <c r="G919" s="1"/>
  <c r="F1680"/>
  <c r="G1680" s="1"/>
  <c r="F1536"/>
  <c r="G1536" s="1"/>
  <c r="F817"/>
  <c r="G817" s="1"/>
  <c r="F289"/>
  <c r="G289" s="1"/>
  <c r="F881"/>
  <c r="G881" s="1"/>
  <c r="F1003"/>
  <c r="G1003" s="1"/>
  <c r="F35"/>
  <c r="G35" s="1"/>
  <c r="F725"/>
  <c r="G725" s="1"/>
  <c r="F1516"/>
  <c r="G1516" s="1"/>
  <c r="F1610"/>
  <c r="G1610" s="1"/>
  <c r="F1499"/>
  <c r="G1499" s="1"/>
  <c r="F1583"/>
  <c r="G1583" s="1"/>
  <c r="F1616"/>
  <c r="G1616" s="1"/>
  <c r="F1786"/>
  <c r="G1786" s="1"/>
  <c r="F1643"/>
  <c r="G1643" s="1"/>
  <c r="F70"/>
  <c r="G70" s="1"/>
  <c r="F1661"/>
  <c r="G1661" s="1"/>
  <c r="F1204"/>
  <c r="G1204" s="1"/>
  <c r="F1301"/>
  <c r="G1301" s="1"/>
  <c r="F1547"/>
  <c r="G1547" s="1"/>
  <c r="F940"/>
  <c r="G940" s="1"/>
  <c r="F336"/>
  <c r="G336" s="1"/>
  <c r="F436"/>
  <c r="G436" s="1"/>
  <c r="F185"/>
  <c r="G185" s="1"/>
  <c r="F1006"/>
  <c r="G1006" s="1"/>
  <c r="F1237"/>
  <c r="G1237" s="1"/>
  <c r="F1316"/>
  <c r="G1316" s="1"/>
  <c r="F1388"/>
  <c r="G1388" s="1"/>
  <c r="F1147"/>
  <c r="G1147" s="1"/>
  <c r="F1727"/>
  <c r="G1727" s="1"/>
  <c r="F733"/>
  <c r="G733" s="1"/>
  <c r="F1745"/>
  <c r="G1745" s="1"/>
  <c r="F1537"/>
  <c r="G1537" s="1"/>
  <c r="F1218"/>
  <c r="G1218" s="1"/>
  <c r="F1625"/>
  <c r="G1625" s="1"/>
  <c r="F1884"/>
  <c r="G1884" s="1"/>
  <c r="F673"/>
  <c r="G673" s="1"/>
  <c r="F1302"/>
  <c r="G1302" s="1"/>
  <c r="F50"/>
  <c r="G50" s="1"/>
  <c r="F891"/>
  <c r="G891" s="1"/>
  <c r="F1325"/>
  <c r="G1325" s="1"/>
  <c r="F1590"/>
  <c r="G1590" s="1"/>
  <c r="F308"/>
  <c r="G308" s="1"/>
  <c r="F1715"/>
  <c r="G1715" s="1"/>
  <c r="F1753"/>
  <c r="G1753" s="1"/>
  <c r="F1754"/>
  <c r="G1754" s="1"/>
  <c r="F1223"/>
  <c r="G1223" s="1"/>
  <c r="F1730"/>
  <c r="G1730" s="1"/>
  <c r="F305"/>
  <c r="G305" s="1"/>
  <c r="F493"/>
  <c r="G493" s="1"/>
  <c r="F923"/>
  <c r="G923" s="1"/>
  <c r="F1635"/>
  <c r="G1635" s="1"/>
  <c r="F850"/>
  <c r="G850" s="1"/>
  <c r="F1365"/>
  <c r="G1365" s="1"/>
  <c r="F613"/>
  <c r="G613" s="1"/>
  <c r="F1611"/>
  <c r="G1611" s="1"/>
  <c r="F1389"/>
  <c r="G1389" s="1"/>
  <c r="F1101"/>
  <c r="G1101" s="1"/>
  <c r="F1303"/>
  <c r="G1303" s="1"/>
  <c r="F674"/>
  <c r="G674" s="1"/>
  <c r="F1517"/>
  <c r="G1517" s="1"/>
  <c r="F1035"/>
  <c r="G1035" s="1"/>
  <c r="F372"/>
  <c r="G372" s="1"/>
  <c r="F834"/>
  <c r="G834" s="1"/>
  <c r="F1820"/>
  <c r="G1820" s="1"/>
  <c r="F166"/>
  <c r="G166" s="1"/>
  <c r="F964"/>
  <c r="G964" s="1"/>
  <c r="F1843"/>
  <c r="G1843" s="1"/>
  <c r="F1106"/>
  <c r="G1106" s="1"/>
  <c r="F337"/>
  <c r="G337" s="1"/>
  <c r="F1724"/>
  <c r="G1724" s="1"/>
  <c r="F227"/>
  <c r="G227" s="1"/>
  <c r="F96"/>
  <c r="G96" s="1"/>
  <c r="F557"/>
  <c r="G557" s="1"/>
  <c r="F159"/>
  <c r="G159" s="1"/>
  <c r="F970"/>
  <c r="G970" s="1"/>
  <c r="F393"/>
  <c r="G393" s="1"/>
  <c r="F1674"/>
  <c r="G1674" s="1"/>
  <c r="F134"/>
  <c r="G134" s="1"/>
  <c r="F1082"/>
  <c r="G1082" s="1"/>
  <c r="F1437"/>
  <c r="G1437" s="1"/>
  <c r="F97"/>
  <c r="G97" s="1"/>
  <c r="F614"/>
  <c r="G614" s="1"/>
  <c r="F161"/>
  <c r="G161" s="1"/>
  <c r="F832"/>
  <c r="G832" s="1"/>
  <c r="F1098"/>
  <c r="G1098" s="1"/>
  <c r="F652"/>
  <c r="G652" s="1"/>
  <c r="F471"/>
  <c r="G471" s="1"/>
  <c r="F338"/>
  <c r="G338" s="1"/>
  <c r="F494"/>
  <c r="G494" s="1"/>
  <c r="F1206"/>
  <c r="G1206" s="1"/>
  <c r="F186"/>
  <c r="G186" s="1"/>
  <c r="F615"/>
  <c r="G615" s="1"/>
  <c r="F222"/>
  <c r="G222" s="1"/>
  <c r="F1366"/>
  <c r="G1366" s="1"/>
  <c r="F818"/>
  <c r="G818" s="1"/>
  <c r="F168"/>
  <c r="G168" s="1"/>
  <c r="F1148"/>
  <c r="G1148" s="1"/>
  <c r="F290"/>
  <c r="G290" s="1"/>
  <c r="F187"/>
  <c r="G187" s="1"/>
  <c r="F303"/>
  <c r="G303" s="1"/>
  <c r="F291"/>
  <c r="G291" s="1"/>
  <c r="F107"/>
  <c r="G107" s="1"/>
  <c r="F459"/>
  <c r="G459" s="1"/>
  <c r="F202"/>
  <c r="G202" s="1"/>
  <c r="F261"/>
  <c r="G261" s="1"/>
  <c r="F1093"/>
  <c r="G1093" s="1"/>
  <c r="F1675"/>
  <c r="G1675" s="1"/>
  <c r="F564"/>
  <c r="G564" s="1"/>
  <c r="F975"/>
  <c r="G975" s="1"/>
  <c r="F60"/>
  <c r="G60" s="1"/>
  <c r="F32"/>
  <c r="G32" s="1"/>
  <c r="F413"/>
  <c r="G413" s="1"/>
  <c r="F360"/>
  <c r="G360" s="1"/>
  <c r="F582"/>
  <c r="G582" s="1"/>
  <c r="F75"/>
  <c r="G75" s="1"/>
  <c r="F1460"/>
  <c r="G1460" s="1"/>
  <c r="F223"/>
  <c r="G223" s="1"/>
  <c r="F83"/>
  <c r="G83" s="1"/>
  <c r="F523"/>
  <c r="G523" s="1"/>
  <c r="F339"/>
  <c r="G339" s="1"/>
  <c r="F1123"/>
  <c r="G1123" s="1"/>
  <c r="F1071"/>
  <c r="G1071" s="1"/>
  <c r="F840"/>
  <c r="G840" s="1"/>
  <c r="F524"/>
  <c r="G524" s="1"/>
  <c r="F708"/>
  <c r="G708" s="1"/>
  <c r="F1072"/>
  <c r="G1072" s="1"/>
  <c r="F616"/>
  <c r="G616" s="1"/>
  <c r="F1086"/>
  <c r="G1086" s="1"/>
  <c r="F61"/>
  <c r="G61" s="1"/>
  <c r="F265"/>
  <c r="G265" s="1"/>
  <c r="F532"/>
  <c r="G532" s="1"/>
  <c r="F472"/>
  <c r="G472" s="1"/>
  <c r="F819"/>
  <c r="G819" s="1"/>
  <c r="F108"/>
  <c r="G108" s="1"/>
  <c r="F151"/>
  <c r="G151" s="1"/>
  <c r="F1073"/>
  <c r="G1073" s="1"/>
  <c r="F314"/>
  <c r="G314" s="1"/>
  <c r="F941"/>
  <c r="G941" s="1"/>
  <c r="F841"/>
  <c r="G841" s="1"/>
  <c r="F1155"/>
  <c r="G1155" s="1"/>
  <c r="F426"/>
  <c r="G426" s="1"/>
  <c r="F820"/>
  <c r="G820" s="1"/>
  <c r="F650"/>
  <c r="G650" s="1"/>
  <c r="F318"/>
  <c r="G318" s="1"/>
  <c r="F394"/>
  <c r="G394" s="1"/>
  <c r="F579"/>
  <c r="G579" s="1"/>
  <c r="F365"/>
  <c r="G365" s="1"/>
  <c r="F234"/>
  <c r="G234" s="1"/>
  <c r="F427"/>
  <c r="G427" s="1"/>
  <c r="F1617"/>
  <c r="G1617" s="1"/>
  <c r="F127"/>
  <c r="G127" s="1"/>
  <c r="F340"/>
  <c r="G340" s="1"/>
  <c r="F49"/>
  <c r="G49" s="1"/>
  <c r="F1344"/>
  <c r="G1344" s="1"/>
  <c r="F1367"/>
  <c r="G1367" s="1"/>
  <c r="F580"/>
  <c r="G580" s="1"/>
  <c r="F1171"/>
  <c r="G1171" s="1"/>
  <c r="F981"/>
  <c r="G981" s="1"/>
  <c r="F203"/>
  <c r="G203" s="1"/>
  <c r="F395"/>
  <c r="G395" s="1"/>
  <c r="F169"/>
  <c r="G169" s="1"/>
  <c r="F1239"/>
  <c r="G1239" s="1"/>
  <c r="F1864"/>
  <c r="G1864" s="1"/>
  <c r="F1612"/>
  <c r="G1612" s="1"/>
  <c r="F484"/>
  <c r="G484" s="1"/>
  <c r="F1414"/>
  <c r="G1414" s="1"/>
  <c r="F1004"/>
  <c r="G1004" s="1"/>
  <c r="F1304"/>
  <c r="G1304" s="1"/>
  <c r="F1260"/>
  <c r="G1260" s="1"/>
  <c r="F1390"/>
  <c r="G1390" s="1"/>
  <c r="F1461"/>
  <c r="G1461" s="1"/>
  <c r="F730"/>
  <c r="G730" s="1"/>
  <c r="F882"/>
  <c r="G882" s="1"/>
  <c r="F1036"/>
  <c r="G1036" s="1"/>
  <c r="F617"/>
  <c r="G617" s="1"/>
  <c r="F982"/>
  <c r="G982" s="1"/>
  <c r="F1247"/>
  <c r="G1247" s="1"/>
  <c r="F1569"/>
  <c r="G1569" s="1"/>
  <c r="F1500"/>
  <c r="G1500" s="1"/>
  <c r="F1676"/>
  <c r="G1676" s="1"/>
  <c r="F1538"/>
  <c r="G1538" s="1"/>
  <c r="F717"/>
  <c r="G717" s="1"/>
  <c r="F1274"/>
  <c r="G1274" s="1"/>
  <c r="F883"/>
  <c r="G883" s="1"/>
  <c r="F1746"/>
  <c r="G1746" s="1"/>
  <c r="F1341"/>
  <c r="G1341" s="1"/>
  <c r="F1448"/>
  <c r="G1448" s="1"/>
  <c r="F1128"/>
  <c r="G1128" s="1"/>
  <c r="F84"/>
  <c r="G84" s="1"/>
  <c r="F1700"/>
  <c r="G1700" s="1"/>
  <c r="F353"/>
  <c r="G353" s="1"/>
  <c r="F714"/>
  <c r="G714" s="1"/>
  <c r="F1641"/>
  <c r="G1641" s="1"/>
  <c r="F1177"/>
  <c r="G1177" s="1"/>
  <c r="F1873"/>
  <c r="G1873" s="1"/>
  <c r="F1015"/>
  <c r="G1015" s="1"/>
  <c r="F1881"/>
  <c r="G1881" s="1"/>
  <c r="F618"/>
  <c r="G618" s="1"/>
  <c r="F292"/>
  <c r="G292" s="1"/>
  <c r="F138"/>
  <c r="G138" s="1"/>
  <c r="F502"/>
  <c r="G502" s="1"/>
  <c r="F366"/>
  <c r="G366" s="1"/>
  <c r="F1345"/>
  <c r="G1345" s="1"/>
  <c r="F534"/>
  <c r="G534" s="1"/>
  <c r="F27"/>
  <c r="G27" s="1"/>
  <c r="F370"/>
  <c r="G370" s="1"/>
  <c r="F1592"/>
  <c r="G1592" s="1"/>
  <c r="F164"/>
  <c r="G164" s="1"/>
  <c r="F821"/>
  <c r="G821" s="1"/>
  <c r="F1799"/>
  <c r="G1799" s="1"/>
  <c r="F909"/>
  <c r="G909" s="1"/>
  <c r="F942"/>
  <c r="G942" s="1"/>
  <c r="F1851"/>
  <c r="G1851" s="1"/>
  <c r="F903"/>
  <c r="G903" s="1"/>
  <c r="F1584"/>
  <c r="G1584" s="1"/>
  <c r="F1124"/>
  <c r="G1124" s="1"/>
  <c r="F581"/>
  <c r="G581" s="1"/>
  <c r="F508"/>
  <c r="G508" s="1"/>
  <c r="F1629"/>
  <c r="G1629" s="1"/>
  <c r="F709"/>
  <c r="G709" s="1"/>
  <c r="F1214"/>
  <c r="G1214" s="1"/>
  <c r="F1518"/>
  <c r="G1518" s="1"/>
  <c r="F1235"/>
  <c r="G1235" s="1"/>
  <c r="F697"/>
  <c r="G697" s="1"/>
  <c r="F38"/>
  <c r="G38" s="1"/>
  <c r="F1716"/>
  <c r="G1716" s="1"/>
  <c r="F404"/>
  <c r="G404" s="1"/>
  <c r="F437"/>
  <c r="G437" s="1"/>
  <c r="F1338"/>
  <c r="G1338" s="1"/>
  <c r="F224"/>
  <c r="G224" s="1"/>
  <c r="F533"/>
  <c r="G533" s="1"/>
  <c r="F23"/>
  <c r="G23" s="1"/>
  <c r="F256"/>
  <c r="G256" s="1"/>
  <c r="F396"/>
  <c r="G396" s="1"/>
  <c r="F943"/>
  <c r="G943" s="1"/>
  <c r="F86"/>
  <c r="G86" s="1"/>
  <c r="F44"/>
  <c r="G44" s="1"/>
  <c r="F1732"/>
  <c r="G1732" s="1"/>
  <c r="F565"/>
  <c r="G565" s="1"/>
  <c r="F1426"/>
  <c r="G1426" s="1"/>
  <c r="F944"/>
  <c r="G944" s="1"/>
  <c r="F66"/>
  <c r="G66" s="1"/>
  <c r="F257"/>
  <c r="G257" s="1"/>
  <c r="F1104"/>
  <c r="G1104" s="1"/>
  <c r="F1088"/>
  <c r="G1088" s="1"/>
  <c r="F1391"/>
  <c r="G1391" s="1"/>
  <c r="F1717"/>
  <c r="G1717" s="1"/>
  <c r="F160"/>
  <c r="G160" s="1"/>
  <c r="F1662"/>
  <c r="G1662" s="1"/>
  <c r="F1747"/>
  <c r="G1747" s="1"/>
  <c r="F737"/>
  <c r="G737" s="1"/>
  <c r="F1787"/>
  <c r="G1787" s="1"/>
  <c r="F1522"/>
  <c r="G1522" s="1"/>
  <c r="F953"/>
  <c r="G953" s="1"/>
  <c r="F503"/>
  <c r="G503" s="1"/>
  <c r="F170"/>
  <c r="G170" s="1"/>
  <c r="F433"/>
  <c r="G433" s="1"/>
  <c r="F1261"/>
  <c r="G1261" s="1"/>
  <c r="F1179"/>
  <c r="G1179" s="1"/>
  <c r="F1772"/>
  <c r="G1772" s="1"/>
  <c r="F945"/>
  <c r="G945" s="1"/>
  <c r="F1349"/>
  <c r="G1349" s="1"/>
  <c r="F965"/>
  <c r="G965" s="1"/>
  <c r="F884"/>
  <c r="G884" s="1"/>
  <c r="F768"/>
  <c r="G768" s="1"/>
  <c r="F586"/>
  <c r="G586" s="1"/>
  <c r="F439"/>
  <c r="G439" s="1"/>
  <c r="F504"/>
  <c r="G504" s="1"/>
  <c r="F135"/>
  <c r="G135" s="1"/>
  <c r="F1594"/>
  <c r="G1594" s="1"/>
  <c r="F98"/>
  <c r="G98" s="1"/>
  <c r="F644"/>
  <c r="G644" s="1"/>
  <c r="F635"/>
  <c r="G635" s="1"/>
  <c r="F431"/>
  <c r="G431" s="1"/>
  <c r="F1129"/>
  <c r="G1129" s="1"/>
  <c r="F362"/>
  <c r="G362" s="1"/>
  <c r="F253"/>
  <c r="G253" s="1"/>
  <c r="F1197"/>
  <c r="G1197" s="1"/>
  <c r="F1074"/>
  <c r="G1074" s="1"/>
  <c r="F1262"/>
  <c r="G1262" s="1"/>
  <c r="F906"/>
  <c r="G906" s="1"/>
  <c r="F1585"/>
  <c r="G1585" s="1"/>
  <c r="F1225"/>
  <c r="G1225" s="1"/>
  <c r="F1392"/>
  <c r="G1392" s="1"/>
  <c r="F1562"/>
  <c r="G1562" s="1"/>
  <c r="F1048"/>
  <c r="G1048" s="1"/>
  <c r="F1037"/>
  <c r="G1037" s="1"/>
  <c r="F1695"/>
  <c r="G1695" s="1"/>
  <c r="F769"/>
  <c r="G769" s="1"/>
  <c r="F1703"/>
  <c r="G1703" s="1"/>
  <c r="F1525"/>
  <c r="G1525" s="1"/>
  <c r="F1418"/>
  <c r="G1418" s="1"/>
  <c r="F822"/>
  <c r="G822" s="1"/>
  <c r="F543"/>
  <c r="G543" s="1"/>
  <c r="F293"/>
  <c r="G293" s="1"/>
  <c r="F558"/>
  <c r="G558" s="1"/>
  <c r="F20"/>
  <c r="G20" s="1"/>
  <c r="F738"/>
  <c r="G738" s="1"/>
  <c r="F375"/>
  <c r="G375" s="1"/>
  <c r="F1539"/>
  <c r="G1539" s="1"/>
  <c r="F976"/>
  <c r="G976" s="1"/>
  <c r="F1677"/>
  <c r="G1677" s="1"/>
  <c r="F1861"/>
  <c r="G1861" s="1"/>
  <c r="F317"/>
  <c r="G317" s="1"/>
  <c r="F762"/>
  <c r="G762" s="1"/>
  <c r="F397"/>
  <c r="G397" s="1"/>
  <c r="F885"/>
  <c r="G885" s="1"/>
  <c r="F41"/>
  <c r="G41" s="1"/>
  <c r="F1236"/>
  <c r="G1236" s="1"/>
  <c r="F1398"/>
  <c r="G1398" s="1"/>
  <c r="F115"/>
  <c r="G115" s="1"/>
  <c r="F1830"/>
  <c r="G1830" s="1"/>
  <c r="F1718"/>
  <c r="G1718" s="1"/>
  <c r="F823"/>
  <c r="G823" s="1"/>
  <c r="F1719"/>
  <c r="G1719" s="1"/>
  <c r="F824"/>
  <c r="G824" s="1"/>
  <c r="F1462"/>
  <c r="G1462" s="1"/>
  <c r="F1271"/>
  <c r="G1271" s="1"/>
  <c r="F698"/>
  <c r="G698" s="1"/>
  <c r="F1241"/>
  <c r="G1241" s="1"/>
  <c r="F710"/>
  <c r="G710" s="1"/>
  <c r="F1105"/>
  <c r="G1105" s="1"/>
  <c r="F276"/>
  <c r="G276" s="1"/>
  <c r="F1157"/>
  <c r="G1157" s="1"/>
  <c r="F566"/>
  <c r="G566" s="1"/>
  <c r="F1215"/>
  <c r="G1215" s="1"/>
  <c r="F619"/>
  <c r="G619" s="1"/>
  <c r="F1207"/>
  <c r="G1207" s="1"/>
  <c r="F1016"/>
  <c r="G1016" s="1"/>
  <c r="F476"/>
  <c r="G476" s="1"/>
  <c r="F294"/>
  <c r="G294" s="1"/>
  <c r="F1639"/>
  <c r="G1639" s="1"/>
  <c r="F1586"/>
  <c r="G1586" s="1"/>
  <c r="F825"/>
  <c r="G825" s="1"/>
  <c r="F1808"/>
  <c r="G1808" s="1"/>
  <c r="F71"/>
  <c r="G71" s="1"/>
  <c r="F1501"/>
  <c r="G1501" s="1"/>
  <c r="F715"/>
  <c r="G715" s="1"/>
  <c r="F1211"/>
  <c r="G1211" s="1"/>
  <c r="F711"/>
  <c r="G711" s="1"/>
  <c r="F620"/>
  <c r="G620" s="1"/>
  <c r="F1570"/>
  <c r="G1570" s="1"/>
  <c r="F1560"/>
  <c r="G1560" s="1"/>
  <c r="F262"/>
  <c r="G262" s="1"/>
  <c r="F1149"/>
  <c r="G1149" s="1"/>
  <c r="F42"/>
  <c r="G42" s="1"/>
  <c r="F155"/>
  <c r="G155" s="1"/>
  <c r="F771"/>
  <c r="G771" s="1"/>
  <c r="F921"/>
  <c r="G921" s="1"/>
  <c r="F1822"/>
  <c r="G1822" s="1"/>
  <c r="F886"/>
  <c r="G886" s="1"/>
  <c r="F726"/>
  <c r="G726" s="1"/>
  <c r="F188"/>
  <c r="G188" s="1"/>
  <c r="F1089"/>
  <c r="G1089" s="1"/>
  <c r="F1869"/>
  <c r="G1869" s="1"/>
  <c r="F1587"/>
  <c r="G1587" s="1"/>
  <c r="F887"/>
  <c r="G887" s="1"/>
  <c r="F1663"/>
  <c r="G1663" s="1"/>
  <c r="F1833"/>
  <c r="G1833" s="1"/>
  <c r="F271"/>
  <c r="G271" s="1"/>
  <c r="F1556"/>
  <c r="G1556" s="1"/>
  <c r="F1880"/>
  <c r="G1880" s="1"/>
  <c r="F1720"/>
  <c r="G1720" s="1"/>
  <c r="F456"/>
  <c r="G456" s="1"/>
  <c r="F48"/>
  <c r="G48" s="1"/>
  <c r="F24"/>
  <c r="G24" s="1"/>
  <c r="F1721"/>
  <c r="G1721" s="1"/>
  <c r="F1613"/>
  <c r="G1613" s="1"/>
  <c r="F745"/>
  <c r="G745" s="1"/>
  <c r="F1691"/>
  <c r="G1691" s="1"/>
  <c r="F1393"/>
  <c r="G1393" s="1"/>
  <c r="F569"/>
  <c r="G569" s="1"/>
  <c r="F1571"/>
  <c r="G1571" s="1"/>
  <c r="F1210"/>
  <c r="G1210" s="1"/>
  <c r="F1226"/>
  <c r="G1226" s="1"/>
  <c r="F956"/>
  <c r="G956" s="1"/>
  <c r="F1640"/>
  <c r="G1640" s="1"/>
  <c r="F235"/>
  <c r="G235" s="1"/>
  <c r="F295"/>
  <c r="G295" s="1"/>
  <c r="F1696"/>
  <c r="G1696" s="1"/>
  <c r="F1205"/>
  <c r="G1205" s="1"/>
  <c r="F842"/>
  <c r="G842" s="1"/>
  <c r="F636"/>
  <c r="G636" s="1"/>
  <c r="F712"/>
  <c r="G712" s="1"/>
  <c r="F398"/>
  <c r="G398" s="1"/>
  <c r="F984"/>
  <c r="G984" s="1"/>
  <c r="F1240"/>
  <c r="G1240" s="1"/>
  <c r="F341"/>
  <c r="G341" s="1"/>
  <c r="F1664"/>
  <c r="G1664" s="1"/>
  <c r="F847"/>
  <c r="G847" s="1"/>
  <c r="F639"/>
  <c r="G639" s="1"/>
  <c r="F1751"/>
  <c r="G1751" s="1"/>
  <c r="F499"/>
  <c r="G499" s="1"/>
  <c r="F993"/>
  <c r="G993" s="1"/>
  <c r="F1438"/>
  <c r="G1438" s="1"/>
  <c r="F1748"/>
  <c r="G1748" s="1"/>
  <c r="F567"/>
  <c r="G567" s="1"/>
  <c r="F1399"/>
  <c r="G1399" s="1"/>
  <c r="F495"/>
  <c r="G495" s="1"/>
  <c r="F1135"/>
  <c r="G1135" s="1"/>
  <c r="F254"/>
  <c r="G254" s="1"/>
  <c r="F1121"/>
  <c r="G1121" s="1"/>
  <c r="F296"/>
  <c r="G296" s="1"/>
  <c r="F410"/>
  <c r="G410" s="1"/>
  <c r="F525"/>
  <c r="G525" s="1"/>
  <c r="F399"/>
  <c r="G399" s="1"/>
  <c r="F236"/>
  <c r="G236" s="1"/>
  <c r="F971"/>
  <c r="G971" s="1"/>
  <c r="F750"/>
  <c r="G750" s="1"/>
  <c r="F946"/>
  <c r="G946" s="1"/>
  <c r="F1502"/>
  <c r="G1502" s="1"/>
  <c r="F992"/>
  <c r="G992" s="1"/>
  <c r="F947"/>
  <c r="G947" s="1"/>
  <c r="F621"/>
  <c r="G621" s="1"/>
  <c r="F526"/>
  <c r="G526" s="1"/>
  <c r="F416"/>
  <c r="G416" s="1"/>
  <c r="F727"/>
  <c r="G727" s="1"/>
  <c r="F315"/>
  <c r="G315" s="1"/>
  <c r="F1722"/>
  <c r="G1722" s="1"/>
  <c r="F1017"/>
  <c r="G1017" s="1"/>
  <c r="F785"/>
  <c r="G785" s="1"/>
  <c r="F1279"/>
  <c r="G1279" s="1"/>
  <c r="F1394"/>
  <c r="G1394" s="1"/>
  <c r="F1305"/>
  <c r="G1305" s="1"/>
  <c r="F1779"/>
  <c r="G1779" s="1"/>
  <c r="F1330"/>
  <c r="G1330" s="1"/>
  <c r="F1595"/>
  <c r="G1595" s="1"/>
  <c r="F1804"/>
  <c r="G1804" s="1"/>
  <c r="F1427"/>
  <c r="G1427" s="1"/>
  <c r="F189"/>
  <c r="G189" s="1"/>
  <c r="F640"/>
  <c r="G640" s="1"/>
  <c r="F739"/>
  <c r="G739" s="1"/>
  <c r="F1346"/>
  <c r="G1346" s="1"/>
  <c r="F1395"/>
  <c r="G1395" s="1"/>
  <c r="F1083"/>
  <c r="G1083" s="1"/>
  <c r="F156"/>
  <c r="G156" s="1"/>
  <c r="F691"/>
  <c r="G691" s="1"/>
  <c r="F1831"/>
  <c r="G1831" s="1"/>
  <c r="F411"/>
  <c r="G411" s="1"/>
  <c r="F1466"/>
  <c r="G1466" s="1"/>
  <c r="F1723"/>
  <c r="G1723" s="1"/>
  <c r="F1540"/>
  <c r="G1540" s="1"/>
  <c r="F641"/>
  <c r="G641" s="1"/>
  <c r="F1118"/>
  <c r="G1118" s="1"/>
  <c r="F148"/>
  <c r="G148" s="1"/>
  <c r="F948"/>
  <c r="G948" s="1"/>
  <c r="F1150"/>
  <c r="G1150" s="1"/>
  <c r="F477"/>
  <c r="G477" s="1"/>
  <c r="F400"/>
  <c r="G400" s="1"/>
  <c r="F266"/>
  <c r="G266" s="1"/>
  <c r="F1645"/>
  <c r="G1645" s="1"/>
  <c r="F466"/>
  <c r="G466" s="1"/>
  <c r="F1263"/>
  <c r="G1263" s="1"/>
  <c r="F342"/>
  <c r="G342" s="1"/>
  <c r="F401"/>
  <c r="G401" s="1"/>
  <c r="F1227"/>
  <c r="G1227" s="1"/>
  <c r="F297"/>
  <c r="G297" s="1"/>
  <c r="F952"/>
  <c r="G952" s="1"/>
  <c r="F1773"/>
  <c r="G1773" s="1"/>
  <c r="F622"/>
  <c r="G622" s="1"/>
  <c r="F623"/>
  <c r="G623" s="1"/>
  <c r="F1115"/>
  <c r="G1115" s="1"/>
  <c r="F1116"/>
  <c r="G1116" s="1"/>
  <c r="F1277"/>
  <c r="G1277" s="1"/>
  <c r="F645"/>
  <c r="G645" s="1"/>
  <c r="F732"/>
  <c r="G732" s="1"/>
  <c r="F496"/>
  <c r="G496" s="1"/>
  <c r="F485"/>
  <c r="G485" s="1"/>
  <c r="F1264"/>
  <c r="G1264" s="1"/>
  <c r="F347"/>
  <c r="G347" s="1"/>
  <c r="F432"/>
  <c r="G432" s="1"/>
  <c r="F486"/>
  <c r="G486" s="1"/>
  <c r="F1075"/>
  <c r="G1075" s="1"/>
  <c r="F527"/>
  <c r="G527" s="1"/>
  <c r="F428"/>
  <c r="G428" s="1"/>
  <c r="F748"/>
  <c r="G748" s="1"/>
  <c r="F1842"/>
  <c r="G1842" s="1"/>
  <c r="F1519"/>
  <c r="G1519" s="1"/>
  <c r="F1818"/>
  <c r="G1818" s="1"/>
  <c r="F1505"/>
  <c r="G1505" s="1"/>
  <c r="F298"/>
  <c r="G298" s="1"/>
  <c r="F343"/>
  <c r="G343" s="1"/>
  <c r="F1396"/>
  <c r="G1396" s="1"/>
  <c r="F99"/>
  <c r="G99" s="1"/>
  <c r="F573"/>
  <c r="G573" s="1"/>
  <c r="F1665"/>
  <c r="G1665" s="1"/>
  <c r="F1265"/>
  <c r="G1265" s="1"/>
  <c r="F346"/>
  <c r="G346" s="1"/>
  <c r="F1208"/>
  <c r="G1208" s="1"/>
  <c r="F915"/>
  <c r="G915" s="1"/>
  <c r="F1805"/>
  <c r="G1805" s="1"/>
  <c r="F1084"/>
  <c r="G1084" s="1"/>
  <c r="F1085"/>
  <c r="G1085" s="1"/>
  <c r="F403"/>
  <c r="G403" s="1"/>
  <c r="F1091"/>
  <c r="G1091" s="1"/>
  <c r="F1415"/>
  <c r="G1415" s="1"/>
  <c r="F1887"/>
  <c r="G1887" s="1"/>
  <c r="F1885"/>
  <c r="G1885" s="1"/>
  <c r="F1697"/>
  <c r="G1697" s="1"/>
  <c r="F1076"/>
  <c r="G1076" s="1"/>
  <c r="F1876"/>
  <c r="G1876" s="1"/>
  <c r="F676"/>
  <c r="G676" s="1"/>
  <c r="F1183"/>
  <c r="G1183" s="1"/>
  <c r="F1184"/>
  <c r="G1184" s="1"/>
  <c r="F190"/>
  <c r="G190" s="1"/>
  <c r="F1216"/>
  <c r="G1216" s="1"/>
  <c r="F1503"/>
  <c r="G1503" s="1"/>
  <c r="F528"/>
  <c r="G528" s="1"/>
  <c r="F529"/>
  <c r="G529" s="1"/>
  <c r="F530"/>
  <c r="G530" s="1"/>
  <c r="F570"/>
  <c r="G570" s="1"/>
  <c r="F546"/>
  <c r="G546" s="1"/>
  <c r="F268"/>
  <c r="G268" s="1"/>
  <c r="F949"/>
  <c r="G949" s="1"/>
  <c r="F299"/>
  <c r="G299" s="1"/>
  <c r="F198"/>
  <c r="G198" s="1"/>
  <c r="F1323"/>
  <c r="G1323" s="1"/>
  <c r="F1618"/>
  <c r="G1618" s="1"/>
  <c r="F895"/>
  <c r="G895" s="1"/>
  <c r="F896"/>
  <c r="G896" s="1"/>
  <c r="F1217"/>
  <c r="G1217" s="1"/>
  <c r="F239"/>
  <c r="G239" s="1"/>
  <c r="F1626"/>
  <c r="G1626" s="1"/>
  <c r="F1858"/>
  <c r="G1858" s="1"/>
  <c r="F1439"/>
  <c r="G1439" s="1"/>
  <c r="F344"/>
  <c r="G344" s="1"/>
  <c r="F833"/>
  <c r="G833" s="1"/>
  <c r="F1463"/>
  <c r="G1463" s="1"/>
  <c r="F457"/>
  <c r="G457" s="1"/>
  <c r="F28"/>
  <c r="G28" s="1"/>
  <c r="F357"/>
  <c r="G357" s="1"/>
  <c r="F1008"/>
  <c r="G1008" s="1"/>
  <c r="F1188"/>
  <c r="G1188" s="1"/>
  <c r="F1440"/>
  <c r="G1440" s="1"/>
  <c r="F109"/>
  <c r="G109" s="1"/>
  <c r="F1464"/>
  <c r="G1464" s="1"/>
  <c r="F1588"/>
  <c r="G1588" s="1"/>
  <c r="F888"/>
  <c r="G888" s="1"/>
  <c r="F1005"/>
  <c r="G1005" s="1"/>
  <c r="F740"/>
  <c r="G740" s="1"/>
  <c r="F675"/>
  <c r="G675" s="1"/>
  <c r="F1450"/>
  <c r="G1450" s="1"/>
  <c r="F412"/>
  <c r="G412" s="1"/>
  <c r="F624"/>
  <c r="G624" s="1"/>
  <c r="F661"/>
  <c r="G661" s="1"/>
  <c r="F1077"/>
  <c r="G1077" s="1"/>
  <c r="F345"/>
  <c r="G345" s="1"/>
  <c r="F111"/>
  <c r="G111" s="1"/>
  <c r="F625"/>
  <c r="G625" s="1"/>
  <c r="F1816"/>
  <c r="G1816" s="1"/>
  <c r="F1445"/>
  <c r="G1445" s="1"/>
  <c r="F826"/>
  <c r="G826" s="1"/>
  <c r="F1368"/>
  <c r="G1368" s="1"/>
  <c r="F626"/>
  <c r="G626" s="1"/>
  <c r="F1119"/>
  <c r="G1119" s="1"/>
  <c r="F1078"/>
  <c r="G1078" s="1"/>
  <c r="F300"/>
  <c r="G300" s="1"/>
  <c r="F1266"/>
  <c r="G1266" s="1"/>
  <c r="F835"/>
  <c r="G835" s="1"/>
  <c r="F1276"/>
  <c r="G1276" s="1"/>
  <c r="F858"/>
  <c r="G858" s="1"/>
  <c r="F859"/>
  <c r="G859" s="1"/>
  <c r="F1780"/>
  <c r="G1780" s="1"/>
  <c r="F1642"/>
  <c r="G1642" s="1"/>
  <c r="F498"/>
  <c r="G498" s="1"/>
  <c r="F1198"/>
  <c r="G1198" s="1"/>
  <c r="F1272"/>
  <c r="G1272" s="1"/>
  <c r="F889"/>
  <c r="G889" s="1"/>
  <c r="F124"/>
  <c r="G124" s="1"/>
  <c r="F1698"/>
  <c r="G1698" s="1"/>
  <c r="F194"/>
  <c r="G194" s="1"/>
  <c r="F1555"/>
  <c r="G1555" s="1"/>
  <c r="F429"/>
  <c r="G429" s="1"/>
  <c r="F627"/>
  <c r="G627" s="1"/>
  <c r="F487"/>
  <c r="G487" s="1"/>
  <c r="F728"/>
  <c r="G728" s="1"/>
  <c r="F1095"/>
  <c r="G1095" s="1"/>
  <c r="F547"/>
  <c r="G547" s="1"/>
  <c r="F548"/>
  <c r="G548" s="1"/>
  <c r="F1541"/>
  <c r="G1541" s="1"/>
  <c r="F1306"/>
  <c r="G1306" s="1"/>
  <c r="F1079"/>
  <c r="G1079" s="1"/>
  <c r="F1548"/>
  <c r="G1548" s="1"/>
  <c r="F128"/>
  <c r="G128" s="1"/>
  <c r="F1199"/>
  <c r="G1199" s="1"/>
  <c r="F1244"/>
  <c r="G1244" s="1"/>
  <c r="F1504"/>
  <c r="G1504" s="1"/>
  <c r="F191"/>
  <c r="G191" s="1"/>
  <c r="F922"/>
  <c r="G922" s="1"/>
  <c r="F1347"/>
  <c r="G1347" s="1"/>
  <c r="F1852"/>
  <c r="G1852" s="1"/>
  <c r="F1090"/>
  <c r="G1090" s="1"/>
  <c r="F505"/>
  <c r="G505" s="1"/>
  <c r="F537"/>
  <c r="G537" s="1"/>
  <c r="F913"/>
  <c r="G913" s="1"/>
  <c r="F1853"/>
  <c r="G1853" s="1"/>
  <c r="F863"/>
  <c r="G863" s="1"/>
  <c r="F1549"/>
  <c r="G1549" s="1"/>
  <c r="F770"/>
  <c r="G770" s="1"/>
  <c r="F950"/>
  <c r="G950" s="1"/>
  <c r="F628"/>
  <c r="G628" s="1"/>
  <c r="F991"/>
  <c r="G991" s="1"/>
  <c r="F1231"/>
  <c r="G1231" s="1"/>
  <c r="F860"/>
  <c r="G860" s="1"/>
  <c r="F376"/>
  <c r="G376" s="1"/>
  <c r="F1874"/>
  <c r="G1874" s="1"/>
  <c r="F1678"/>
  <c r="G1678" s="1"/>
  <c r="F1755"/>
  <c r="G1755" s="1"/>
  <c r="F1130"/>
  <c r="G1130" s="1"/>
  <c r="F904"/>
  <c r="G904" s="1"/>
  <c r="F1156"/>
  <c r="G1156" s="1"/>
  <c r="F1348"/>
  <c r="G1348" s="1"/>
  <c r="F1471"/>
  <c r="G1471" s="1"/>
  <c r="F568"/>
  <c r="G568" s="1"/>
  <c r="F861"/>
  <c r="G861" s="1"/>
  <c r="F1854"/>
  <c r="G1854" s="1"/>
  <c r="F1633"/>
  <c r="G1633" s="1"/>
  <c r="F402"/>
  <c r="G402" s="1"/>
  <c r="F1679"/>
  <c r="G1679" s="1"/>
  <c r="F1781"/>
  <c r="G1781" s="1"/>
  <c r="F1465"/>
  <c r="G1465" s="1"/>
  <c r="F136"/>
  <c r="G136" s="1"/>
  <c r="F827"/>
  <c r="G827" s="1"/>
  <c r="F914"/>
  <c r="G914" s="1"/>
  <c r="F120"/>
  <c r="G120" s="1"/>
  <c r="F1774"/>
  <c r="G1774" s="1"/>
  <c r="F506"/>
  <c r="G506" s="1"/>
  <c r="F749"/>
  <c r="G749" s="1"/>
  <c r="F171"/>
  <c r="G171" s="1"/>
  <c r="F1443"/>
  <c r="G1443" s="1"/>
  <c r="F1080"/>
  <c r="G1080" s="1"/>
  <c r="F905"/>
  <c r="G905" s="1"/>
  <c r="F458"/>
  <c r="G458" s="1"/>
  <c r="C1924" l="1" a="1"/>
  <c r="C1924" s="1"/>
  <c r="C1922" a="1"/>
  <c r="C1922" s="1"/>
  <c r="C1925" a="1"/>
  <c r="C1925" s="1"/>
  <c r="C1921" a="1"/>
  <c r="C1921" s="1"/>
  <c r="C1898" a="1"/>
  <c r="C1898" s="1"/>
  <c r="C1923" a="1"/>
  <c r="C1923" s="1"/>
  <c r="F47" i="5"/>
  <c r="H2" i="6" s="1"/>
  <c r="C1903" a="1"/>
  <c r="C1903" s="1"/>
  <c r="C1906" a="1"/>
  <c r="C1906" s="1"/>
  <c r="C1900" a="1"/>
  <c r="C1900" s="1"/>
  <c r="C1904" a="1"/>
  <c r="C1904" s="1"/>
  <c r="C1899" a="1"/>
  <c r="C1899" s="1"/>
  <c r="C1897" a="1"/>
  <c r="C1897" s="1"/>
  <c r="C1901" a="1"/>
  <c r="C1901" s="1"/>
  <c r="C1905" a="1"/>
  <c r="C1905" s="1"/>
  <c r="C1902" a="1"/>
  <c r="C1902" s="1"/>
  <c r="E47" i="5"/>
  <c r="B17"/>
  <c r="G17" s="1"/>
  <c r="B16"/>
  <c r="G16" s="1"/>
  <c r="B15"/>
  <c r="G15" s="1"/>
  <c r="B19"/>
  <c r="G19" s="1"/>
  <c r="B14"/>
  <c r="G14" s="1"/>
  <c r="B18"/>
  <c r="G18" s="1"/>
  <c r="E17" l="1"/>
  <c r="F17"/>
  <c r="D17"/>
  <c r="F16"/>
  <c r="D16"/>
  <c r="E16"/>
  <c r="F15"/>
  <c r="D15"/>
  <c r="E15"/>
  <c r="E14"/>
  <c r="F14"/>
  <c r="D14"/>
  <c r="E18"/>
  <c r="F18"/>
  <c r="D18"/>
  <c r="D19"/>
  <c r="E19"/>
  <c r="F19"/>
</calcChain>
</file>

<file path=xl/sharedStrings.xml><?xml version="1.0" encoding="utf-8"?>
<sst xmlns="http://schemas.openxmlformats.org/spreadsheetml/2006/main" count="13981" uniqueCount="3889">
  <si>
    <t>Nominal GDP</t>
  </si>
  <si>
    <t> United States</t>
  </si>
  <si>
    <t> China</t>
  </si>
  <si>
    <t> Japan</t>
  </si>
  <si>
    <t> Germany</t>
  </si>
  <si>
    <t> France</t>
  </si>
  <si>
    <t> Brazil</t>
  </si>
  <si>
    <t> United Kingdom</t>
  </si>
  <si>
    <t> Italy</t>
  </si>
  <si>
    <t> Russia</t>
  </si>
  <si>
    <t> Canada</t>
  </si>
  <si>
    <t> India</t>
  </si>
  <si>
    <t> Spain</t>
  </si>
  <si>
    <t> Australia</t>
  </si>
  <si>
    <t> Mexico</t>
  </si>
  <si>
    <t> South Korea</t>
  </si>
  <si>
    <t> Indonesia</t>
  </si>
  <si>
    <t> Netherlands</t>
  </si>
  <si>
    <t> Turkey</t>
  </si>
  <si>
    <t> Switzerland</t>
  </si>
  <si>
    <t> Saudi Arabia</t>
  </si>
  <si>
    <t> Sweden</t>
  </si>
  <si>
    <t> Poland</t>
  </si>
  <si>
    <t> Belgium</t>
  </si>
  <si>
    <t> Norway</t>
  </si>
  <si>
    <t> Iran</t>
  </si>
  <si>
    <t> Taiwan</t>
  </si>
  <si>
    <t> Argentina</t>
  </si>
  <si>
    <t> Austria</t>
  </si>
  <si>
    <t> South Africa</t>
  </si>
  <si>
    <t> United Arab Emirates</t>
  </si>
  <si>
    <t> Thailand</t>
  </si>
  <si>
    <t> Denmark</t>
  </si>
  <si>
    <t> Colombia</t>
  </si>
  <si>
    <t> Venezuela</t>
  </si>
  <si>
    <t> Greece</t>
  </si>
  <si>
    <t> Malaysia</t>
  </si>
  <si>
    <t> Finland</t>
  </si>
  <si>
    <t> Singapore</t>
  </si>
  <si>
    <t> Chile</t>
  </si>
  <si>
    <t> Hong Kong</t>
  </si>
  <si>
    <t> Israel</t>
  </si>
  <si>
    <t> Nigeria</t>
  </si>
  <si>
    <t> Portugal</t>
  </si>
  <si>
    <t> Egypt</t>
  </si>
  <si>
    <t> Ireland</t>
  </si>
  <si>
    <t> Czech Republic</t>
  </si>
  <si>
    <t> Philippines</t>
  </si>
  <si>
    <t> Pakistan</t>
  </si>
  <si>
    <t> Algeria</t>
  </si>
  <si>
    <t> Romania</t>
  </si>
  <si>
    <t> Kazakhstan</t>
  </si>
  <si>
    <t> Kuwait</t>
  </si>
  <si>
    <t> Qatar</t>
  </si>
  <si>
    <t> Peru</t>
  </si>
  <si>
    <t> Ukraine</t>
  </si>
  <si>
    <t> New Zealand</t>
  </si>
  <si>
    <t> Hungary</t>
  </si>
  <si>
    <t> Vietnam</t>
  </si>
  <si>
    <t> Iraq</t>
  </si>
  <si>
    <t> Bangladesh</t>
  </si>
  <si>
    <t> Angola</t>
  </si>
  <si>
    <t> Morocco</t>
  </si>
  <si>
    <t> Slovakia</t>
  </si>
  <si>
    <t> Oman</t>
  </si>
  <si>
    <t> Ecuador</t>
  </si>
  <si>
    <t> Croatia</t>
  </si>
  <si>
    <t> Azerbaijan</t>
  </si>
  <si>
    <t> Sri Lanka</t>
  </si>
  <si>
    <t> Luxembourg</t>
  </si>
  <si>
    <t> Dominican Republic</t>
  </si>
  <si>
    <t> Belarus</t>
  </si>
  <si>
    <t> Bulgaria</t>
  </si>
  <si>
    <t> Burma</t>
  </si>
  <si>
    <t> Slovenia</t>
  </si>
  <si>
    <t> Guatemala</t>
  </si>
  <si>
    <t> Uruguay</t>
  </si>
  <si>
    <t> Tunisia</t>
  </si>
  <si>
    <t> Uzbekistan</t>
  </si>
  <si>
    <t> Serbia</t>
  </si>
  <si>
    <t> Lithuania</t>
  </si>
  <si>
    <t> Costa Rica</t>
  </si>
  <si>
    <t> Lebanon</t>
  </si>
  <si>
    <t> Ghana</t>
  </si>
  <si>
    <t> Libya</t>
  </si>
  <si>
    <t> Kenya</t>
  </si>
  <si>
    <t> Yemen</t>
  </si>
  <si>
    <t> Ethiopia</t>
  </si>
  <si>
    <t> Panama</t>
  </si>
  <si>
    <t> Jordan</t>
  </si>
  <si>
    <t> Latvia</t>
  </si>
  <si>
    <t> Bahrain</t>
  </si>
  <si>
    <t> Cameroon</t>
  </si>
  <si>
    <t> Turkmenistan</t>
  </si>
  <si>
    <t> Cyprus</t>
  </si>
  <si>
    <t> Bolivia</t>
  </si>
  <si>
    <t> Côte d'Ivoire</t>
  </si>
  <si>
    <t> Tanzania</t>
  </si>
  <si>
    <t> El Salvador</t>
  </si>
  <si>
    <t> Trinidad and Tobago</t>
  </si>
  <si>
    <t> Estonia</t>
  </si>
  <si>
    <t> Paraguay</t>
  </si>
  <si>
    <t> Equatorial Guinea</t>
  </si>
  <si>
    <t> Zambia</t>
  </si>
  <si>
    <t> Nepal</t>
  </si>
  <si>
    <t> Afghanistan</t>
  </si>
  <si>
    <t> Bosnia and Herzegovina</t>
  </si>
  <si>
    <t> Botswana</t>
  </si>
  <si>
    <t> Honduras</t>
  </si>
  <si>
    <t> Uganda</t>
  </si>
  <si>
    <t> Gabon</t>
  </si>
  <si>
    <t> Congo, Democratic Republic of the</t>
  </si>
  <si>
    <t> Brunei</t>
  </si>
  <si>
    <t> Jamaica</t>
  </si>
  <si>
    <t> Congo, Republic of the</t>
  </si>
  <si>
    <t> Senegal</t>
  </si>
  <si>
    <t> Georgia</t>
  </si>
  <si>
    <t> Iceland</t>
  </si>
  <si>
    <t> Cambodia</t>
  </si>
  <si>
    <t> Albania</t>
  </si>
  <si>
    <t> Mozambique</t>
  </si>
  <si>
    <t> Papua New Guinea</t>
  </si>
  <si>
    <t> Namibia</t>
  </si>
  <si>
    <t> Mauritius</t>
  </si>
  <si>
    <t> Mali</t>
  </si>
  <si>
    <t> Armenia</t>
  </si>
  <si>
    <t> Madagascar</t>
  </si>
  <si>
    <t> Burkina Faso</t>
  </si>
  <si>
    <t> Chad</t>
  </si>
  <si>
    <t> Zimbabwe</t>
  </si>
  <si>
    <t> Malta</t>
  </si>
  <si>
    <t> Mongolia</t>
  </si>
  <si>
    <t> Bahamas, The</t>
  </si>
  <si>
    <t> Laos</t>
  </si>
  <si>
    <t> Haiti</t>
  </si>
  <si>
    <t> Benin</t>
  </si>
  <si>
    <t> Nicaragua</t>
  </si>
  <si>
    <t> Moldova</t>
  </si>
  <si>
    <t> Tajikistan</t>
  </si>
  <si>
    <t> Kosovo</t>
  </si>
  <si>
    <t> Rwanda</t>
  </si>
  <si>
    <t> Niger</t>
  </si>
  <si>
    <t> Kyrgyzstan</t>
  </si>
  <si>
    <t> Malawi</t>
  </si>
  <si>
    <t> Guinea</t>
  </si>
  <si>
    <t> Montenegro</t>
  </si>
  <si>
    <t> Barbados</t>
  </si>
  <si>
    <t> Timor-Leste</t>
  </si>
  <si>
    <t> Mauritania</t>
  </si>
  <si>
    <t> Swaziland</t>
  </si>
  <si>
    <t> Suriname</t>
  </si>
  <si>
    <t> Togo</t>
  </si>
  <si>
    <t> Fiji</t>
  </si>
  <si>
    <t> Eritrea</t>
  </si>
  <si>
    <t> Guyana</t>
  </si>
  <si>
    <t> Lesotho</t>
  </si>
  <si>
    <t> Burundi</t>
  </si>
  <si>
    <t> Sierra Leone</t>
  </si>
  <si>
    <t> Central African Republic</t>
  </si>
  <si>
    <t> Maldives</t>
  </si>
  <si>
    <t> Cape Verde</t>
  </si>
  <si>
    <t> Bhutan</t>
  </si>
  <si>
    <t> Belize</t>
  </si>
  <si>
    <t> Djibouti</t>
  </si>
  <si>
    <t> Saint Lucia</t>
  </si>
  <si>
    <t> Antigua and Barbuda</t>
  </si>
  <si>
    <t> Liberia</t>
  </si>
  <si>
    <t> Seychelles</t>
  </si>
  <si>
    <t> Gambia, The</t>
  </si>
  <si>
    <t> Guinea-Bissau</t>
  </si>
  <si>
    <t> Solomon Islands</t>
  </si>
  <si>
    <t> Grenada</t>
  </si>
  <si>
    <t> Vanuatu</t>
  </si>
  <si>
    <t> Saint Kitts and Nevis</t>
  </si>
  <si>
    <t> Saint Vincent and the Grenadines</t>
  </si>
  <si>
    <t> Samoa</t>
  </si>
  <si>
    <t> Comoros</t>
  </si>
  <si>
    <t> Dominica</t>
  </si>
  <si>
    <t> Tonga</t>
  </si>
  <si>
    <t> São Tomé and Príncipe</t>
  </si>
  <si>
    <t> Kiribati</t>
  </si>
  <si>
    <t> Tuvalu</t>
  </si>
  <si>
    <t>PPP GDP</t>
  </si>
  <si>
    <t> Slovak Republic</t>
  </si>
  <si>
    <t> Myanmar</t>
  </si>
  <si>
    <t> Macedonia</t>
  </si>
  <si>
    <t> Sudan + South Sudan</t>
  </si>
  <si>
    <t>in $Millions</t>
  </si>
  <si>
    <t>PPP Table</t>
  </si>
  <si>
    <t>Nom GDP</t>
  </si>
  <si>
    <t>PPP Value</t>
  </si>
  <si>
    <t>Currency</t>
  </si>
  <si>
    <t> Abkhazia</t>
  </si>
  <si>
    <t>None</t>
  </si>
  <si>
    <t>Russian ruble</t>
  </si>
  <si>
    <t>RUB</t>
  </si>
  <si>
    <t>Afghan afghani</t>
  </si>
  <si>
    <t>AFN</t>
  </si>
  <si>
    <t> Akrotiri and Dhekelia</t>
  </si>
  <si>
    <t>Euro</t>
  </si>
  <si>
    <t>EUR</t>
  </si>
  <si>
    <t>Albanian lek</t>
  </si>
  <si>
    <t>ALL</t>
  </si>
  <si>
    <t> Alderney</t>
  </si>
  <si>
    <t>GBP</t>
  </si>
  <si>
    <t>Guernsey pound</t>
  </si>
  <si>
    <t>Algerian dinar</t>
  </si>
  <si>
    <t>DZD</t>
  </si>
  <si>
    <t> Andorra</t>
  </si>
  <si>
    <t>Angolan kwanza</t>
  </si>
  <si>
    <t>AOA</t>
  </si>
  <si>
    <t> Anguilla</t>
  </si>
  <si>
    <t>East Caribbean dollar</t>
  </si>
  <si>
    <t>XCD</t>
  </si>
  <si>
    <t>Argentine peso</t>
  </si>
  <si>
    <t>ARS</t>
  </si>
  <si>
    <t>Armenian dram</t>
  </si>
  <si>
    <t>AMD</t>
  </si>
  <si>
    <t> Aruba</t>
  </si>
  <si>
    <t>Aruban florin</t>
  </si>
  <si>
    <t>AWG</t>
  </si>
  <si>
    <t>Saint Helena pound</t>
  </si>
  <si>
    <t>SHP</t>
  </si>
  <si>
    <t>Australian dollar</t>
  </si>
  <si>
    <t>AUD</t>
  </si>
  <si>
    <t>Azerbaijani manat</t>
  </si>
  <si>
    <t>AZN</t>
  </si>
  <si>
    <t>Bahamian dollar</t>
  </si>
  <si>
    <t>BSD</t>
  </si>
  <si>
    <t>Bahraini dinar</t>
  </si>
  <si>
    <t>BHD</t>
  </si>
  <si>
    <t>Bangladeshi taka</t>
  </si>
  <si>
    <t>BDT</t>
  </si>
  <si>
    <t>Barbadian dollar</t>
  </si>
  <si>
    <t>BBD</t>
  </si>
  <si>
    <t>Belarusian ruble</t>
  </si>
  <si>
    <t>BYR</t>
  </si>
  <si>
    <t>Belize dollar</t>
  </si>
  <si>
    <t>BZD</t>
  </si>
  <si>
    <t>West African CFA franc</t>
  </si>
  <si>
    <t>XOF</t>
  </si>
  <si>
    <t> Bermuda</t>
  </si>
  <si>
    <t>Bermudian dollar</t>
  </si>
  <si>
    <t>BMD</t>
  </si>
  <si>
    <t>Bhutanese ngultrum</t>
  </si>
  <si>
    <t>BTN</t>
  </si>
  <si>
    <t>Indian rupee</t>
  </si>
  <si>
    <t>INR</t>
  </si>
  <si>
    <t>Bolivian boliviano</t>
  </si>
  <si>
    <t>BOB</t>
  </si>
  <si>
    <t> Bonaire</t>
  </si>
  <si>
    <t>United States dollar</t>
  </si>
  <si>
    <t>USD</t>
  </si>
  <si>
    <t>Bosnia and Herzegovina convertible mark</t>
  </si>
  <si>
    <t>BAM</t>
  </si>
  <si>
    <t>Botswana pula</t>
  </si>
  <si>
    <t>BWP</t>
  </si>
  <si>
    <t>Brazilian real</t>
  </si>
  <si>
    <t>BRL</t>
  </si>
  <si>
    <t> British Indian Ocean Territory</t>
  </si>
  <si>
    <t> British Virgin Islands</t>
  </si>
  <si>
    <t>Brunei dollar</t>
  </si>
  <si>
    <t>BND</t>
  </si>
  <si>
    <t>Singapore dollar</t>
  </si>
  <si>
    <t>SGD</t>
  </si>
  <si>
    <t>Bulgarian lev</t>
  </si>
  <si>
    <t>BGN</t>
  </si>
  <si>
    <t>Burmese kyat</t>
  </si>
  <si>
    <t>MMK</t>
  </si>
  <si>
    <t>Burundian franc</t>
  </si>
  <si>
    <t>BIF</t>
  </si>
  <si>
    <t>Cambodian riel</t>
  </si>
  <si>
    <t>KHR</t>
  </si>
  <si>
    <t>Central African CFA franc</t>
  </si>
  <si>
    <t>XAF</t>
  </si>
  <si>
    <t>Canadian dollar</t>
  </si>
  <si>
    <t>CAD</t>
  </si>
  <si>
    <t>Cape Verdean escudo</t>
  </si>
  <si>
    <t>CVE</t>
  </si>
  <si>
    <t> Cayman Islands</t>
  </si>
  <si>
    <t>Cayman Islands dollar</t>
  </si>
  <si>
    <t>KYD</t>
  </si>
  <si>
    <t>Chilean peso</t>
  </si>
  <si>
    <t>CLP</t>
  </si>
  <si>
    <t>Chinese yuan</t>
  </si>
  <si>
    <t>CNY</t>
  </si>
  <si>
    <t> Cocos (Keeling) Islands</t>
  </si>
  <si>
    <t>Colombian peso</t>
  </si>
  <si>
    <t>COP</t>
  </si>
  <si>
    <t>Comorian franc</t>
  </si>
  <si>
    <t>KMF</t>
  </si>
  <si>
    <t>Congolese franc</t>
  </si>
  <si>
    <t>CDF</t>
  </si>
  <si>
    <t> Cook Islands</t>
  </si>
  <si>
    <t>New Zealand dollar</t>
  </si>
  <si>
    <t>NZD</t>
  </si>
  <si>
    <t>Cook Islands dollar</t>
  </si>
  <si>
    <t>Costa Rican colón</t>
  </si>
  <si>
    <t>CRC</t>
  </si>
  <si>
    <t>Croatian kuna</t>
  </si>
  <si>
    <t>HRK</t>
  </si>
  <si>
    <t> Cuba</t>
  </si>
  <si>
    <t>Cuban convertible peso</t>
  </si>
  <si>
    <t>CUC</t>
  </si>
  <si>
    <t>Cuban peso</t>
  </si>
  <si>
    <t>CUP</t>
  </si>
  <si>
    <t> Curaçao</t>
  </si>
  <si>
    <t>Netherlands Antillean guilder</t>
  </si>
  <si>
    <t>ANG</t>
  </si>
  <si>
    <t>Czech koruna</t>
  </si>
  <si>
    <t>CZK</t>
  </si>
  <si>
    <t>Danish krone</t>
  </si>
  <si>
    <t>DKK</t>
  </si>
  <si>
    <t>Djiboutian franc</t>
  </si>
  <si>
    <t>DJF</t>
  </si>
  <si>
    <t>Dominican peso</t>
  </si>
  <si>
    <t>DOP</t>
  </si>
  <si>
    <t>Egyptian pound</t>
  </si>
  <si>
    <t>EGP</t>
  </si>
  <si>
    <t>Salvadoran colón</t>
  </si>
  <si>
    <t>SVC</t>
  </si>
  <si>
    <t>Eritrean nakfa</t>
  </si>
  <si>
    <t>ERN</t>
  </si>
  <si>
    <t>Ethiopian birr</t>
  </si>
  <si>
    <t>ETB</t>
  </si>
  <si>
    <t> Falkland Islands</t>
  </si>
  <si>
    <t>Falkland Islands pound</t>
  </si>
  <si>
    <t>FKP</t>
  </si>
  <si>
    <t> Faroe Islands</t>
  </si>
  <si>
    <t>Faroese króna</t>
  </si>
  <si>
    <t>Fijian dollar</t>
  </si>
  <si>
    <t>FJD</t>
  </si>
  <si>
    <t> French Polynesia</t>
  </si>
  <si>
    <t>CFP franc</t>
  </si>
  <si>
    <t>XPF</t>
  </si>
  <si>
    <t>Gambian dalasi</t>
  </si>
  <si>
    <t>GMD</t>
  </si>
  <si>
    <t>Georgian lari</t>
  </si>
  <si>
    <t>GEL</t>
  </si>
  <si>
    <t>Ghana cedi</t>
  </si>
  <si>
    <t>GHS</t>
  </si>
  <si>
    <t> Gibraltar</t>
  </si>
  <si>
    <t>Gibraltar pound</t>
  </si>
  <si>
    <t>GIP</t>
  </si>
  <si>
    <t>Guatemalan quetzal</t>
  </si>
  <si>
    <t>GTQ</t>
  </si>
  <si>
    <t> Guernsey</t>
  </si>
  <si>
    <t>Guinean franc</t>
  </si>
  <si>
    <t>GNF</t>
  </si>
  <si>
    <t>Guyanese dollar</t>
  </si>
  <si>
    <t>GYD</t>
  </si>
  <si>
    <t>Haitian gourde</t>
  </si>
  <si>
    <t>HTG</t>
  </si>
  <si>
    <t>Honduran lempira</t>
  </si>
  <si>
    <t>HNL</t>
  </si>
  <si>
    <t>Hong Kong dollar</t>
  </si>
  <si>
    <t>HKD</t>
  </si>
  <si>
    <t>Hungarian forint</t>
  </si>
  <si>
    <t>HUF</t>
  </si>
  <si>
    <t>Icelandic króna</t>
  </si>
  <si>
    <t>ISK</t>
  </si>
  <si>
    <t>Indonesian rupiah</t>
  </si>
  <si>
    <t>IDR</t>
  </si>
  <si>
    <t>Iranian rial</t>
  </si>
  <si>
    <t>IRR</t>
  </si>
  <si>
    <t>Iraqi dinar</t>
  </si>
  <si>
    <t>IQD</t>
  </si>
  <si>
    <t> Isle of Man</t>
  </si>
  <si>
    <t>Manx pound</t>
  </si>
  <si>
    <t>Israeli new shekel</t>
  </si>
  <si>
    <t>ILS</t>
  </si>
  <si>
    <t>Jamaican dollar</t>
  </si>
  <si>
    <t>JMD</t>
  </si>
  <si>
    <t>Japanese yen</t>
  </si>
  <si>
    <t>JPY</t>
  </si>
  <si>
    <t> Jersey</t>
  </si>
  <si>
    <t>Jersey pound</t>
  </si>
  <si>
    <t>Jordanian dinar</t>
  </si>
  <si>
    <t>JOD</t>
  </si>
  <si>
    <t>Kazakhstani tenge</t>
  </si>
  <si>
    <t>KZT</t>
  </si>
  <si>
    <t>Kenyan shilling</t>
  </si>
  <si>
    <t>KES</t>
  </si>
  <si>
    <t>North Korean won</t>
  </si>
  <si>
    <t>KPW</t>
  </si>
  <si>
    <t>South Korean won</t>
  </si>
  <si>
    <t>KRW</t>
  </si>
  <si>
    <t>Kuwaiti dinar</t>
  </si>
  <si>
    <t>KWD</t>
  </si>
  <si>
    <t>Kyrgyzstani som</t>
  </si>
  <si>
    <t>KGS</t>
  </si>
  <si>
    <t>Lao kip</t>
  </si>
  <si>
    <t>LAK</t>
  </si>
  <si>
    <t>Latvian lats</t>
  </si>
  <si>
    <t>LVL</t>
  </si>
  <si>
    <t>Lebanese pound</t>
  </si>
  <si>
    <t>LBP</t>
  </si>
  <si>
    <t>Lesotho loti</t>
  </si>
  <si>
    <t>LSL</t>
  </si>
  <si>
    <t>South African rand</t>
  </si>
  <si>
    <t>ZAR</t>
  </si>
  <si>
    <t>Liberian dollar</t>
  </si>
  <si>
    <t>LRD</t>
  </si>
  <si>
    <t>Libyan dinar</t>
  </si>
  <si>
    <t>LYD</t>
  </si>
  <si>
    <t> Liechtenstein</t>
  </si>
  <si>
    <t>Swiss franc</t>
  </si>
  <si>
    <t>CHF</t>
  </si>
  <si>
    <t>Lithuanian litas</t>
  </si>
  <si>
    <t>LTL</t>
  </si>
  <si>
    <t> Macau</t>
  </si>
  <si>
    <t>Macanese pataca</t>
  </si>
  <si>
    <t>MOP</t>
  </si>
  <si>
    <t>Macedonian denar</t>
  </si>
  <si>
    <t>MKD</t>
  </si>
  <si>
    <t>Malagasy ariary</t>
  </si>
  <si>
    <t>MGA</t>
  </si>
  <si>
    <t>Malawian kwacha</t>
  </si>
  <si>
    <t>MWK</t>
  </si>
  <si>
    <t>Malaysian ringgit</t>
  </si>
  <si>
    <t>MYR</t>
  </si>
  <si>
    <t>Maldivian rufiyaa</t>
  </si>
  <si>
    <t>MVR</t>
  </si>
  <si>
    <t> Marshall Islands</t>
  </si>
  <si>
    <t>Mauritanian ouguiya</t>
  </si>
  <si>
    <t>MRO</t>
  </si>
  <si>
    <t>Mauritian rupee</t>
  </si>
  <si>
    <t>MUR</t>
  </si>
  <si>
    <t>Mexican peso</t>
  </si>
  <si>
    <t>MXN</t>
  </si>
  <si>
    <t> Micronesia</t>
  </si>
  <si>
    <t>Moldovan leu</t>
  </si>
  <si>
    <t>MDL</t>
  </si>
  <si>
    <t> Monaco</t>
  </si>
  <si>
    <t>Mongolian tögrög</t>
  </si>
  <si>
    <t>MNT</t>
  </si>
  <si>
    <t> Montserrat</t>
  </si>
  <si>
    <t>Moroccan dirham</t>
  </si>
  <si>
    <t>MAD</t>
  </si>
  <si>
    <t>Mozambican metical</t>
  </si>
  <si>
    <t>MZN</t>
  </si>
  <si>
    <t> Nagorno-Karabakh Republic</t>
  </si>
  <si>
    <t>Namibian dollar</t>
  </si>
  <si>
    <t>NAD</t>
  </si>
  <si>
    <t> Nauru</t>
  </si>
  <si>
    <t>Nepalese rupee</t>
  </si>
  <si>
    <t>NPR</t>
  </si>
  <si>
    <t> New Caledonia</t>
  </si>
  <si>
    <t>Nicaraguan córdoba</t>
  </si>
  <si>
    <t>NIO</t>
  </si>
  <si>
    <t>Nigerian naira</t>
  </si>
  <si>
    <t>NGN</t>
  </si>
  <si>
    <t> Niue</t>
  </si>
  <si>
    <t> Northern Cyprus</t>
  </si>
  <si>
    <t>Turkish lira</t>
  </si>
  <si>
    <t>TRY</t>
  </si>
  <si>
    <t>Norwegian krone</t>
  </si>
  <si>
    <t>NOK</t>
  </si>
  <si>
    <t>Omani rial</t>
  </si>
  <si>
    <t>OMR</t>
  </si>
  <si>
    <t>Pakistani rupee</t>
  </si>
  <si>
    <t>PKR</t>
  </si>
  <si>
    <t> Palau</t>
  </si>
  <si>
    <t> Palestinian territories</t>
  </si>
  <si>
    <t>Panamanian balboa</t>
  </si>
  <si>
    <t>PAB</t>
  </si>
  <si>
    <t>Papua New Guinean kina</t>
  </si>
  <si>
    <t>PGK</t>
  </si>
  <si>
    <t>Paraguayan guaraní</t>
  </si>
  <si>
    <t>PYG</t>
  </si>
  <si>
    <t>Peruvian nuevo sol</t>
  </si>
  <si>
    <t>PEN</t>
  </si>
  <si>
    <t>Philippine peso</t>
  </si>
  <si>
    <t>PHP</t>
  </si>
  <si>
    <t> Pitcairn Islands</t>
  </si>
  <si>
    <t>Polish złoty</t>
  </si>
  <si>
    <t>PLN</t>
  </si>
  <si>
    <t>Qatari riyal</t>
  </si>
  <si>
    <t>QAR</t>
  </si>
  <si>
    <t>Romanian leu</t>
  </si>
  <si>
    <t>RON</t>
  </si>
  <si>
    <t>Rwandan franc</t>
  </si>
  <si>
    <t>RWF</t>
  </si>
  <si>
    <t> Saba</t>
  </si>
  <si>
    <t> Sahrawi Republic</t>
  </si>
  <si>
    <t> Saint Helena</t>
  </si>
  <si>
    <t>Samoan tālā</t>
  </si>
  <si>
    <t>WST</t>
  </si>
  <si>
    <t> San Marino</t>
  </si>
  <si>
    <t>São Tomé and Príncipe dobra</t>
  </si>
  <si>
    <t>STD</t>
  </si>
  <si>
    <t>Saudi riyal</t>
  </si>
  <si>
    <t>SAR</t>
  </si>
  <si>
    <t>Serbian dinar</t>
  </si>
  <si>
    <t>RSD</t>
  </si>
  <si>
    <t>Seychellois rupee</t>
  </si>
  <si>
    <t>SCR</t>
  </si>
  <si>
    <t>Sierra Leonean leone</t>
  </si>
  <si>
    <t>SLL</t>
  </si>
  <si>
    <t> Sint Eustatius</t>
  </si>
  <si>
    <t> Sint Maarten</t>
  </si>
  <si>
    <t>Solomon Islands dollar</t>
  </si>
  <si>
    <t>SBD</t>
  </si>
  <si>
    <t> Somalia</t>
  </si>
  <si>
    <t>Somali shilling</t>
  </si>
  <si>
    <t>SOS</t>
  </si>
  <si>
    <t> Somaliland</t>
  </si>
  <si>
    <t>Somaliland shilling</t>
  </si>
  <si>
    <t> South Georgia and the South Sandwich Islands</t>
  </si>
  <si>
    <t>British pound</t>
  </si>
  <si>
    <t> South Ossetia</t>
  </si>
  <si>
    <t>South Sudanese pound</t>
  </si>
  <si>
    <t>SSP</t>
  </si>
  <si>
    <t>Sri Lankan rupee</t>
  </si>
  <si>
    <t>LKR</t>
  </si>
  <si>
    <t> Sudan</t>
  </si>
  <si>
    <t>Sudanese pound</t>
  </si>
  <si>
    <t>SDG</t>
  </si>
  <si>
    <t>Surinamese dollar</t>
  </si>
  <si>
    <t>SRD</t>
  </si>
  <si>
    <t>Swazi lilangeni</t>
  </si>
  <si>
    <t>SZL</t>
  </si>
  <si>
    <t>Swedish krona</t>
  </si>
  <si>
    <t>SEK</t>
  </si>
  <si>
    <t> Syria</t>
  </si>
  <si>
    <t>Syrian pound</t>
  </si>
  <si>
    <t>SYP</t>
  </si>
  <si>
    <t>New Taiwan dollar</t>
  </si>
  <si>
    <t>TWD</t>
  </si>
  <si>
    <t>Tajikistani somoni</t>
  </si>
  <si>
    <t>TJS</t>
  </si>
  <si>
    <t>Tanzanian shilling</t>
  </si>
  <si>
    <t>TZS</t>
  </si>
  <si>
    <t>Thai baht</t>
  </si>
  <si>
    <t>THB</t>
  </si>
  <si>
    <t>Tongan paʻanga</t>
  </si>
  <si>
    <t>TOP</t>
  </si>
  <si>
    <t> Transnistria</t>
  </si>
  <si>
    <t>Transnistrian ruble</t>
  </si>
  <si>
    <t>Trinidad and Tobago dollar</t>
  </si>
  <si>
    <t>TTD</t>
  </si>
  <si>
    <t> Tristan da Cunha</t>
  </si>
  <si>
    <t>Tunisian dinar</t>
  </si>
  <si>
    <t>TND</t>
  </si>
  <si>
    <t>Turkmenistan manat</t>
  </si>
  <si>
    <t>TMT</t>
  </si>
  <si>
    <t> Turks and Caicos Islands</t>
  </si>
  <si>
    <t>Tuvaluan dollar</t>
  </si>
  <si>
    <t>Ugandan shilling</t>
  </si>
  <si>
    <t>UGX</t>
  </si>
  <si>
    <t>Ukrainian hryvnia</t>
  </si>
  <si>
    <t>UAH</t>
  </si>
  <si>
    <t>United Arab Emirates dirham</t>
  </si>
  <si>
    <t>AED</t>
  </si>
  <si>
    <t>Uruguayan peso</t>
  </si>
  <si>
    <t>UYU</t>
  </si>
  <si>
    <t>Uzbekistani som</t>
  </si>
  <si>
    <t>UZS</t>
  </si>
  <si>
    <t>Vanuatu vatu</t>
  </si>
  <si>
    <t>VUV</t>
  </si>
  <si>
    <t> Vatican City</t>
  </si>
  <si>
    <t>Venezuelan bolívar</t>
  </si>
  <si>
    <t>VEF</t>
  </si>
  <si>
    <t>Vietnamese đồng</t>
  </si>
  <si>
    <t>VND</t>
  </si>
  <si>
    <t> Wallis and Futuna</t>
  </si>
  <si>
    <t>Yemeni rial</t>
  </si>
  <si>
    <t>YER</t>
  </si>
  <si>
    <t>Zambian kwacha</t>
  </si>
  <si>
    <t>ZMK</t>
  </si>
  <si>
    <t>ZWL</t>
  </si>
  <si>
    <t>Alderney pound[A]</t>
  </si>
  <si>
    <t>British pound[C]</t>
  </si>
  <si>
    <t>United Kingdom Ascension Island</t>
  </si>
  <si>
    <t>Ascension pound[A]</t>
  </si>
  <si>
    <t>British Virgin Islands dollar[A]</t>
  </si>
  <si>
    <t>Cocos (Keeling) Islands dollar[A]</t>
  </si>
  <si>
    <t>Kiribati dollar[A]</t>
  </si>
  <si>
    <t>Micronesian dollar[A]</t>
  </si>
  <si>
    <t>Nagorno-Karabakh dram[A]</t>
  </si>
  <si>
    <t>Nauruan dollar[A]</t>
  </si>
  <si>
    <t>Euro[I]</t>
  </si>
  <si>
    <t>Niuean dollar[A]</t>
  </si>
  <si>
    <t>Palauan dollar[A]</t>
  </si>
  <si>
    <t>Pitcairn Islands dollar[A]</t>
  </si>
  <si>
    <t>Sahrawi peseta[J]</t>
  </si>
  <si>
    <t>South Georgia and the South Sandwich Islands pound[A]</t>
  </si>
  <si>
    <t>Tristan da Cunha pound[A]</t>
  </si>
  <si>
    <t>Zimbabwean dollar[N]</t>
  </si>
  <si>
    <t xml:space="preserve"> North Korea</t>
  </si>
  <si>
    <t>Currency Name</t>
  </si>
  <si>
    <t>Exhange Rate</t>
  </si>
  <si>
    <t>Excel Salary Survey Data</t>
  </si>
  <si>
    <t>Note: Experience data is not available for first few hundred rows.</t>
  </si>
  <si>
    <t>Unique ID</t>
  </si>
  <si>
    <t>clean Salary (in local currency)</t>
  </si>
  <si>
    <t>Salary in USD</t>
  </si>
  <si>
    <t>Your Job Title</t>
  </si>
  <si>
    <t>Job Type</t>
  </si>
  <si>
    <t>How many hours of a day you work on Excel</t>
  </si>
  <si>
    <t>Years of Experience</t>
  </si>
  <si>
    <t>ID0001</t>
  </si>
  <si>
    <t>MIS Analyst</t>
  </si>
  <si>
    <t>Analyst</t>
  </si>
  <si>
    <t>India</t>
  </si>
  <si>
    <t>4 to 6 hours a day</t>
  </si>
  <si>
    <t>ID0002</t>
  </si>
  <si>
    <t>cost control</t>
  </si>
  <si>
    <t>Controller</t>
  </si>
  <si>
    <t>Croatia</t>
  </si>
  <si>
    <t>All the 8 hours baby, all the 8!</t>
  </si>
  <si>
    <t>ID0003</t>
  </si>
  <si>
    <t>Financial Analyst</t>
  </si>
  <si>
    <t>USA</t>
  </si>
  <si>
    <t>ID0004</t>
  </si>
  <si>
    <t>Quality Control</t>
  </si>
  <si>
    <t>Pakistan</t>
  </si>
  <si>
    <t>2 to 3 hours per day</t>
  </si>
  <si>
    <t>ID0005</t>
  </si>
  <si>
    <t>Quality Engineer</t>
  </si>
  <si>
    <t>Engineer</t>
  </si>
  <si>
    <t>ID0006</t>
  </si>
  <si>
    <t>Iceland</t>
  </si>
  <si>
    <t>ID0007</t>
  </si>
  <si>
    <t>senior project manager</t>
  </si>
  <si>
    <t>Manager</t>
  </si>
  <si>
    <t>Germany</t>
  </si>
  <si>
    <t>1 or 2 hours a day</t>
  </si>
  <si>
    <t>ID0008</t>
  </si>
  <si>
    <t>Assistant SP&amp;A</t>
  </si>
  <si>
    <t>Ukraine</t>
  </si>
  <si>
    <t>ID0009</t>
  </si>
  <si>
    <t>CFO</t>
  </si>
  <si>
    <t>CXO or Top Mgmt.</t>
  </si>
  <si>
    <t>Portugal</t>
  </si>
  <si>
    <t>ID0010</t>
  </si>
  <si>
    <t xml:space="preserve">Audit Trainee </t>
  </si>
  <si>
    <t>Accountant</t>
  </si>
  <si>
    <t>ID0011</t>
  </si>
  <si>
    <t>Training Specialist</t>
  </si>
  <si>
    <t>Specialist</t>
  </si>
  <si>
    <t>Ireland</t>
  </si>
  <si>
    <t>ID0012</t>
  </si>
  <si>
    <t>quality engineer</t>
  </si>
  <si>
    <t>Hungary</t>
  </si>
  <si>
    <t>ID0013</t>
  </si>
  <si>
    <t>Senion Analyst</t>
  </si>
  <si>
    <t>ID0014</t>
  </si>
  <si>
    <t>business analyst</t>
  </si>
  <si>
    <t>ID0015</t>
  </si>
  <si>
    <t>Project Engineer</t>
  </si>
  <si>
    <t>ID0016</t>
  </si>
  <si>
    <t>Sr Project Engineer</t>
  </si>
  <si>
    <t>ID0017</t>
  </si>
  <si>
    <t>Business Development</t>
  </si>
  <si>
    <t>Switzerland</t>
  </si>
  <si>
    <t>ID0018</t>
  </si>
  <si>
    <t>Excel Report Writer</t>
  </si>
  <si>
    <t>Reporting</t>
  </si>
  <si>
    <t>South Africa</t>
  </si>
  <si>
    <t>ID0019</t>
  </si>
  <si>
    <t>AGM</t>
  </si>
  <si>
    <t>ID0020</t>
  </si>
  <si>
    <t>GM</t>
  </si>
  <si>
    <t>ID0021</t>
  </si>
  <si>
    <t>DSE Co-ordinator</t>
  </si>
  <si>
    <t>ID0022</t>
  </si>
  <si>
    <t>ID0023</t>
  </si>
  <si>
    <t>ID0024</t>
  </si>
  <si>
    <t>Marketing Director</t>
  </si>
  <si>
    <t>ID0025</t>
  </si>
  <si>
    <t>sales and marketing</t>
  </si>
  <si>
    <t>ID0026</t>
  </si>
  <si>
    <t>Analyst II</t>
  </si>
  <si>
    <t>ID0028</t>
  </si>
  <si>
    <t>Project Leader</t>
  </si>
  <si>
    <t>Belgium</t>
  </si>
  <si>
    <t>ID0029</t>
  </si>
  <si>
    <t>Applications Engineer</t>
  </si>
  <si>
    <t>ID0030</t>
  </si>
  <si>
    <t>strategy manager</t>
  </si>
  <si>
    <t>ID0031</t>
  </si>
  <si>
    <t>Chief of the department of public budget analisis and forecasting</t>
  </si>
  <si>
    <t>Russia</t>
  </si>
  <si>
    <t>ID0032</t>
  </si>
  <si>
    <t>ID0033</t>
  </si>
  <si>
    <t>Management Information Analyst</t>
  </si>
  <si>
    <t>UK</t>
  </si>
  <si>
    <t>ID0035</t>
  </si>
  <si>
    <t>Poland</t>
  </si>
  <si>
    <t>ID0036</t>
  </si>
  <si>
    <t>Senior Consultant</t>
  </si>
  <si>
    <t>Consultant</t>
  </si>
  <si>
    <t>ID0037</t>
  </si>
  <si>
    <t>Portfolio Manager</t>
  </si>
  <si>
    <t>ID0038</t>
  </si>
  <si>
    <t>Design Engineer</t>
  </si>
  <si>
    <t>ID0039</t>
  </si>
  <si>
    <t>Academic Advisor</t>
  </si>
  <si>
    <t>ID0040</t>
  </si>
  <si>
    <t>Coordination</t>
  </si>
  <si>
    <t>ID0041</t>
  </si>
  <si>
    <t>consultant</t>
  </si>
  <si>
    <t>Australia</t>
  </si>
  <si>
    <t>ID0042</t>
  </si>
  <si>
    <t>Business Analsyt</t>
  </si>
  <si>
    <t>ID0043</t>
  </si>
  <si>
    <t>Product Engineer</t>
  </si>
  <si>
    <t>Canada</t>
  </si>
  <si>
    <t>ID0044</t>
  </si>
  <si>
    <t>Senior Accountant</t>
  </si>
  <si>
    <t>ID0045</t>
  </si>
  <si>
    <t>Scientist</t>
  </si>
  <si>
    <t>Misc.</t>
  </si>
  <si>
    <t>ID0046</t>
  </si>
  <si>
    <t>Team Lead</t>
  </si>
  <si>
    <t>ID0047</t>
  </si>
  <si>
    <t>Senior intelligence analyst</t>
  </si>
  <si>
    <t>ID0048</t>
  </si>
  <si>
    <t>Freelance consultant</t>
  </si>
  <si>
    <t>ID0049</t>
  </si>
  <si>
    <t>Online Traffic Manager / Web Analist</t>
  </si>
  <si>
    <t>Netherlands</t>
  </si>
  <si>
    <t>ID0050</t>
  </si>
  <si>
    <t>Seinor Financial Analyst</t>
  </si>
  <si>
    <t>ID0051</t>
  </si>
  <si>
    <t>Senior Accounting Supervisor</t>
  </si>
  <si>
    <t>ID0052</t>
  </si>
  <si>
    <t>ID0053</t>
  </si>
  <si>
    <t>PPC Manager</t>
  </si>
  <si>
    <t>ID0054</t>
  </si>
  <si>
    <t>Financial Planner</t>
  </si>
  <si>
    <t>ID0055</t>
  </si>
  <si>
    <t>ID0056</t>
  </si>
  <si>
    <t>ID0057</t>
  </si>
  <si>
    <t>Building Design and Performance Researcher</t>
  </si>
  <si>
    <t>ID0058</t>
  </si>
  <si>
    <t>Project leader</t>
  </si>
  <si>
    <t>France</t>
  </si>
  <si>
    <t>ID0059</t>
  </si>
  <si>
    <t>Senior Analyst</t>
  </si>
  <si>
    <t>ID0060</t>
  </si>
  <si>
    <t>ID0061</t>
  </si>
  <si>
    <t>Engineering Data Analyst</t>
  </si>
  <si>
    <t>ID0062</t>
  </si>
  <si>
    <t>Sales Analyst</t>
  </si>
  <si>
    <t>ID0063</t>
  </si>
  <si>
    <t>Coordinator Of Costa and Buget</t>
  </si>
  <si>
    <t>Brasil</t>
  </si>
  <si>
    <t>ID0064</t>
  </si>
  <si>
    <t>SAP consultant</t>
  </si>
  <si>
    <t>ID0065</t>
  </si>
  <si>
    <t>ID0066</t>
  </si>
  <si>
    <t>busines analist</t>
  </si>
  <si>
    <t>ID0067</t>
  </si>
  <si>
    <t>head of data</t>
  </si>
  <si>
    <t>ID0068</t>
  </si>
  <si>
    <t>Business Systems Analyst</t>
  </si>
  <si>
    <t>ID0069</t>
  </si>
  <si>
    <t>Financial Analyst II</t>
  </si>
  <si>
    <t>ID0070</t>
  </si>
  <si>
    <t>Mngr MI</t>
  </si>
  <si>
    <t>ID0071</t>
  </si>
  <si>
    <t>sales analyst</t>
  </si>
  <si>
    <t>ID0072</t>
  </si>
  <si>
    <t>Consumer Research Program Manager</t>
  </si>
  <si>
    <t>ID0073</t>
  </si>
  <si>
    <t>technical trainer</t>
  </si>
  <si>
    <t>ID0074</t>
  </si>
  <si>
    <t>Process Flow Coordinator</t>
  </si>
  <si>
    <t>UAE</t>
  </si>
  <si>
    <t>ID0075</t>
  </si>
  <si>
    <t>Process Improvement Specialist</t>
  </si>
  <si>
    <t>ID0076</t>
  </si>
  <si>
    <t>Excel Programmer Consultant</t>
  </si>
  <si>
    <t>ID0077</t>
  </si>
  <si>
    <t>Statistical Analyst</t>
  </si>
  <si>
    <t>ID0078</t>
  </si>
  <si>
    <t>ID0079</t>
  </si>
  <si>
    <t>Operational Analyst</t>
  </si>
  <si>
    <t>Saudi Arabia</t>
  </si>
  <si>
    <t>ID0080</t>
  </si>
  <si>
    <t>Exceler</t>
  </si>
  <si>
    <t>ID0081</t>
  </si>
  <si>
    <t>Marketing Analyst</t>
  </si>
  <si>
    <t>Panama</t>
  </si>
  <si>
    <t>ID0082</t>
  </si>
  <si>
    <t>Database Manager</t>
  </si>
  <si>
    <t>ID0083</t>
  </si>
  <si>
    <t>Director</t>
  </si>
  <si>
    <t>ID0084</t>
  </si>
  <si>
    <t>Manager, Forecasts &amp; Budgets</t>
  </si>
  <si>
    <t>ID0085</t>
  </si>
  <si>
    <t>ID0086</t>
  </si>
  <si>
    <t>VBA Analyst</t>
  </si>
  <si>
    <t>Brazil</t>
  </si>
  <si>
    <t>ID0087</t>
  </si>
  <si>
    <t>Senior Scheduling Engineer</t>
  </si>
  <si>
    <t>ID0088</t>
  </si>
  <si>
    <t>Strategy Consultant</t>
  </si>
  <si>
    <t>ID0089</t>
  </si>
  <si>
    <t>Admin</t>
  </si>
  <si>
    <t>ID0090</t>
  </si>
  <si>
    <t>IT Asset Administrator</t>
  </si>
  <si>
    <t>ID0091</t>
  </si>
  <si>
    <t>Director of Marketing</t>
  </si>
  <si>
    <t>ID0092</t>
  </si>
  <si>
    <t>Graphic Design Manager</t>
  </si>
  <si>
    <t>ID0093</t>
  </si>
  <si>
    <t>Financial Consultant</t>
  </si>
  <si>
    <t>ID0094</t>
  </si>
  <si>
    <t>Data Analyst</t>
  </si>
  <si>
    <t>ID0095</t>
  </si>
  <si>
    <t>ID0096</t>
  </si>
  <si>
    <t>Paraeducator</t>
  </si>
  <si>
    <t>ID0097</t>
  </si>
  <si>
    <t>Channel Marketing Manager</t>
  </si>
  <si>
    <t>ID0098</t>
  </si>
  <si>
    <t xml:space="preserve">Sales and Marketing Analyst </t>
  </si>
  <si>
    <t>ID0099</t>
  </si>
  <si>
    <t>Production Scheduler</t>
  </si>
  <si>
    <t>ID0100</t>
  </si>
  <si>
    <t>ID0101</t>
  </si>
  <si>
    <t>financial analyst</t>
  </si>
  <si>
    <t>ID0102</t>
  </si>
  <si>
    <t>Product Specialist</t>
  </si>
  <si>
    <t>ID0103</t>
  </si>
  <si>
    <t>IT support</t>
  </si>
  <si>
    <t>arabian Gulf</t>
  </si>
  <si>
    <t>ID0104</t>
  </si>
  <si>
    <t>sr. project coordinator</t>
  </si>
  <si>
    <t>ID0105</t>
  </si>
  <si>
    <t>Sr Administrative Assistant</t>
  </si>
  <si>
    <t>Mexico</t>
  </si>
  <si>
    <t>ID0106</t>
  </si>
  <si>
    <t>ID0107</t>
  </si>
  <si>
    <t>IT Analyst</t>
  </si>
  <si>
    <t>ID0108</t>
  </si>
  <si>
    <t>ID0109</t>
  </si>
  <si>
    <t>Project manager</t>
  </si>
  <si>
    <t>Greece</t>
  </si>
  <si>
    <t>ID0111</t>
  </si>
  <si>
    <t>Strategic Analyst</t>
  </si>
  <si>
    <t>ID0112</t>
  </si>
  <si>
    <t>Transportation Specialist</t>
  </si>
  <si>
    <t>ID0113</t>
  </si>
  <si>
    <t>Operations Programs Support</t>
  </si>
  <si>
    <t>ID0114</t>
  </si>
  <si>
    <t>Accounting Coordinator</t>
  </si>
  <si>
    <t>ID0115</t>
  </si>
  <si>
    <t>Asst.Manager Finance</t>
  </si>
  <si>
    <t>ID0116</t>
  </si>
  <si>
    <t>Operations Cost Analyst</t>
  </si>
  <si>
    <t>ID0117</t>
  </si>
  <si>
    <t>Financial Controller</t>
  </si>
  <si>
    <t>ID0118</t>
  </si>
  <si>
    <t>Utilization Analyst</t>
  </si>
  <si>
    <t>ID0119</t>
  </si>
  <si>
    <t>Researcher</t>
  </si>
  <si>
    <t>Colombia</t>
  </si>
  <si>
    <t>ID0120</t>
  </si>
  <si>
    <t>Market Analyst</t>
  </si>
  <si>
    <t>Excel ?!? What Excel?</t>
  </si>
  <si>
    <t>ID0121</t>
  </si>
  <si>
    <t>Web Developer</t>
  </si>
  <si>
    <t>ID0122</t>
  </si>
  <si>
    <t>Sr. Acct</t>
  </si>
  <si>
    <t>ID0123</t>
  </si>
  <si>
    <t>Information Systems Specialist</t>
  </si>
  <si>
    <t>ID0124</t>
  </si>
  <si>
    <t>Analytics lead</t>
  </si>
  <si>
    <t>ID0125</t>
  </si>
  <si>
    <t>ID0126</t>
  </si>
  <si>
    <t>Actuary</t>
  </si>
  <si>
    <t>ID0127</t>
  </si>
  <si>
    <t>School Tech Coordinator</t>
  </si>
  <si>
    <t>ID0128</t>
  </si>
  <si>
    <t>sr accountant</t>
  </si>
  <si>
    <t>ID0129</t>
  </si>
  <si>
    <t>senior accountant</t>
  </si>
  <si>
    <t>Turkey</t>
  </si>
  <si>
    <t>ID0130</t>
  </si>
  <si>
    <t>Freelance</t>
  </si>
  <si>
    <t>ID0131</t>
  </si>
  <si>
    <t>ID0132</t>
  </si>
  <si>
    <t>DBA</t>
  </si>
  <si>
    <t>ID0133</t>
  </si>
  <si>
    <t>Research Analyst</t>
  </si>
  <si>
    <t>ID0134</t>
  </si>
  <si>
    <t>Project Manager</t>
  </si>
  <si>
    <t>ID0135</t>
  </si>
  <si>
    <t>Market Research Analyst</t>
  </si>
  <si>
    <t>ID0136</t>
  </si>
  <si>
    <t>Manager : Accounts</t>
  </si>
  <si>
    <t>ID0137</t>
  </si>
  <si>
    <t>project manager</t>
  </si>
  <si>
    <t>ID0138</t>
  </si>
  <si>
    <t>Inventory manger</t>
  </si>
  <si>
    <t>ID0139</t>
  </si>
  <si>
    <t>Business Analyst</t>
  </si>
  <si>
    <t>ID0140</t>
  </si>
  <si>
    <t>Process Technician</t>
  </si>
  <si>
    <t>ID0141</t>
  </si>
  <si>
    <t>MIS Team Leader</t>
  </si>
  <si>
    <t>ID0142</t>
  </si>
  <si>
    <t>ID0143</t>
  </si>
  <si>
    <t>Finance Director</t>
  </si>
  <si>
    <t>ID0144</t>
  </si>
  <si>
    <t>Industrial Engineer</t>
  </si>
  <si>
    <t>ID0145</t>
  </si>
  <si>
    <t>data analyst</t>
  </si>
  <si>
    <t>ID0146</t>
  </si>
  <si>
    <t>Senior Financial &amp; Systems Analyst</t>
  </si>
  <si>
    <t>ID0147</t>
  </si>
  <si>
    <t>project manager - metrics</t>
  </si>
  <si>
    <t>ID0148</t>
  </si>
  <si>
    <t>Informatics Research Analyst</t>
  </si>
  <si>
    <t>ID0149</t>
  </si>
  <si>
    <t>Business Technical Consultant</t>
  </si>
  <si>
    <t>ID0150</t>
  </si>
  <si>
    <t>Business Operations Reporting Analyst</t>
  </si>
  <si>
    <t>ID0151</t>
  </si>
  <si>
    <t>Program Services Coordinator</t>
  </si>
  <si>
    <t>ID0152</t>
  </si>
  <si>
    <t>Specialist - Finance Planning and Analysis</t>
  </si>
  <si>
    <t>ID0153</t>
  </si>
  <si>
    <t>Sr Accountant</t>
  </si>
  <si>
    <t>ID0154</t>
  </si>
  <si>
    <t>ID0155</t>
  </si>
  <si>
    <t>Proces auditor</t>
  </si>
  <si>
    <t>ID0156</t>
  </si>
  <si>
    <t>Senior Data Quality Analyst</t>
  </si>
  <si>
    <t>ID0157</t>
  </si>
  <si>
    <t>Sr Business Analyst</t>
  </si>
  <si>
    <t>ID0158</t>
  </si>
  <si>
    <t>COST ACCOUNTANT</t>
  </si>
  <si>
    <t>ID0159</t>
  </si>
  <si>
    <t>project Support</t>
  </si>
  <si>
    <t>ID0160</t>
  </si>
  <si>
    <t>managerial</t>
  </si>
  <si>
    <t>ID0161</t>
  </si>
  <si>
    <t>Program Analyst</t>
  </si>
  <si>
    <t>ID0162</t>
  </si>
  <si>
    <t>Team Lead - Computer Discounts</t>
  </si>
  <si>
    <t>ID0163</t>
  </si>
  <si>
    <t>Change Architect</t>
  </si>
  <si>
    <t>ID0164</t>
  </si>
  <si>
    <t>Telecom Technician</t>
  </si>
  <si>
    <t>ID0165</t>
  </si>
  <si>
    <t>ID0166</t>
  </si>
  <si>
    <t>Manager, Asset Optimization</t>
  </si>
  <si>
    <t>ID0167</t>
  </si>
  <si>
    <t>Financialcontroller</t>
  </si>
  <si>
    <t>ID0168</t>
  </si>
  <si>
    <t xml:space="preserve">Accounting </t>
  </si>
  <si>
    <t>ID0169</t>
  </si>
  <si>
    <t>Consultant, HR Services &amp; Governance</t>
  </si>
  <si>
    <t>ID0170</t>
  </si>
  <si>
    <t>QA Executive</t>
  </si>
  <si>
    <t>ID0171</t>
  </si>
  <si>
    <t>Senior Actuarial Analyst</t>
  </si>
  <si>
    <t>ID0172</t>
  </si>
  <si>
    <t>Sr. Associate</t>
  </si>
  <si>
    <t>ID0173</t>
  </si>
  <si>
    <t>Budget Analyst</t>
  </si>
  <si>
    <t>ID0174</t>
  </si>
  <si>
    <t>B.I. Data Analyst II</t>
  </si>
  <si>
    <t>ID0175</t>
  </si>
  <si>
    <t>Asst manager investor relations and business analytics</t>
  </si>
  <si>
    <t>ID0176</t>
  </si>
  <si>
    <t>Industrial Engineer (Fed)</t>
  </si>
  <si>
    <t>ID0177</t>
  </si>
  <si>
    <t>Informatics specialist</t>
  </si>
  <si>
    <t>ID0178</t>
  </si>
  <si>
    <t>ID0179</t>
  </si>
  <si>
    <t>Trainee Management Accountant</t>
  </si>
  <si>
    <t>ID0180</t>
  </si>
  <si>
    <t>Senior analyst</t>
  </si>
  <si>
    <t>ID0181</t>
  </si>
  <si>
    <t>Director of Analytics</t>
  </si>
  <si>
    <t>ID0182</t>
  </si>
  <si>
    <t>Executive Assistant</t>
  </si>
  <si>
    <t>ID0183</t>
  </si>
  <si>
    <t>Project Speciast</t>
  </si>
  <si>
    <t>ID0184</t>
  </si>
  <si>
    <t>Sales Coordinator &amp; Analytical Support</t>
  </si>
  <si>
    <t>ID0185</t>
  </si>
  <si>
    <t>analyst</t>
  </si>
  <si>
    <t>ID0186</t>
  </si>
  <si>
    <t>Senior Staff Accountant</t>
  </si>
  <si>
    <t>ID0187</t>
  </si>
  <si>
    <t>Consultant - Retail Mkts</t>
  </si>
  <si>
    <t>ID0188</t>
  </si>
  <si>
    <t>Process Manager</t>
  </si>
  <si>
    <t>ID0189</t>
  </si>
  <si>
    <t>Project Manager (Process Owner)</t>
  </si>
  <si>
    <t>ID0190</t>
  </si>
  <si>
    <t>Demographer</t>
  </si>
  <si>
    <t>ID0192</t>
  </si>
  <si>
    <t>Administrative Assistant</t>
  </si>
  <si>
    <t>ID0193</t>
  </si>
  <si>
    <t>Accounting/Financial Analyst</t>
  </si>
  <si>
    <t>ID0194</t>
  </si>
  <si>
    <t>Business Process Specialist</t>
  </si>
  <si>
    <t>ID0195</t>
  </si>
  <si>
    <t>ID0196</t>
  </si>
  <si>
    <t>Sr Financial Analyst</t>
  </si>
  <si>
    <t>ID0197</t>
  </si>
  <si>
    <t>Asst. Manager (MIS)</t>
  </si>
  <si>
    <t>ID0198</t>
  </si>
  <si>
    <t>Business Controller</t>
  </si>
  <si>
    <t>ID0200</t>
  </si>
  <si>
    <t>ID0201</t>
  </si>
  <si>
    <t>low level monitoring</t>
  </si>
  <si>
    <t>ID0202</t>
  </si>
  <si>
    <t>Administrative</t>
  </si>
  <si>
    <t>ID0203</t>
  </si>
  <si>
    <t>Service Line Coordinator</t>
  </si>
  <si>
    <t>ID0204</t>
  </si>
  <si>
    <t>Strategic Sourcing Manager</t>
  </si>
  <si>
    <t>ID0205</t>
  </si>
  <si>
    <t>Chief Manager</t>
  </si>
  <si>
    <t>ID0207</t>
  </si>
  <si>
    <t>Business Intelligence Analyst</t>
  </si>
  <si>
    <t>ID0208</t>
  </si>
  <si>
    <t>ID0209</t>
  </si>
  <si>
    <t>Sr. Financial Analyst</t>
  </si>
  <si>
    <t>ID0210</t>
  </si>
  <si>
    <t>Buyer</t>
  </si>
  <si>
    <t>ID0211</t>
  </si>
  <si>
    <t>program manager</t>
  </si>
  <si>
    <t>ID0212</t>
  </si>
  <si>
    <t>Reporting Analyst Team Lead</t>
  </si>
  <si>
    <t>ID0213</t>
  </si>
  <si>
    <t>Innovation Analyst</t>
  </si>
  <si>
    <t>Singapore</t>
  </si>
  <si>
    <t>ID0214</t>
  </si>
  <si>
    <t>Operations Expert</t>
  </si>
  <si>
    <t>ID0215</t>
  </si>
  <si>
    <t>Director of Finance</t>
  </si>
  <si>
    <t>ID0216</t>
  </si>
  <si>
    <t>Information Analyst II</t>
  </si>
  <si>
    <t>ID0217</t>
  </si>
  <si>
    <t>ID0218</t>
  </si>
  <si>
    <t>ID0219</t>
  </si>
  <si>
    <t>Accounting Assistant</t>
  </si>
  <si>
    <t>ID0220</t>
  </si>
  <si>
    <t>Tax Professional</t>
  </si>
  <si>
    <t>Bermuda</t>
  </si>
  <si>
    <t>ID0221</t>
  </si>
  <si>
    <t>ID0222</t>
  </si>
  <si>
    <t>Jr. Executive Finance</t>
  </si>
  <si>
    <t>ID0223</t>
  </si>
  <si>
    <t>Assistant Controller</t>
  </si>
  <si>
    <t>ID0224</t>
  </si>
  <si>
    <t>Project engineer</t>
  </si>
  <si>
    <t>Thailand</t>
  </si>
  <si>
    <t>ID0225</t>
  </si>
  <si>
    <t>Cash Officer</t>
  </si>
  <si>
    <t>ID0226</t>
  </si>
  <si>
    <t>ID0227</t>
  </si>
  <si>
    <t>ID0228</t>
  </si>
  <si>
    <t>Technical support specialist</t>
  </si>
  <si>
    <t>ID0229</t>
  </si>
  <si>
    <t>ServiceDesk Supervisor</t>
  </si>
  <si>
    <t>ID0230</t>
  </si>
  <si>
    <t>medical biller</t>
  </si>
  <si>
    <t>ID0231</t>
  </si>
  <si>
    <t>Sr. Strategic Development Specialist</t>
  </si>
  <si>
    <t>ID0232</t>
  </si>
  <si>
    <t>ID0233</t>
  </si>
  <si>
    <t>VP - Procurment</t>
  </si>
  <si>
    <t>ID0234</t>
  </si>
  <si>
    <t>HRIS Analyst</t>
  </si>
  <si>
    <t>ID0235</t>
  </si>
  <si>
    <t>Procurement manager</t>
  </si>
  <si>
    <t>ID0236</t>
  </si>
  <si>
    <t>Energy Analyst</t>
  </si>
  <si>
    <t>ID0237</t>
  </si>
  <si>
    <t>ID0238</t>
  </si>
  <si>
    <t>Branch head -sales</t>
  </si>
  <si>
    <t>ID0239</t>
  </si>
  <si>
    <t>retail buyer</t>
  </si>
  <si>
    <t>ID0240</t>
  </si>
  <si>
    <t>HR Specialist</t>
  </si>
  <si>
    <t>ID0241</t>
  </si>
  <si>
    <t>ID0242</t>
  </si>
  <si>
    <t>ID0243</t>
  </si>
  <si>
    <t>Director of Finance and Accounting</t>
  </si>
  <si>
    <t>ID0244</t>
  </si>
  <si>
    <t>Manager Business Control</t>
  </si>
  <si>
    <t>ID0245</t>
  </si>
  <si>
    <t>Manager Pricing</t>
  </si>
  <si>
    <t>ID0246</t>
  </si>
  <si>
    <t>Insurance Manager</t>
  </si>
  <si>
    <t>ID0247</t>
  </si>
  <si>
    <t>ID0248</t>
  </si>
  <si>
    <t>ID0249</t>
  </si>
  <si>
    <t>Freellance</t>
  </si>
  <si>
    <t>ID0250</t>
  </si>
  <si>
    <t>category manager</t>
  </si>
  <si>
    <t>ID0251</t>
  </si>
  <si>
    <t>Customer Operations Analyst</t>
  </si>
  <si>
    <t>ID0252</t>
  </si>
  <si>
    <t>ID0253</t>
  </si>
  <si>
    <t>ID0254</t>
  </si>
  <si>
    <t>ID0255</t>
  </si>
  <si>
    <t>Site Technician</t>
  </si>
  <si>
    <t>ID0256</t>
  </si>
  <si>
    <t>Excel Consultant</t>
  </si>
  <si>
    <t>ID0257</t>
  </si>
  <si>
    <t>Senior Project Manager</t>
  </si>
  <si>
    <t>ID0258</t>
  </si>
  <si>
    <t>Web Statistics Analyst</t>
  </si>
  <si>
    <t>ID0259</t>
  </si>
  <si>
    <t>Business Data Analyst I</t>
  </si>
  <si>
    <t>ID0260</t>
  </si>
  <si>
    <t>Decision Analyst &amp; Modeller</t>
  </si>
  <si>
    <t>ID0261</t>
  </si>
  <si>
    <t>ID0262</t>
  </si>
  <si>
    <t>Ops Adminstrator</t>
  </si>
  <si>
    <t>ID0263</t>
  </si>
  <si>
    <t>Sr. Global marketing Specialist</t>
  </si>
  <si>
    <t>ID0264</t>
  </si>
  <si>
    <t>financial accountant</t>
  </si>
  <si>
    <t>ID0265</t>
  </si>
  <si>
    <t>Software Consultant</t>
  </si>
  <si>
    <t>ID0266</t>
  </si>
  <si>
    <t>Anaylst</t>
  </si>
  <si>
    <t>ID0267</t>
  </si>
  <si>
    <t>ID0268</t>
  </si>
  <si>
    <t>senior accounting coordinator</t>
  </si>
  <si>
    <t>ID0269</t>
  </si>
  <si>
    <t>Demand Planning Mgr</t>
  </si>
  <si>
    <t>ID0270</t>
  </si>
  <si>
    <t>VP / Credit Administrator</t>
  </si>
  <si>
    <t>ID0271</t>
  </si>
  <si>
    <t>DP specialist</t>
  </si>
  <si>
    <t>ID0272</t>
  </si>
  <si>
    <t>Analyst 2</t>
  </si>
  <si>
    <t>ID0273</t>
  </si>
  <si>
    <t>VP</t>
  </si>
  <si>
    <t>ID0274</t>
  </si>
  <si>
    <t>ID0275</t>
  </si>
  <si>
    <t>ID0276</t>
  </si>
  <si>
    <t>Global Problem Management - IT</t>
  </si>
  <si>
    <t>Philippines</t>
  </si>
  <si>
    <t>ID0277</t>
  </si>
  <si>
    <t>ID0278</t>
  </si>
  <si>
    <t>Enterprise Performance Metrics Manager</t>
  </si>
  <si>
    <t>ID0279</t>
  </si>
  <si>
    <t>ID0280</t>
  </si>
  <si>
    <t>ID0281</t>
  </si>
  <si>
    <t>University Relations Intern</t>
  </si>
  <si>
    <t>ID0282</t>
  </si>
  <si>
    <t>Auxiliar Administrativo</t>
  </si>
  <si>
    <t>ID0283</t>
  </si>
  <si>
    <t>Engineering Tech Sr.</t>
  </si>
  <si>
    <t>ID0284</t>
  </si>
  <si>
    <t>Senior Specialist</t>
  </si>
  <si>
    <t>ID0285</t>
  </si>
  <si>
    <t>moneymaker</t>
  </si>
  <si>
    <t>ID0286</t>
  </si>
  <si>
    <t>ID0287</t>
  </si>
  <si>
    <t>Dubai</t>
  </si>
  <si>
    <t>ID0288</t>
  </si>
  <si>
    <t>MIS</t>
  </si>
  <si>
    <t>ID0289</t>
  </si>
  <si>
    <t>management accountant</t>
  </si>
  <si>
    <t>ID0290</t>
  </si>
  <si>
    <t>ID0291</t>
  </si>
  <si>
    <t>Telecoms Engineer</t>
  </si>
  <si>
    <t>ID0292</t>
  </si>
  <si>
    <t>Software Support</t>
  </si>
  <si>
    <t>ID0293</t>
  </si>
  <si>
    <t>Projects Planner</t>
  </si>
  <si>
    <t>ID0294</t>
  </si>
  <si>
    <t>ID0295</t>
  </si>
  <si>
    <t>Mathematical Data Analyist</t>
  </si>
  <si>
    <t>ID0296</t>
  </si>
  <si>
    <t>sales support</t>
  </si>
  <si>
    <t>ID0297</t>
  </si>
  <si>
    <t>Administrative Officer</t>
  </si>
  <si>
    <t>ID0298</t>
  </si>
  <si>
    <t>IS Manager</t>
  </si>
  <si>
    <t>ID0299</t>
  </si>
  <si>
    <t xml:space="preserve">Support Specialist </t>
  </si>
  <si>
    <t>ID0300</t>
  </si>
  <si>
    <t>FA</t>
  </si>
  <si>
    <t>ID0301</t>
  </si>
  <si>
    <t>VP of Finance</t>
  </si>
  <si>
    <t>ID0302</t>
  </si>
  <si>
    <t>PRODUCTION ASSISTANT</t>
  </si>
  <si>
    <t>ID0303</t>
  </si>
  <si>
    <t>ID0304</t>
  </si>
  <si>
    <t>ID0305</t>
  </si>
  <si>
    <t>controller</t>
  </si>
  <si>
    <t>ID0306</t>
  </si>
  <si>
    <t>HR Analyst</t>
  </si>
  <si>
    <t>ID0307</t>
  </si>
  <si>
    <t>ID0308</t>
  </si>
  <si>
    <t>Plant Controller</t>
  </si>
  <si>
    <t>ID0309</t>
  </si>
  <si>
    <t>consultant bi</t>
  </si>
  <si>
    <t>ID0310</t>
  </si>
  <si>
    <t>Royalties Coordinator</t>
  </si>
  <si>
    <t>ID0311</t>
  </si>
  <si>
    <t>Graduate Structural Engineer</t>
  </si>
  <si>
    <t>ID0312</t>
  </si>
  <si>
    <t>Operations Analyst</t>
  </si>
  <si>
    <t>ID0313</t>
  </si>
  <si>
    <t>Marketing</t>
  </si>
  <si>
    <t>ID0314</t>
  </si>
  <si>
    <t xml:space="preserve">Finance, Manager </t>
  </si>
  <si>
    <t>ID0315</t>
  </si>
  <si>
    <t>Sr. Business Analyst</t>
  </si>
  <si>
    <t>ID0316</t>
  </si>
  <si>
    <t>Information Analyst</t>
  </si>
  <si>
    <t>ID0317</t>
  </si>
  <si>
    <t>ID0318</t>
  </si>
  <si>
    <t>Financial Specialist</t>
  </si>
  <si>
    <t>ID0319</t>
  </si>
  <si>
    <t>ID0320</t>
  </si>
  <si>
    <t>Management Analyst</t>
  </si>
  <si>
    <t>ID0321</t>
  </si>
  <si>
    <t>ID0322</t>
  </si>
  <si>
    <t>Dp manager</t>
  </si>
  <si>
    <t>ID0323</t>
  </si>
  <si>
    <t>director of analytics</t>
  </si>
  <si>
    <t>ID0324</t>
  </si>
  <si>
    <t>Supply Processes Analyst</t>
  </si>
  <si>
    <t>ID0325</t>
  </si>
  <si>
    <t>ICT Technical Analyst</t>
  </si>
  <si>
    <t>ID0326</t>
  </si>
  <si>
    <t>Sourcing Specialist</t>
  </si>
  <si>
    <t>ID0327</t>
  </si>
  <si>
    <t>ID0328</t>
  </si>
  <si>
    <t>Reporting Shared Services Oferring Lead</t>
  </si>
  <si>
    <t>ID0329</t>
  </si>
  <si>
    <t>Sales Analytics Manager</t>
  </si>
  <si>
    <t>ID0330</t>
  </si>
  <si>
    <t>Product Manager Sr</t>
  </si>
  <si>
    <t>ID0331</t>
  </si>
  <si>
    <t>Database Architect</t>
  </si>
  <si>
    <t>ID0332</t>
  </si>
  <si>
    <t>ID0333</t>
  </si>
  <si>
    <t>Product developer</t>
  </si>
  <si>
    <t>ID0334</t>
  </si>
  <si>
    <t>Supply Chain Analyst</t>
  </si>
  <si>
    <t>ID0335</t>
  </si>
  <si>
    <t>financial planning</t>
  </si>
  <si>
    <t>ID0336</t>
  </si>
  <si>
    <t>Test Analyst</t>
  </si>
  <si>
    <t>ID0337</t>
  </si>
  <si>
    <t>project manager, project finance consultant</t>
  </si>
  <si>
    <t>Israel</t>
  </si>
  <si>
    <t>ID0338</t>
  </si>
  <si>
    <t>QC Fabrication Inspector</t>
  </si>
  <si>
    <t>ID0339</t>
  </si>
  <si>
    <t>Manager of Trade Investment &amp; Analysis</t>
  </si>
  <si>
    <t>ID0340</t>
  </si>
  <si>
    <t>Business Analysit</t>
  </si>
  <si>
    <t>ID0341</t>
  </si>
  <si>
    <t>Assistant Outside Plant Project Manager</t>
  </si>
  <si>
    <t>ID0342</t>
  </si>
  <si>
    <t>operation-manager</t>
  </si>
  <si>
    <t>ID0343</t>
  </si>
  <si>
    <t>ID0344</t>
  </si>
  <si>
    <t>Senior Financial Analyst</t>
  </si>
  <si>
    <t>ID0346</t>
  </si>
  <si>
    <t>Senior Data Analyst</t>
  </si>
  <si>
    <t>ID0347</t>
  </si>
  <si>
    <t>MIS EXCUTIVE</t>
  </si>
  <si>
    <t>ID0348</t>
  </si>
  <si>
    <t>Advisor</t>
  </si>
  <si>
    <t>ID0349</t>
  </si>
  <si>
    <t>Online Analyst</t>
  </si>
  <si>
    <t>ID0350</t>
  </si>
  <si>
    <t>General Manager</t>
  </si>
  <si>
    <t>ID0351</t>
  </si>
  <si>
    <t>Sr Staff Engineer</t>
  </si>
  <si>
    <t>ID0352</t>
  </si>
  <si>
    <t>Senior Design Associate</t>
  </si>
  <si>
    <t>ID0353</t>
  </si>
  <si>
    <t>ID0354</t>
  </si>
  <si>
    <t>Planning and Analysis Supervisor</t>
  </si>
  <si>
    <t>ID0355</t>
  </si>
  <si>
    <t>asset manager</t>
  </si>
  <si>
    <t>ID0356</t>
  </si>
  <si>
    <t>Transportation Engineer</t>
  </si>
  <si>
    <t>ID0357</t>
  </si>
  <si>
    <t>web marketing analyst</t>
  </si>
  <si>
    <t>ID0358</t>
  </si>
  <si>
    <t>RS</t>
  </si>
  <si>
    <t>ID0359</t>
  </si>
  <si>
    <t>ID0360</t>
  </si>
  <si>
    <t>ID0361</t>
  </si>
  <si>
    <t>Director of Payroll</t>
  </si>
  <si>
    <t>ID0362</t>
  </si>
  <si>
    <t>ID0363</t>
  </si>
  <si>
    <t>IT consultant</t>
  </si>
  <si>
    <t>Sweden</t>
  </si>
  <si>
    <t>ID0365</t>
  </si>
  <si>
    <t>ID0366</t>
  </si>
  <si>
    <t>Commercial Manager</t>
  </si>
  <si>
    <t>ID0367</t>
  </si>
  <si>
    <t>Quality Assurance Officer</t>
  </si>
  <si>
    <t>ID0368</t>
  </si>
  <si>
    <t>Senior Treasury Analyst</t>
  </si>
  <si>
    <t>ID0369</t>
  </si>
  <si>
    <t>Supervisor, Contracts, Rebates, Chargebacks and Returns</t>
  </si>
  <si>
    <t>ID0370</t>
  </si>
  <si>
    <t>ID0371</t>
  </si>
  <si>
    <t>ceo</t>
  </si>
  <si>
    <t>ID0372</t>
  </si>
  <si>
    <t>System Manager</t>
  </si>
  <si>
    <t>ID0373</t>
  </si>
  <si>
    <t>ID0374</t>
  </si>
  <si>
    <t>ID0375</t>
  </si>
  <si>
    <t>director</t>
  </si>
  <si>
    <t>ID0376</t>
  </si>
  <si>
    <t>ID0377</t>
  </si>
  <si>
    <t>Owner</t>
  </si>
  <si>
    <t>ID0378</t>
  </si>
  <si>
    <t>Senior Business Analyst</t>
  </si>
  <si>
    <t>ID0379</t>
  </si>
  <si>
    <t xml:space="preserve">marketing and sales </t>
  </si>
  <si>
    <t>ID0380</t>
  </si>
  <si>
    <t>Managing Director</t>
  </si>
  <si>
    <t>ID0381</t>
  </si>
  <si>
    <t>ID0382</t>
  </si>
  <si>
    <t>Senior Billing Engineer</t>
  </si>
  <si>
    <t>ID0383</t>
  </si>
  <si>
    <t>Quality Analyst</t>
  </si>
  <si>
    <t>ID0384</t>
  </si>
  <si>
    <t>Financial analyst</t>
  </si>
  <si>
    <t>ID0385</t>
  </si>
  <si>
    <t>Economist</t>
  </si>
  <si>
    <t>ID0386</t>
  </si>
  <si>
    <t>assistant manager (finance)</t>
  </si>
  <si>
    <t>ID0387</t>
  </si>
  <si>
    <t>Central Services Manager</t>
  </si>
  <si>
    <t>ID0388</t>
  </si>
  <si>
    <t xml:space="preserve">Trainer </t>
  </si>
  <si>
    <t>ID0389</t>
  </si>
  <si>
    <t>continuous improvement team member</t>
  </si>
  <si>
    <t>ID0390</t>
  </si>
  <si>
    <t>ID0391</t>
  </si>
  <si>
    <t>MIS Officer</t>
  </si>
  <si>
    <t>ID0392</t>
  </si>
  <si>
    <t>IR Manager</t>
  </si>
  <si>
    <t>ID0393</t>
  </si>
  <si>
    <t>ID0394</t>
  </si>
  <si>
    <t>Chief Specialist of Economics &amp; Planning</t>
  </si>
  <si>
    <t>ID0395</t>
  </si>
  <si>
    <t>Campus Budget Officer</t>
  </si>
  <si>
    <t>ID0396</t>
  </si>
  <si>
    <t>Management Ananlyst</t>
  </si>
  <si>
    <t>ID0397</t>
  </si>
  <si>
    <t>Sales Operations Analyst</t>
  </si>
  <si>
    <t>ID0398</t>
  </si>
  <si>
    <t>Computer Operator</t>
  </si>
  <si>
    <t>Bangladesh</t>
  </si>
  <si>
    <t>ID0399</t>
  </si>
  <si>
    <t>ENGINEER</t>
  </si>
  <si>
    <t>ID0400</t>
  </si>
  <si>
    <t>Sr Management Analytst 2</t>
  </si>
  <si>
    <t>ID0401</t>
  </si>
  <si>
    <t>Accounting Manager</t>
  </si>
  <si>
    <t>ID0402</t>
  </si>
  <si>
    <t>ID0403</t>
  </si>
  <si>
    <t>ID0404</t>
  </si>
  <si>
    <t>Information Research Technician II</t>
  </si>
  <si>
    <t>ID0405</t>
  </si>
  <si>
    <t>ID0406</t>
  </si>
  <si>
    <t>Sr. Systems Engineer</t>
  </si>
  <si>
    <t>ID0407</t>
  </si>
  <si>
    <t>ID0408</t>
  </si>
  <si>
    <t>Senior Purchasing Officer</t>
  </si>
  <si>
    <t>ID0409</t>
  </si>
  <si>
    <t>Mgmt Accountant</t>
  </si>
  <si>
    <t>ID0410</t>
  </si>
  <si>
    <t xml:space="preserve">Sr financial analyst </t>
  </si>
  <si>
    <t>ID0411</t>
  </si>
  <si>
    <t>Department Manager</t>
  </si>
  <si>
    <t>Romania</t>
  </si>
  <si>
    <t>ID0412</t>
  </si>
  <si>
    <t>COSTARICAN</t>
  </si>
  <si>
    <t>Businees Adminstratot</t>
  </si>
  <si>
    <t>Costa Rica</t>
  </si>
  <si>
    <t>ID0413</t>
  </si>
  <si>
    <t xml:space="preserve">Staff assistant </t>
  </si>
  <si>
    <t>ID0414</t>
  </si>
  <si>
    <t>Sr. Accountant</t>
  </si>
  <si>
    <t>ID0415</t>
  </si>
  <si>
    <t>Air Planning Analyst</t>
  </si>
  <si>
    <t>ID0416</t>
  </si>
  <si>
    <t>Credit Analyst</t>
  </si>
  <si>
    <t>ID0417</t>
  </si>
  <si>
    <t>financial management consultant</t>
  </si>
  <si>
    <t>ID0418</t>
  </si>
  <si>
    <t>ID0419</t>
  </si>
  <si>
    <t>IT Project Manager, EMEA</t>
  </si>
  <si>
    <t>ID0420</t>
  </si>
  <si>
    <t>ID0421</t>
  </si>
  <si>
    <t>IS Director</t>
  </si>
  <si>
    <t>ID0422</t>
  </si>
  <si>
    <t>ID0423</t>
  </si>
  <si>
    <t>ID0424</t>
  </si>
  <si>
    <t>teacher</t>
  </si>
  <si>
    <t>iran</t>
  </si>
  <si>
    <t>ID0425</t>
  </si>
  <si>
    <t>ID0426</t>
  </si>
  <si>
    <t>Excel trainer</t>
  </si>
  <si>
    <t>Finland</t>
  </si>
  <si>
    <t>ID0427</t>
  </si>
  <si>
    <t>WFM Team Lead</t>
  </si>
  <si>
    <t>ID0428</t>
  </si>
  <si>
    <t>Supervisor</t>
  </si>
  <si>
    <t>ID0429</t>
  </si>
  <si>
    <t>BI Developer</t>
  </si>
  <si>
    <t>ID0430</t>
  </si>
  <si>
    <t>engineer</t>
  </si>
  <si>
    <t>ID0431</t>
  </si>
  <si>
    <t>Planner</t>
  </si>
  <si>
    <t>ID0432</t>
  </si>
  <si>
    <t>ID0433</t>
  </si>
  <si>
    <t>ID0434</t>
  </si>
  <si>
    <t>Dominican Republic</t>
  </si>
  <si>
    <t>ID0435</t>
  </si>
  <si>
    <t>senior analyst</t>
  </si>
  <si>
    <t>ID0436</t>
  </si>
  <si>
    <t>Assesor</t>
  </si>
  <si>
    <t>ID0437</t>
  </si>
  <si>
    <t>Financial Analys</t>
  </si>
  <si>
    <t>ID0438</t>
  </si>
  <si>
    <t>Sr. Information Systems Analyst</t>
  </si>
  <si>
    <t>ID0439</t>
  </si>
  <si>
    <t>Senior Claims Analyst</t>
  </si>
  <si>
    <t>ID0440</t>
  </si>
  <si>
    <t>ID0441</t>
  </si>
  <si>
    <t>Sr Mgr Finance</t>
  </si>
  <si>
    <t>ID0442</t>
  </si>
  <si>
    <t>Web Portal Manager</t>
  </si>
  <si>
    <t>ID0443</t>
  </si>
  <si>
    <t>manager - MIS &amp; operations planning</t>
  </si>
  <si>
    <t>ID0444</t>
  </si>
  <si>
    <t>web analyst</t>
  </si>
  <si>
    <t>ID0445</t>
  </si>
  <si>
    <t>Management Consultant</t>
  </si>
  <si>
    <t>ID0446</t>
  </si>
  <si>
    <t>Continuos improvment</t>
  </si>
  <si>
    <t>ID0447</t>
  </si>
  <si>
    <t>Direct marketing manager</t>
  </si>
  <si>
    <t>ID0448</t>
  </si>
  <si>
    <t>mis</t>
  </si>
  <si>
    <t>ID0449</t>
  </si>
  <si>
    <t>ID0450</t>
  </si>
  <si>
    <t>ID0451</t>
  </si>
  <si>
    <t>Wine Analyst</t>
  </si>
  <si>
    <t>ID0452</t>
  </si>
  <si>
    <t>ID0453</t>
  </si>
  <si>
    <t>FinanceManager</t>
  </si>
  <si>
    <t>Somalia</t>
  </si>
  <si>
    <t>ID0454</t>
  </si>
  <si>
    <t>Regional Manager</t>
  </si>
  <si>
    <t>ID0455</t>
  </si>
  <si>
    <t>HR reporting analyst</t>
  </si>
  <si>
    <t>ID0456</t>
  </si>
  <si>
    <t>Finalcial Reporting Analyst</t>
  </si>
  <si>
    <t>ID0457</t>
  </si>
  <si>
    <t>Partner</t>
  </si>
  <si>
    <t>ID0458</t>
  </si>
  <si>
    <t>operations tech</t>
  </si>
  <si>
    <t>ID0459</t>
  </si>
  <si>
    <t>Commercial Accountant</t>
  </si>
  <si>
    <t>ID0460</t>
  </si>
  <si>
    <t>Office Manager</t>
  </si>
  <si>
    <t>ID0461</t>
  </si>
  <si>
    <t>Prod Mgr</t>
  </si>
  <si>
    <t>ID0462</t>
  </si>
  <si>
    <t>Graphics/Web Document Designer</t>
  </si>
  <si>
    <t>ID0463</t>
  </si>
  <si>
    <t>ID0464</t>
  </si>
  <si>
    <t>ID0465</t>
  </si>
  <si>
    <t>Business intelligence manager</t>
  </si>
  <si>
    <t>ID0466</t>
  </si>
  <si>
    <t>Program Manager</t>
  </si>
  <si>
    <t>ID0467</t>
  </si>
  <si>
    <t>Treasure Specialist</t>
  </si>
  <si>
    <t>Republic of Georgia</t>
  </si>
  <si>
    <t>ID0468</t>
  </si>
  <si>
    <t>Business Manager</t>
  </si>
  <si>
    <t>ID0469</t>
  </si>
  <si>
    <t>clerk</t>
  </si>
  <si>
    <t>ID0470</t>
  </si>
  <si>
    <t>ID0471</t>
  </si>
  <si>
    <t>Researcher &amp; Data Analyst</t>
  </si>
  <si>
    <t>ID0472</t>
  </si>
  <si>
    <t>ID0473</t>
  </si>
  <si>
    <t>Data Quality &amp; Analysis Manager</t>
  </si>
  <si>
    <t>ID0474</t>
  </si>
  <si>
    <t>ID0476</t>
  </si>
  <si>
    <t>Resource managment Analyst</t>
  </si>
  <si>
    <t>Estonia</t>
  </si>
  <si>
    <t>ID0477</t>
  </si>
  <si>
    <t>Account Executive</t>
  </si>
  <si>
    <t>ID0478</t>
  </si>
  <si>
    <t>video production</t>
  </si>
  <si>
    <t>ID0479</t>
  </si>
  <si>
    <t>mozambique</t>
  </si>
  <si>
    <t>ID0480</t>
  </si>
  <si>
    <t>principal engineer</t>
  </si>
  <si>
    <t>ID0481</t>
  </si>
  <si>
    <t>budget analyst</t>
  </si>
  <si>
    <t>ID0482</t>
  </si>
  <si>
    <t>Category Director (Marketing)</t>
  </si>
  <si>
    <t>ID0484</t>
  </si>
  <si>
    <t>Senior consultant accounting</t>
  </si>
  <si>
    <t>Norway</t>
  </si>
  <si>
    <t>ID0485</t>
  </si>
  <si>
    <t>Finance manager</t>
  </si>
  <si>
    <t>ID0486</t>
  </si>
  <si>
    <t>Health and safety advisor</t>
  </si>
  <si>
    <t>ID0487</t>
  </si>
  <si>
    <t>Workforce Analyst</t>
  </si>
  <si>
    <t>ID0488</t>
  </si>
  <si>
    <t>ID0489</t>
  </si>
  <si>
    <t>Sr. Marketing Solutions Analyst</t>
  </si>
  <si>
    <t>ID0490</t>
  </si>
  <si>
    <t>ID0491</t>
  </si>
  <si>
    <t>ID0492</t>
  </si>
  <si>
    <t>ID0493</t>
  </si>
  <si>
    <t>Managing Partner</t>
  </si>
  <si>
    <t>ID0494</t>
  </si>
  <si>
    <t>Administration Officer</t>
  </si>
  <si>
    <t>ID0495</t>
  </si>
  <si>
    <t>BAS</t>
  </si>
  <si>
    <t>ID0496</t>
  </si>
  <si>
    <t>ID0497</t>
  </si>
  <si>
    <t>chemist</t>
  </si>
  <si>
    <t>ID0498</t>
  </si>
  <si>
    <t>ID0499</t>
  </si>
  <si>
    <t>LOGISTIC MANAGER</t>
  </si>
  <si>
    <t>ID0500</t>
  </si>
  <si>
    <t>Manager Finance</t>
  </si>
  <si>
    <t>ID0501</t>
  </si>
  <si>
    <t>ID0502</t>
  </si>
  <si>
    <t>IT solutions coordinator</t>
  </si>
  <si>
    <t>ID0503</t>
  </si>
  <si>
    <t>Business Modeller</t>
  </si>
  <si>
    <t>ID0504</t>
  </si>
  <si>
    <t>ID0505</t>
  </si>
  <si>
    <t>ID0506</t>
  </si>
  <si>
    <t>Sr QS</t>
  </si>
  <si>
    <t>ID0507</t>
  </si>
  <si>
    <t>Report Analyst</t>
  </si>
  <si>
    <t>Spain</t>
  </si>
  <si>
    <t>ID0508</t>
  </si>
  <si>
    <t>Business Co ordinator</t>
  </si>
  <si>
    <t>ID0509</t>
  </si>
  <si>
    <t>ID0510</t>
  </si>
  <si>
    <t>duty manager</t>
  </si>
  <si>
    <t>ID0511</t>
  </si>
  <si>
    <t>ID0512</t>
  </si>
  <si>
    <t>Retail Store Manager</t>
  </si>
  <si>
    <t>ID0513</t>
  </si>
  <si>
    <t>Job Build analyst</t>
  </si>
  <si>
    <t>ID0514</t>
  </si>
  <si>
    <t>Associate</t>
  </si>
  <si>
    <t>ID0515</t>
  </si>
  <si>
    <t>ID0516</t>
  </si>
  <si>
    <t>ID0517</t>
  </si>
  <si>
    <t>ID0518</t>
  </si>
  <si>
    <t>project finance manager</t>
  </si>
  <si>
    <t>ID0519</t>
  </si>
  <si>
    <t>ID0520</t>
  </si>
  <si>
    <t>Metrics Analyst</t>
  </si>
  <si>
    <t>ID0521</t>
  </si>
  <si>
    <t>Asst.Manager</t>
  </si>
  <si>
    <t>ID0522</t>
  </si>
  <si>
    <t>ID0523</t>
  </si>
  <si>
    <t>Accounting Operations Manager</t>
  </si>
  <si>
    <t>ID0524</t>
  </si>
  <si>
    <t>ID0525</t>
  </si>
  <si>
    <t>Vice President, Analyst</t>
  </si>
  <si>
    <t>ID0526</t>
  </si>
  <si>
    <t>ID0527</t>
  </si>
  <si>
    <t>COO</t>
  </si>
  <si>
    <t>ID0528</t>
  </si>
  <si>
    <t>Financial Advisor</t>
  </si>
  <si>
    <t>ID0529</t>
  </si>
  <si>
    <t>Production Manager</t>
  </si>
  <si>
    <t>ID0530</t>
  </si>
  <si>
    <t>Manager - Finance</t>
  </si>
  <si>
    <t>ID0531</t>
  </si>
  <si>
    <t>Process Design Consultant</t>
  </si>
  <si>
    <t>ID0532</t>
  </si>
  <si>
    <t>vba specialist</t>
  </si>
  <si>
    <t>ID0533</t>
  </si>
  <si>
    <t xml:space="preserve">Analytical Department Director </t>
  </si>
  <si>
    <t>ID0534</t>
  </si>
  <si>
    <t>ID0535</t>
  </si>
  <si>
    <t>manager</t>
  </si>
  <si>
    <t>New Zealand</t>
  </si>
  <si>
    <t>ID0536</t>
  </si>
  <si>
    <t>Director of Supply Chain</t>
  </si>
  <si>
    <t>Central America</t>
  </si>
  <si>
    <t>ID0537</t>
  </si>
  <si>
    <t>Research Assistant</t>
  </si>
  <si>
    <t>ID0538</t>
  </si>
  <si>
    <t>Finance Manager</t>
  </si>
  <si>
    <t>ID0539</t>
  </si>
  <si>
    <t>Excel professional</t>
  </si>
  <si>
    <t>self-employed</t>
  </si>
  <si>
    <t>ID0540</t>
  </si>
  <si>
    <t>ID0541</t>
  </si>
  <si>
    <t>Trainer</t>
  </si>
  <si>
    <t>ID0543</t>
  </si>
  <si>
    <t>Business analyst</t>
  </si>
  <si>
    <t>ID0544</t>
  </si>
  <si>
    <t>deputy manager</t>
  </si>
  <si>
    <t>ID0545</t>
  </si>
  <si>
    <t>ID0546</t>
  </si>
  <si>
    <t>ID0547</t>
  </si>
  <si>
    <t>ID0548</t>
  </si>
  <si>
    <t>Research Associate</t>
  </si>
  <si>
    <t>ID0549</t>
  </si>
  <si>
    <t>Reports Coordinator</t>
  </si>
  <si>
    <t>ID0550</t>
  </si>
  <si>
    <t>Quality Compliance Manager</t>
  </si>
  <si>
    <t>ID0551</t>
  </si>
  <si>
    <t>Cost Analyst</t>
  </si>
  <si>
    <t>ID0552</t>
  </si>
  <si>
    <t>ID0553</t>
  </si>
  <si>
    <t>Japan</t>
  </si>
  <si>
    <t>ID0554</t>
  </si>
  <si>
    <t>ID0555</t>
  </si>
  <si>
    <t>IT Consultant</t>
  </si>
  <si>
    <t>ID0556</t>
  </si>
  <si>
    <t>Intelligence Analyst</t>
  </si>
  <si>
    <t>ID0557</t>
  </si>
  <si>
    <t>Marketing Specialist</t>
  </si>
  <si>
    <t>ID0558</t>
  </si>
  <si>
    <t>ID0559</t>
  </si>
  <si>
    <t>Proyect Manager</t>
  </si>
  <si>
    <t>ID0560</t>
  </si>
  <si>
    <t>IT Specialist</t>
  </si>
  <si>
    <t>ID0561</t>
  </si>
  <si>
    <t>CONTROLLER</t>
  </si>
  <si>
    <t>ID0562</t>
  </si>
  <si>
    <t>Technical Support Technician</t>
  </si>
  <si>
    <t>ID0563</t>
  </si>
  <si>
    <t>Director, Supply Chain Operations</t>
  </si>
  <si>
    <t>ID0564</t>
  </si>
  <si>
    <t>ID0565</t>
  </si>
  <si>
    <t>ID0566</t>
  </si>
  <si>
    <t>ID0567</t>
  </si>
  <si>
    <t>Workflow Analyst</t>
  </si>
  <si>
    <t>ID0568</t>
  </si>
  <si>
    <t>ID0569</t>
  </si>
  <si>
    <t>Finance Manager Business Services</t>
  </si>
  <si>
    <t>ID0570</t>
  </si>
  <si>
    <t>Accountant/Analyst</t>
  </si>
  <si>
    <t>ID0572</t>
  </si>
  <si>
    <t>Costing Analysis</t>
  </si>
  <si>
    <t>ID0573</t>
  </si>
  <si>
    <t>Sales Operations Supervisor</t>
  </si>
  <si>
    <t>ID0574</t>
  </si>
  <si>
    <t>ID0575</t>
  </si>
  <si>
    <t>ID0576</t>
  </si>
  <si>
    <t>Assistant</t>
  </si>
  <si>
    <t>ID0577</t>
  </si>
  <si>
    <t>In Charge</t>
  </si>
  <si>
    <t>Guyana</t>
  </si>
  <si>
    <t>ID0578</t>
  </si>
  <si>
    <t>ID0579</t>
  </si>
  <si>
    <t>ID0580</t>
  </si>
  <si>
    <t>ID0581</t>
  </si>
  <si>
    <t>ID0582</t>
  </si>
  <si>
    <t>ID0583</t>
  </si>
  <si>
    <t>ID0584</t>
  </si>
  <si>
    <t>CEO</t>
  </si>
  <si>
    <t>ID0585</t>
  </si>
  <si>
    <t>coordinator lismore regional airport</t>
  </si>
  <si>
    <t>ID0586</t>
  </si>
  <si>
    <t>Mgr Op Excellence</t>
  </si>
  <si>
    <t>ID0587</t>
  </si>
  <si>
    <t>ID0588</t>
  </si>
  <si>
    <t>Pricing and Strategy Specialist</t>
  </si>
  <si>
    <t>ID0589</t>
  </si>
  <si>
    <t>Sr. Human Resources Analyst</t>
  </si>
  <si>
    <t>ID0590</t>
  </si>
  <si>
    <t>Performance Improvement Analyst</t>
  </si>
  <si>
    <t>ID0591</t>
  </si>
  <si>
    <t>ID0592</t>
  </si>
  <si>
    <t>Sr. Analyst</t>
  </si>
  <si>
    <t>ID0593</t>
  </si>
  <si>
    <t>finance</t>
  </si>
  <si>
    <t>china</t>
  </si>
  <si>
    <t>ID0594</t>
  </si>
  <si>
    <t>Consulting</t>
  </si>
  <si>
    <t>ID0595</t>
  </si>
  <si>
    <t>ID0596</t>
  </si>
  <si>
    <t xml:space="preserve">Technology consultant </t>
  </si>
  <si>
    <t>ID0597</t>
  </si>
  <si>
    <t>ID0598</t>
  </si>
  <si>
    <t>BPO</t>
  </si>
  <si>
    <t>ID0599</t>
  </si>
  <si>
    <t>General manager</t>
  </si>
  <si>
    <t>ID0600</t>
  </si>
  <si>
    <t>Technical Analyst</t>
  </si>
  <si>
    <t>ID0601</t>
  </si>
  <si>
    <t>Head Accounts</t>
  </si>
  <si>
    <t>ID0602</t>
  </si>
  <si>
    <t>Operations</t>
  </si>
  <si>
    <t>ID0603</t>
  </si>
  <si>
    <t>Talati</t>
  </si>
  <si>
    <t>ID0604</t>
  </si>
  <si>
    <t>Product manager</t>
  </si>
  <si>
    <t>ID0605</t>
  </si>
  <si>
    <t>Helicopter Mechanic</t>
  </si>
  <si>
    <t>ID0606</t>
  </si>
  <si>
    <t>Program/Mgt Analyst</t>
  </si>
  <si>
    <t>ID0608</t>
  </si>
  <si>
    <t>Director, Analytics</t>
  </si>
  <si>
    <t>ID0609</t>
  </si>
  <si>
    <t>Purchasing Manager</t>
  </si>
  <si>
    <t>ID0611</t>
  </si>
  <si>
    <t>Incharge</t>
  </si>
  <si>
    <t>ID0612</t>
  </si>
  <si>
    <t>Sales Assistant</t>
  </si>
  <si>
    <t>ID0613</t>
  </si>
  <si>
    <t>Assistant EDP</t>
  </si>
  <si>
    <t>ID0614</t>
  </si>
  <si>
    <t>Sales ops</t>
  </si>
  <si>
    <t>ID0615</t>
  </si>
  <si>
    <t>QS</t>
  </si>
  <si>
    <t>Sri Lanka</t>
  </si>
  <si>
    <t>ID0616</t>
  </si>
  <si>
    <t>ID0617</t>
  </si>
  <si>
    <t>AGM Finance</t>
  </si>
  <si>
    <t>ID0618</t>
  </si>
  <si>
    <t>Sales Controller</t>
  </si>
  <si>
    <t>ID0619</t>
  </si>
  <si>
    <t>ID0620</t>
  </si>
  <si>
    <t>ID0621</t>
  </si>
  <si>
    <t>MIS Executive</t>
  </si>
  <si>
    <t>ID0622</t>
  </si>
  <si>
    <t>SYSTEM MANAGER</t>
  </si>
  <si>
    <t>ID0623</t>
  </si>
  <si>
    <t>ID0624</t>
  </si>
  <si>
    <t>Project coordinator</t>
  </si>
  <si>
    <t>ID0625</t>
  </si>
  <si>
    <t>ID0626</t>
  </si>
  <si>
    <t>ID0627</t>
  </si>
  <si>
    <t>ID0628</t>
  </si>
  <si>
    <t>executive</t>
  </si>
  <si>
    <t>Indonesia</t>
  </si>
  <si>
    <t>ID0629</t>
  </si>
  <si>
    <t>ID0630</t>
  </si>
  <si>
    <t>Quantity Surveyor</t>
  </si>
  <si>
    <t>ID0631</t>
  </si>
  <si>
    <t xml:space="preserve">Content Analyst </t>
  </si>
  <si>
    <t>ID0632</t>
  </si>
  <si>
    <t>ID0633</t>
  </si>
  <si>
    <t>senior business analyst</t>
  </si>
  <si>
    <t>ID0634</t>
  </si>
  <si>
    <t>ID0635</t>
  </si>
  <si>
    <t>Corporate Accountant</t>
  </si>
  <si>
    <t>ID0636</t>
  </si>
  <si>
    <t>Auditor</t>
  </si>
  <si>
    <t>ID0637</t>
  </si>
  <si>
    <t>program coordinator - automotive</t>
  </si>
  <si>
    <t>ID0638</t>
  </si>
  <si>
    <t>ID0639</t>
  </si>
  <si>
    <t>Planning Engineer</t>
  </si>
  <si>
    <t>ID0640</t>
  </si>
  <si>
    <t>Senior Executive</t>
  </si>
  <si>
    <t>ID0641</t>
  </si>
  <si>
    <t>cmo</t>
  </si>
  <si>
    <t>ID0642</t>
  </si>
  <si>
    <t>ID0643</t>
  </si>
  <si>
    <t>ID0644</t>
  </si>
  <si>
    <t>ID0645</t>
  </si>
  <si>
    <t>Sr Processor</t>
  </si>
  <si>
    <t>ID0646</t>
  </si>
  <si>
    <t>Organiser</t>
  </si>
  <si>
    <t>ID0647</t>
  </si>
  <si>
    <t>ID0648</t>
  </si>
  <si>
    <t>Quality officer</t>
  </si>
  <si>
    <t>ID0649</t>
  </si>
  <si>
    <t>Executive</t>
  </si>
  <si>
    <t>ID0650</t>
  </si>
  <si>
    <t>ID0651</t>
  </si>
  <si>
    <t>BI Consultant</t>
  </si>
  <si>
    <t>ID0652</t>
  </si>
  <si>
    <t>Assistant Manager - IT</t>
  </si>
  <si>
    <t>ID0653</t>
  </si>
  <si>
    <t>Coordinator</t>
  </si>
  <si>
    <t>ID0654</t>
  </si>
  <si>
    <t>ID0655</t>
  </si>
  <si>
    <t>MANAGER</t>
  </si>
  <si>
    <t>ID0657</t>
  </si>
  <si>
    <t>Asst Mgr</t>
  </si>
  <si>
    <t>ID0658</t>
  </si>
  <si>
    <t>ID0659</t>
  </si>
  <si>
    <t>Accounts Officer</t>
  </si>
  <si>
    <t>ID0660</t>
  </si>
  <si>
    <t>Investment Banker</t>
  </si>
  <si>
    <t>ID0661</t>
  </si>
  <si>
    <t>Co-operative bank</t>
  </si>
  <si>
    <t>ID0662</t>
  </si>
  <si>
    <t>ID0663</t>
  </si>
  <si>
    <t>Cad Engineer</t>
  </si>
  <si>
    <t>ID0664</t>
  </si>
  <si>
    <t>Mis Analyst</t>
  </si>
  <si>
    <t>ID0665</t>
  </si>
  <si>
    <t>MIS EXECUTIVE</t>
  </si>
  <si>
    <t>ID0666</t>
  </si>
  <si>
    <t>PMO</t>
  </si>
  <si>
    <t>ID0667</t>
  </si>
  <si>
    <t>Asst. Manager(Commercial)</t>
  </si>
  <si>
    <t>ID0668</t>
  </si>
  <si>
    <t>ID0669</t>
  </si>
  <si>
    <t>Education Officer</t>
  </si>
  <si>
    <t>ID0670</t>
  </si>
  <si>
    <t>Management Accountant</t>
  </si>
  <si>
    <t>ID0671</t>
  </si>
  <si>
    <t>ID0672</t>
  </si>
  <si>
    <t>Sales Coordinator</t>
  </si>
  <si>
    <t>ID0673</t>
  </si>
  <si>
    <t>TA</t>
  </si>
  <si>
    <t>ID0674</t>
  </si>
  <si>
    <t>ID0675</t>
  </si>
  <si>
    <t>ID0676</t>
  </si>
  <si>
    <t>ID0677</t>
  </si>
  <si>
    <t>ID0678</t>
  </si>
  <si>
    <t>ASM</t>
  </si>
  <si>
    <t>ID0679</t>
  </si>
  <si>
    <t>ID0680</t>
  </si>
  <si>
    <t>ID0681</t>
  </si>
  <si>
    <t>principal developer</t>
  </si>
  <si>
    <t>ID0682</t>
  </si>
  <si>
    <t>Accounts Payable Analyst</t>
  </si>
  <si>
    <t>ID0683</t>
  </si>
  <si>
    <t>Maint Sys Support Specialist</t>
  </si>
  <si>
    <t>ID0684</t>
  </si>
  <si>
    <t>ID0685</t>
  </si>
  <si>
    <t>ID0686</t>
  </si>
  <si>
    <t>ID0687</t>
  </si>
  <si>
    <t>Team Leader</t>
  </si>
  <si>
    <t>ID0688</t>
  </si>
  <si>
    <t>manager portfolio monitoring</t>
  </si>
  <si>
    <t>ID0689</t>
  </si>
  <si>
    <t>Sr. Executive Finance &amp; Accounts</t>
  </si>
  <si>
    <t>ID0690</t>
  </si>
  <si>
    <t>AREA SALES MANAGER</t>
  </si>
  <si>
    <t>ID0691</t>
  </si>
  <si>
    <t>govt</t>
  </si>
  <si>
    <t>ID0692</t>
  </si>
  <si>
    <t>COMPUTER OPERATOR</t>
  </si>
  <si>
    <t>ID0693</t>
  </si>
  <si>
    <t>Business Executive</t>
  </si>
  <si>
    <t>ID0694</t>
  </si>
  <si>
    <t>Team Lead Mis</t>
  </si>
  <si>
    <t>ID0695</t>
  </si>
  <si>
    <t>Call Centre Consultant</t>
  </si>
  <si>
    <t>Cambodia</t>
  </si>
  <si>
    <t>ID0696</t>
  </si>
  <si>
    <t>MIS executive</t>
  </si>
  <si>
    <t>ID0697</t>
  </si>
  <si>
    <t>Oprations head</t>
  </si>
  <si>
    <t>ID0698</t>
  </si>
  <si>
    <t>Asst. Manager</t>
  </si>
  <si>
    <t>ID0699</t>
  </si>
  <si>
    <t>accounts</t>
  </si>
  <si>
    <t>ID0700</t>
  </si>
  <si>
    <t>ID0701</t>
  </si>
  <si>
    <t>ID0702</t>
  </si>
  <si>
    <t>ID0703</t>
  </si>
  <si>
    <t>ID0704</t>
  </si>
  <si>
    <t>ID0705</t>
  </si>
  <si>
    <t>Cost Accountant</t>
  </si>
  <si>
    <t>ID0706</t>
  </si>
  <si>
    <t>senior executive</t>
  </si>
  <si>
    <t>ID0707</t>
  </si>
  <si>
    <t>ID0708</t>
  </si>
  <si>
    <t>Intern</t>
  </si>
  <si>
    <t>ID0709</t>
  </si>
  <si>
    <t>ID0710</t>
  </si>
  <si>
    <t>ID0711</t>
  </si>
  <si>
    <t>ID0712</t>
  </si>
  <si>
    <t>ID0713</t>
  </si>
  <si>
    <t>Audit Manager</t>
  </si>
  <si>
    <t>ID0714</t>
  </si>
  <si>
    <t>Audit - senior assistant</t>
  </si>
  <si>
    <t>Lithuania</t>
  </si>
  <si>
    <t>ID0715</t>
  </si>
  <si>
    <t>tech operator (oil)</t>
  </si>
  <si>
    <t>ID0716</t>
  </si>
  <si>
    <t xml:space="preserve">mis </t>
  </si>
  <si>
    <t>ID0717</t>
  </si>
  <si>
    <t>ID0718</t>
  </si>
  <si>
    <t>Asstt manager</t>
  </si>
  <si>
    <t>ID0719</t>
  </si>
  <si>
    <t>Import &amp; Export Documentation Executive</t>
  </si>
  <si>
    <t>ID0720</t>
  </si>
  <si>
    <t>ID0721</t>
  </si>
  <si>
    <t>Systems Manager</t>
  </si>
  <si>
    <t>ID0722</t>
  </si>
  <si>
    <t>Program management</t>
  </si>
  <si>
    <t>ID0723</t>
  </si>
  <si>
    <t>Accounts Manager</t>
  </si>
  <si>
    <t>ID0724</t>
  </si>
  <si>
    <t>sr. mis executive</t>
  </si>
  <si>
    <t>ID0725</t>
  </si>
  <si>
    <t>Modeller</t>
  </si>
  <si>
    <t>ID0726</t>
  </si>
  <si>
    <t>ID0727</t>
  </si>
  <si>
    <t>ID0728</t>
  </si>
  <si>
    <t>ID0729</t>
  </si>
  <si>
    <t>Sr Financial Execative</t>
  </si>
  <si>
    <t>ID0730</t>
  </si>
  <si>
    <t>Asst Mngr</t>
  </si>
  <si>
    <t>ID0731</t>
  </si>
  <si>
    <t>ID0732</t>
  </si>
  <si>
    <t>Sr Associate</t>
  </si>
  <si>
    <t>ID0733</t>
  </si>
  <si>
    <t>ID0734</t>
  </si>
  <si>
    <t>ID0735</t>
  </si>
  <si>
    <t>ID0736</t>
  </si>
  <si>
    <t>ERP Co-Ordinator</t>
  </si>
  <si>
    <t>ID0737</t>
  </si>
  <si>
    <t>Revenue Manager</t>
  </si>
  <si>
    <t>ID0738</t>
  </si>
  <si>
    <t>Accounts analyst</t>
  </si>
  <si>
    <t>ID0739</t>
  </si>
  <si>
    <t>ID0740</t>
  </si>
  <si>
    <t>EGYPT</t>
  </si>
  <si>
    <t>Estimator</t>
  </si>
  <si>
    <t>Egypt</t>
  </si>
  <si>
    <t>ID0741</t>
  </si>
  <si>
    <t>ID0742</t>
  </si>
  <si>
    <t>Data Analysis</t>
  </si>
  <si>
    <t>Bhutan</t>
  </si>
  <si>
    <t>ID0743</t>
  </si>
  <si>
    <t>Logistics Analyst</t>
  </si>
  <si>
    <t>ID0744</t>
  </si>
  <si>
    <t>PROCSS ASOCIATE</t>
  </si>
  <si>
    <t>ID0745</t>
  </si>
  <si>
    <t>Reporting Analyst</t>
  </si>
  <si>
    <t>ID0746</t>
  </si>
  <si>
    <t>Corporate Finance Manager</t>
  </si>
  <si>
    <t>ID0747</t>
  </si>
  <si>
    <t>ID0748</t>
  </si>
  <si>
    <t>compliance manager</t>
  </si>
  <si>
    <t>ID0749</t>
  </si>
  <si>
    <t>ID0750</t>
  </si>
  <si>
    <t>Merchandiser</t>
  </si>
  <si>
    <t>ID0751</t>
  </si>
  <si>
    <t>Project Lead</t>
  </si>
  <si>
    <t>ID0752</t>
  </si>
  <si>
    <t>ID0753</t>
  </si>
  <si>
    <t>ID0754</t>
  </si>
  <si>
    <t>SR. ACCOUNTS EXECUTIVE</t>
  </si>
  <si>
    <t>ID0755</t>
  </si>
  <si>
    <t>Business Support Specialist</t>
  </si>
  <si>
    <t>ID0756</t>
  </si>
  <si>
    <t>Assistant Manager - Group MIS</t>
  </si>
  <si>
    <t>ID0757</t>
  </si>
  <si>
    <t>ID0758</t>
  </si>
  <si>
    <t>ID0759</t>
  </si>
  <si>
    <t>NAIRA</t>
  </si>
  <si>
    <t>Company Systems Integration Manager</t>
  </si>
  <si>
    <t>Nigeria</t>
  </si>
  <si>
    <t>ID0760</t>
  </si>
  <si>
    <t>EXECUTIVE</t>
  </si>
  <si>
    <t>ID0761</t>
  </si>
  <si>
    <t>Sales Management Analyst</t>
  </si>
  <si>
    <t>ID0762</t>
  </si>
  <si>
    <t>Asst Production Planner</t>
  </si>
  <si>
    <t>ID0763</t>
  </si>
  <si>
    <t>Consultat</t>
  </si>
  <si>
    <t>Denmark</t>
  </si>
  <si>
    <t>ID0764</t>
  </si>
  <si>
    <t xml:space="preserve">System Analyst </t>
  </si>
  <si>
    <t>ID0765</t>
  </si>
  <si>
    <t>Stock Controller</t>
  </si>
  <si>
    <t>ID0766</t>
  </si>
  <si>
    <t>ACCOUNTANT</t>
  </si>
  <si>
    <t>ID0767</t>
  </si>
  <si>
    <t>Accounts Supervisor</t>
  </si>
  <si>
    <t>ID0768</t>
  </si>
  <si>
    <t>ID0769</t>
  </si>
  <si>
    <t>Data Analyst - Report Writer</t>
  </si>
  <si>
    <t>ID0770</t>
  </si>
  <si>
    <t xml:space="preserve">Regional Formwork Head </t>
  </si>
  <si>
    <t>ID0771</t>
  </si>
  <si>
    <t>BRANCH ACCOUNTANT</t>
  </si>
  <si>
    <t>ID0772</t>
  </si>
  <si>
    <t>Accounting Head</t>
  </si>
  <si>
    <t>ID0773</t>
  </si>
  <si>
    <t>OPEX CONTROL</t>
  </si>
  <si>
    <t>ID0774</t>
  </si>
  <si>
    <t>ID0775</t>
  </si>
  <si>
    <t>Associate Software Engineer</t>
  </si>
  <si>
    <t>ID0776</t>
  </si>
  <si>
    <t>ID0777</t>
  </si>
  <si>
    <t>ID0778</t>
  </si>
  <si>
    <t>italy</t>
  </si>
  <si>
    <t>ID0779</t>
  </si>
  <si>
    <t>Banker</t>
  </si>
  <si>
    <t>ID0780</t>
  </si>
  <si>
    <t>ID0781</t>
  </si>
  <si>
    <t>ID0782</t>
  </si>
  <si>
    <t>ID0783</t>
  </si>
  <si>
    <t>S&amp;D Reporting &amp; Analysis Team Leader</t>
  </si>
  <si>
    <t>ID0784</t>
  </si>
  <si>
    <t>Key Expert User</t>
  </si>
  <si>
    <t>ID0785</t>
  </si>
  <si>
    <t>company secretary</t>
  </si>
  <si>
    <t>ID0786</t>
  </si>
  <si>
    <t>Mis executiv</t>
  </si>
  <si>
    <t>ID0787</t>
  </si>
  <si>
    <t>ID0788</t>
  </si>
  <si>
    <t>ID0789</t>
  </si>
  <si>
    <t>BDM</t>
  </si>
  <si>
    <t>ID0790</t>
  </si>
  <si>
    <t>Programmer-analyst</t>
  </si>
  <si>
    <t>ID0791</t>
  </si>
  <si>
    <t>security analyst</t>
  </si>
  <si>
    <t>ID0792</t>
  </si>
  <si>
    <t>Material Planner</t>
  </si>
  <si>
    <t>ID0793</t>
  </si>
  <si>
    <t>VP Infrastructure</t>
  </si>
  <si>
    <t>ID0794</t>
  </si>
  <si>
    <t>WORKING WITH PRODUCT TEAM OF MAKEMYTRIP.COM</t>
  </si>
  <si>
    <t>ID0795</t>
  </si>
  <si>
    <t>ID0796</t>
  </si>
  <si>
    <t>Cashier</t>
  </si>
  <si>
    <t>ID0797</t>
  </si>
  <si>
    <t>Technician</t>
  </si>
  <si>
    <t>ID0798</t>
  </si>
  <si>
    <t>Market analyst</t>
  </si>
  <si>
    <t>ID0799</t>
  </si>
  <si>
    <t>Team Developer</t>
  </si>
  <si>
    <t>ID0800</t>
  </si>
  <si>
    <t>Reporting Assistant</t>
  </si>
  <si>
    <t>ID0801</t>
  </si>
  <si>
    <t>Loss Prevention Finance Coordinator</t>
  </si>
  <si>
    <t>ID0802</t>
  </si>
  <si>
    <t>ID0803</t>
  </si>
  <si>
    <t>ID0804</t>
  </si>
  <si>
    <t>ID0805</t>
  </si>
  <si>
    <t>Senior Research Analyst</t>
  </si>
  <si>
    <t>ID0806</t>
  </si>
  <si>
    <t>Director, IT/Operations</t>
  </si>
  <si>
    <t>ID0807</t>
  </si>
  <si>
    <t>Sr. Executive</t>
  </si>
  <si>
    <t>ID0808</t>
  </si>
  <si>
    <t>Operations Support Coordinator</t>
  </si>
  <si>
    <t>ID0809</t>
  </si>
  <si>
    <t>Sr. Executive MIS</t>
  </si>
  <si>
    <t>ID0810</t>
  </si>
  <si>
    <t>accountant</t>
  </si>
  <si>
    <t>ID0811</t>
  </si>
  <si>
    <t>ID0812</t>
  </si>
  <si>
    <t>Logistic KA Manager</t>
  </si>
  <si>
    <t>ID0813</t>
  </si>
  <si>
    <t>ID0814</t>
  </si>
  <si>
    <t>Deputy Manager</t>
  </si>
  <si>
    <t>ID0815</t>
  </si>
  <si>
    <t>ID0816</t>
  </si>
  <si>
    <t>Management Trainee</t>
  </si>
  <si>
    <t>ID0817</t>
  </si>
  <si>
    <t>MNR</t>
  </si>
  <si>
    <t>ID0818</t>
  </si>
  <si>
    <t>BPO information process enabler</t>
  </si>
  <si>
    <t>ID0820</t>
  </si>
  <si>
    <t>Financial controller</t>
  </si>
  <si>
    <t>ID0821</t>
  </si>
  <si>
    <t>ID0822</t>
  </si>
  <si>
    <t>Market Intelligence Analyst</t>
  </si>
  <si>
    <t>ID0823</t>
  </si>
  <si>
    <t>ID0824</t>
  </si>
  <si>
    <t>sr financial analyst</t>
  </si>
  <si>
    <t>ID0825</t>
  </si>
  <si>
    <t>Investment manager</t>
  </si>
  <si>
    <t>ID0826</t>
  </si>
  <si>
    <t>Operations Lead</t>
  </si>
  <si>
    <t>ID0827</t>
  </si>
  <si>
    <t>Financial Control Section Headm</t>
  </si>
  <si>
    <t>ID0828</t>
  </si>
  <si>
    <t>Application Developer</t>
  </si>
  <si>
    <t>ID0829</t>
  </si>
  <si>
    <t>ID0830</t>
  </si>
  <si>
    <t>ID0831</t>
  </si>
  <si>
    <t>High School Teacher</t>
  </si>
  <si>
    <t>ID0832</t>
  </si>
  <si>
    <t>ID0833</t>
  </si>
  <si>
    <t>HR Planning Specialist</t>
  </si>
  <si>
    <t>ID0834</t>
  </si>
  <si>
    <t>Managment controller</t>
  </si>
  <si>
    <t>ID0835</t>
  </si>
  <si>
    <t>AO</t>
  </si>
  <si>
    <t>ID0836</t>
  </si>
  <si>
    <t>ID0837</t>
  </si>
  <si>
    <t>business analyist</t>
  </si>
  <si>
    <t>ID0838</t>
  </si>
  <si>
    <t>ID0839</t>
  </si>
  <si>
    <t>ID0840</t>
  </si>
  <si>
    <t>actuary</t>
  </si>
  <si>
    <t>ID0841</t>
  </si>
  <si>
    <t>Analysis Quality</t>
  </si>
  <si>
    <t>ID0842</t>
  </si>
  <si>
    <t>ID0844</t>
  </si>
  <si>
    <t>ID0845</t>
  </si>
  <si>
    <t>ID0846</t>
  </si>
  <si>
    <t>Bio-Statiscian</t>
  </si>
  <si>
    <t>ID0847</t>
  </si>
  <si>
    <t>Management Intern</t>
  </si>
  <si>
    <t>ID0848</t>
  </si>
  <si>
    <t>ID0849</t>
  </si>
  <si>
    <t>financialcotroller</t>
  </si>
  <si>
    <t>ID0850</t>
  </si>
  <si>
    <t>ID0851</t>
  </si>
  <si>
    <t>Financial Analyist</t>
  </si>
  <si>
    <t>ID0852</t>
  </si>
  <si>
    <t>Marketing Manager</t>
  </si>
  <si>
    <t>ID0854</t>
  </si>
  <si>
    <t>Dir of Analytics</t>
  </si>
  <si>
    <t>ID0855</t>
  </si>
  <si>
    <t>ID0856</t>
  </si>
  <si>
    <t>Reporting Manager</t>
  </si>
  <si>
    <t>ID0857</t>
  </si>
  <si>
    <t>ID0858</t>
  </si>
  <si>
    <t>Data Research Assistant</t>
  </si>
  <si>
    <t>ID0859</t>
  </si>
  <si>
    <t>ID0860</t>
  </si>
  <si>
    <t>ID0861</t>
  </si>
  <si>
    <t>ID0862</t>
  </si>
  <si>
    <t>Uruguay</t>
  </si>
  <si>
    <t>ID0863</t>
  </si>
  <si>
    <t>Guide for About.com</t>
  </si>
  <si>
    <t>ID0864</t>
  </si>
  <si>
    <t>Policy advisor</t>
  </si>
  <si>
    <t>Aruba</t>
  </si>
  <si>
    <t>ID0865</t>
  </si>
  <si>
    <t>ID0866</t>
  </si>
  <si>
    <t>Security Access Governance Analyst</t>
  </si>
  <si>
    <t>ID0867</t>
  </si>
  <si>
    <t>IT Capacity Planner</t>
  </si>
  <si>
    <t>ID0868</t>
  </si>
  <si>
    <t>supply chain manager</t>
  </si>
  <si>
    <t>ID0869</t>
  </si>
  <si>
    <t>Boss</t>
  </si>
  <si>
    <t>ID0870</t>
  </si>
  <si>
    <t>Director, P&amp;A</t>
  </si>
  <si>
    <t>ID0871</t>
  </si>
  <si>
    <t>Project controls manager</t>
  </si>
  <si>
    <t>ID0872</t>
  </si>
  <si>
    <t>senior associate</t>
  </si>
  <si>
    <t>ID0873</t>
  </si>
  <si>
    <t>Principal Financial Analyst</t>
  </si>
  <si>
    <t>ID0874</t>
  </si>
  <si>
    <t>ID0875</t>
  </si>
  <si>
    <t>Store keeper</t>
  </si>
  <si>
    <t>ID0876</t>
  </si>
  <si>
    <t xml:space="preserve">qa team supervisor </t>
  </si>
  <si>
    <t>ID0877</t>
  </si>
  <si>
    <t>Supply Chain Administrator</t>
  </si>
  <si>
    <t>ID0878</t>
  </si>
  <si>
    <t>sup</t>
  </si>
  <si>
    <t>ID0879</t>
  </si>
  <si>
    <t>Cost Trainee</t>
  </si>
  <si>
    <t>ID0880</t>
  </si>
  <si>
    <t>Deputy Manager Finance</t>
  </si>
  <si>
    <t>Qatar</t>
  </si>
  <si>
    <t>ID0881</t>
  </si>
  <si>
    <t>Sales</t>
  </si>
  <si>
    <t>ID0882</t>
  </si>
  <si>
    <t>Medical information analist</t>
  </si>
  <si>
    <t>ID0883</t>
  </si>
  <si>
    <t>Training Coordinator</t>
  </si>
  <si>
    <t>ID0884</t>
  </si>
  <si>
    <t>Article (Internship) - CA</t>
  </si>
  <si>
    <t>ID0885</t>
  </si>
  <si>
    <t>Asst Manager</t>
  </si>
  <si>
    <t>ID0886</t>
  </si>
  <si>
    <t>Assistant Manager</t>
  </si>
  <si>
    <t>ID0887</t>
  </si>
  <si>
    <t>Commercial Director</t>
  </si>
  <si>
    <t>ID0888</t>
  </si>
  <si>
    <t>ID0889</t>
  </si>
  <si>
    <t>ID0890</t>
  </si>
  <si>
    <t>Finance Staff</t>
  </si>
  <si>
    <t>Viet Nam</t>
  </si>
  <si>
    <t>ID0891</t>
  </si>
  <si>
    <t>team coach</t>
  </si>
  <si>
    <t>ID0892</t>
  </si>
  <si>
    <t>ID0893</t>
  </si>
  <si>
    <t>ID0894</t>
  </si>
  <si>
    <t>Accountancy</t>
  </si>
  <si>
    <t>ID0895</t>
  </si>
  <si>
    <t>Manager - Business Planning &amp; Reporting</t>
  </si>
  <si>
    <t>ID0896</t>
  </si>
  <si>
    <t>ASST VICE PREDISDENT</t>
  </si>
  <si>
    <t>ID0897</t>
  </si>
  <si>
    <t>co ordinator</t>
  </si>
  <si>
    <t>ID0898</t>
  </si>
  <si>
    <t>ID0899</t>
  </si>
  <si>
    <t>Engagement Lead</t>
  </si>
  <si>
    <t>ID0900</t>
  </si>
  <si>
    <t>ID0901</t>
  </si>
  <si>
    <t>Clerk</t>
  </si>
  <si>
    <t>ID0903</t>
  </si>
  <si>
    <t xml:space="preserve">Document controller </t>
  </si>
  <si>
    <t xml:space="preserve">Kuwait </t>
  </si>
  <si>
    <t>ID0904</t>
  </si>
  <si>
    <t>ID0905</t>
  </si>
  <si>
    <t>ID0906</t>
  </si>
  <si>
    <t>ID0907</t>
  </si>
  <si>
    <t>ID0908</t>
  </si>
  <si>
    <t>ID0909</t>
  </si>
  <si>
    <t>Financial Modeller</t>
  </si>
  <si>
    <t>ID0910</t>
  </si>
  <si>
    <t>Cost accountant</t>
  </si>
  <si>
    <t>ID0911</t>
  </si>
  <si>
    <t>banker</t>
  </si>
  <si>
    <t>ID0912</t>
  </si>
  <si>
    <t>ID0913</t>
  </si>
  <si>
    <t>Manager Market Reesrach</t>
  </si>
  <si>
    <t>ID0914</t>
  </si>
  <si>
    <t>QA Supervisor</t>
  </si>
  <si>
    <t>Czech Republic</t>
  </si>
  <si>
    <t>ID0915</t>
  </si>
  <si>
    <t>Assistant manager</t>
  </si>
  <si>
    <t>ID0916</t>
  </si>
  <si>
    <t>ID0917</t>
  </si>
  <si>
    <t>Zimbabwe</t>
  </si>
  <si>
    <t>ID0918</t>
  </si>
  <si>
    <t>HR Advisor - Systems &amp; MI</t>
  </si>
  <si>
    <t>ID0919</t>
  </si>
  <si>
    <t>ANALYST</t>
  </si>
  <si>
    <t>ID0920</t>
  </si>
  <si>
    <t>ID0921</t>
  </si>
  <si>
    <t>C&amp;B Manager</t>
  </si>
  <si>
    <t>ID0922</t>
  </si>
  <si>
    <t>Senior Marketing Analyst</t>
  </si>
  <si>
    <t>ID0923</t>
  </si>
  <si>
    <t>operation supervisor</t>
  </si>
  <si>
    <t>ID0924</t>
  </si>
  <si>
    <t>MIS TEAM MEMBER</t>
  </si>
  <si>
    <t>ID0925</t>
  </si>
  <si>
    <t>ID0927</t>
  </si>
  <si>
    <t>ID0928</t>
  </si>
  <si>
    <t>Business Support Executive</t>
  </si>
  <si>
    <t>ID0929</t>
  </si>
  <si>
    <t>analytic</t>
  </si>
  <si>
    <t>Slovenia</t>
  </si>
  <si>
    <t>ID0930</t>
  </si>
  <si>
    <t>ID0931</t>
  </si>
  <si>
    <t>ID0932</t>
  </si>
  <si>
    <t>Finance Analyst</t>
  </si>
  <si>
    <t>ID0933</t>
  </si>
  <si>
    <t>Credit Controller</t>
  </si>
  <si>
    <t>ID0934</t>
  </si>
  <si>
    <t>Programmer</t>
  </si>
  <si>
    <t>ID0935</t>
  </si>
  <si>
    <t>ID0936</t>
  </si>
  <si>
    <t>business</t>
  </si>
  <si>
    <t>ID0937</t>
  </si>
  <si>
    <t>ID0938</t>
  </si>
  <si>
    <t>Albania</t>
  </si>
  <si>
    <t>ID0939</t>
  </si>
  <si>
    <t>Reconciliation Manager in Textile Mill</t>
  </si>
  <si>
    <t>ID0940</t>
  </si>
  <si>
    <t>Reporting Supervisor</t>
  </si>
  <si>
    <t>ID0941</t>
  </si>
  <si>
    <t>Financial Expert</t>
  </si>
  <si>
    <t>ID0943</t>
  </si>
  <si>
    <t>sr manager</t>
  </si>
  <si>
    <t>ID0944</t>
  </si>
  <si>
    <t>ID0945</t>
  </si>
  <si>
    <t>Client Manager</t>
  </si>
  <si>
    <t>ID0946</t>
  </si>
  <si>
    <t>ID0948</t>
  </si>
  <si>
    <t>Asst. Mgr. Finance</t>
  </si>
  <si>
    <t>ID0949</t>
  </si>
  <si>
    <t>ID0950</t>
  </si>
  <si>
    <t>Zambia</t>
  </si>
  <si>
    <t>ID0951</t>
  </si>
  <si>
    <t>ID0952</t>
  </si>
  <si>
    <t>ID0953</t>
  </si>
  <si>
    <t>Construction Engineer</t>
  </si>
  <si>
    <t>ID0954</t>
  </si>
  <si>
    <t>Marketing Insights Manager</t>
  </si>
  <si>
    <t>ID0955</t>
  </si>
  <si>
    <t>Risk analyst</t>
  </si>
  <si>
    <t>ID0957</t>
  </si>
  <si>
    <t>data analist</t>
  </si>
  <si>
    <t>ID0958</t>
  </si>
  <si>
    <t>Head Business Advisory</t>
  </si>
  <si>
    <t>ID0959</t>
  </si>
  <si>
    <t>ID0960</t>
  </si>
  <si>
    <t>Merchandise planner</t>
  </si>
  <si>
    <t>ID0961</t>
  </si>
  <si>
    <t>ID0962</t>
  </si>
  <si>
    <t>ID0963</t>
  </si>
  <si>
    <t>Software Tester</t>
  </si>
  <si>
    <t>ID0964</t>
  </si>
  <si>
    <t>Billing manager</t>
  </si>
  <si>
    <t>ID0965</t>
  </si>
  <si>
    <t>ID0966</t>
  </si>
  <si>
    <t>ID0967</t>
  </si>
  <si>
    <t>Quality Executive</t>
  </si>
  <si>
    <t>ID0968</t>
  </si>
  <si>
    <t xml:space="preserve">Business Support </t>
  </si>
  <si>
    <t>ID0969</t>
  </si>
  <si>
    <t>ID0970</t>
  </si>
  <si>
    <t>Sales Manager</t>
  </si>
  <si>
    <t>ID0971</t>
  </si>
  <si>
    <t>Finance Officer</t>
  </si>
  <si>
    <t>ID0972</t>
  </si>
  <si>
    <t>Assistant Fleet Analyst</t>
  </si>
  <si>
    <t>ID0973</t>
  </si>
  <si>
    <t>ID0974</t>
  </si>
  <si>
    <t>Operations Coordinator</t>
  </si>
  <si>
    <t>ID0975</t>
  </si>
  <si>
    <t>ID0976</t>
  </si>
  <si>
    <t>ID0977</t>
  </si>
  <si>
    <t>ID0978</t>
  </si>
  <si>
    <t>Director, Informatics</t>
  </si>
  <si>
    <t>ID0979</t>
  </si>
  <si>
    <t>ID0980</t>
  </si>
  <si>
    <t>ID0981</t>
  </si>
  <si>
    <t>ID0983</t>
  </si>
  <si>
    <t>Sustainability Strategy Advisor</t>
  </si>
  <si>
    <t>ID0984</t>
  </si>
  <si>
    <t>ID0985</t>
  </si>
  <si>
    <t>Reporting and DB Analyist</t>
  </si>
  <si>
    <t>ID0986</t>
  </si>
  <si>
    <t>ID0987</t>
  </si>
  <si>
    <t>ID0988</t>
  </si>
  <si>
    <t>malaysia</t>
  </si>
  <si>
    <t>ID0989</t>
  </si>
  <si>
    <t>ID0990</t>
  </si>
  <si>
    <t>Shipping Administrator</t>
  </si>
  <si>
    <t>ID0991</t>
  </si>
  <si>
    <t>VP, Operational Analytics</t>
  </si>
  <si>
    <t>ID0992</t>
  </si>
  <si>
    <t>Finance analyst</t>
  </si>
  <si>
    <t>ID0993</t>
  </si>
  <si>
    <t>ID0994</t>
  </si>
  <si>
    <t>ID0995</t>
  </si>
  <si>
    <t>HSLP Data Analyst</t>
  </si>
  <si>
    <t>ID0996</t>
  </si>
  <si>
    <t>ID0997</t>
  </si>
  <si>
    <t>Asia</t>
  </si>
  <si>
    <t>ID0998</t>
  </si>
  <si>
    <t>Retired Government Officer, having knowledge in excel.</t>
  </si>
  <si>
    <t>ID0999</t>
  </si>
  <si>
    <t>ID1000</t>
  </si>
  <si>
    <t>ID1001</t>
  </si>
  <si>
    <t>Credit Risk Manager</t>
  </si>
  <si>
    <t>ID1002</t>
  </si>
  <si>
    <t>ID1003</t>
  </si>
  <si>
    <t>ID1004</t>
  </si>
  <si>
    <t>Credit Manager - Loans</t>
  </si>
  <si>
    <t>ID1005</t>
  </si>
  <si>
    <t>Audit executive</t>
  </si>
  <si>
    <t>ID1006</t>
  </si>
  <si>
    <t>Staff accountant -- Auditing</t>
  </si>
  <si>
    <t>ID1007</t>
  </si>
  <si>
    <t>Asst Manager - Quality</t>
  </si>
  <si>
    <t>ID1008</t>
  </si>
  <si>
    <t>Principal Analyst</t>
  </si>
  <si>
    <t>ID1009</t>
  </si>
  <si>
    <t>Business Consultant</t>
  </si>
  <si>
    <t>ID1010</t>
  </si>
  <si>
    <t>Ass Research  Manager</t>
  </si>
  <si>
    <t>ID1011</t>
  </si>
  <si>
    <t>Data Specialist</t>
  </si>
  <si>
    <t>ID1012</t>
  </si>
  <si>
    <t>ID1013</t>
  </si>
  <si>
    <t>ID1014</t>
  </si>
  <si>
    <t>ID1015</t>
  </si>
  <si>
    <t>Sr.Analyst - Process Excellence</t>
  </si>
  <si>
    <t>ID1016</t>
  </si>
  <si>
    <t>Operations Management</t>
  </si>
  <si>
    <t>ID1017</t>
  </si>
  <si>
    <t>Management Information Consultant</t>
  </si>
  <si>
    <t>ID1018</t>
  </si>
  <si>
    <t>associate analyst</t>
  </si>
  <si>
    <t>ID1019</t>
  </si>
  <si>
    <t>Head of Financial Reporting</t>
  </si>
  <si>
    <t>Paraguay</t>
  </si>
  <si>
    <t>ID1020</t>
  </si>
  <si>
    <t>Softwar Engineer</t>
  </si>
  <si>
    <t>ID1021</t>
  </si>
  <si>
    <t>ID1023</t>
  </si>
  <si>
    <t>ID1024</t>
  </si>
  <si>
    <t>MIS &amp; Analysis</t>
  </si>
  <si>
    <t>ID1025</t>
  </si>
  <si>
    <t>ID1026</t>
  </si>
  <si>
    <t>ID1027</t>
  </si>
  <si>
    <t xml:space="preserve">Asst. Manager </t>
  </si>
  <si>
    <t>ID1028</t>
  </si>
  <si>
    <t>Project Managment Office</t>
  </si>
  <si>
    <t>ID1029</t>
  </si>
  <si>
    <t>Audit Assistant</t>
  </si>
  <si>
    <t>ID1030</t>
  </si>
  <si>
    <t>ID1031</t>
  </si>
  <si>
    <t>ID1032</t>
  </si>
  <si>
    <t>ACCOUNTS</t>
  </si>
  <si>
    <t>ID1033</t>
  </si>
  <si>
    <t>Area Sales Manager</t>
  </si>
  <si>
    <t>ID1034</t>
  </si>
  <si>
    <t>Strategic Planning Executive</t>
  </si>
  <si>
    <t>ID1035</t>
  </si>
  <si>
    <t>ID1036</t>
  </si>
  <si>
    <t>ID1037</t>
  </si>
  <si>
    <t>Category Operations Supv.</t>
  </si>
  <si>
    <t>Kuwait</t>
  </si>
  <si>
    <t>ID1038</t>
  </si>
  <si>
    <t>BI</t>
  </si>
  <si>
    <t>ID1039</t>
  </si>
  <si>
    <t>ID1040</t>
  </si>
  <si>
    <t>ID1041</t>
  </si>
  <si>
    <t>Teaching</t>
  </si>
  <si>
    <t>ID1042</t>
  </si>
  <si>
    <t>ID1043</t>
  </si>
  <si>
    <t>Excel Developer</t>
  </si>
  <si>
    <t>ID1044</t>
  </si>
  <si>
    <t>Report Specialist</t>
  </si>
  <si>
    <t>ID1045</t>
  </si>
  <si>
    <t>Project Controlling (MIS Reports)</t>
  </si>
  <si>
    <t>ID1046</t>
  </si>
  <si>
    <t>Monitoring &amp; evaluation officer</t>
  </si>
  <si>
    <t>ID1047</t>
  </si>
  <si>
    <t>ID1048</t>
  </si>
  <si>
    <t>Accounts Exec</t>
  </si>
  <si>
    <t>ID1049</t>
  </si>
  <si>
    <t>ID1050</t>
  </si>
  <si>
    <t>ID1051</t>
  </si>
  <si>
    <t>ID1052</t>
  </si>
  <si>
    <t>planning &amp; Sales Control emploee</t>
  </si>
  <si>
    <t>ID1053</t>
  </si>
  <si>
    <t>RRHH</t>
  </si>
  <si>
    <t>ID1054</t>
  </si>
  <si>
    <t>ID1055</t>
  </si>
  <si>
    <t>ID1056</t>
  </si>
  <si>
    <t>BA</t>
  </si>
  <si>
    <t>ID1057</t>
  </si>
  <si>
    <t>Management Information Systems</t>
  </si>
  <si>
    <t>ID1058</t>
  </si>
  <si>
    <t>ID1059</t>
  </si>
  <si>
    <t>Bookkeeper</t>
  </si>
  <si>
    <t>ID1060</t>
  </si>
  <si>
    <t>ID1061</t>
  </si>
  <si>
    <t>Sr Exec - Finance</t>
  </si>
  <si>
    <t>ID1062</t>
  </si>
  <si>
    <t>ID1063</t>
  </si>
  <si>
    <t>Project Administrator</t>
  </si>
  <si>
    <t>ID1064</t>
  </si>
  <si>
    <t>ID1065</t>
  </si>
  <si>
    <t>Business Development Executive</t>
  </si>
  <si>
    <t>ID1066</t>
  </si>
  <si>
    <t>ID1067</t>
  </si>
  <si>
    <t>ID1068</t>
  </si>
  <si>
    <t>ID1069</t>
  </si>
  <si>
    <t>Professional consultant-Finance</t>
  </si>
  <si>
    <t>ID1070</t>
  </si>
  <si>
    <t>ID1071</t>
  </si>
  <si>
    <t>Manager Fin</t>
  </si>
  <si>
    <t>ID1072</t>
  </si>
  <si>
    <t>business data analyst</t>
  </si>
  <si>
    <t>ID1074</t>
  </si>
  <si>
    <t>ID1075</t>
  </si>
  <si>
    <t>Assistant Professor</t>
  </si>
  <si>
    <t>ID1076</t>
  </si>
  <si>
    <t>Production manager</t>
  </si>
  <si>
    <t>ID1077</t>
  </si>
  <si>
    <t>ID1078</t>
  </si>
  <si>
    <t xml:space="preserve">SR. MIS </t>
  </si>
  <si>
    <t>ID1079</t>
  </si>
  <si>
    <t>ID1080</t>
  </si>
  <si>
    <t>Data Entry Operator</t>
  </si>
  <si>
    <t>ID1081</t>
  </si>
  <si>
    <t>Vice President</t>
  </si>
  <si>
    <t>ID1082</t>
  </si>
  <si>
    <t>ID1083</t>
  </si>
  <si>
    <t>finance assistant</t>
  </si>
  <si>
    <t>ID1084</t>
  </si>
  <si>
    <t>finance controller</t>
  </si>
  <si>
    <t>ID1085</t>
  </si>
  <si>
    <t>Manufacturing consultant</t>
  </si>
  <si>
    <t>ID1086</t>
  </si>
  <si>
    <t>Business Improvement Specialist</t>
  </si>
  <si>
    <t>ID1087</t>
  </si>
  <si>
    <t>ID1088</t>
  </si>
  <si>
    <t>Sr. Manager MIS</t>
  </si>
  <si>
    <t>ID1089</t>
  </si>
  <si>
    <t>ID1090</t>
  </si>
  <si>
    <t>ID1091</t>
  </si>
  <si>
    <t>Sr.Supervisor</t>
  </si>
  <si>
    <t>ID1092</t>
  </si>
  <si>
    <t>Policy, Performance and Research Officer</t>
  </si>
  <si>
    <t>ID1093</t>
  </si>
  <si>
    <t>ID1094</t>
  </si>
  <si>
    <t>ID1095</t>
  </si>
  <si>
    <t>ID1096</t>
  </si>
  <si>
    <t>Accounting analyst</t>
  </si>
  <si>
    <t>ID1097</t>
  </si>
  <si>
    <t>ID1098</t>
  </si>
  <si>
    <t>Business Operations Co-ordinator</t>
  </si>
  <si>
    <t>ID1099</t>
  </si>
  <si>
    <t>ID1100</t>
  </si>
  <si>
    <t>Project Control Analyst</t>
  </si>
  <si>
    <t>ID1101</t>
  </si>
  <si>
    <t>MDM Executive (Business Analyst)</t>
  </si>
  <si>
    <t>ID1102</t>
  </si>
  <si>
    <t>Data analyst</t>
  </si>
  <si>
    <t>ID1103</t>
  </si>
  <si>
    <t>ID1104</t>
  </si>
  <si>
    <t>ID1105</t>
  </si>
  <si>
    <t>OFFICER</t>
  </si>
  <si>
    <t>ID1107</t>
  </si>
  <si>
    <t>ID1108</t>
  </si>
  <si>
    <t>Spare Part Coordinator</t>
  </si>
  <si>
    <t>ID1109</t>
  </si>
  <si>
    <t>ID1110</t>
  </si>
  <si>
    <t>coordinator</t>
  </si>
  <si>
    <t>ID1111</t>
  </si>
  <si>
    <t>Systems Analyst</t>
  </si>
  <si>
    <t>ID1112</t>
  </si>
  <si>
    <t>Logistics Operation Analyst</t>
  </si>
  <si>
    <t>ID1113</t>
  </si>
  <si>
    <t>Company Secretary</t>
  </si>
  <si>
    <t>ID1114</t>
  </si>
  <si>
    <t>ID1115</t>
  </si>
  <si>
    <t>ID1116</t>
  </si>
  <si>
    <t>Q.A.Officer</t>
  </si>
  <si>
    <t>ID1117</t>
  </si>
  <si>
    <t>Assistant Director - Performance Information</t>
  </si>
  <si>
    <t>ID1118</t>
  </si>
  <si>
    <t>Developer</t>
  </si>
  <si>
    <t>ID1119</t>
  </si>
  <si>
    <t>ID1120</t>
  </si>
  <si>
    <t>Development (Project &amp; Planning) Manager</t>
  </si>
  <si>
    <t>ID1121</t>
  </si>
  <si>
    <t>ID1122</t>
  </si>
  <si>
    <t>Clinical audit manager</t>
  </si>
  <si>
    <t>ID1123</t>
  </si>
  <si>
    <t>Inventory Manager</t>
  </si>
  <si>
    <t>ID1124</t>
  </si>
  <si>
    <t>ID1125</t>
  </si>
  <si>
    <t>information Analyst</t>
  </si>
  <si>
    <t>ID1126</t>
  </si>
  <si>
    <t>Development Manager</t>
  </si>
  <si>
    <t>ID1127</t>
  </si>
  <si>
    <t>ID1128</t>
  </si>
  <si>
    <t>MI Specialist</t>
  </si>
  <si>
    <t>ID1129</t>
  </si>
  <si>
    <t>Network Enginer</t>
  </si>
  <si>
    <t>ID1130</t>
  </si>
  <si>
    <t>officer</t>
  </si>
  <si>
    <t>ID1131</t>
  </si>
  <si>
    <t>Sr. Team Lead - MIS</t>
  </si>
  <si>
    <t>ID1132</t>
  </si>
  <si>
    <t>KEY</t>
  </si>
  <si>
    <t>ID1133</t>
  </si>
  <si>
    <t>ID1134</t>
  </si>
  <si>
    <t>Sales Planning</t>
  </si>
  <si>
    <t>ID1135</t>
  </si>
  <si>
    <t>GM Finance</t>
  </si>
  <si>
    <t>ID1136</t>
  </si>
  <si>
    <t>ID1137</t>
  </si>
  <si>
    <t>ID1138</t>
  </si>
  <si>
    <t>Performance manager</t>
  </si>
  <si>
    <t>ID1139</t>
  </si>
  <si>
    <t>software engineer</t>
  </si>
  <si>
    <t>ID1140</t>
  </si>
  <si>
    <t>ID1141</t>
  </si>
  <si>
    <t>ID1142</t>
  </si>
  <si>
    <t>MIS Sr. Executive</t>
  </si>
  <si>
    <t>ID1143</t>
  </si>
  <si>
    <t>Translator</t>
  </si>
  <si>
    <t>ID1144</t>
  </si>
  <si>
    <t>Business Anaylyst</t>
  </si>
  <si>
    <t>ID1145</t>
  </si>
  <si>
    <t>ID1146</t>
  </si>
  <si>
    <t>Lead Research Analyst</t>
  </si>
  <si>
    <t>ID1147</t>
  </si>
  <si>
    <t>Management Information Manager</t>
  </si>
  <si>
    <t>CEE</t>
  </si>
  <si>
    <t>ID1148</t>
  </si>
  <si>
    <t>Data Management Officer</t>
  </si>
  <si>
    <t>ID1149</t>
  </si>
  <si>
    <t>Reporting Accountant</t>
  </si>
  <si>
    <t>ID1150</t>
  </si>
  <si>
    <t>Construction Planner</t>
  </si>
  <si>
    <t>ID1151</t>
  </si>
  <si>
    <t>Assistant Accountant</t>
  </si>
  <si>
    <t>ID1152</t>
  </si>
  <si>
    <t>BI Analyst</t>
  </si>
  <si>
    <t>ID1153</t>
  </si>
  <si>
    <t>MI Analyst</t>
  </si>
  <si>
    <t>ID1154</t>
  </si>
  <si>
    <t>Accounts Assistant</t>
  </si>
  <si>
    <t>ID1155</t>
  </si>
  <si>
    <t>Montenegro</t>
  </si>
  <si>
    <t>ID1156</t>
  </si>
  <si>
    <t>Corporate Finance Executive</t>
  </si>
  <si>
    <t>ID1157</t>
  </si>
  <si>
    <t>Manager-Operation</t>
  </si>
  <si>
    <t>ID1158</t>
  </si>
  <si>
    <t>ID1159</t>
  </si>
  <si>
    <t>Financial Analysist</t>
  </si>
  <si>
    <t>ID1160</t>
  </si>
  <si>
    <t>AM Ops</t>
  </si>
  <si>
    <t>ID1161</t>
  </si>
  <si>
    <t>ID1162</t>
  </si>
  <si>
    <t>pricing and cost manager</t>
  </si>
  <si>
    <t>ID1163</t>
  </si>
  <si>
    <t>Catlog associates</t>
  </si>
  <si>
    <t>ID1164</t>
  </si>
  <si>
    <t>Business Analyst - Central Finance</t>
  </si>
  <si>
    <t>ID1165</t>
  </si>
  <si>
    <t>Analista de Produccion</t>
  </si>
  <si>
    <t>Republica Dominicana</t>
  </si>
  <si>
    <t>ID1166</t>
  </si>
  <si>
    <t>IT Analyst (Reporting)</t>
  </si>
  <si>
    <t>ID1167</t>
  </si>
  <si>
    <t>ID1168</t>
  </si>
  <si>
    <t>ID1169</t>
  </si>
  <si>
    <t>ID1170</t>
  </si>
  <si>
    <t>ID1171</t>
  </si>
  <si>
    <t>Logistics Coordinator</t>
  </si>
  <si>
    <t>ID1172</t>
  </si>
  <si>
    <t>ID1173</t>
  </si>
  <si>
    <t>ID1175</t>
  </si>
  <si>
    <t>Service Analyst</t>
  </si>
  <si>
    <t>ID1176</t>
  </si>
  <si>
    <t>Head of Finance</t>
  </si>
  <si>
    <t>ID1177</t>
  </si>
  <si>
    <t>ID1178</t>
  </si>
  <si>
    <t>ID1179</t>
  </si>
  <si>
    <t>ID1180</t>
  </si>
  <si>
    <t>Business Intelligence Manager</t>
  </si>
  <si>
    <t>ID1181</t>
  </si>
  <si>
    <t>Network Administrator</t>
  </si>
  <si>
    <t>ID1182</t>
  </si>
  <si>
    <t>Performance Analyst</t>
  </si>
  <si>
    <t>ID1183</t>
  </si>
  <si>
    <t>Data Entry Clerk III</t>
  </si>
  <si>
    <t>ID1184</t>
  </si>
  <si>
    <t>officer accounts</t>
  </si>
  <si>
    <t>ID1185</t>
  </si>
  <si>
    <t>ID1186</t>
  </si>
  <si>
    <t>Cost Controlling Executive</t>
  </si>
  <si>
    <t>ID1187</t>
  </si>
  <si>
    <t>Administration Manager</t>
  </si>
  <si>
    <t>Argentina</t>
  </si>
  <si>
    <t>ID1188</t>
  </si>
  <si>
    <t>ID1189</t>
  </si>
  <si>
    <t>ID1190</t>
  </si>
  <si>
    <t>Excel Corporate Trainer</t>
  </si>
  <si>
    <t>ID1191</t>
  </si>
  <si>
    <t>Quality Management</t>
  </si>
  <si>
    <t>ID1192</t>
  </si>
  <si>
    <t>ID1193</t>
  </si>
  <si>
    <t>Supervisor MIS</t>
  </si>
  <si>
    <t>ID1194</t>
  </si>
  <si>
    <t>ID1195</t>
  </si>
  <si>
    <t>Business Analyst - Solutions</t>
  </si>
  <si>
    <t>ID1196</t>
  </si>
  <si>
    <t>KENYA</t>
  </si>
  <si>
    <t>Kenya</t>
  </si>
  <si>
    <t>ID1197</t>
  </si>
  <si>
    <t>Finance Project Manager</t>
  </si>
  <si>
    <t>ID1198</t>
  </si>
  <si>
    <t>Manager, Strategy &amp; Insights</t>
  </si>
  <si>
    <t>ID1199</t>
  </si>
  <si>
    <t>Financial/Data Analyst</t>
  </si>
  <si>
    <t>ID1200</t>
  </si>
  <si>
    <t>ID1201</t>
  </si>
  <si>
    <t>business consultant</t>
  </si>
  <si>
    <t>ID1202</t>
  </si>
  <si>
    <t>Documentation Consultant</t>
  </si>
  <si>
    <t>ID1203</t>
  </si>
  <si>
    <t>Sr. Consultant</t>
  </si>
  <si>
    <t>ID1204</t>
  </si>
  <si>
    <t>ID1205</t>
  </si>
  <si>
    <t>investment accountant</t>
  </si>
  <si>
    <t>ID1206</t>
  </si>
  <si>
    <t>ID1207</t>
  </si>
  <si>
    <t>Officer Production</t>
  </si>
  <si>
    <t>ID1208</t>
  </si>
  <si>
    <t>warehouse management</t>
  </si>
  <si>
    <t>ID1209</t>
  </si>
  <si>
    <t>Chief Accountant</t>
  </si>
  <si>
    <t>ID1210</t>
  </si>
  <si>
    <t>Manager F &amp; A</t>
  </si>
  <si>
    <t>ID1211</t>
  </si>
  <si>
    <t>Quality Assurance Engineer</t>
  </si>
  <si>
    <t>ID1212</t>
  </si>
  <si>
    <t>ID1213</t>
  </si>
  <si>
    <t>Manager Business Controlling</t>
  </si>
  <si>
    <t>ID1214</t>
  </si>
  <si>
    <t>ID1215</t>
  </si>
  <si>
    <t>sample manager</t>
  </si>
  <si>
    <t>ID1216</t>
  </si>
  <si>
    <t>Practice Manager</t>
  </si>
  <si>
    <t>ID1217</t>
  </si>
  <si>
    <t>ID1218</t>
  </si>
  <si>
    <t>marketing specialist</t>
  </si>
  <si>
    <t>ID1219</t>
  </si>
  <si>
    <t>ID1220</t>
  </si>
  <si>
    <t>Staff Accountant</t>
  </si>
  <si>
    <t>ID1221</t>
  </si>
  <si>
    <t>Manager Corporate Finance</t>
  </si>
  <si>
    <t>Latin America</t>
  </si>
  <si>
    <t>ID1222</t>
  </si>
  <si>
    <t>ID1223</t>
  </si>
  <si>
    <t>ASSISTANT MANAGER</t>
  </si>
  <si>
    <t>ID1224</t>
  </si>
  <si>
    <t>ID1225</t>
  </si>
  <si>
    <t>Lead Executive MIS</t>
  </si>
  <si>
    <t>ID1226</t>
  </si>
  <si>
    <t>Snr Business Analyst</t>
  </si>
  <si>
    <t>ID1227</t>
  </si>
  <si>
    <t>ID1228</t>
  </si>
  <si>
    <t>ID1229</t>
  </si>
  <si>
    <t>assurance manager</t>
  </si>
  <si>
    <t>ID1230</t>
  </si>
  <si>
    <t>ID1231</t>
  </si>
  <si>
    <t>SOX,SAP, Insurance Coordinator</t>
  </si>
  <si>
    <t>ID1232</t>
  </si>
  <si>
    <t>ID1233</t>
  </si>
  <si>
    <t>Financial Accountant</t>
  </si>
  <si>
    <t>ID1234</t>
  </si>
  <si>
    <t>Pmo</t>
  </si>
  <si>
    <t>ID1235</t>
  </si>
  <si>
    <t>ID1236</t>
  </si>
  <si>
    <t>Stafmember</t>
  </si>
  <si>
    <t>ID1237</t>
  </si>
  <si>
    <t>ID1238</t>
  </si>
  <si>
    <t>ID1239</t>
  </si>
  <si>
    <t>education advisor</t>
  </si>
  <si>
    <t>ID1240</t>
  </si>
  <si>
    <t>ID1241</t>
  </si>
  <si>
    <t>Senior Accounts Clerk</t>
  </si>
  <si>
    <t>ID1242</t>
  </si>
  <si>
    <t>ID1243</t>
  </si>
  <si>
    <t>Infection Prevention Surveillance Specialist</t>
  </si>
  <si>
    <t>ID1244</t>
  </si>
  <si>
    <t>ID1245</t>
  </si>
  <si>
    <t>Office Instructor</t>
  </si>
  <si>
    <t>ID1246</t>
  </si>
  <si>
    <t>Investment Accountant</t>
  </si>
  <si>
    <t>ID1247</t>
  </si>
  <si>
    <t>owner</t>
  </si>
  <si>
    <t>ID1248</t>
  </si>
  <si>
    <t xml:space="preserve">Senior Executive Compensation Analyst </t>
  </si>
  <si>
    <t>ID1249</t>
  </si>
  <si>
    <t>Markets Adviser</t>
  </si>
  <si>
    <t>ID1250</t>
  </si>
  <si>
    <t>ID1251</t>
  </si>
  <si>
    <t>ID1252</t>
  </si>
  <si>
    <t>ID1253</t>
  </si>
  <si>
    <t>Program &amp; Policy Analyst-Advanced</t>
  </si>
  <si>
    <t>ID1254</t>
  </si>
  <si>
    <t>ID1255</t>
  </si>
  <si>
    <t>systems accountant</t>
  </si>
  <si>
    <t>ID1256</t>
  </si>
  <si>
    <t>Sr. Systems Analyst</t>
  </si>
  <si>
    <t>ID1257</t>
  </si>
  <si>
    <t>Environmental Information Analyst</t>
  </si>
  <si>
    <t>ID1258</t>
  </si>
  <si>
    <t>Develope</t>
  </si>
  <si>
    <t>ID1259</t>
  </si>
  <si>
    <t>it manager</t>
  </si>
  <si>
    <t>ID1260</t>
  </si>
  <si>
    <t>MONGOLIAN</t>
  </si>
  <si>
    <t>Mongolia</t>
  </si>
  <si>
    <t>ID1261</t>
  </si>
  <si>
    <t>Process Engineering</t>
  </si>
  <si>
    <t>ID1262</t>
  </si>
  <si>
    <t>Consultant - Process Improvement</t>
  </si>
  <si>
    <t>ID1263</t>
  </si>
  <si>
    <t>ID1264</t>
  </si>
  <si>
    <t>ID1265</t>
  </si>
  <si>
    <t>Senior Materials Handler</t>
  </si>
  <si>
    <t>ID1266</t>
  </si>
  <si>
    <t>Certified Public Accountant</t>
  </si>
  <si>
    <t>ID1267</t>
  </si>
  <si>
    <t>Manager - Marketing Analytics</t>
  </si>
  <si>
    <t>ID1268</t>
  </si>
  <si>
    <t>Contractor/Consultant</t>
  </si>
  <si>
    <t>ID1270</t>
  </si>
  <si>
    <t>Operations Support Officer</t>
  </si>
  <si>
    <t>ID1271</t>
  </si>
  <si>
    <t>master scheduler</t>
  </si>
  <si>
    <t>ID1273</t>
  </si>
  <si>
    <t>Practice Manager - Business Operations</t>
  </si>
  <si>
    <t>ID1274</t>
  </si>
  <si>
    <t>ID1275</t>
  </si>
  <si>
    <t>ID1276</t>
  </si>
  <si>
    <t>Staff Assistant</t>
  </si>
  <si>
    <t>ID1277</t>
  </si>
  <si>
    <t>AVP Securitisation</t>
  </si>
  <si>
    <t>ID1278</t>
  </si>
  <si>
    <t>Asstt. Manager</t>
  </si>
  <si>
    <t>ID1279</t>
  </si>
  <si>
    <t>ID1280</t>
  </si>
  <si>
    <t>Assistant Data Analyst</t>
  </si>
  <si>
    <t>ID1281</t>
  </si>
  <si>
    <t>Team Leader WFM</t>
  </si>
  <si>
    <t>ID1282</t>
  </si>
  <si>
    <t>ID1283</t>
  </si>
  <si>
    <t>manager operation</t>
  </si>
  <si>
    <t>ID1284</t>
  </si>
  <si>
    <t>ID1285</t>
  </si>
  <si>
    <t>RENTAL INVENTORY CONTROLLER</t>
  </si>
  <si>
    <t>ID1286</t>
  </si>
  <si>
    <t>Publisher</t>
  </si>
  <si>
    <t>ID1287</t>
  </si>
  <si>
    <t>Resource Planning Analyst</t>
  </si>
  <si>
    <t>ID1288</t>
  </si>
  <si>
    <t>ID1289</t>
  </si>
  <si>
    <t>MIS OFFICER</t>
  </si>
  <si>
    <t>ID1290</t>
  </si>
  <si>
    <t>ID1291</t>
  </si>
  <si>
    <t>Monitoring &amp; Evaluation officer</t>
  </si>
  <si>
    <t>Myanmar</t>
  </si>
  <si>
    <t>ID1292</t>
  </si>
  <si>
    <t>Pricing Analyst</t>
  </si>
  <si>
    <t>ID1294</t>
  </si>
  <si>
    <t>ID1295</t>
  </si>
  <si>
    <t>ID1296</t>
  </si>
  <si>
    <t>ID1297</t>
  </si>
  <si>
    <t>excel prof</t>
  </si>
  <si>
    <t>ID1298</t>
  </si>
  <si>
    <t>Employee</t>
  </si>
  <si>
    <t>ID1299</t>
  </si>
  <si>
    <t>Senior Business Executive</t>
  </si>
  <si>
    <t>ID1301</t>
  </si>
  <si>
    <t>I dont know</t>
  </si>
  <si>
    <t>ID1302</t>
  </si>
  <si>
    <t>Financial Analysis</t>
  </si>
  <si>
    <t>ID1303</t>
  </si>
  <si>
    <t>ID1304</t>
  </si>
  <si>
    <t>ID1305</t>
  </si>
  <si>
    <t>Uganda</t>
  </si>
  <si>
    <t>ID1306</t>
  </si>
  <si>
    <t>Project Support Officer</t>
  </si>
  <si>
    <t>ID1307</t>
  </si>
  <si>
    <t>Document Control</t>
  </si>
  <si>
    <t>ID1308</t>
  </si>
  <si>
    <t>Asst Manager HR</t>
  </si>
  <si>
    <t>ID1309</t>
  </si>
  <si>
    <t>Senior software engineer</t>
  </si>
  <si>
    <t>ID1310</t>
  </si>
  <si>
    <t>ID1311</t>
  </si>
  <si>
    <t>MIS cum Purchase Executive</t>
  </si>
  <si>
    <t>ID1312</t>
  </si>
  <si>
    <t>Information analyst</t>
  </si>
  <si>
    <t>ID1313</t>
  </si>
  <si>
    <t>ID1314</t>
  </si>
  <si>
    <t>Sr. Executive -HR</t>
  </si>
  <si>
    <t>ID1315</t>
  </si>
  <si>
    <t>Salary Professsional</t>
  </si>
  <si>
    <t>ID1316</t>
  </si>
  <si>
    <t>ID1317</t>
  </si>
  <si>
    <t>FANANCE</t>
  </si>
  <si>
    <t>ID1318</t>
  </si>
  <si>
    <t>Manager - Corporate strategy and Planning</t>
  </si>
  <si>
    <t>ID1319</t>
  </si>
  <si>
    <t>ID1320</t>
  </si>
  <si>
    <t>NAF Support Manager</t>
  </si>
  <si>
    <t>ID1322</t>
  </si>
  <si>
    <t>Project manager of IT infrastructure</t>
  </si>
  <si>
    <t>ID1323</t>
  </si>
  <si>
    <t>ID1324</t>
  </si>
  <si>
    <t>relationship manager</t>
  </si>
  <si>
    <t>ID1325</t>
  </si>
  <si>
    <t>ID1326</t>
  </si>
  <si>
    <t>ID1327</t>
  </si>
  <si>
    <t>ID1328</t>
  </si>
  <si>
    <t>ID1329</t>
  </si>
  <si>
    <t>AM business Intelligence</t>
  </si>
  <si>
    <t>ID1330</t>
  </si>
  <si>
    <t>MIS Associate</t>
  </si>
  <si>
    <t>ID1331</t>
  </si>
  <si>
    <t>ID1332</t>
  </si>
  <si>
    <t>ID1333</t>
  </si>
  <si>
    <t>ID1334</t>
  </si>
  <si>
    <t>TL WFM</t>
  </si>
  <si>
    <t>ID1335</t>
  </si>
  <si>
    <t>ID1336</t>
  </si>
  <si>
    <t>Dir. Revenue Mgt</t>
  </si>
  <si>
    <t>ID1337</t>
  </si>
  <si>
    <t>Controlling Manager</t>
  </si>
  <si>
    <t>ID1338</t>
  </si>
  <si>
    <t>Financial Modelling Analyst</t>
  </si>
  <si>
    <t>ID1339</t>
  </si>
  <si>
    <t>support manager</t>
  </si>
  <si>
    <t>ID1340</t>
  </si>
  <si>
    <t>Web Analyst</t>
  </si>
  <si>
    <t>ID1341</t>
  </si>
  <si>
    <t>ID1342</t>
  </si>
  <si>
    <t>ID1343</t>
  </si>
  <si>
    <t>liquidity manager</t>
  </si>
  <si>
    <t>Ghana</t>
  </si>
  <si>
    <t>ID1344</t>
  </si>
  <si>
    <t>PO/PMO/Planner/PM</t>
  </si>
  <si>
    <t>ID1345</t>
  </si>
  <si>
    <t xml:space="preserve">Senior Associate </t>
  </si>
  <si>
    <t>ID1346</t>
  </si>
  <si>
    <t>ID1347</t>
  </si>
  <si>
    <t>MIS HR,HRIS</t>
  </si>
  <si>
    <t>ID1348</t>
  </si>
  <si>
    <t>ID1349</t>
  </si>
  <si>
    <t>ID1350</t>
  </si>
  <si>
    <t>Asst. Production Manager</t>
  </si>
  <si>
    <t>ID1351</t>
  </si>
  <si>
    <t>ID1352</t>
  </si>
  <si>
    <t>ID1353</t>
  </si>
  <si>
    <t>assistant</t>
  </si>
  <si>
    <t>ID1354</t>
  </si>
  <si>
    <t>Bus Analyst</t>
  </si>
  <si>
    <t>ID1355</t>
  </si>
  <si>
    <t>Vice President of Performance Management</t>
  </si>
  <si>
    <t>ID1356</t>
  </si>
  <si>
    <t>Principal advisor</t>
  </si>
  <si>
    <t>ID1357</t>
  </si>
  <si>
    <t>Director of Technology</t>
  </si>
  <si>
    <t>ID1358</t>
  </si>
  <si>
    <t>Austria</t>
  </si>
  <si>
    <t>ID1359</t>
  </si>
  <si>
    <t>ID1360</t>
  </si>
  <si>
    <t>Credit Executive</t>
  </si>
  <si>
    <t>ID1361</t>
  </si>
  <si>
    <t>Business Analytics Associate</t>
  </si>
  <si>
    <t>ID1362</t>
  </si>
  <si>
    <t>Engineering Tech</t>
  </si>
  <si>
    <t>ID1363</t>
  </si>
  <si>
    <t>Mechanical Design engineer</t>
  </si>
  <si>
    <t>ID1364</t>
  </si>
  <si>
    <t>ID1365</t>
  </si>
  <si>
    <t>Business Information Analyst</t>
  </si>
  <si>
    <t>ID1366</t>
  </si>
  <si>
    <t>ID1367</t>
  </si>
  <si>
    <t>Junior Controller</t>
  </si>
  <si>
    <t>ID1368</t>
  </si>
  <si>
    <t>System Analyst (Configuration Mgmt)</t>
  </si>
  <si>
    <t>ID1369</t>
  </si>
  <si>
    <t>Planning Supervisor</t>
  </si>
  <si>
    <t>ID1370</t>
  </si>
  <si>
    <t>ID1371</t>
  </si>
  <si>
    <t>Manager of Data Analytics</t>
  </si>
  <si>
    <t>ID1372</t>
  </si>
  <si>
    <t>ID1373</t>
  </si>
  <si>
    <t>Quality Control Supervisor</t>
  </si>
  <si>
    <t>ID1374</t>
  </si>
  <si>
    <t>ID1375</t>
  </si>
  <si>
    <t>ID1376</t>
  </si>
  <si>
    <t>ID1377</t>
  </si>
  <si>
    <t>clerk 24 hrs per week</t>
  </si>
  <si>
    <t>ID1378</t>
  </si>
  <si>
    <t>Engineering Intern</t>
  </si>
  <si>
    <t>ID1379</t>
  </si>
  <si>
    <t>ID1380</t>
  </si>
  <si>
    <t>ID1381</t>
  </si>
  <si>
    <t>ID1382</t>
  </si>
  <si>
    <t>Vice Head of Dpt in Education</t>
  </si>
  <si>
    <t>ID1383</t>
  </si>
  <si>
    <t>Senior Planning Analyst</t>
  </si>
  <si>
    <t>ID1384</t>
  </si>
  <si>
    <t>energy engineer</t>
  </si>
  <si>
    <t>ID1385</t>
  </si>
  <si>
    <t>ID1386</t>
  </si>
  <si>
    <t>Measurement &amp; Verification Engineer</t>
  </si>
  <si>
    <t>ID1387</t>
  </si>
  <si>
    <t>Sr. Manager of Finance</t>
  </si>
  <si>
    <t>ID1388</t>
  </si>
  <si>
    <t>ID1389</t>
  </si>
  <si>
    <t>I.T Manager</t>
  </si>
  <si>
    <t>ID1390</t>
  </si>
  <si>
    <t>ID1391</t>
  </si>
  <si>
    <t>Measurement Specialist</t>
  </si>
  <si>
    <t>ID1392</t>
  </si>
  <si>
    <t>Test engineer</t>
  </si>
  <si>
    <t>ID1393</t>
  </si>
  <si>
    <t>VP, Business Management</t>
  </si>
  <si>
    <t>ID1394</t>
  </si>
  <si>
    <t>MIS Controller</t>
  </si>
  <si>
    <t>Europe</t>
  </si>
  <si>
    <t>ID1395</t>
  </si>
  <si>
    <t>Senior Underwriting Analyst</t>
  </si>
  <si>
    <t>ID1396</t>
  </si>
  <si>
    <t>ID1397</t>
  </si>
  <si>
    <t>Data Integrity &amp; Reporting Tool Analyst</t>
  </si>
  <si>
    <t>ID1398</t>
  </si>
  <si>
    <t>Manager FP and A</t>
  </si>
  <si>
    <t>ID1399</t>
  </si>
  <si>
    <t>Business Operation Specialist</t>
  </si>
  <si>
    <t>ID1400</t>
  </si>
  <si>
    <t>Stress Engineer</t>
  </si>
  <si>
    <t>ID1401</t>
  </si>
  <si>
    <t>ID1402</t>
  </si>
  <si>
    <t>eeo analyst</t>
  </si>
  <si>
    <t>ID1403</t>
  </si>
  <si>
    <t>Sr Process Consultant</t>
  </si>
  <si>
    <t>ID1404</t>
  </si>
  <si>
    <t>Credentialing Coordinator &amp; Productivity Reports "Guru"</t>
  </si>
  <si>
    <t>ID1405</t>
  </si>
  <si>
    <t>Transportation Planner</t>
  </si>
  <si>
    <t>ID1406</t>
  </si>
  <si>
    <t>ID1407</t>
  </si>
  <si>
    <t>ID1408</t>
  </si>
  <si>
    <t>Risk Analyst</t>
  </si>
  <si>
    <t>ID1409</t>
  </si>
  <si>
    <t>Project Coordinator</t>
  </si>
  <si>
    <t>ID1410</t>
  </si>
  <si>
    <t>ID1411</t>
  </si>
  <si>
    <t>Data Analytics Consultant</t>
  </si>
  <si>
    <t>ID1412</t>
  </si>
  <si>
    <t>ID1413</t>
  </si>
  <si>
    <t>Manager, Financial Planning &amp; Analysis</t>
  </si>
  <si>
    <t>ID1414</t>
  </si>
  <si>
    <t>Lead Budget/Financial Analyst</t>
  </si>
  <si>
    <t>ID1415</t>
  </si>
  <si>
    <t>Senior Electrical Engineer</t>
  </si>
  <si>
    <t>ID1416</t>
  </si>
  <si>
    <t>Accounting Supervisor</t>
  </si>
  <si>
    <t>ID1417</t>
  </si>
  <si>
    <t>ID1418</t>
  </si>
  <si>
    <t>Tax Manager</t>
  </si>
  <si>
    <t>ID1419</t>
  </si>
  <si>
    <t>ID1420</t>
  </si>
  <si>
    <t>Finance &amp; IT Manager</t>
  </si>
  <si>
    <t>ID1421</t>
  </si>
  <si>
    <t>Technical Support Specialist</t>
  </si>
  <si>
    <t>ID1422</t>
  </si>
  <si>
    <t>Clinical Data Specialist</t>
  </si>
  <si>
    <t>ID1423</t>
  </si>
  <si>
    <t>Associate - Indirect Tax</t>
  </si>
  <si>
    <t>ID1424</t>
  </si>
  <si>
    <t>ID1425</t>
  </si>
  <si>
    <t>Digital Analyst</t>
  </si>
  <si>
    <t>ID1426</t>
  </si>
  <si>
    <t>ID1427</t>
  </si>
  <si>
    <t>Senior Budget Analyst</t>
  </si>
  <si>
    <t>ID1428</t>
  </si>
  <si>
    <t>HR Cordinator</t>
  </si>
  <si>
    <t>ID1429</t>
  </si>
  <si>
    <t>Treasury Analyst</t>
  </si>
  <si>
    <t>ID1430</t>
  </si>
  <si>
    <t>Assistant Engineer</t>
  </si>
  <si>
    <t>ID1431</t>
  </si>
  <si>
    <t>ID1432</t>
  </si>
  <si>
    <t>sr. senior analyst</t>
  </si>
  <si>
    <t>ID1433</t>
  </si>
  <si>
    <t>ID1434</t>
  </si>
  <si>
    <t>Project Manager - Finance</t>
  </si>
  <si>
    <t>ID1435</t>
  </si>
  <si>
    <t>Senior analyst, ops support</t>
  </si>
  <si>
    <t>ID1436</t>
  </si>
  <si>
    <t>ISO TS Documentation</t>
  </si>
  <si>
    <t>ID1437</t>
  </si>
  <si>
    <t>ID1438</t>
  </si>
  <si>
    <t>inventory controller</t>
  </si>
  <si>
    <t>ID1439</t>
  </si>
  <si>
    <t>Accounting manager</t>
  </si>
  <si>
    <t>ID1440</t>
  </si>
  <si>
    <t>PA</t>
  </si>
  <si>
    <t>ID1442</t>
  </si>
  <si>
    <t>ID1443</t>
  </si>
  <si>
    <t>Manager, Data Management</t>
  </si>
  <si>
    <t>ID1444</t>
  </si>
  <si>
    <t>ID1445</t>
  </si>
  <si>
    <t>ID1446</t>
  </si>
  <si>
    <t>Liquidity Management Executive</t>
  </si>
  <si>
    <t>ID1447</t>
  </si>
  <si>
    <t>ID1448</t>
  </si>
  <si>
    <t>ID1449</t>
  </si>
  <si>
    <t xml:space="preserve">accounting systems manager </t>
  </si>
  <si>
    <t>ID1450</t>
  </si>
  <si>
    <t>ID1451</t>
  </si>
  <si>
    <t>ID1452</t>
  </si>
  <si>
    <t>ID1453</t>
  </si>
  <si>
    <t>Accounting Specialist</t>
  </si>
  <si>
    <t>ID1454</t>
  </si>
  <si>
    <t>Project Management</t>
  </si>
  <si>
    <t>ID1455</t>
  </si>
  <si>
    <t>ID1456</t>
  </si>
  <si>
    <t>ID1457</t>
  </si>
  <si>
    <t>project management</t>
  </si>
  <si>
    <t>ID1458</t>
  </si>
  <si>
    <t>ID1459</t>
  </si>
  <si>
    <t>Business Intelligence Supervisor</t>
  </si>
  <si>
    <t>ID1460</t>
  </si>
  <si>
    <t>ID1461</t>
  </si>
  <si>
    <t>stress engineer</t>
  </si>
  <si>
    <t>ID1462</t>
  </si>
  <si>
    <t>ID1463</t>
  </si>
  <si>
    <t>ID1464</t>
  </si>
  <si>
    <t>Manager Commercial</t>
  </si>
  <si>
    <t>ID1465</t>
  </si>
  <si>
    <t>ID1466</t>
  </si>
  <si>
    <t>ID1467</t>
  </si>
  <si>
    <t>Catalog Auditor</t>
  </si>
  <si>
    <t>ID1468</t>
  </si>
  <si>
    <t>ID1469</t>
  </si>
  <si>
    <t>ID1470</t>
  </si>
  <si>
    <t>Verification Agent</t>
  </si>
  <si>
    <t>ID1471</t>
  </si>
  <si>
    <t>M &amp; E Officer</t>
  </si>
  <si>
    <t>ID1472</t>
  </si>
  <si>
    <t>Assistant Financial Accountant</t>
  </si>
  <si>
    <t>ID1473</t>
  </si>
  <si>
    <t>Support</t>
  </si>
  <si>
    <t>ID1474</t>
  </si>
  <si>
    <t>Process Assocaite</t>
  </si>
  <si>
    <t>ID1475</t>
  </si>
  <si>
    <t>Financial Application Developer</t>
  </si>
  <si>
    <t>ID1476</t>
  </si>
  <si>
    <t>Planning &amp; Scheduling Manager</t>
  </si>
  <si>
    <t>ID1477</t>
  </si>
  <si>
    <t>Online Stats Controller</t>
  </si>
  <si>
    <t>ID1478</t>
  </si>
  <si>
    <t>DEO</t>
  </si>
  <si>
    <t>ID1479</t>
  </si>
  <si>
    <t>M I S Executive</t>
  </si>
  <si>
    <t>ID1480</t>
  </si>
  <si>
    <t>Service Solution Rep</t>
  </si>
  <si>
    <t>ID1481</t>
  </si>
  <si>
    <t xml:space="preserve">Regional Business Manager </t>
  </si>
  <si>
    <t>ID1482</t>
  </si>
  <si>
    <t>sales&amp;marketing</t>
  </si>
  <si>
    <t>ID1483</t>
  </si>
  <si>
    <t>sr analyst</t>
  </si>
  <si>
    <t>ID1484</t>
  </si>
  <si>
    <t>Mgr Technology</t>
  </si>
  <si>
    <t>ID1485</t>
  </si>
  <si>
    <t>ID1486</t>
  </si>
  <si>
    <t>Chemical Engineer</t>
  </si>
  <si>
    <t>ID1487</t>
  </si>
  <si>
    <t>ID1488</t>
  </si>
  <si>
    <t>ID1489</t>
  </si>
  <si>
    <t>Senior Planning Engineer</t>
  </si>
  <si>
    <t>ID1490</t>
  </si>
  <si>
    <t>ID1491</t>
  </si>
  <si>
    <t>ID1492</t>
  </si>
  <si>
    <t>ID1493</t>
  </si>
  <si>
    <t>ID1494</t>
  </si>
  <si>
    <t>control process auxiliary</t>
  </si>
  <si>
    <t>ID1495</t>
  </si>
  <si>
    <t>Business Intelligence Consultant</t>
  </si>
  <si>
    <t>ID1496</t>
  </si>
  <si>
    <t>ID1497</t>
  </si>
  <si>
    <t>Officer MIS</t>
  </si>
  <si>
    <t>ID1498</t>
  </si>
  <si>
    <t>operations Administrator</t>
  </si>
  <si>
    <t>ID1499</t>
  </si>
  <si>
    <t>ID1500</t>
  </si>
  <si>
    <t>Controller / VBA Developet</t>
  </si>
  <si>
    <t>ID1501</t>
  </si>
  <si>
    <t>ID1502</t>
  </si>
  <si>
    <t>Director of Business Analytics</t>
  </si>
  <si>
    <t>ID1503</t>
  </si>
  <si>
    <t>ID1504</t>
  </si>
  <si>
    <t>Supplier Manager</t>
  </si>
  <si>
    <t>ID1505</t>
  </si>
  <si>
    <t>Reports Writer</t>
  </si>
  <si>
    <t>ID1506</t>
  </si>
  <si>
    <t>Process Associate</t>
  </si>
  <si>
    <t>ID1507</t>
  </si>
  <si>
    <t>HR/ADMINISTRATION</t>
  </si>
  <si>
    <t>ID1508</t>
  </si>
  <si>
    <t>ID1509</t>
  </si>
  <si>
    <t>Operational Specialist</t>
  </si>
  <si>
    <t>ID1510</t>
  </si>
  <si>
    <t>Trainee</t>
  </si>
  <si>
    <t>ID1511</t>
  </si>
  <si>
    <t>Senior Business Research Analyst</t>
  </si>
  <si>
    <t>ID1512</t>
  </si>
  <si>
    <t>Senior Consultant - PMO</t>
  </si>
  <si>
    <t>ID1513</t>
  </si>
  <si>
    <t>ID1514</t>
  </si>
  <si>
    <t>ID1515</t>
  </si>
  <si>
    <t>Financial Analst</t>
  </si>
  <si>
    <t>ID1516</t>
  </si>
  <si>
    <t>ID1519</t>
  </si>
  <si>
    <t>ID1520</t>
  </si>
  <si>
    <t>ID1521</t>
  </si>
  <si>
    <t>Excel Business Analyst</t>
  </si>
  <si>
    <t>ID1522</t>
  </si>
  <si>
    <t>SVP</t>
  </si>
  <si>
    <t>ID1523</t>
  </si>
  <si>
    <t>ID1524</t>
  </si>
  <si>
    <t>Bolivia</t>
  </si>
  <si>
    <t>ID1525</t>
  </si>
  <si>
    <t>info analyst</t>
  </si>
  <si>
    <t>ID1526</t>
  </si>
  <si>
    <t>Data Manager</t>
  </si>
  <si>
    <t>ID1527</t>
  </si>
  <si>
    <t>ID1528</t>
  </si>
  <si>
    <t>ID1529</t>
  </si>
  <si>
    <t>ID1530</t>
  </si>
  <si>
    <t>ID1531</t>
  </si>
  <si>
    <t>ID1532</t>
  </si>
  <si>
    <t>ID1533</t>
  </si>
  <si>
    <t>Project management</t>
  </si>
  <si>
    <t>Vietnam</t>
  </si>
  <si>
    <t>ID1534</t>
  </si>
  <si>
    <t>Business Banker</t>
  </si>
  <si>
    <t>ID1535</t>
  </si>
  <si>
    <t>Associate Analyst</t>
  </si>
  <si>
    <t>MYS</t>
  </si>
  <si>
    <t>ID1536</t>
  </si>
  <si>
    <t>Accounts Executive</t>
  </si>
  <si>
    <t>ID1537</t>
  </si>
  <si>
    <t>Demand Planner</t>
  </si>
  <si>
    <t>ID1539</t>
  </si>
  <si>
    <t>ID1540</t>
  </si>
  <si>
    <t>reporting analyst</t>
  </si>
  <si>
    <t>ID1541</t>
  </si>
  <si>
    <t>Construction Estimator</t>
  </si>
  <si>
    <t>ID1542</t>
  </si>
  <si>
    <t>Trade Marketing</t>
  </si>
  <si>
    <t>ID1543</t>
  </si>
  <si>
    <t>Merchandise Planning Manager</t>
  </si>
  <si>
    <t>ID1544</t>
  </si>
  <si>
    <t>pricing manager</t>
  </si>
  <si>
    <t>ID1545</t>
  </si>
  <si>
    <t>Marketing Services Manager</t>
  </si>
  <si>
    <t>ID1546</t>
  </si>
  <si>
    <t>Sr Analyst</t>
  </si>
  <si>
    <t>ID1547</t>
  </si>
  <si>
    <t>Asst Store Manager</t>
  </si>
  <si>
    <t>ID1548</t>
  </si>
  <si>
    <t>Junior Reporting Manager</t>
  </si>
  <si>
    <t>ID1549</t>
  </si>
  <si>
    <t>Brand manager</t>
  </si>
  <si>
    <t>Libya</t>
  </si>
  <si>
    <t>ID1550</t>
  </si>
  <si>
    <t>ID1551</t>
  </si>
  <si>
    <t>ID1552</t>
  </si>
  <si>
    <t>ID1553</t>
  </si>
  <si>
    <t>Risk Officer</t>
  </si>
  <si>
    <t>ID1554</t>
  </si>
  <si>
    <t>Sr. Risk Analyst</t>
  </si>
  <si>
    <t>ID1555</t>
  </si>
  <si>
    <t>Business Engineer</t>
  </si>
  <si>
    <t>ID1556</t>
  </si>
  <si>
    <t>ID1557</t>
  </si>
  <si>
    <t>FA /financial Analyst</t>
  </si>
  <si>
    <t>Bulgaria</t>
  </si>
  <si>
    <t>ID1558</t>
  </si>
  <si>
    <t>ID1559</t>
  </si>
  <si>
    <t>ID1560</t>
  </si>
  <si>
    <t>Operations Manager</t>
  </si>
  <si>
    <t>ID1561</t>
  </si>
  <si>
    <t>Management Reporting Analyst</t>
  </si>
  <si>
    <t>ID1562</t>
  </si>
  <si>
    <t>Reporting Team Lead</t>
  </si>
  <si>
    <t>ID1563</t>
  </si>
  <si>
    <t>Specialist Learning Technology</t>
  </si>
  <si>
    <t>ID1564</t>
  </si>
  <si>
    <t>Operationsl Regional Manager</t>
  </si>
  <si>
    <t>ID1565</t>
  </si>
  <si>
    <t>Manager - Business Development</t>
  </si>
  <si>
    <t>ID1566</t>
  </si>
  <si>
    <t>QA Data Analyst</t>
  </si>
  <si>
    <t>ID1567</t>
  </si>
  <si>
    <t>SME</t>
  </si>
  <si>
    <t>ID1569</t>
  </si>
  <si>
    <t>Work Force Scheduler for Call Center</t>
  </si>
  <si>
    <t>ID1570</t>
  </si>
  <si>
    <t>ID1571</t>
  </si>
  <si>
    <t>ID1572</t>
  </si>
  <si>
    <t>ID1573</t>
  </si>
  <si>
    <t>Asistente</t>
  </si>
  <si>
    <t>Peru</t>
  </si>
  <si>
    <t>ID1574</t>
  </si>
  <si>
    <t>Sr Business analyst</t>
  </si>
  <si>
    <t>ID1575</t>
  </si>
  <si>
    <t>ID1576</t>
  </si>
  <si>
    <t>ID1577</t>
  </si>
  <si>
    <t>finance director</t>
  </si>
  <si>
    <t>ID1578</t>
  </si>
  <si>
    <t>IT Coordinator</t>
  </si>
  <si>
    <t>ID1579</t>
  </si>
  <si>
    <t>ID1580</t>
  </si>
  <si>
    <t>Supply chain Controller</t>
  </si>
  <si>
    <t>Morocco</t>
  </si>
  <si>
    <t>ID1581</t>
  </si>
  <si>
    <t>ID1582</t>
  </si>
  <si>
    <t>Business Operations Analyst</t>
  </si>
  <si>
    <t>ID1583</t>
  </si>
  <si>
    <t>Sr Report Developer</t>
  </si>
  <si>
    <t>ID1584</t>
  </si>
  <si>
    <t>ID1585</t>
  </si>
  <si>
    <t>ID1586</t>
  </si>
  <si>
    <t>Administrator</t>
  </si>
  <si>
    <t>ID1587</t>
  </si>
  <si>
    <t>ID1588</t>
  </si>
  <si>
    <t xml:space="preserve">team leader </t>
  </si>
  <si>
    <t>ID1589</t>
  </si>
  <si>
    <t>Quality Assurance Analyst</t>
  </si>
  <si>
    <t>ID1590</t>
  </si>
  <si>
    <t>Analytics engineer</t>
  </si>
  <si>
    <t>ID1591</t>
  </si>
  <si>
    <t>Assistant Manger Service Quality Assurance</t>
  </si>
  <si>
    <t>ID1592</t>
  </si>
  <si>
    <t>AVP</t>
  </si>
  <si>
    <t>ID1593</t>
  </si>
  <si>
    <t>ID1594</t>
  </si>
  <si>
    <t>ID1595</t>
  </si>
  <si>
    <t>ID1596</t>
  </si>
  <si>
    <t>Lesotho</t>
  </si>
  <si>
    <t>ID1597</t>
  </si>
  <si>
    <t>ID1598</t>
  </si>
  <si>
    <t>Coordenador PeÃ§as Grupo</t>
  </si>
  <si>
    <t>ID1600</t>
  </si>
  <si>
    <t>Owner of Business Improvement Consultancy</t>
  </si>
  <si>
    <t>ID1601</t>
  </si>
  <si>
    <t>ID1602</t>
  </si>
  <si>
    <t>ID1603</t>
  </si>
  <si>
    <t>ID1604</t>
  </si>
  <si>
    <t>dgm</t>
  </si>
  <si>
    <t>ID1605</t>
  </si>
  <si>
    <t>Catalog Circulation Analyst</t>
  </si>
  <si>
    <t>ID1606</t>
  </si>
  <si>
    <t>ID1607</t>
  </si>
  <si>
    <t>ID1608</t>
  </si>
  <si>
    <t>ID1609</t>
  </si>
  <si>
    <t>ID1610</t>
  </si>
  <si>
    <t>ID1611</t>
  </si>
  <si>
    <t>ID1612</t>
  </si>
  <si>
    <t>ID1613</t>
  </si>
  <si>
    <t>SAS Adminstrator</t>
  </si>
  <si>
    <t>ID1614</t>
  </si>
  <si>
    <t>ID1615</t>
  </si>
  <si>
    <t>ID1616</t>
  </si>
  <si>
    <t>ID1617</t>
  </si>
  <si>
    <t>ID1618</t>
  </si>
  <si>
    <t>production clerk</t>
  </si>
  <si>
    <t>ID1619</t>
  </si>
  <si>
    <t>ID1620</t>
  </si>
  <si>
    <t>ID1621</t>
  </si>
  <si>
    <t>Dss Analyst</t>
  </si>
  <si>
    <t>ID1623</t>
  </si>
  <si>
    <t xml:space="preserve">Business Analysis &amp; MIS </t>
  </si>
  <si>
    <t>ID1624</t>
  </si>
  <si>
    <t>Associate Vice President</t>
  </si>
  <si>
    <t>ID1625</t>
  </si>
  <si>
    <t>M.I.S</t>
  </si>
  <si>
    <t>ID1626</t>
  </si>
  <si>
    <t>ID1627</t>
  </si>
  <si>
    <t>application dev</t>
  </si>
  <si>
    <t>ID1628</t>
  </si>
  <si>
    <t>Technical Web Analyst</t>
  </si>
  <si>
    <t>ID1629</t>
  </si>
  <si>
    <t>ID1630</t>
  </si>
  <si>
    <t>ID1631</t>
  </si>
  <si>
    <t>Head of Business</t>
  </si>
  <si>
    <t>ID1632</t>
  </si>
  <si>
    <t>ID1633</t>
  </si>
  <si>
    <t>IT Support Engineer</t>
  </si>
  <si>
    <t>Mauritius</t>
  </si>
  <si>
    <t>ID1634</t>
  </si>
  <si>
    <t>ID1635</t>
  </si>
  <si>
    <t>Environmental Adviser</t>
  </si>
  <si>
    <t>Azerbaijan</t>
  </si>
  <si>
    <t>ID1636</t>
  </si>
  <si>
    <t>Senior Officer</t>
  </si>
  <si>
    <t>ID1637</t>
  </si>
  <si>
    <t>IT Developer</t>
  </si>
  <si>
    <t>ID1638</t>
  </si>
  <si>
    <t>ID1639</t>
  </si>
  <si>
    <t>business support analyst</t>
  </si>
  <si>
    <t>ID1640</t>
  </si>
  <si>
    <t>ID1641</t>
  </si>
  <si>
    <t>Category Manager</t>
  </si>
  <si>
    <t>ID1642</t>
  </si>
  <si>
    <t>assistant director of finance</t>
  </si>
  <si>
    <t>ID1643</t>
  </si>
  <si>
    <t>ID1644</t>
  </si>
  <si>
    <t>ID1645</t>
  </si>
  <si>
    <t>Clinical Intake Specialist</t>
  </si>
  <si>
    <t>ID1646</t>
  </si>
  <si>
    <t>Marketing services</t>
  </si>
  <si>
    <t>ID1647</t>
  </si>
  <si>
    <t>Senior Associate, Finance</t>
  </si>
  <si>
    <t>ID1648</t>
  </si>
  <si>
    <t xml:space="preserve">MIS </t>
  </si>
  <si>
    <t>ID1649</t>
  </si>
  <si>
    <t>No</t>
  </si>
  <si>
    <t>ID1650</t>
  </si>
  <si>
    <t>ID1651</t>
  </si>
  <si>
    <t>ID1652</t>
  </si>
  <si>
    <t>service executive</t>
  </si>
  <si>
    <t>ID1653</t>
  </si>
  <si>
    <t>ID1654</t>
  </si>
  <si>
    <t>Sr financial analyst</t>
  </si>
  <si>
    <t>ID1655</t>
  </si>
  <si>
    <t>Consulting Practice Manager</t>
  </si>
  <si>
    <t>ID1656</t>
  </si>
  <si>
    <t>SVP of Acquisitions</t>
  </si>
  <si>
    <t>ID1657</t>
  </si>
  <si>
    <t>ID1658</t>
  </si>
  <si>
    <t>Store Inventory</t>
  </si>
  <si>
    <t>ID1659</t>
  </si>
  <si>
    <t>ID1660</t>
  </si>
  <si>
    <t>Exicutive TQM</t>
  </si>
  <si>
    <t>ID1661</t>
  </si>
  <si>
    <t>ID1662</t>
  </si>
  <si>
    <t>ID1663</t>
  </si>
  <si>
    <t>ID1664</t>
  </si>
  <si>
    <t>Supply/Demand Planner</t>
  </si>
  <si>
    <t>ID1665</t>
  </si>
  <si>
    <t>ID1666</t>
  </si>
  <si>
    <t>ID1667</t>
  </si>
  <si>
    <t>logistics analyst</t>
  </si>
  <si>
    <t>Slovakia</t>
  </si>
  <si>
    <t>ID1668</t>
  </si>
  <si>
    <t>BI director</t>
  </si>
  <si>
    <t>ID1669</t>
  </si>
  <si>
    <t>Sr Manager</t>
  </si>
  <si>
    <t>ID1670</t>
  </si>
  <si>
    <t>Dataminer</t>
  </si>
  <si>
    <t>Tunisia</t>
  </si>
  <si>
    <t>ID1671</t>
  </si>
  <si>
    <t>Safety technician</t>
  </si>
  <si>
    <t>ID1672</t>
  </si>
  <si>
    <t>Marketing Data Analyst</t>
  </si>
  <si>
    <t>ID1673</t>
  </si>
  <si>
    <t>Category Leader</t>
  </si>
  <si>
    <t>ID1674</t>
  </si>
  <si>
    <t>Customer Sales Analyst</t>
  </si>
  <si>
    <t>ID1675</t>
  </si>
  <si>
    <t>ID1677</t>
  </si>
  <si>
    <t>Maintenance Manager</t>
  </si>
  <si>
    <t>ID1678</t>
  </si>
  <si>
    <t>ID1679</t>
  </si>
  <si>
    <t>Data Resource Specialist</t>
  </si>
  <si>
    <t>ID1680</t>
  </si>
  <si>
    <t>Waiter</t>
  </si>
  <si>
    <t>ID1681</t>
  </si>
  <si>
    <t>Business Systems Analyst I</t>
  </si>
  <si>
    <t>ID1682</t>
  </si>
  <si>
    <t>Technical Specialist</t>
  </si>
  <si>
    <t>ID1683</t>
  </si>
  <si>
    <t>ID1684</t>
  </si>
  <si>
    <t>Enterprise Portfolio Manager</t>
  </si>
  <si>
    <t>ID1685</t>
  </si>
  <si>
    <t>ID1686</t>
  </si>
  <si>
    <t>Sr Executive - MIS</t>
  </si>
  <si>
    <t>ID1687</t>
  </si>
  <si>
    <t>ID1688</t>
  </si>
  <si>
    <t>ID1689</t>
  </si>
  <si>
    <t>ID1690</t>
  </si>
  <si>
    <t>ID1691</t>
  </si>
  <si>
    <t>ID1692</t>
  </si>
  <si>
    <t>Senior QA Tester</t>
  </si>
  <si>
    <t>ID1693</t>
  </si>
  <si>
    <t>Economic analyst</t>
  </si>
  <si>
    <t>ID1694</t>
  </si>
  <si>
    <t>ID1695</t>
  </si>
  <si>
    <t>ID1696</t>
  </si>
  <si>
    <t>ID1697</t>
  </si>
  <si>
    <t>Directer of Sales Support</t>
  </si>
  <si>
    <t>ID1698</t>
  </si>
  <si>
    <t>Anallyst</t>
  </si>
  <si>
    <t>ID1699</t>
  </si>
  <si>
    <t>ID1700</t>
  </si>
  <si>
    <t>ID1701</t>
  </si>
  <si>
    <t>Bussiness Analyst</t>
  </si>
  <si>
    <t>ID1702</t>
  </si>
  <si>
    <t>ID1703</t>
  </si>
  <si>
    <t>functional analyst</t>
  </si>
  <si>
    <t>ID1704</t>
  </si>
  <si>
    <t>ID1705</t>
  </si>
  <si>
    <t>ID1706</t>
  </si>
  <si>
    <t>Actuarial Analyst</t>
  </si>
  <si>
    <t>ID1707</t>
  </si>
  <si>
    <t>process coordinator</t>
  </si>
  <si>
    <t>ID1708</t>
  </si>
  <si>
    <t>ID1710</t>
  </si>
  <si>
    <t>Contact Operations Analyst</t>
  </si>
  <si>
    <t>ID1711</t>
  </si>
  <si>
    <t>Student assistant</t>
  </si>
  <si>
    <t>ID1712</t>
  </si>
  <si>
    <t>ID1713</t>
  </si>
  <si>
    <t>PPC Search Specialist</t>
  </si>
  <si>
    <t>ID1714</t>
  </si>
  <si>
    <t>data organizer</t>
  </si>
  <si>
    <t>ID1716</t>
  </si>
  <si>
    <t>ID1717</t>
  </si>
  <si>
    <t>admin</t>
  </si>
  <si>
    <t>ID1718</t>
  </si>
  <si>
    <t>gov employee</t>
  </si>
  <si>
    <t>ID1719</t>
  </si>
  <si>
    <t>Accounts manager</t>
  </si>
  <si>
    <t>ID1720</t>
  </si>
  <si>
    <t>ID1721</t>
  </si>
  <si>
    <t>ID1722</t>
  </si>
  <si>
    <t>Manager (MIS)</t>
  </si>
  <si>
    <t>ID1723</t>
  </si>
  <si>
    <t>financial analyst (real estate)</t>
  </si>
  <si>
    <t>ID1724</t>
  </si>
  <si>
    <t>ID1725</t>
  </si>
  <si>
    <t>contracts officer</t>
  </si>
  <si>
    <t>ID1726</t>
  </si>
  <si>
    <t>exe</t>
  </si>
  <si>
    <t>ID1727</t>
  </si>
  <si>
    <t>ID1729</t>
  </si>
  <si>
    <t>Network Designer</t>
  </si>
  <si>
    <t>ID1730</t>
  </si>
  <si>
    <t>Senior Production Accountant</t>
  </si>
  <si>
    <t>ID1731</t>
  </si>
  <si>
    <t>ID1732</t>
  </si>
  <si>
    <t>Reporting Coordinator</t>
  </si>
  <si>
    <t>Armenia</t>
  </si>
  <si>
    <t>ID1733</t>
  </si>
  <si>
    <t>ID1734</t>
  </si>
  <si>
    <t>PMO Analyst</t>
  </si>
  <si>
    <t>ID1735</t>
  </si>
  <si>
    <t>AGM - Operations &amp; Customer Support</t>
  </si>
  <si>
    <t>ID1736</t>
  </si>
  <si>
    <t>Baan ERP Functional Consultant</t>
  </si>
  <si>
    <t>ID1737</t>
  </si>
  <si>
    <t>ID1738</t>
  </si>
  <si>
    <t>ID1739</t>
  </si>
  <si>
    <t>ID1740</t>
  </si>
  <si>
    <t>Sourcing Analyst</t>
  </si>
  <si>
    <t>ID1741</t>
  </si>
  <si>
    <t>ID1742</t>
  </si>
  <si>
    <t>Tax Associate</t>
  </si>
  <si>
    <t>ID1743</t>
  </si>
  <si>
    <t>ID1744</t>
  </si>
  <si>
    <t>Senior Fiancial Analyst</t>
  </si>
  <si>
    <t>ID1745</t>
  </si>
  <si>
    <t>Senior Data Associate</t>
  </si>
  <si>
    <t>ID1746</t>
  </si>
  <si>
    <t>Business Analyst II</t>
  </si>
  <si>
    <t>ID1747</t>
  </si>
  <si>
    <t>ID1748</t>
  </si>
  <si>
    <t>Sales / Finance Manager</t>
  </si>
  <si>
    <t>ID1749</t>
  </si>
  <si>
    <t>ID1750</t>
  </si>
  <si>
    <t>ID1751</t>
  </si>
  <si>
    <t>ID1752</t>
  </si>
  <si>
    <t>Associate Manager, Drug Safety Operations</t>
  </si>
  <si>
    <t>ID1753</t>
  </si>
  <si>
    <t>ID1754</t>
  </si>
  <si>
    <t xml:space="preserve">Project Lead </t>
  </si>
  <si>
    <t>ID1755</t>
  </si>
  <si>
    <t>ID1756</t>
  </si>
  <si>
    <t>ID1757</t>
  </si>
  <si>
    <t>ID1758</t>
  </si>
  <si>
    <t>ID1759</t>
  </si>
  <si>
    <t xml:space="preserve">Financial Analyst </t>
  </si>
  <si>
    <t>ID1760</t>
  </si>
  <si>
    <t>ID1761</t>
  </si>
  <si>
    <t>bUSINESS aNALYST</t>
  </si>
  <si>
    <t>ID1762</t>
  </si>
  <si>
    <t>ID1763</t>
  </si>
  <si>
    <t>Customer Service</t>
  </si>
  <si>
    <t>ID1764</t>
  </si>
  <si>
    <t>Projektleiter</t>
  </si>
  <si>
    <t>ID1765</t>
  </si>
  <si>
    <t>Pricing Manager</t>
  </si>
  <si>
    <t>ID1766</t>
  </si>
  <si>
    <t>ID1767</t>
  </si>
  <si>
    <t>ID1768</t>
  </si>
  <si>
    <t>Compliance Officer</t>
  </si>
  <si>
    <t>ID1769</t>
  </si>
  <si>
    <t>ID1770</t>
  </si>
  <si>
    <t>Data Management Solutions Supervisor</t>
  </si>
  <si>
    <t>ID1771</t>
  </si>
  <si>
    <t>Officer</t>
  </si>
  <si>
    <t>ID1772</t>
  </si>
  <si>
    <t>ID1773</t>
  </si>
  <si>
    <t>magic</t>
  </si>
  <si>
    <t>ID1774</t>
  </si>
  <si>
    <t>account</t>
  </si>
  <si>
    <t>ID1775</t>
  </si>
  <si>
    <t>purchasing manager</t>
  </si>
  <si>
    <t>ID1776</t>
  </si>
  <si>
    <t>ID1777</t>
  </si>
  <si>
    <t>equity research trainee</t>
  </si>
  <si>
    <t>ID1778</t>
  </si>
  <si>
    <t>ID1779</t>
  </si>
  <si>
    <t>ID1780</t>
  </si>
  <si>
    <t xml:space="preserve">project engineer </t>
  </si>
  <si>
    <t>ID1781</t>
  </si>
  <si>
    <t>Teacher</t>
  </si>
  <si>
    <t>ID1782</t>
  </si>
  <si>
    <t>regional sales manager</t>
  </si>
  <si>
    <t>ID1783</t>
  </si>
  <si>
    <t>Analysis &amp; insight consultant</t>
  </si>
  <si>
    <t>ID1784</t>
  </si>
  <si>
    <t>Data Team Leader</t>
  </si>
  <si>
    <t>ID1785</t>
  </si>
  <si>
    <t>ID1786</t>
  </si>
  <si>
    <t>assistant account manager</t>
  </si>
  <si>
    <t>ID1787</t>
  </si>
  <si>
    <t>ID1788</t>
  </si>
  <si>
    <t>Scientist III</t>
  </si>
  <si>
    <t>ID1789</t>
  </si>
  <si>
    <t>Compliance Manager</t>
  </si>
  <si>
    <t>ID1790</t>
  </si>
  <si>
    <t>Development Analyst</t>
  </si>
  <si>
    <t>ID1791</t>
  </si>
  <si>
    <t>computer operator</t>
  </si>
  <si>
    <t>ID1792</t>
  </si>
  <si>
    <t>ID1793</t>
  </si>
  <si>
    <t>ID1794</t>
  </si>
  <si>
    <t>ID1795</t>
  </si>
  <si>
    <t>ID1796</t>
  </si>
  <si>
    <t>ECommerce Manager</t>
  </si>
  <si>
    <t>ID1797</t>
  </si>
  <si>
    <t>ID1798</t>
  </si>
  <si>
    <t>ID1799</t>
  </si>
  <si>
    <t>ID1800</t>
  </si>
  <si>
    <t>Machine Scheduler</t>
  </si>
  <si>
    <t>ID1801</t>
  </si>
  <si>
    <t>ID1802</t>
  </si>
  <si>
    <t>Sr Financial Systems Analyst</t>
  </si>
  <si>
    <t>ID1803</t>
  </si>
  <si>
    <t>ID1804</t>
  </si>
  <si>
    <t>ID1805</t>
  </si>
  <si>
    <t>SFA</t>
  </si>
  <si>
    <t>ID1806</t>
  </si>
  <si>
    <t>ID1807</t>
  </si>
  <si>
    <t>Ð˜Ð¨ Ð¤Ñ‚Ñ„Ð´Ð½Ñ‹Ðµ</t>
  </si>
  <si>
    <t>ID1808</t>
  </si>
  <si>
    <t>ba</t>
  </si>
  <si>
    <t>ID1809</t>
  </si>
  <si>
    <t>Lead Financial Analyst</t>
  </si>
  <si>
    <t>ID1810</t>
  </si>
  <si>
    <t>Senior Associate Engineer</t>
  </si>
  <si>
    <t>ID1811</t>
  </si>
  <si>
    <t>Associate Manager</t>
  </si>
  <si>
    <t>ID1812</t>
  </si>
  <si>
    <t>ID1813</t>
  </si>
  <si>
    <t>ID1814</t>
  </si>
  <si>
    <t>ID1815</t>
  </si>
  <si>
    <t>Manager MIS &amp; Analytics</t>
  </si>
  <si>
    <t>ID1816</t>
  </si>
  <si>
    <t>ID1818</t>
  </si>
  <si>
    <t>Sales Cordinator</t>
  </si>
  <si>
    <t>ID1819</t>
  </si>
  <si>
    <t>Sr Executive</t>
  </si>
  <si>
    <t>ID1820</t>
  </si>
  <si>
    <t>ID1821</t>
  </si>
  <si>
    <t>Manager, Operations</t>
  </si>
  <si>
    <t>ID1822</t>
  </si>
  <si>
    <t>IT Trainer</t>
  </si>
  <si>
    <t>ID1823</t>
  </si>
  <si>
    <t>administrator</t>
  </si>
  <si>
    <t>ID1824</t>
  </si>
  <si>
    <t>ID1825</t>
  </si>
  <si>
    <t>Assistant Corporate Controller</t>
  </si>
  <si>
    <t>ID1826</t>
  </si>
  <si>
    <t>Data Integration Engenieer</t>
  </si>
  <si>
    <t>ID1827</t>
  </si>
  <si>
    <t>purchasing operations administrator</t>
  </si>
  <si>
    <t>ID1828</t>
  </si>
  <si>
    <t>Planning and Logistics Coordinator</t>
  </si>
  <si>
    <t>ID1829</t>
  </si>
  <si>
    <t>bank clerk</t>
  </si>
  <si>
    <t>ID1830</t>
  </si>
  <si>
    <t>Financial Modeler</t>
  </si>
  <si>
    <t>ID1831</t>
  </si>
  <si>
    <t>Personal Assistant</t>
  </si>
  <si>
    <t>Hong Kong</t>
  </si>
  <si>
    <t>ID1832</t>
  </si>
  <si>
    <t>ID1833</t>
  </si>
  <si>
    <t>Mnanager- Customer Project finance &amp; recovery</t>
  </si>
  <si>
    <t>ID1834</t>
  </si>
  <si>
    <t xml:space="preserve">Lead </t>
  </si>
  <si>
    <t>ID1835</t>
  </si>
  <si>
    <t>Senior officer data reporting</t>
  </si>
  <si>
    <t>ID1836</t>
  </si>
  <si>
    <t>AM</t>
  </si>
  <si>
    <t>ID1837</t>
  </si>
  <si>
    <t>ID1838</t>
  </si>
  <si>
    <t>ID1839</t>
  </si>
  <si>
    <t>ID1840</t>
  </si>
  <si>
    <t>ID1841</t>
  </si>
  <si>
    <t>Rates Analyst</t>
  </si>
  <si>
    <t>ID1842</t>
  </si>
  <si>
    <t>Project Controller</t>
  </si>
  <si>
    <t>ID1843</t>
  </si>
  <si>
    <t>ID1844</t>
  </si>
  <si>
    <t>ID1845</t>
  </si>
  <si>
    <t>accoutant</t>
  </si>
  <si>
    <t>ID1846</t>
  </si>
  <si>
    <t>Programme Officer</t>
  </si>
  <si>
    <t>ID1847</t>
  </si>
  <si>
    <t>Digital Media Analyst</t>
  </si>
  <si>
    <t>ID1848</t>
  </si>
  <si>
    <t>ID1849</t>
  </si>
  <si>
    <t>ID1850</t>
  </si>
  <si>
    <t>ID1851</t>
  </si>
  <si>
    <t>Research Support Specialist</t>
  </si>
  <si>
    <t>ID1852</t>
  </si>
  <si>
    <t>Chief Financial Officer</t>
  </si>
  <si>
    <t>ID1853</t>
  </si>
  <si>
    <t>ID1854</t>
  </si>
  <si>
    <t>Senior Manufacturing Engineer</t>
  </si>
  <si>
    <t>ID1855</t>
  </si>
  <si>
    <t>Customer Experence Engineer</t>
  </si>
  <si>
    <t>ID1857</t>
  </si>
  <si>
    <t>ID1858</t>
  </si>
  <si>
    <t>ID1859</t>
  </si>
  <si>
    <t>Baltic</t>
  </si>
  <si>
    <t>ID1860</t>
  </si>
  <si>
    <t>ID1861</t>
  </si>
  <si>
    <t>Manager - Controlling</t>
  </si>
  <si>
    <t>ID1862</t>
  </si>
  <si>
    <t>Sr. System Analyst</t>
  </si>
  <si>
    <t>ID1863</t>
  </si>
  <si>
    <t>ID1864</t>
  </si>
  <si>
    <t>Sr.Manager</t>
  </si>
  <si>
    <t>ID1865</t>
  </si>
  <si>
    <t>ID1866</t>
  </si>
  <si>
    <t>ID1867</t>
  </si>
  <si>
    <t>ID1868</t>
  </si>
  <si>
    <t>INFORMATION ANALIST</t>
  </si>
  <si>
    <t>ID1869</t>
  </si>
  <si>
    <t>HR Supervisor</t>
  </si>
  <si>
    <t>ID1870</t>
  </si>
  <si>
    <t>Marketing Initatities Analyst</t>
  </si>
  <si>
    <t>ID1871</t>
  </si>
  <si>
    <t>Sales Compensation Analyst</t>
  </si>
  <si>
    <t>ID1872</t>
  </si>
  <si>
    <t>materials</t>
  </si>
  <si>
    <t>ID1873</t>
  </si>
  <si>
    <t>Actuarial Specialist</t>
  </si>
  <si>
    <t>ID1874</t>
  </si>
  <si>
    <t>Marketing Database Analyst</t>
  </si>
  <si>
    <t>ID1875</t>
  </si>
  <si>
    <t>ID1876</t>
  </si>
  <si>
    <t>ID1877</t>
  </si>
  <si>
    <t>Manager- Customer Support</t>
  </si>
  <si>
    <t>ID1878</t>
  </si>
  <si>
    <t>ID1879</t>
  </si>
  <si>
    <t>ID1880</t>
  </si>
  <si>
    <t>3r23regedf</t>
  </si>
  <si>
    <t>ID1881</t>
  </si>
  <si>
    <t>Revenue Focus Manager</t>
  </si>
  <si>
    <t>ID1882</t>
  </si>
  <si>
    <t>ID1883</t>
  </si>
  <si>
    <t>technical analyst</t>
  </si>
  <si>
    <t>ID1884</t>
  </si>
  <si>
    <t>Senior Manager MIS</t>
  </si>
  <si>
    <t>ID1885</t>
  </si>
  <si>
    <t>ID1886</t>
  </si>
  <si>
    <t>ID1887</t>
  </si>
  <si>
    <t>ID1888</t>
  </si>
  <si>
    <t>Financial Modelling adviser</t>
  </si>
  <si>
    <t>ID1889</t>
  </si>
  <si>
    <t>pm</t>
  </si>
  <si>
    <t>ID1890</t>
  </si>
  <si>
    <t>ID1891</t>
  </si>
  <si>
    <t>AML Analyst</t>
  </si>
  <si>
    <t>ID1892</t>
  </si>
  <si>
    <t xml:space="preserve">analyst </t>
  </si>
  <si>
    <t>ID1893</t>
  </si>
  <si>
    <t>ID1894</t>
  </si>
  <si>
    <t>manager purchase</t>
  </si>
  <si>
    <t>ID1895</t>
  </si>
  <si>
    <t>Process Analyst</t>
  </si>
  <si>
    <t>ID1896</t>
  </si>
  <si>
    <t>ID1897</t>
  </si>
  <si>
    <t>buyer</t>
  </si>
  <si>
    <t>ID1898</t>
  </si>
  <si>
    <t>ID1899</t>
  </si>
  <si>
    <t>ID1900</t>
  </si>
  <si>
    <t>Inventory Analyst</t>
  </si>
  <si>
    <t>ID1901</t>
  </si>
  <si>
    <t>ID1902</t>
  </si>
  <si>
    <t>operator</t>
  </si>
  <si>
    <t>ID1903</t>
  </si>
  <si>
    <t>ID1904</t>
  </si>
  <si>
    <t>Project Costing &amp;Dashboard reporting</t>
  </si>
  <si>
    <t>Ethiopia</t>
  </si>
  <si>
    <t>ID1905</t>
  </si>
  <si>
    <t>ID1906</t>
  </si>
  <si>
    <t>ID1907</t>
  </si>
  <si>
    <t>ID1908</t>
  </si>
  <si>
    <t>ID1909</t>
  </si>
  <si>
    <t>ID1910</t>
  </si>
  <si>
    <t>ID1911</t>
  </si>
  <si>
    <t>Marketing Analyst Co-op</t>
  </si>
  <si>
    <t>ID1912</t>
  </si>
  <si>
    <t>abc</t>
  </si>
  <si>
    <t>ID1914</t>
  </si>
  <si>
    <t>MIS specialist</t>
  </si>
  <si>
    <t>ID1915</t>
  </si>
  <si>
    <t>ID1916</t>
  </si>
  <si>
    <t>research associate</t>
  </si>
  <si>
    <t>ID1917</t>
  </si>
  <si>
    <t>ID1918</t>
  </si>
  <si>
    <t>Monitoring and Evaluation Officer</t>
  </si>
  <si>
    <t>ID1919</t>
  </si>
  <si>
    <t>Vice President - Finance</t>
  </si>
  <si>
    <t>ID1920</t>
  </si>
  <si>
    <t xml:space="preserve">Operations Analyst </t>
  </si>
  <si>
    <t>ID1921</t>
  </si>
  <si>
    <t>Poultry Analyst</t>
  </si>
  <si>
    <t>ID1922</t>
  </si>
  <si>
    <t>ID1924</t>
  </si>
  <si>
    <t>Customer Resolution</t>
  </si>
  <si>
    <t>ID1925</t>
  </si>
  <si>
    <t>ID1927</t>
  </si>
  <si>
    <t>Business Analist</t>
  </si>
  <si>
    <t>ID1928</t>
  </si>
  <si>
    <t>Oman</t>
  </si>
  <si>
    <t>ID1929</t>
  </si>
  <si>
    <t>eorl</t>
  </si>
  <si>
    <t>ID1930</t>
  </si>
  <si>
    <t>Corporate Trainer</t>
  </si>
  <si>
    <t>ID1931</t>
  </si>
  <si>
    <t>ID1932</t>
  </si>
  <si>
    <t>Administrative Coordinator</t>
  </si>
  <si>
    <t>PPP Adjusted  USD</t>
  </si>
  <si>
    <t>Chosen Currency</t>
  </si>
  <si>
    <t>Country</t>
  </si>
  <si>
    <t>Comparing Salaries in different currencies doesn’t make sense if we just converted all currencies into a single currency such as USD</t>
  </si>
  <si>
    <t>1. We have to account for PPP. I have used the IMF data by dividing PPP GDP by Nominal GDP to get the PPP value.</t>
  </si>
  <si>
    <t>Grand Total</t>
  </si>
  <si>
    <t>Salary</t>
  </si>
  <si>
    <t>Job Title</t>
  </si>
  <si>
    <t>Resides in</t>
  </si>
  <si>
    <t>Uses Excel</t>
  </si>
  <si>
    <t>Most Excel Users use Excel about</t>
  </si>
  <si>
    <t>Most common Job Title</t>
  </si>
  <si>
    <t>Most Survey respondents are from</t>
  </si>
  <si>
    <t>Data Not Avaliable</t>
  </si>
  <si>
    <t>No of years</t>
  </si>
  <si>
    <t>Median</t>
  </si>
  <si>
    <t>Count</t>
  </si>
  <si>
    <t>All</t>
  </si>
  <si>
    <t>How do the Various Job Titles Stack Up in terms of Median Salary?</t>
  </si>
  <si>
    <t>Over 70% of the Respondents were Either an Analyst or a Manager</t>
  </si>
  <si>
    <t xml:space="preserve">Count </t>
  </si>
  <si>
    <t xml:space="preserve"> - Indians top this list!</t>
  </si>
  <si>
    <t>Median Salary (PPP Adjusted)</t>
  </si>
  <si>
    <t>"Excel is my Life" Power Users - Use All Day!</t>
  </si>
  <si>
    <t>Comparison of Pay and Excel Usage</t>
  </si>
  <si>
    <t>Median Pay for Excle Usage</t>
  </si>
  <si>
    <t>No of Hours</t>
  </si>
  <si>
    <t>Median Pay</t>
  </si>
  <si>
    <t>But - Using Excel 8 Hours a day may not make you rich!</t>
  </si>
  <si>
    <t>See Below!</t>
  </si>
  <si>
    <t>Interesting Insights</t>
  </si>
  <si>
    <t>Challenges to comparison:</t>
  </si>
  <si>
    <t>1. Comparison of various job titles and pay.</t>
  </si>
  <si>
    <t>2. Comparison of how much people use Excel and how they are paid.</t>
  </si>
  <si>
    <t>There are questions that this Dashboard tries to answer.</t>
  </si>
  <si>
    <t>Who Gets the Top Salary? Where do they Live? How much is their Excel Usage?</t>
  </si>
  <si>
    <t>4. Which job functions use Excel the most?</t>
  </si>
  <si>
    <t>3. Where are the Excel Power users?</t>
  </si>
  <si>
    <t>For all salary averages, I've used the median instead of arithmetic mean to prevent outliers from skewing the data.</t>
  </si>
  <si>
    <t>Few more thngs to keep in mind when looking at the data</t>
  </si>
  <si>
    <t xml:space="preserve">2. For example, Singapore just has 10% tax, India has 30% taxes and so earning the same amount in SGD could be more profitable as they can save more.  </t>
  </si>
  <si>
    <t xml:space="preserve">3. Of course Taxes in some countries depend on marriage status and other demographic and social markers. </t>
  </si>
  <si>
    <t xml:space="preserve">1. Though PPP helps provide a pretty good way to adjust for and compare purchasing power of currencies in various countries, there are factors such as tiered taxation which are difficult to factor in. </t>
  </si>
  <si>
    <t>5. How much time do most Excel users use Excel per day?</t>
  </si>
  <si>
    <t>2. This conversion should only be done for currencies other than the currency chosen to view the data in.</t>
  </si>
  <si>
    <t>So if INR is chosen as the currency, the original INR data point will be retained as PPP is calcluated relative to this currency for all other currencies.</t>
  </si>
  <si>
    <t>All charts are based off the data in the sheet 'Data'</t>
  </si>
  <si>
    <t xml:space="preserve">3.  So the column 'Chosen Currency' returns the 'Cleaned Salary' in original currency if its the Chosen currency. </t>
  </si>
  <si>
    <t>In this dashboard, you can view the data in any chosen currency from the drop-down menu.</t>
  </si>
  <si>
    <t>You can ignore all sheets except 'Dashboard'. They are just caculation sheets which I retained for your reference.</t>
  </si>
  <si>
    <t>Salary Comparison of Excel Users From 107 Countries</t>
  </si>
  <si>
    <t xml:space="preserve">4. Also  one big assumption in PPP is whats called 'basket of goods' which used for calculations (cost of utilities, food, transportation). These are assumed to be same for Excel users which is not true in reality. </t>
  </si>
  <si>
    <t>5. Correlation doesn't mean causality. Often there are multiple variables at play as all Excel Ninjas know!</t>
  </si>
  <si>
    <t>6. As fun as Excel is, its still a tool and compensation depends on how best we use it and what other skills a person may have.</t>
  </si>
  <si>
    <t>For example, 2 Excel users in India one of whom buys a lof of products in USD online vs someone just who buys local made products, the former will be impacted more.</t>
  </si>
</sst>
</file>

<file path=xl/styles.xml><?xml version="1.0" encoding="utf-8"?>
<styleSheet xmlns="http://schemas.openxmlformats.org/spreadsheetml/2006/main">
  <fonts count="16">
    <font>
      <sz val="11"/>
      <color theme="1"/>
      <name val="Calibri"/>
      <family val="2"/>
      <scheme val="minor"/>
    </font>
    <font>
      <sz val="11"/>
      <color theme="1"/>
      <name val="Calibri"/>
      <family val="2"/>
      <scheme val="minor"/>
    </font>
    <font>
      <sz val="11"/>
      <color rgb="FF006100"/>
      <name val="Calibri"/>
      <family val="2"/>
      <scheme val="minor"/>
    </font>
    <font>
      <b/>
      <sz val="18"/>
      <color theme="1"/>
      <name val="Calibri"/>
      <family val="2"/>
      <scheme val="minor"/>
    </font>
    <font>
      <sz val="11"/>
      <color rgb="FF00B050"/>
      <name val="Calibri"/>
      <family val="2"/>
      <scheme val="minor"/>
    </font>
    <font>
      <sz val="9"/>
      <color rgb="FF000000"/>
      <name val="Verdana"/>
      <family val="2"/>
    </font>
    <font>
      <sz val="16"/>
      <color theme="1"/>
      <name val="Calibri"/>
      <family val="2"/>
      <scheme val="minor"/>
    </font>
    <font>
      <sz val="18"/>
      <color theme="1"/>
      <name val="Calibri"/>
      <family val="2"/>
      <scheme val="minor"/>
    </font>
    <font>
      <u/>
      <sz val="24"/>
      <color theme="1"/>
      <name val="Calibri"/>
      <family val="2"/>
      <scheme val="minor"/>
    </font>
    <font>
      <b/>
      <sz val="12"/>
      <name val="Calibri"/>
      <family val="2"/>
      <scheme val="minor"/>
    </font>
    <font>
      <u/>
      <sz val="20"/>
      <color theme="1"/>
      <name val="Calibri"/>
      <family val="2"/>
      <scheme val="minor"/>
    </font>
    <font>
      <sz val="16"/>
      <color theme="1"/>
      <name val="Comic Sans MS"/>
      <family val="4"/>
    </font>
    <font>
      <u/>
      <sz val="16"/>
      <color theme="1"/>
      <name val="Calibri"/>
      <family val="2"/>
      <scheme val="minor"/>
    </font>
    <font>
      <u/>
      <sz val="22"/>
      <color theme="1"/>
      <name val="Calibri"/>
      <family val="2"/>
      <scheme val="minor"/>
    </font>
    <font>
      <b/>
      <u/>
      <sz val="16"/>
      <color theme="1"/>
      <name val="Comic Sans MS"/>
      <family val="4"/>
    </font>
    <font>
      <b/>
      <sz val="16"/>
      <color theme="1"/>
      <name val="Calibri"/>
      <family val="2"/>
      <scheme val="minor"/>
    </font>
  </fonts>
  <fills count="6">
    <fill>
      <patternFill patternType="none"/>
    </fill>
    <fill>
      <patternFill patternType="gray125"/>
    </fill>
    <fill>
      <patternFill patternType="solid">
        <fgColor rgb="FFC6EFCE"/>
      </patternFill>
    </fill>
    <fill>
      <patternFill patternType="solid">
        <fgColor rgb="FF92D050"/>
        <bgColor indexed="64"/>
      </patternFill>
    </fill>
    <fill>
      <patternFill patternType="solid">
        <fgColor rgb="FFEFF33B"/>
        <bgColor indexed="64"/>
      </patternFill>
    </fill>
    <fill>
      <patternFill patternType="solid">
        <fgColor theme="4" tint="0.79998168889431442"/>
        <bgColor theme="4" tint="0.79998168889431442"/>
      </patternFill>
    </fill>
  </fills>
  <borders count="3">
    <border>
      <left/>
      <right/>
      <top/>
      <bottom/>
      <diagonal/>
    </border>
    <border>
      <left style="medium">
        <color indexed="64"/>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s>
  <cellStyleXfs count="3">
    <xf numFmtId="0" fontId="0" fillId="0" borderId="0"/>
    <xf numFmtId="9" fontId="1" fillId="0" borderId="0" applyFont="0" applyFill="0" applyBorder="0" applyAlignment="0" applyProtection="0"/>
    <xf numFmtId="0" fontId="2" fillId="2" borderId="0" applyNumberFormat="0" applyBorder="0" applyAlignment="0" applyProtection="0"/>
  </cellStyleXfs>
  <cellXfs count="40">
    <xf numFmtId="0" fontId="0" fillId="0" borderId="0" xfId="0"/>
    <xf numFmtId="3" fontId="0" fillId="0" borderId="0" xfId="0" applyNumberFormat="1"/>
    <xf numFmtId="0" fontId="4" fillId="0" borderId="0" xfId="0" applyFont="1"/>
    <xf numFmtId="0" fontId="0" fillId="0" borderId="0" xfId="0" applyNumberFormat="1"/>
    <xf numFmtId="2" fontId="0" fillId="0" borderId="0" xfId="0" applyNumberFormat="1"/>
    <xf numFmtId="0" fontId="0" fillId="0" borderId="0" xfId="0" pivotButton="1"/>
    <xf numFmtId="0" fontId="5" fillId="0" borderId="0" xfId="0" applyNumberFormat="1" applyFont="1"/>
    <xf numFmtId="2" fontId="5" fillId="0" borderId="0" xfId="0" applyNumberFormat="1" applyFont="1"/>
    <xf numFmtId="0" fontId="0" fillId="0" borderId="0" xfId="0" applyAlignment="1">
      <alignment horizontal="center"/>
    </xf>
    <xf numFmtId="0" fontId="7" fillId="0" borderId="0" xfId="0" applyFont="1"/>
    <xf numFmtId="0" fontId="3" fillId="0" borderId="0" xfId="0" applyFont="1"/>
    <xf numFmtId="0" fontId="6" fillId="0" borderId="0" xfId="0" applyFont="1"/>
    <xf numFmtId="0" fontId="7" fillId="0" borderId="0" xfId="0" applyFont="1" applyBorder="1" applyAlignment="1">
      <alignment horizontal="center"/>
    </xf>
    <xf numFmtId="0" fontId="7" fillId="0" borderId="0" xfId="0" applyFont="1" applyAlignment="1">
      <alignment horizontal="center"/>
    </xf>
    <xf numFmtId="0" fontId="7" fillId="3" borderId="0" xfId="0" applyFont="1" applyFill="1" applyBorder="1" applyAlignment="1">
      <alignment horizontal="center"/>
    </xf>
    <xf numFmtId="1" fontId="7" fillId="3" borderId="0" xfId="0" applyNumberFormat="1" applyFont="1" applyFill="1" applyBorder="1" applyAlignment="1">
      <alignment horizontal="center"/>
    </xf>
    <xf numFmtId="1" fontId="7" fillId="0" borderId="0" xfId="0" applyNumberFormat="1" applyFont="1" applyBorder="1" applyAlignment="1">
      <alignment horizontal="center"/>
    </xf>
    <xf numFmtId="0" fontId="9" fillId="4" borderId="1" xfId="2" applyFont="1" applyFill="1" applyBorder="1"/>
    <xf numFmtId="0" fontId="10" fillId="0" borderId="0" xfId="0" applyFont="1"/>
    <xf numFmtId="0" fontId="8" fillId="0" borderId="0" xfId="0" applyFont="1" applyAlignment="1"/>
    <xf numFmtId="0" fontId="8" fillId="0" borderId="0" xfId="0" applyFont="1" applyAlignment="1">
      <alignment horizontal="center"/>
    </xf>
    <xf numFmtId="0" fontId="11" fillId="0" borderId="0" xfId="0" applyFont="1"/>
    <xf numFmtId="0" fontId="11" fillId="0" borderId="0" xfId="0" applyFont="1" applyAlignment="1">
      <alignment horizontal="left"/>
    </xf>
    <xf numFmtId="0" fontId="11" fillId="0" borderId="0" xfId="0" applyFont="1" applyAlignment="1">
      <alignment horizontal="center"/>
    </xf>
    <xf numFmtId="0" fontId="10" fillId="0" borderId="0" xfId="0" applyFont="1" applyAlignment="1">
      <alignment horizontal="center"/>
    </xf>
    <xf numFmtId="0" fontId="10" fillId="0" borderId="0" xfId="0" applyFont="1" applyAlignment="1"/>
    <xf numFmtId="0" fontId="3" fillId="0" borderId="0" xfId="0" applyFont="1" applyAlignment="1"/>
    <xf numFmtId="0" fontId="0" fillId="5" borderId="2" xfId="0" applyFont="1" applyFill="1" applyBorder="1"/>
    <xf numFmtId="0" fontId="0" fillId="0" borderId="2" xfId="0" applyFont="1" applyBorder="1"/>
    <xf numFmtId="9" fontId="11" fillId="0" borderId="0" xfId="1" applyFont="1" applyAlignment="1">
      <alignment horizontal="center"/>
    </xf>
    <xf numFmtId="1" fontId="11" fillId="0" borderId="0" xfId="0" applyNumberFormat="1" applyFont="1" applyAlignment="1">
      <alignment horizontal="center"/>
    </xf>
    <xf numFmtId="0" fontId="12" fillId="0" borderId="0" xfId="0" applyFont="1"/>
    <xf numFmtId="0" fontId="6" fillId="0" borderId="0" xfId="0" applyFont="1" applyAlignment="1"/>
    <xf numFmtId="0" fontId="11" fillId="0" borderId="0" xfId="0" applyFont="1" applyAlignment="1">
      <alignment horizontal="center" wrapText="1"/>
    </xf>
    <xf numFmtId="0" fontId="14" fillId="0" borderId="0" xfId="0" applyFont="1" applyAlignment="1">
      <alignment horizontal="center"/>
    </xf>
    <xf numFmtId="0" fontId="10" fillId="0" borderId="0" xfId="0" applyFont="1" applyAlignment="1">
      <alignment horizontal="center"/>
    </xf>
    <xf numFmtId="0" fontId="11" fillId="0" borderId="0" xfId="0" applyFont="1" applyAlignment="1">
      <alignment horizontal="right" wrapText="1"/>
    </xf>
    <xf numFmtId="0" fontId="11" fillId="0" borderId="0" xfId="0" applyFont="1" applyAlignment="1"/>
    <xf numFmtId="0" fontId="13" fillId="0" borderId="0" xfId="0" applyFont="1" applyAlignment="1">
      <alignment horizontal="center"/>
    </xf>
    <xf numFmtId="0" fontId="15" fillId="0" borderId="0" xfId="0" applyFont="1"/>
  </cellXfs>
  <cellStyles count="3">
    <cellStyle name="Good" xfId="2" builtinId="26"/>
    <cellStyle name="Normal" xfId="0" builtinId="0"/>
    <cellStyle name="Percent" xfId="1" builtinId="5"/>
  </cellStyles>
  <dxfs count="27">
    <dxf>
      <numFmt numFmtId="0" formatCode="General"/>
    </dxf>
    <dxf>
      <numFmt numFmtId="0" formatCode="General"/>
    </dxf>
    <dxf>
      <numFmt numFmtId="2" formatCode="0.00"/>
    </dxf>
    <dxf>
      <numFmt numFmtId="0" formatCode="General"/>
    </dxf>
    <dxf>
      <numFmt numFmtId="0" formatCode="General"/>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val="0"/>
        <outline val="0"/>
        <shadow val="0"/>
        <u val="none"/>
        <vertAlign val="baseline"/>
        <sz val="18"/>
        <color theme="1"/>
        <name val="Calibri"/>
        <scheme val="minor"/>
      </font>
      <alignment horizontal="center" vertical="bottom" textRotation="0" wrapText="0" indent="0" relativeIndent="255" justifyLastLine="0" shrinkToFit="0" mergeCell="0" readingOrder="0"/>
    </dxf>
    <dxf>
      <font>
        <strike val="0"/>
        <outline val="0"/>
        <shadow val="0"/>
        <u val="none"/>
        <vertAlign val="baseline"/>
        <sz val="18"/>
        <color theme="1"/>
        <name val="Calibri"/>
        <scheme val="minor"/>
      </font>
      <alignment horizontal="center" vertical="bottom" textRotation="0" wrapText="0" indent="0" relativeIndent="255" justifyLastLine="0" shrinkToFit="0" mergeCell="0" readingOrder="0"/>
    </dxf>
    <dxf>
      <font>
        <strike val="0"/>
        <outline val="0"/>
        <shadow val="0"/>
        <u val="none"/>
        <vertAlign val="baseline"/>
        <sz val="18"/>
        <color theme="1"/>
        <name val="Calibri"/>
        <scheme val="minor"/>
      </font>
      <alignment horizontal="center" vertical="bottom" textRotation="0" wrapText="0" indent="0" relativeIndent="255" justifyLastLine="0" shrinkToFit="0" mergeCell="0" readingOrder="0"/>
    </dxf>
    <dxf>
      <font>
        <strike val="0"/>
        <outline val="0"/>
        <shadow val="0"/>
        <u val="none"/>
        <vertAlign val="baseline"/>
        <sz val="18"/>
        <color theme="1"/>
        <name val="Calibri"/>
        <scheme val="minor"/>
      </font>
      <alignment horizontal="center" vertical="bottom" textRotation="0" wrapText="0" indent="0" relativeIndent="255" justifyLastLine="0" shrinkToFit="0" mergeCell="0" readingOrder="0"/>
    </dxf>
    <dxf>
      <font>
        <strike val="0"/>
        <outline val="0"/>
        <shadow val="0"/>
        <u val="none"/>
        <vertAlign val="baseline"/>
        <sz val="18"/>
        <color theme="1"/>
        <name val="Calibri"/>
        <scheme val="minor"/>
      </font>
      <alignment horizontal="center" vertical="bottom" textRotation="0" wrapText="0" indent="0" relativeIndent="255" justifyLastLine="0" shrinkToFit="0" mergeCell="0" readingOrder="0"/>
    </dxf>
    <dxf>
      <font>
        <strike val="0"/>
        <outline val="0"/>
        <shadow val="0"/>
        <u val="none"/>
        <vertAlign val="baseline"/>
        <sz val="18"/>
        <color theme="1"/>
        <name val="Calibri"/>
        <scheme val="minor"/>
      </font>
      <numFmt numFmtId="1" formatCode="0"/>
      <alignment horizontal="center" vertical="bottom" textRotation="0" wrapText="0" indent="0" relativeIndent="255" justifyLastLine="0" shrinkToFit="0" mergeCell="0" readingOrder="0"/>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8"/>
        <color theme="1"/>
        <name val="Calibri"/>
        <scheme val="minor"/>
      </font>
      <alignment horizontal="center" vertical="bottom" textRotation="0" wrapText="0" indent="0" relativeIndent="255" justifyLastLine="0" shrinkToFit="0" mergeCell="0" readingOrder="0"/>
    </dxf>
    <dxf>
      <font>
        <strike val="0"/>
        <outline val="0"/>
        <shadow val="0"/>
        <u val="none"/>
        <vertAlign val="baseline"/>
        <sz val="18"/>
        <color theme="1"/>
        <name val="Calibri"/>
        <scheme val="minor"/>
      </font>
      <alignment horizontal="center" vertical="bottom" textRotation="0" wrapText="0" indent="0" relativeIndent="255" justifyLastLine="0" shrinkToFit="0" mergeCell="0" readingOrder="0"/>
    </dxf>
  </dxfs>
  <tableStyles count="0" defaultTableStyle="TableStyleMedium9" defaultPivotStyle="PivotStyleLight16"/>
  <colors>
    <mruColors>
      <color rgb="FFEFF33B"/>
    </mruColors>
  </colors>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Median Salary in  </a:t>
            </a:r>
          </a:p>
        </c:rich>
      </c:tx>
      <c:layout>
        <c:manualLayout>
          <c:xMode val="edge"/>
          <c:yMode val="edge"/>
          <c:x val="0.18671250786248964"/>
          <c:y val="4.1666757094615127E-2"/>
        </c:manualLayout>
      </c:layout>
    </c:title>
    <c:plotArea>
      <c:layout>
        <c:manualLayout>
          <c:layoutTarget val="inner"/>
          <c:xMode val="edge"/>
          <c:yMode val="edge"/>
          <c:x val="0.25272462817147856"/>
          <c:y val="0.18506962671332752"/>
          <c:w val="0.5391725721784778"/>
          <c:h val="0.59151975794692313"/>
        </c:manualLayout>
      </c:layout>
      <c:barChart>
        <c:barDir val="bar"/>
        <c:grouping val="clustered"/>
        <c:ser>
          <c:idx val="0"/>
          <c:order val="0"/>
          <c:tx>
            <c:strRef>
              <c:f>Data!$C$1896</c:f>
              <c:strCache>
                <c:ptCount val="1"/>
                <c:pt idx="0">
                  <c:v>Salary</c:v>
                </c:pt>
              </c:strCache>
            </c:strRef>
          </c:tx>
          <c:cat>
            <c:strRef>
              <c:f>Data!$B$1897:$B$1906</c:f>
              <c:strCache>
                <c:ptCount val="10"/>
                <c:pt idx="0">
                  <c:v>Accountant</c:v>
                </c:pt>
                <c:pt idx="1">
                  <c:v>Analyst</c:v>
                </c:pt>
                <c:pt idx="2">
                  <c:v>Consultant</c:v>
                </c:pt>
                <c:pt idx="3">
                  <c:v>Controller</c:v>
                </c:pt>
                <c:pt idx="4">
                  <c:v>CXO or Top Mgmt.</c:v>
                </c:pt>
                <c:pt idx="5">
                  <c:v>Engineer</c:v>
                </c:pt>
                <c:pt idx="6">
                  <c:v>Manager</c:v>
                </c:pt>
                <c:pt idx="7">
                  <c:v>Misc.</c:v>
                </c:pt>
                <c:pt idx="8">
                  <c:v>Reporting</c:v>
                </c:pt>
                <c:pt idx="9">
                  <c:v>Specialist</c:v>
                </c:pt>
              </c:strCache>
            </c:strRef>
          </c:cat>
          <c:val>
            <c:numRef>
              <c:f>Data!$C$1897:$C$1906</c:f>
              <c:numCache>
                <c:formatCode>0.00</c:formatCode>
                <c:ptCount val="10"/>
                <c:pt idx="0">
                  <c:v>44026.115439202084</c:v>
                </c:pt>
                <c:pt idx="1">
                  <c:v>44219.136149412829</c:v>
                </c:pt>
                <c:pt idx="2">
                  <c:v>52957.337917782628</c:v>
                </c:pt>
                <c:pt idx="3">
                  <c:v>55032.644299002604</c:v>
                </c:pt>
                <c:pt idx="4">
                  <c:v>95000</c:v>
                </c:pt>
                <c:pt idx="5">
                  <c:v>45409.937839787694</c:v>
                </c:pt>
                <c:pt idx="6">
                  <c:v>43934.992036951386</c:v>
                </c:pt>
                <c:pt idx="7">
                  <c:v>74461</c:v>
                </c:pt>
                <c:pt idx="8">
                  <c:v>13071.642168240774</c:v>
                </c:pt>
                <c:pt idx="9">
                  <c:v>47361.022348698454</c:v>
                </c:pt>
              </c:numCache>
            </c:numRef>
          </c:val>
        </c:ser>
        <c:axId val="162936320"/>
        <c:axId val="162938240"/>
      </c:barChart>
      <c:catAx>
        <c:axId val="162936320"/>
        <c:scaling>
          <c:orientation val="minMax"/>
        </c:scaling>
        <c:axPos val="l"/>
        <c:tickLblPos val="nextTo"/>
        <c:txPr>
          <a:bodyPr/>
          <a:lstStyle/>
          <a:p>
            <a:pPr>
              <a:defRPr sz="1400"/>
            </a:pPr>
            <a:endParaRPr lang="en-US"/>
          </a:p>
        </c:txPr>
        <c:crossAx val="162938240"/>
        <c:crossesAt val="0"/>
        <c:auto val="1"/>
        <c:lblAlgn val="ctr"/>
        <c:lblOffset val="100"/>
      </c:catAx>
      <c:valAx>
        <c:axId val="162938240"/>
        <c:scaling>
          <c:orientation val="minMax"/>
        </c:scaling>
        <c:axPos val="b"/>
        <c:numFmt formatCode="#,##0" sourceLinked="0"/>
        <c:tickLblPos val="nextTo"/>
        <c:crossAx val="162936320"/>
        <c:crosses val="autoZero"/>
        <c:crossBetween val="between"/>
        <c:dispUnits>
          <c:builtInUnit val="thousands"/>
          <c:dispUnitsLbl>
            <c:layout/>
            <c:txPr>
              <a:bodyPr/>
              <a:lstStyle/>
              <a:p>
                <a:pPr>
                  <a:defRPr sz="1400"/>
                </a:pPr>
                <a:endParaRPr lang="en-US"/>
              </a:p>
            </c:txPr>
          </c:dispUnitsLbl>
        </c:dispUnits>
      </c:valAx>
    </c:plotArea>
    <c:plotVisOnly val="1"/>
  </c:chart>
  <c:printSettings>
    <c:headerFooter/>
    <c:pageMargins b="0.75000000000000056" l="0.70000000000000051" r="0.70000000000000051" t="0.75000000000000056" header="0.30000000000000027" footer="0.30000000000000027"/>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US"/>
  <c:chart>
    <c:view3D>
      <c:rotX val="75"/>
      <c:perspective val="30"/>
    </c:view3D>
    <c:plotArea>
      <c:layout>
        <c:manualLayout>
          <c:layoutTarget val="inner"/>
          <c:xMode val="edge"/>
          <c:yMode val="edge"/>
          <c:x val="9.1340678920958512E-2"/>
          <c:y val="0.11083819465766041"/>
          <c:w val="0.82619274088243122"/>
          <c:h val="0.78638000289268872"/>
        </c:manualLayout>
      </c:layout>
      <c:pie3DChart>
        <c:varyColors val="1"/>
        <c:ser>
          <c:idx val="0"/>
          <c:order val="0"/>
          <c:explosion val="25"/>
          <c:dLbls>
            <c:dLbl>
              <c:idx val="0"/>
              <c:delete val="1"/>
            </c:dLbl>
            <c:dLbl>
              <c:idx val="2"/>
              <c:delete val="1"/>
            </c:dLbl>
            <c:dLbl>
              <c:idx val="3"/>
              <c:delete val="1"/>
            </c:dLbl>
            <c:dLbl>
              <c:idx val="4"/>
              <c:delete val="1"/>
            </c:dLbl>
            <c:dLbl>
              <c:idx val="5"/>
              <c:delete val="1"/>
            </c:dLbl>
            <c:dLbl>
              <c:idx val="7"/>
              <c:delete val="1"/>
            </c:dLbl>
            <c:dLbl>
              <c:idx val="8"/>
              <c:delete val="1"/>
            </c:dLbl>
            <c:dLbl>
              <c:idx val="9"/>
              <c:delete val="1"/>
            </c:dLbl>
            <c:txPr>
              <a:bodyPr/>
              <a:lstStyle/>
              <a:p>
                <a:pPr>
                  <a:defRPr sz="2400"/>
                </a:pPr>
                <a:endParaRPr lang="en-US"/>
              </a:p>
            </c:txPr>
            <c:showVal val="1"/>
            <c:showLeaderLines val="1"/>
          </c:dLbls>
          <c:val>
            <c:numRef>
              <c:f>Data!$D$1897:$D$1907</c:f>
              <c:numCache>
                <c:formatCode>General</c:formatCode>
                <c:ptCount val="11"/>
                <c:pt idx="0">
                  <c:v>135</c:v>
                </c:pt>
                <c:pt idx="1">
                  <c:v>740</c:v>
                </c:pt>
                <c:pt idx="2">
                  <c:v>90</c:v>
                </c:pt>
                <c:pt idx="3">
                  <c:v>67</c:v>
                </c:pt>
                <c:pt idx="4">
                  <c:v>75</c:v>
                </c:pt>
                <c:pt idx="5">
                  <c:v>74</c:v>
                </c:pt>
                <c:pt idx="6">
                  <c:v>554</c:v>
                </c:pt>
                <c:pt idx="7">
                  <c:v>7</c:v>
                </c:pt>
                <c:pt idx="8">
                  <c:v>83</c:v>
                </c:pt>
                <c:pt idx="9">
                  <c:v>51</c:v>
                </c:pt>
              </c:numCache>
            </c:numRef>
          </c:val>
        </c:ser>
      </c:pie3DChart>
      <c:spPr>
        <a:noFill/>
        <a:ln>
          <a:noFill/>
        </a:ln>
      </c:spPr>
    </c:plotArea>
    <c:plotVisOnly val="1"/>
  </c:chart>
  <c:printSettings>
    <c:headerFooter/>
    <c:pageMargins b="0.75000000000000056" l="0.70000000000000051" r="0.70000000000000051" t="0.75000000000000056" header="0.30000000000000027" footer="0.30000000000000027"/>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barChart>
        <c:barDir val="bar"/>
        <c:grouping val="stacked"/>
        <c:ser>
          <c:idx val="0"/>
          <c:order val="0"/>
          <c:spPr>
            <a:solidFill>
              <a:schemeClr val="bg1">
                <a:lumMod val="85000"/>
              </a:schemeClr>
            </a:solidFill>
            <a:ln>
              <a:solidFill>
                <a:schemeClr val="bg1">
                  <a:lumMod val="50000"/>
                </a:schemeClr>
              </a:solidFill>
            </a:ln>
          </c:spPr>
          <c:dLbls>
            <c:numFmt formatCode="General" sourceLinked="0"/>
            <c:txPr>
              <a:bodyPr/>
              <a:lstStyle/>
              <a:p>
                <a:pPr>
                  <a:defRPr sz="1200" b="1"/>
                </a:pPr>
                <a:endParaRPr lang="en-US"/>
              </a:p>
            </c:txPr>
            <c:dLblPos val="ctr"/>
            <c:showVal val="1"/>
          </c:dLbls>
          <c:cat>
            <c:strRef>
              <c:f>Data!$D$1912:$D$1916</c:f>
              <c:strCache>
                <c:ptCount val="5"/>
                <c:pt idx="0">
                  <c:v>USA</c:v>
                </c:pt>
                <c:pt idx="1">
                  <c:v>India</c:v>
                </c:pt>
                <c:pt idx="2">
                  <c:v>UK</c:v>
                </c:pt>
                <c:pt idx="3">
                  <c:v>Australia</c:v>
                </c:pt>
                <c:pt idx="4">
                  <c:v>Canada</c:v>
                </c:pt>
              </c:strCache>
            </c:strRef>
          </c:cat>
          <c:val>
            <c:numRef>
              <c:f>Data!$E$1912:$E$1916</c:f>
              <c:numCache>
                <c:formatCode>General</c:formatCode>
                <c:ptCount val="5"/>
                <c:pt idx="0">
                  <c:v>134</c:v>
                </c:pt>
                <c:pt idx="1">
                  <c:v>163</c:v>
                </c:pt>
                <c:pt idx="2">
                  <c:v>36</c:v>
                </c:pt>
                <c:pt idx="3">
                  <c:v>11</c:v>
                </c:pt>
                <c:pt idx="4">
                  <c:v>12</c:v>
                </c:pt>
              </c:numCache>
            </c:numRef>
          </c:val>
        </c:ser>
        <c:gapWidth val="87"/>
        <c:overlap val="90"/>
        <c:axId val="181130368"/>
        <c:axId val="160625024"/>
      </c:barChart>
      <c:catAx>
        <c:axId val="181130368"/>
        <c:scaling>
          <c:orientation val="minMax"/>
        </c:scaling>
        <c:axPos val="l"/>
        <c:tickLblPos val="nextTo"/>
        <c:txPr>
          <a:bodyPr/>
          <a:lstStyle/>
          <a:p>
            <a:pPr>
              <a:defRPr sz="1400"/>
            </a:pPr>
            <a:endParaRPr lang="en-US"/>
          </a:p>
        </c:txPr>
        <c:crossAx val="160625024"/>
        <c:crosses val="autoZero"/>
        <c:auto val="1"/>
        <c:lblAlgn val="ctr"/>
        <c:lblOffset val="100"/>
      </c:catAx>
      <c:valAx>
        <c:axId val="160625024"/>
        <c:scaling>
          <c:orientation val="minMax"/>
        </c:scaling>
        <c:axPos val="b"/>
        <c:numFmt formatCode="General" sourceLinked="1"/>
        <c:tickLblPos val="nextTo"/>
        <c:crossAx val="181130368"/>
        <c:crosses val="autoZero"/>
        <c:crossBetween val="between"/>
      </c:valAx>
    </c:plotArea>
    <c:plotVisOnly val="1"/>
  </c:chart>
  <c:printSettings>
    <c:headerFooter/>
    <c:pageMargins b="0.75000000000000033" l="0.70000000000000029" r="0.70000000000000029" t="0.75000000000000033" header="0.30000000000000016" footer="0.30000000000000016"/>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Median Pay in</a:t>
            </a:r>
          </a:p>
        </c:rich>
      </c:tx>
      <c:layout>
        <c:manualLayout>
          <c:xMode val="edge"/>
          <c:yMode val="edge"/>
          <c:x val="0.2856803173575907"/>
          <c:y val="3.8997062453286054E-2"/>
        </c:manualLayout>
      </c:layout>
    </c:title>
    <c:plotArea>
      <c:layout/>
      <c:barChart>
        <c:barDir val="bar"/>
        <c:grouping val="clustered"/>
        <c:ser>
          <c:idx val="0"/>
          <c:order val="0"/>
          <c:tx>
            <c:strRef>
              <c:f>Data!$C$1920</c:f>
              <c:strCache>
                <c:ptCount val="1"/>
                <c:pt idx="0">
                  <c:v>Median Pay</c:v>
                </c:pt>
              </c:strCache>
            </c:strRef>
          </c:tx>
          <c:cat>
            <c:strRef>
              <c:f>Data!$B$1921:$B$1925</c:f>
              <c:strCache>
                <c:ptCount val="5"/>
                <c:pt idx="0">
                  <c:v>1 or 2 hours a day</c:v>
                </c:pt>
                <c:pt idx="1">
                  <c:v>2 to 3 hours per day</c:v>
                </c:pt>
                <c:pt idx="2">
                  <c:v>4 to 6 hours a day</c:v>
                </c:pt>
                <c:pt idx="3">
                  <c:v>All the 8 hours baby, all the 8!</c:v>
                </c:pt>
                <c:pt idx="4">
                  <c:v>Excel ?!? What Excel?</c:v>
                </c:pt>
              </c:strCache>
            </c:strRef>
          </c:cat>
          <c:val>
            <c:numRef>
              <c:f>Data!$C$1921:$C$1925</c:f>
              <c:numCache>
                <c:formatCode>0.00</c:formatCode>
                <c:ptCount val="5"/>
                <c:pt idx="0">
                  <c:v>42624.920113828608</c:v>
                </c:pt>
                <c:pt idx="1">
                  <c:v>47939.20027006614</c:v>
                </c:pt>
                <c:pt idx="2">
                  <c:v>45616</c:v>
                </c:pt>
                <c:pt idx="3">
                  <c:v>38594.425504650913</c:v>
                </c:pt>
                <c:pt idx="4">
                  <c:v>47426.772192140677</c:v>
                </c:pt>
              </c:numCache>
            </c:numRef>
          </c:val>
        </c:ser>
        <c:axId val="160996352"/>
        <c:axId val="160998144"/>
      </c:barChart>
      <c:catAx>
        <c:axId val="160996352"/>
        <c:scaling>
          <c:orientation val="minMax"/>
        </c:scaling>
        <c:axPos val="l"/>
        <c:tickLblPos val="nextTo"/>
        <c:txPr>
          <a:bodyPr/>
          <a:lstStyle/>
          <a:p>
            <a:pPr>
              <a:defRPr sz="1400"/>
            </a:pPr>
            <a:endParaRPr lang="en-US"/>
          </a:p>
        </c:txPr>
        <c:crossAx val="160998144"/>
        <c:crosses val="autoZero"/>
        <c:auto val="1"/>
        <c:lblAlgn val="ctr"/>
        <c:lblOffset val="100"/>
      </c:catAx>
      <c:valAx>
        <c:axId val="160998144"/>
        <c:scaling>
          <c:orientation val="minMax"/>
        </c:scaling>
        <c:axPos val="b"/>
        <c:numFmt formatCode="General" sourceLinked="0"/>
        <c:tickLblPos val="nextTo"/>
        <c:txPr>
          <a:bodyPr/>
          <a:lstStyle/>
          <a:p>
            <a:pPr>
              <a:defRPr sz="1400"/>
            </a:pPr>
            <a:endParaRPr lang="en-US"/>
          </a:p>
        </c:txPr>
        <c:crossAx val="160996352"/>
        <c:crosses val="autoZero"/>
        <c:crossBetween val="between"/>
      </c:valAx>
    </c:plotArea>
    <c:plotVisOnly val="1"/>
  </c:chart>
  <c:printSettings>
    <c:headerFooter/>
    <c:pageMargins b="0.75000000000000056" l="0.70000000000000051" r="0.70000000000000051" t="0.75000000000000056" header="0.30000000000000027" footer="0.30000000000000027"/>
    <c:pageSetup/>
  </c:printSettings>
  <c:userShapes r:id="rId1"/>
</c:chartSpac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E5E25A5-4DEF-48EA-BA92-B9E1E26E5AD8}" type="doc">
      <dgm:prSet loTypeId="urn:microsoft.com/office/officeart/2005/8/layout/hProcess3" loCatId="process" qsTypeId="urn:microsoft.com/office/officeart/2005/8/quickstyle/3d3" qsCatId="3D" csTypeId="urn:microsoft.com/office/officeart/2005/8/colors/accent1_2" csCatId="accent1" phldr="1"/>
      <dgm:spPr/>
    </dgm:pt>
    <dgm:pt modelId="{10B11E0A-E810-4A78-A6C1-C4013EA13364}">
      <dgm:prSet phldrT="[Text]"/>
      <dgm:spPr/>
      <dgm:t>
        <a:bodyPr/>
        <a:lstStyle/>
        <a:p>
          <a:r>
            <a:rPr lang="en-US"/>
            <a:t>Which currency would you like to display the data in?</a:t>
          </a:r>
        </a:p>
      </dgm:t>
    </dgm:pt>
    <dgm:pt modelId="{0240C59C-2C17-40D2-9C6A-D9CA4E91CB5D}" type="parTrans" cxnId="{4160CA1C-340D-4FB2-B2CF-9D978ECD7B31}">
      <dgm:prSet/>
      <dgm:spPr/>
      <dgm:t>
        <a:bodyPr/>
        <a:lstStyle/>
        <a:p>
          <a:endParaRPr lang="en-US"/>
        </a:p>
      </dgm:t>
    </dgm:pt>
    <dgm:pt modelId="{D532FEC0-83D8-4C6D-9B4C-8DFAF76EEA7F}" type="sibTrans" cxnId="{4160CA1C-340D-4FB2-B2CF-9D978ECD7B31}">
      <dgm:prSet/>
      <dgm:spPr/>
      <dgm:t>
        <a:bodyPr/>
        <a:lstStyle/>
        <a:p>
          <a:endParaRPr lang="en-US"/>
        </a:p>
      </dgm:t>
    </dgm:pt>
    <dgm:pt modelId="{6B381735-FF7D-459A-9B08-E9C6AE92F486}" type="pres">
      <dgm:prSet presAssocID="{2E5E25A5-4DEF-48EA-BA92-B9E1E26E5AD8}" presName="Name0" presStyleCnt="0">
        <dgm:presLayoutVars>
          <dgm:dir/>
          <dgm:animLvl val="lvl"/>
          <dgm:resizeHandles val="exact"/>
        </dgm:presLayoutVars>
      </dgm:prSet>
      <dgm:spPr/>
    </dgm:pt>
    <dgm:pt modelId="{77F70C23-1B82-42DA-B835-2CD8BD38FDFE}" type="pres">
      <dgm:prSet presAssocID="{2E5E25A5-4DEF-48EA-BA92-B9E1E26E5AD8}" presName="dummy" presStyleCnt="0"/>
      <dgm:spPr/>
    </dgm:pt>
    <dgm:pt modelId="{D5E382C3-25DA-44C5-9E47-DA8F8216ED79}" type="pres">
      <dgm:prSet presAssocID="{2E5E25A5-4DEF-48EA-BA92-B9E1E26E5AD8}" presName="linH" presStyleCnt="0"/>
      <dgm:spPr/>
    </dgm:pt>
    <dgm:pt modelId="{E803B366-CF06-49EE-8AA6-810B533740E2}" type="pres">
      <dgm:prSet presAssocID="{2E5E25A5-4DEF-48EA-BA92-B9E1E26E5AD8}" presName="padding1" presStyleCnt="0"/>
      <dgm:spPr/>
    </dgm:pt>
    <dgm:pt modelId="{A370980F-6837-4569-A4D9-6174A58902A6}" type="pres">
      <dgm:prSet presAssocID="{10B11E0A-E810-4A78-A6C1-C4013EA13364}" presName="linV" presStyleCnt="0"/>
      <dgm:spPr/>
    </dgm:pt>
    <dgm:pt modelId="{5574EC69-DFFF-4026-AE7E-1ED1E81964FA}" type="pres">
      <dgm:prSet presAssocID="{10B11E0A-E810-4A78-A6C1-C4013EA13364}" presName="spVertical1" presStyleCnt="0"/>
      <dgm:spPr/>
    </dgm:pt>
    <dgm:pt modelId="{190EFC8D-36A6-4E24-B41B-0AD82F294D6C}" type="pres">
      <dgm:prSet presAssocID="{10B11E0A-E810-4A78-A6C1-C4013EA13364}" presName="parTx" presStyleLbl="revTx" presStyleIdx="0" presStyleCnt="1" custScaleY="118367" custLinFactNeighborX="364" custLinFactNeighborY="22281">
        <dgm:presLayoutVars>
          <dgm:chMax val="0"/>
          <dgm:chPref val="0"/>
          <dgm:bulletEnabled val="1"/>
        </dgm:presLayoutVars>
      </dgm:prSet>
      <dgm:spPr/>
      <dgm:t>
        <a:bodyPr/>
        <a:lstStyle/>
        <a:p>
          <a:endParaRPr lang="en-US"/>
        </a:p>
      </dgm:t>
    </dgm:pt>
    <dgm:pt modelId="{4B06B032-EFB7-48FE-8384-F2EA56C1A139}" type="pres">
      <dgm:prSet presAssocID="{10B11E0A-E810-4A78-A6C1-C4013EA13364}" presName="spVertical2" presStyleCnt="0"/>
      <dgm:spPr/>
    </dgm:pt>
    <dgm:pt modelId="{91992A73-9D63-4481-B49E-EED8B9CB2597}" type="pres">
      <dgm:prSet presAssocID="{10B11E0A-E810-4A78-A6C1-C4013EA13364}" presName="spVertical3" presStyleCnt="0"/>
      <dgm:spPr/>
    </dgm:pt>
    <dgm:pt modelId="{FBD8BFB4-3B6A-4ECA-88C4-8563FAFB44BA}" type="pres">
      <dgm:prSet presAssocID="{2E5E25A5-4DEF-48EA-BA92-B9E1E26E5AD8}" presName="padding2" presStyleCnt="0"/>
      <dgm:spPr/>
    </dgm:pt>
    <dgm:pt modelId="{5FD57AD6-9071-492D-AC17-9144946816DD}" type="pres">
      <dgm:prSet presAssocID="{2E5E25A5-4DEF-48EA-BA92-B9E1E26E5AD8}" presName="negArrow" presStyleCnt="0"/>
      <dgm:spPr/>
    </dgm:pt>
    <dgm:pt modelId="{4F3C2628-B737-49C2-A731-3F221C3F9BB9}" type="pres">
      <dgm:prSet presAssocID="{2E5E25A5-4DEF-48EA-BA92-B9E1E26E5AD8}" presName="backgroundArrow" presStyleLbl="node1" presStyleIdx="0" presStyleCnt="1" custLinFactNeighborY="11136"/>
      <dgm:spPr>
        <a:solidFill>
          <a:schemeClr val="bg1">
            <a:lumMod val="85000"/>
          </a:schemeClr>
        </a:solidFill>
      </dgm:spPr>
    </dgm:pt>
  </dgm:ptLst>
  <dgm:cxnLst>
    <dgm:cxn modelId="{A40CA6A4-3A36-4D2E-9D50-B9FF1401B40E}" type="presOf" srcId="{10B11E0A-E810-4A78-A6C1-C4013EA13364}" destId="{190EFC8D-36A6-4E24-B41B-0AD82F294D6C}" srcOrd="0" destOrd="0" presId="urn:microsoft.com/office/officeart/2005/8/layout/hProcess3"/>
    <dgm:cxn modelId="{4160CA1C-340D-4FB2-B2CF-9D978ECD7B31}" srcId="{2E5E25A5-4DEF-48EA-BA92-B9E1E26E5AD8}" destId="{10B11E0A-E810-4A78-A6C1-C4013EA13364}" srcOrd="0" destOrd="0" parTransId="{0240C59C-2C17-40D2-9C6A-D9CA4E91CB5D}" sibTransId="{D532FEC0-83D8-4C6D-9B4C-8DFAF76EEA7F}"/>
    <dgm:cxn modelId="{5CE7A07A-BD16-41A3-85FC-1BAF5B986CDC}" type="presOf" srcId="{2E5E25A5-4DEF-48EA-BA92-B9E1E26E5AD8}" destId="{6B381735-FF7D-459A-9B08-E9C6AE92F486}" srcOrd="0" destOrd="0" presId="urn:microsoft.com/office/officeart/2005/8/layout/hProcess3"/>
    <dgm:cxn modelId="{9C6AC973-E7A5-429F-8EEF-C04BF8C9B7AC}" type="presParOf" srcId="{6B381735-FF7D-459A-9B08-E9C6AE92F486}" destId="{77F70C23-1B82-42DA-B835-2CD8BD38FDFE}" srcOrd="0" destOrd="0" presId="urn:microsoft.com/office/officeart/2005/8/layout/hProcess3"/>
    <dgm:cxn modelId="{BEC3AEB8-48AC-4B37-822E-F046735D1218}" type="presParOf" srcId="{6B381735-FF7D-459A-9B08-E9C6AE92F486}" destId="{D5E382C3-25DA-44C5-9E47-DA8F8216ED79}" srcOrd="1" destOrd="0" presId="urn:microsoft.com/office/officeart/2005/8/layout/hProcess3"/>
    <dgm:cxn modelId="{2203DCD2-7667-4FD1-9397-B095F5DF10AC}" type="presParOf" srcId="{D5E382C3-25DA-44C5-9E47-DA8F8216ED79}" destId="{E803B366-CF06-49EE-8AA6-810B533740E2}" srcOrd="0" destOrd="0" presId="urn:microsoft.com/office/officeart/2005/8/layout/hProcess3"/>
    <dgm:cxn modelId="{D4364E85-96A9-4216-9AE8-4C274AA48FD7}" type="presParOf" srcId="{D5E382C3-25DA-44C5-9E47-DA8F8216ED79}" destId="{A370980F-6837-4569-A4D9-6174A58902A6}" srcOrd="1" destOrd="0" presId="urn:microsoft.com/office/officeart/2005/8/layout/hProcess3"/>
    <dgm:cxn modelId="{F4CC8EE9-A4CA-4B3A-9EA1-BE7F6106367E}" type="presParOf" srcId="{A370980F-6837-4569-A4D9-6174A58902A6}" destId="{5574EC69-DFFF-4026-AE7E-1ED1E81964FA}" srcOrd="0" destOrd="0" presId="urn:microsoft.com/office/officeart/2005/8/layout/hProcess3"/>
    <dgm:cxn modelId="{EA04E3D0-6446-4752-B381-98695C2B2E57}" type="presParOf" srcId="{A370980F-6837-4569-A4D9-6174A58902A6}" destId="{190EFC8D-36A6-4E24-B41B-0AD82F294D6C}" srcOrd="1" destOrd="0" presId="urn:microsoft.com/office/officeart/2005/8/layout/hProcess3"/>
    <dgm:cxn modelId="{10BDEB49-7FD0-407D-84E6-33585F9235D1}" type="presParOf" srcId="{A370980F-6837-4569-A4D9-6174A58902A6}" destId="{4B06B032-EFB7-48FE-8384-F2EA56C1A139}" srcOrd="2" destOrd="0" presId="urn:microsoft.com/office/officeart/2005/8/layout/hProcess3"/>
    <dgm:cxn modelId="{79785F41-B1F0-49ED-8BA5-9EE7161B213A}" type="presParOf" srcId="{A370980F-6837-4569-A4D9-6174A58902A6}" destId="{91992A73-9D63-4481-B49E-EED8B9CB2597}" srcOrd="3" destOrd="0" presId="urn:microsoft.com/office/officeart/2005/8/layout/hProcess3"/>
    <dgm:cxn modelId="{36128558-37B0-4197-8DE2-4F037136DF1D}" type="presParOf" srcId="{D5E382C3-25DA-44C5-9E47-DA8F8216ED79}" destId="{FBD8BFB4-3B6A-4ECA-88C4-8563FAFB44BA}" srcOrd="2" destOrd="0" presId="urn:microsoft.com/office/officeart/2005/8/layout/hProcess3"/>
    <dgm:cxn modelId="{E9098D1C-E490-43BC-831C-72C852F07216}" type="presParOf" srcId="{D5E382C3-25DA-44C5-9E47-DA8F8216ED79}" destId="{5FD57AD6-9071-492D-AC17-9144946816DD}" srcOrd="3" destOrd="0" presId="urn:microsoft.com/office/officeart/2005/8/layout/hProcess3"/>
    <dgm:cxn modelId="{D1C15DA3-B456-404D-BA67-5AC01E3EDDFA}" type="presParOf" srcId="{D5E382C3-25DA-44C5-9E47-DA8F8216ED79}" destId="{4F3C2628-B737-49C2-A731-3F221C3F9BB9}" srcOrd="4" destOrd="0" presId="urn:microsoft.com/office/officeart/2005/8/layout/hProcess3"/>
  </dgm:cxnLst>
  <dgm:bg/>
  <dgm:whole/>
  <dgm:extLst>
    <a:ext uri="http://schemas.microsoft.com/office/drawing/2008/diagram">
      <dsp:dataModelExt xmlns:dsp="http://schemas.microsoft.com/office/drawing/2008/diagram" xmlns="" relId="rId7" minVer="http://schemas.openxmlformats.org/drawingml/2006/diagram"/>
    </a:ext>
  </dgm:extLst>
</dgm:dataModel>
</file>

<file path=xl/diagrams/drawing1.xml><?xml version="1.0" encoding="utf-8"?>
<dsp:drawing xmlns:dgm="http://schemas.openxmlformats.org/drawingml/2006/diagram" xmlns:a="http://schemas.openxmlformats.org/drawingml/2006/main" xmlns:dsp="http://schemas.microsoft.com/office/drawing/2008/diagram">
  <dsp:spTree>
    <dsp:nvGrpSpPr>
      <dsp:cNvPr id="0" name=""/>
      <dsp:cNvGrpSpPr/>
    </dsp:nvGrpSpPr>
    <dsp:grpSpPr/>
    <dsp:sp modelId="{4F3C2628-B737-49C2-A731-3F221C3F9BB9}">
      <dsp:nvSpPr>
        <dsp:cNvPr id="0" name=""/>
        <dsp:cNvSpPr/>
      </dsp:nvSpPr>
      <dsp:spPr>
        <a:xfrm>
          <a:off x="0" y="191337"/>
          <a:ext cx="6762747" cy="1368000"/>
        </a:xfrm>
        <a:prstGeom prst="rightArrow">
          <a:avLst/>
        </a:prstGeom>
        <a:solidFill>
          <a:schemeClr val="bg1">
            <a:lumMod val="85000"/>
          </a:schemeClr>
        </a:solidFill>
        <a:ln>
          <a:noFill/>
        </a:ln>
        <a:effectLst>
          <a:outerShdw blurRad="40000" dist="23000" dir="5400000" rotWithShape="0">
            <a:srgbClr val="000000">
              <a:alpha val="35000"/>
            </a:srgbClr>
          </a:outerShdw>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sp>
    <dsp:sp modelId="{190EFC8D-36A6-4E24-B41B-0AD82F294D6C}">
      <dsp:nvSpPr>
        <dsp:cNvPr id="0" name=""/>
        <dsp:cNvSpPr/>
      </dsp:nvSpPr>
      <dsp:spPr>
        <a:xfrm>
          <a:off x="566099" y="457198"/>
          <a:ext cx="5824944" cy="809630"/>
        </a:xfrm>
        <a:prstGeom prst="rect">
          <a:avLst/>
        </a:prstGeom>
        <a:noFill/>
        <a:ln w="9525" cap="flat" cmpd="sng" algn="ctr">
          <a:solidFill>
            <a:schemeClr val="dk1">
              <a:alpha val="0"/>
              <a:hueOff val="0"/>
              <a:satOff val="0"/>
              <a:lumOff val="0"/>
              <a:alphaOff val="0"/>
            </a:schemeClr>
          </a:solidFill>
          <a:prstDash val="solid"/>
        </a:ln>
        <a:effectLst/>
      </dsp:spPr>
      <dsp:style>
        <a:lnRef idx="1">
          <a:scrgbClr r="0" g="0" b="0"/>
        </a:lnRef>
        <a:fillRef idx="0">
          <a:scrgbClr r="0" g="0" b="0"/>
        </a:fillRef>
        <a:effectRef idx="0">
          <a:scrgbClr r="0" g="0" b="0"/>
        </a:effectRef>
        <a:fontRef idx="minor"/>
      </dsp:style>
      <dsp:txBody>
        <a:bodyPr spcFirstLastPara="0" vert="horz" wrap="square" lIns="0" tIns="193040" rIns="0" bIns="193040" numCol="1" spcCol="1270" anchor="ctr" anchorCtr="0">
          <a:noAutofit/>
        </a:bodyPr>
        <a:lstStyle/>
        <a:p>
          <a:pPr lvl="0" algn="ctr" defTabSz="844550">
            <a:lnSpc>
              <a:spcPct val="90000"/>
            </a:lnSpc>
            <a:spcBef>
              <a:spcPct val="0"/>
            </a:spcBef>
            <a:spcAft>
              <a:spcPct val="35000"/>
            </a:spcAft>
          </a:pPr>
          <a:r>
            <a:rPr lang="en-US" sz="1900" kern="1200"/>
            <a:t>Which currency would you like to display the data in?</a:t>
          </a:r>
        </a:p>
      </dsp:txBody>
      <dsp:txXfrm>
        <a:off x="566099" y="457198"/>
        <a:ext cx="5824944" cy="809630"/>
      </dsp:txXfrm>
    </dsp:sp>
  </dsp:spTree>
</dsp:drawing>
</file>

<file path=xl/diagrams/layout1.xml><?xml version="1.0" encoding="utf-8"?>
<dgm:layoutDef xmlns:dgm="http://schemas.openxmlformats.org/drawingml/2006/diagram" xmlns:a="http://schemas.openxmlformats.org/drawingml/2006/main" uniqueId="urn:microsoft.com/office/officeart/2005/8/layout/hProcess3">
  <dgm:title val=""/>
  <dgm:desc val=""/>
  <dgm:catLst>
    <dgm:cat type="process" pri="6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chOrder="t">
    <dgm:varLst>
      <dgm:dir/>
      <dgm:animLvl val="lvl"/>
      <dgm:resizeHandles val="exact"/>
    </dgm:varLst>
    <dgm:alg type="composite"/>
    <dgm:shape xmlns:r="http://schemas.openxmlformats.org/officeDocument/2006/relationships" r:blip="">
      <dgm:adjLst/>
    </dgm:shape>
    <dgm:presOf/>
    <dgm:constrLst>
      <dgm:constr type="w" for="ch" forName="dummy" refType="w"/>
      <dgm:constr type="h" for="ch" forName="dummy" refType="h"/>
      <dgm:constr type="h" for="ch" forName="dummy" refType="w" refFor="ch" refForName="dummy" op="lte" fact="0.4"/>
      <dgm:constr type="ctrX" for="ch" forName="dummy" refType="w" fact="0.5"/>
      <dgm:constr type="ctrY" for="ch" forName="dummy" refType="h" fact="0.5"/>
      <dgm:constr type="w" for="ch" forName="linH" refType="w"/>
      <dgm:constr type="h" for="ch" forName="linH" refType="h"/>
      <dgm:constr type="ctrX" for="ch" forName="linH" refType="w" fact="0.5"/>
      <dgm:constr type="ctrY" for="ch" forName="linH" refType="h" fact="0.5"/>
      <dgm:constr type="userP" for="ch" forName="linH" refType="h" refFor="ch" refForName="dummy" fact="0.25"/>
      <dgm:constr type="userT" for="des" forName="parTx" refType="w" refFor="ch" refForName="dummy" fact="0.2"/>
    </dgm:constrLst>
    <dgm:ruleLst/>
    <dgm:layoutNode name="dummy">
      <dgm:alg type="sp"/>
      <dgm:shape xmlns:r="http://schemas.openxmlformats.org/officeDocument/2006/relationships" r:blip="">
        <dgm:adjLst/>
      </dgm:shape>
      <dgm:presOf/>
      <dgm:constrLst/>
      <dgm:ruleLst/>
    </dgm:layoutNode>
    <dgm:layoutNode name="linH">
      <dgm:choose name="Name1">
        <dgm:if name="Name2" func="var" arg="dir" op="equ" val="norm">
          <dgm:alg type="lin">
            <dgm:param type="linDir" val="fromL"/>
            <dgm:param type="nodeVertAlign" val="t"/>
          </dgm:alg>
        </dgm:if>
        <dgm:else name="Name3">
          <dgm:alg type="lin">
            <dgm:param type="linDir" val="fromR"/>
            <dgm:param type="nodeVertAlign" val="t"/>
          </dgm:alg>
        </dgm:else>
      </dgm:choose>
      <dgm:shape xmlns:r="http://schemas.openxmlformats.org/officeDocument/2006/relationships" r:blip="">
        <dgm:adjLst/>
      </dgm:shape>
      <dgm:presOf/>
      <dgm:constrLst>
        <dgm:constr type="primFontSz" for="des" forName="parTx" val="65"/>
        <dgm:constr type="primFontSz" for="des" forName="desTx" refType="primFontSz" refFor="des" refForName="parTx" op="equ"/>
        <dgm:constr type="h" for="des" forName="parTx" refType="primFontSz" refFor="des" refForName="parTx"/>
        <dgm:constr type="h" for="des" forName="desTx" refType="primFontSz" refFor="des" refForName="parTx" fact="0.5"/>
        <dgm:constr type="h" for="des" forName="parTx" op="equ"/>
        <dgm:constr type="h" for="des" forName="desTx" op="equ"/>
        <dgm:constr type="h" for="ch" forName="backgroundArrow" refType="primFontSz" refFor="des" refForName="parTx" fact="2"/>
        <dgm:constr type="h" for="ch" forName="backgroundArrow" refType="h" refFor="des" refForName="parTx" op="lte" fact="2"/>
        <dgm:constr type="h" for="ch" forName="backgroundArrow" refType="h" refFor="des" refForName="parTx" op="gte" fact="2"/>
        <dgm:constr type="h" for="des" forName="spVertical1" refType="primFontSz" refFor="des" refForName="parTx" fact="0.5"/>
        <dgm:constr type="h" for="des" forName="spVertical1" refType="h" refFor="des" refForName="parTx" op="lte" fact="0.5"/>
        <dgm:constr type="h" for="des" forName="spVertical1" refType="h" refFor="des" refForName="parTx" op="gte" fact="0.5"/>
        <dgm:constr type="h" for="des" forName="spVertical2" refType="primFontSz" refFor="des" refForName="parTx" fact="0.5"/>
        <dgm:constr type="h" for="des" forName="spVertical2" refType="h" refFor="des" refForName="parTx" op="lte" fact="0.5"/>
        <dgm:constr type="h" for="des" forName="spVertical2" refType="h" refFor="des" refForName="parTx" op="gte" fact="0.5"/>
        <dgm:constr type="h" for="des" forName="spVertical3" refType="primFontSz" refFor="des" refForName="parTx" fact="-0.4"/>
        <dgm:constr type="h" for="des" forName="spVertical3" refType="h" refFor="des" refForName="parTx" op="lte" fact="-0.4"/>
        <dgm:constr type="h" for="des" forName="spVertical3" refType="h" refFor="des" refForName="parTx" op="gte" fact="-0.4"/>
        <dgm:constr type="w" for="ch" forName="backgroundArrow" refType="w"/>
        <dgm:constr type="w" for="ch" forName="negArrow" refType="w" fact="-1"/>
        <dgm:constr type="w" for="ch" forName="linV" refType="w"/>
        <dgm:constr type="w" for="ch" forName="space" refType="w" refFor="ch" refForName="linV" fact="0.2"/>
        <dgm:constr type="w" for="ch" forName="padding1" refType="w" fact="0.08"/>
        <dgm:constr type="userP"/>
        <dgm:constr type="w" for="ch" forName="padding2" refType="userP"/>
      </dgm:constrLst>
      <dgm:ruleLst>
        <dgm:rule type="w" for="ch" forName="linV" val="0" fact="NaN" max="NaN"/>
        <dgm:rule type="primFontSz" for="des" forName="parTx" val="5" fact="NaN" max="NaN"/>
      </dgm:ruleLst>
      <dgm:layoutNode name="padding1">
        <dgm:alg type="sp"/>
        <dgm:shape xmlns:r="http://schemas.openxmlformats.org/officeDocument/2006/relationships" r:blip="">
          <dgm:adjLst/>
        </dgm:shape>
        <dgm:presOf/>
        <dgm:constrLst/>
        <dgm:ruleLst/>
      </dgm:layoutNode>
      <dgm:forEach name="Name4" axis="ch" ptType="node">
        <dgm:layoutNode name="linV">
          <dgm:alg type="lin">
            <dgm:param type="linDir" val="fromT"/>
          </dgm:alg>
          <dgm:shape xmlns:r="http://schemas.openxmlformats.org/officeDocument/2006/relationships" r:blip="">
            <dgm:adjLst/>
          </dgm:shape>
          <dgm:presOf/>
          <dgm:constrLst>
            <dgm:constr type="w" for="ch" forName="spVertical1" refType="w"/>
            <dgm:constr type="w" for="ch" forName="parTx" refType="w"/>
            <dgm:constr type="w" for="ch" forName="spVertical2" refType="w"/>
            <dgm:constr type="w" for="ch" forName="spVertical3" refType="w"/>
            <dgm:constr type="w" for="ch" forName="desTx" refType="w"/>
          </dgm:constrLst>
          <dgm:ruleLst/>
          <dgm:layoutNode name="spVertical1">
            <dgm:alg type="sp"/>
            <dgm:shape xmlns:r="http://schemas.openxmlformats.org/officeDocument/2006/relationships" r:blip="">
              <dgm:adjLst/>
            </dgm:shape>
            <dgm:presOf/>
            <dgm:constrLst/>
            <dgm:ruleLst/>
          </dgm:layoutNode>
          <dgm:layoutNode name="parTx" styleLbl="revTx">
            <dgm:varLst>
              <dgm:chMax val="0"/>
              <dgm:chPref val="0"/>
              <dgm:bulletEnabled val="1"/>
            </dgm:varLst>
            <dgm:choose name="Name5">
              <dgm:if name="Name6" axis="root des" ptType="all node" func="maxDepth" op="gt" val="1">
                <dgm:alg type="tx">
                  <dgm:param type="parTxLTRAlign" val="l"/>
                  <dgm:param type="parTxRTLAlign" val="r"/>
                </dgm:alg>
              </dgm:if>
              <dgm:else name="Name7">
                <dgm:alg type="tx">
                  <dgm:param type="parTxLTRAlign" val="ctr"/>
                  <dgm:param type="parTxRTLAlign" val="ctr"/>
                </dgm:alg>
              </dgm:else>
            </dgm:choose>
            <dgm:shape xmlns:r="http://schemas.openxmlformats.org/officeDocument/2006/relationships" type="rect" r:blip="">
              <dgm:adjLst/>
            </dgm:shape>
            <dgm:presOf axis="self" ptType="node"/>
            <dgm:choose name="Name8">
              <dgm:if name="Name9" func="var" arg="dir" op="equ" val="norm">
                <dgm:constrLst>
                  <dgm:constr type="userT"/>
                  <dgm:constr type="h" refType="userT" op="lte"/>
                  <dgm:constr type="tMarg" refType="primFontSz" fact="0.8"/>
                  <dgm:constr type="bMarg" refType="tMarg"/>
                  <dgm:constr type="lMarg"/>
                  <dgm:constr type="rMarg"/>
                </dgm:constrLst>
              </dgm:if>
              <dgm:else name="Name10">
                <dgm:constrLst>
                  <dgm:constr type="userT"/>
                  <dgm:constr type="h" refType="userT" op="lte"/>
                  <dgm:constr type="tMarg" refType="primFontSz" fact="0.8"/>
                  <dgm:constr type="bMarg" refType="tMarg"/>
                  <dgm:constr type="lMarg"/>
                  <dgm:constr type="rMarg"/>
                </dgm:constrLst>
              </dgm:else>
            </dgm:choose>
            <dgm:ruleLst>
              <dgm:rule type="h" val="INF" fact="NaN" max="NaN"/>
            </dgm:ruleLst>
          </dgm:layoutNode>
          <dgm:layoutNode name="spVertical2">
            <dgm:alg type="sp"/>
            <dgm:shape xmlns:r="http://schemas.openxmlformats.org/officeDocument/2006/relationships" r:blip="">
              <dgm:adjLst/>
            </dgm:shape>
            <dgm:presOf/>
            <dgm:constrLst/>
            <dgm:ruleLst/>
          </dgm:layoutNode>
          <dgm:layoutNode name="spVertical3">
            <dgm:alg type="sp"/>
            <dgm:shape xmlns:r="http://schemas.openxmlformats.org/officeDocument/2006/relationships" r:blip="">
              <dgm:adjLst/>
            </dgm:shape>
            <dgm:presOf/>
            <dgm:constrLst/>
            <dgm:ruleLst/>
          </dgm:layoutNode>
          <dgm:choose name="Name11">
            <dgm:if name="Name12" axis="ch" ptType="node" func="cnt" op="gte" val="1">
              <dgm:layoutNode name="desTx" styleLbl="revTx">
                <dgm:varLst>
                  <dgm:bulletEnabled val="1"/>
                </dgm:varLst>
                <dgm:alg type="tx">
                  <dgm:param type="stBulletLvl" val="1"/>
                </dgm:alg>
                <dgm:shape xmlns:r="http://schemas.openxmlformats.org/officeDocument/2006/relationships" type="rect" r:blip="">
                  <dgm:adjLst/>
                </dgm:shape>
                <dgm:presOf axis="des" ptType="node"/>
                <dgm:constrLst>
                  <dgm:constr type="tMarg"/>
                  <dgm:constr type="bMarg"/>
                  <dgm:constr type="rMarg"/>
                  <dgm:constr type="lMarg"/>
                </dgm:constrLst>
                <dgm:ruleLst>
                  <dgm:rule type="h" val="INF" fact="NaN" max="NaN"/>
                </dgm:ruleLst>
              </dgm:layoutNode>
            </dgm:if>
            <dgm:else name="Name13"/>
          </dgm:choose>
        </dgm:layoutNode>
        <dgm:forEach name="Name14" axis="followSib" ptType="sibTrans" cnt="1">
          <dgm:layoutNode name="space">
            <dgm:alg type="sp"/>
            <dgm:shape xmlns:r="http://schemas.openxmlformats.org/officeDocument/2006/relationships" r:blip="">
              <dgm:adjLst/>
            </dgm:shape>
            <dgm:presOf/>
            <dgm:constrLst/>
            <dgm:ruleLst/>
          </dgm:layoutNode>
        </dgm:forEach>
      </dgm:forEach>
      <dgm:layoutNode name="padding2">
        <dgm:alg type="sp"/>
        <dgm:shape xmlns:r="http://schemas.openxmlformats.org/officeDocument/2006/relationships" r:blip="">
          <dgm:adjLst/>
        </dgm:shape>
        <dgm:presOf/>
        <dgm:constrLst/>
        <dgm:ruleLst/>
      </dgm:layoutNode>
      <dgm:layoutNode name="negArrow">
        <dgm:alg type="sp"/>
        <dgm:shape xmlns:r="http://schemas.openxmlformats.org/officeDocument/2006/relationships" r:blip="">
          <dgm:adjLst/>
        </dgm:shape>
        <dgm:presOf/>
        <dgm:constrLst/>
        <dgm:ruleLst/>
      </dgm:layoutNode>
      <dgm:layoutNode name="backgroundArrow" styleLbl="node1">
        <dgm:alg type="sp"/>
        <dgm:choose name="Name15">
          <dgm:if name="Name16" func="var" arg="dir" op="equ" val="norm">
            <dgm:shape xmlns:r="http://schemas.openxmlformats.org/officeDocument/2006/relationships" type="rightArrow" r:blip="">
              <dgm:adjLst/>
            </dgm:shape>
          </dgm:if>
          <dgm:else name="Name17">
            <dgm:shape xmlns:r="http://schemas.openxmlformats.org/officeDocument/2006/relationships" type="leftArrow" r:blip="">
              <dgm:adjLst/>
            </dgm:shape>
          </dgm:else>
        </dgm:choose>
        <dgm:presOf/>
        <dgm:constrLst/>
        <dgm:ruleLst/>
      </dgm:layoutNode>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3d3">
  <dgm:title val=""/>
  <dgm:desc val=""/>
  <dgm:catLst>
    <dgm:cat type="3D" pri="11300"/>
  </dgm:catLst>
  <dgm:scene3d>
    <a:camera prst="orthographicFront"/>
    <a:lightRig rig="threePt" dir="t"/>
  </dgm:scene3d>
  <dgm:styleLbl name="node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l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vennNode1">
    <dgm:scene3d>
      <a:camera prst="orthographicFront">
        <a:rot lat="0" lon="0" rev="0"/>
      </a:camera>
      <a:lightRig rig="contrasting" dir="t">
        <a:rot lat="0" lon="0" rev="1200000"/>
      </a:lightRig>
    </dgm:scene3d>
    <dgm:sp3d contourW="12700" prstMaterial="clear">
      <a:bevelT w="177800" h="254000"/>
      <a:bevelB w="152400"/>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f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alignImgPlace1">
    <dgm:scene3d>
      <a:camera prst="orthographicFront">
        <a:rot lat="0" lon="0" rev="0"/>
      </a:camera>
      <a:lightRig rig="contrasting" dir="t">
        <a:rot lat="0" lon="0" rev="1200000"/>
      </a:lightRig>
    </dgm:scene3d>
    <dgm:sp3d contourW="12700" prstMaterial="flat">
      <a:bevelT w="177800" h="254000"/>
      <a:bevelB w="152400"/>
    </dgm:sp3d>
    <dgm:txPr/>
    <dgm:style>
      <a:lnRef idx="0">
        <a:scrgbClr r="0" g="0" b="0"/>
      </a:lnRef>
      <a:fillRef idx="1">
        <a:scrgbClr r="0" g="0" b="0"/>
      </a:fillRef>
      <a:effectRef idx="1">
        <a:scrgbClr r="0" g="0" b="0"/>
      </a:effectRef>
      <a:fontRef idx="minor"/>
    </dgm:style>
  </dgm:styleLbl>
  <dgm:styleLbl name="b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sibTrans2D1">
    <dgm:scene3d>
      <a:camera prst="orthographicFront">
        <a:rot lat="0" lon="0" rev="0"/>
      </a:camera>
      <a:lightRig rig="contrasting" dir="t">
        <a:rot lat="0" lon="0" rev="1200000"/>
      </a:lightRig>
    </dgm:scene3d>
    <dgm:sp3d z="-182000" contourW="19050" prstMaterial="metal">
      <a:bevelT w="88900" h="203200"/>
      <a:bevelB w="165100" h="254000"/>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ibTrans1D1">
    <dgm:scene3d>
      <a:camera prst="orthographicFront">
        <a:rot lat="0" lon="0" rev="0"/>
      </a:camera>
      <a:lightRig rig="contrasting" dir="t">
        <a:rot lat="0" lon="0" rev="1200000"/>
      </a:lightRig>
    </dgm:scene3d>
    <dgm:sp3d z="-110000"/>
    <dgm:txPr/>
    <dgm:style>
      <a:lnRef idx="1">
        <a:scrgbClr r="0" g="0" b="0"/>
      </a:lnRef>
      <a:fillRef idx="0">
        <a:scrgbClr r="0" g="0" b="0"/>
      </a:fillRef>
      <a:effectRef idx="0">
        <a:scrgbClr r="0" g="0" b="0"/>
      </a:effectRef>
      <a:fontRef idx="minor"/>
    </dgm:style>
  </dgm:styleLbl>
  <dgm:styleLbl name="callout">
    <dgm:scene3d>
      <a:camera prst="orthographicFront">
        <a:rot lat="0" lon="0" rev="0"/>
      </a:camera>
      <a:lightRig rig="contrasting" dir="t">
        <a:rot lat="0" lon="0" rev="1200000"/>
      </a:lightRig>
    </dgm:scene3d>
    <dgm:sp3d z="10000"/>
    <dgm:txPr/>
    <dgm:style>
      <a:lnRef idx="2">
        <a:scrgbClr r="0" g="0" b="0"/>
      </a:lnRef>
      <a:fillRef idx="1">
        <a:scrgbClr r="0" g="0" b="0"/>
      </a:fillRef>
      <a:effectRef idx="0">
        <a:scrgbClr r="0" g="0" b="0"/>
      </a:effectRef>
      <a:fontRef idx="minor"/>
    </dgm:style>
  </dgm:styleLbl>
  <dgm:styleLbl name="asst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4">
    <dgm:scene3d>
      <a:camera prst="orthographicFront"/>
      <a:lightRig rig="threePt" dir="t"/>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parChTrans2D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1D1">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2">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3">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4">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con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tr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FgAcc1">
    <dgm:scene3d>
      <a:camera prst="orthographicFront">
        <a:rot lat="0" lon="0" rev="0"/>
      </a:camera>
      <a:lightRig rig="contrasting" dir="t">
        <a:rot lat="0" lon="0" rev="1200000"/>
      </a:lightRig>
    </dgm:scene3d>
    <dgm:sp3d z="300000" contourW="12700" prstMaterial="flat">
      <a:bevelT w="177800" h="254000"/>
      <a:bevelB w="152400"/>
    </dgm:sp3d>
    <dgm:txPr/>
    <dgm:style>
      <a:lnRef idx="0">
        <a:scrgbClr r="0" g="0" b="0"/>
      </a:lnRef>
      <a:fillRef idx="1">
        <a:scrgbClr r="0" g="0" b="0"/>
      </a:fillRef>
      <a:effectRef idx="0">
        <a:scrgbClr r="0" g="0" b="0"/>
      </a:effectRef>
      <a:fontRef idx="minor"/>
    </dgm:style>
  </dgm:styleLbl>
  <dgm:styleLbl name="solid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Follow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0">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2">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3">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4">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hp">
    <dgm:scene3d>
      <a:camera prst="orthographicFront">
        <a:rot lat="0" lon="0" rev="0"/>
      </a:camera>
      <a:lightRig rig="contrasting" dir="t">
        <a:rot lat="0" lon="0" rev="1200000"/>
      </a:lightRig>
    </dgm:scene3d>
    <dgm:sp3d z="-300000" prstMaterial="plastic"/>
    <dgm:txPr/>
    <dgm:style>
      <a:lnRef idx="1">
        <a:scrgbClr r="0" g="0" b="0"/>
      </a:lnRef>
      <a:fillRef idx="1">
        <a:scrgbClr r="0" g="0" b="0"/>
      </a:fillRef>
      <a:effectRef idx="0">
        <a:scrgbClr r="0" g="0" b="0"/>
      </a:effectRef>
      <a:fontRef idx="minor"/>
    </dgm:style>
  </dgm:styleLbl>
  <dgm:styleLbl name="dkBgShp">
    <dgm:scene3d>
      <a:camera prst="orthographicFront">
        <a:rot lat="0" lon="0" rev="0"/>
      </a:camera>
      <a:lightRig rig="contrasting" dir="t">
        <a:rot lat="0" lon="0" rev="1200000"/>
      </a:lightRig>
    </dgm:scene3d>
    <dgm:sp3d contourW="12700" prstMaterial="flat">
      <a:bevelT w="100800" h="154000"/>
      <a:bevelB w="152400"/>
    </dgm:sp3d>
    <dgm:txPr/>
    <dgm:style>
      <a:lnRef idx="0">
        <a:scrgbClr r="0" g="0" b="0"/>
      </a:lnRef>
      <a:fillRef idx="1">
        <a:scrgbClr r="0" g="0" b="0"/>
      </a:fillRef>
      <a:effectRef idx="0">
        <a:scrgbClr r="0" g="0" b="0"/>
      </a:effectRef>
      <a:fontRef idx="minor"/>
    </dgm:style>
  </dgm:styleLbl>
  <dgm:styleLbl name="trBgShp">
    <dgm:scene3d>
      <a:camera prst="orthographicFront">
        <a:rot lat="0" lon="0" rev="0"/>
      </a:camera>
      <a:lightRig rig="contrasting" dir="t">
        <a:rot lat="0" lon="0" rev="1200000"/>
      </a:lightRig>
    </dgm:scene3d>
    <dgm:sp3d z="-152400" prstMaterial="matte"/>
    <dgm:txPr/>
    <dgm:style>
      <a:lnRef idx="1">
        <a:scrgbClr r="0" g="0" b="0"/>
      </a:lnRef>
      <a:fillRef idx="1">
        <a:scrgbClr r="0" g="0" b="0"/>
      </a:fillRef>
      <a:effectRef idx="0">
        <a:scrgbClr r="0" g="0" b="0"/>
      </a:effectRef>
      <a:fontRef idx="minor"/>
    </dgm:style>
  </dgm:styleLbl>
  <dgm:styleLbl name="fgShp">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1">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3.xml"/><Relationship Id="rId3" Type="http://schemas.openxmlformats.org/officeDocument/2006/relationships/diagramData" Target="../diagrams/data1.xml"/><Relationship Id="rId7" Type="http://schemas.microsoft.com/office/2007/relationships/diagramDrawing" Target="../diagrams/drawing1.xml"/><Relationship Id="rId12" Type="http://schemas.openxmlformats.org/officeDocument/2006/relationships/image" Target="../media/image5.jpeg"/><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diagramColors" Target="../diagrams/colors1.xml"/><Relationship Id="rId11" Type="http://schemas.openxmlformats.org/officeDocument/2006/relationships/image" Target="../media/image4.jpeg"/><Relationship Id="rId5" Type="http://schemas.openxmlformats.org/officeDocument/2006/relationships/diagramQuickStyle" Target="../diagrams/quickStyle1.xml"/><Relationship Id="rId10" Type="http://schemas.openxmlformats.org/officeDocument/2006/relationships/image" Target="../media/image3.png"/><Relationship Id="rId4" Type="http://schemas.openxmlformats.org/officeDocument/2006/relationships/diagramLayout" Target="../diagrams/layout1.xml"/><Relationship Id="rId9" Type="http://schemas.openxmlformats.org/officeDocument/2006/relationships/image" Target="../media/image2.pn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571501</xdr:colOff>
      <xdr:row>0</xdr:row>
      <xdr:rowOff>9525</xdr:rowOff>
    </xdr:from>
    <xdr:to>
      <xdr:col>2</xdr:col>
      <xdr:colOff>1000126</xdr:colOff>
      <xdr:row>2</xdr:row>
      <xdr:rowOff>57150</xdr:rowOff>
    </xdr:to>
    <xdr:pic>
      <xdr:nvPicPr>
        <xdr:cNvPr id="12" name="Picture 11" descr="excel 2007 log.jpg"/>
        <xdr:cNvPicPr>
          <a:picLocks noChangeAspect="1"/>
        </xdr:cNvPicPr>
      </xdr:nvPicPr>
      <xdr:blipFill>
        <a:blip xmlns:r="http://schemas.openxmlformats.org/officeDocument/2006/relationships" r:embed="rId1" cstate="print"/>
        <a:stretch>
          <a:fillRect/>
        </a:stretch>
      </xdr:blipFill>
      <xdr:spPr>
        <a:xfrm>
          <a:off x="1905001" y="9525"/>
          <a:ext cx="428625" cy="428625"/>
        </a:xfrm>
        <a:prstGeom prst="rect">
          <a:avLst/>
        </a:prstGeom>
      </xdr:spPr>
    </xdr:pic>
    <xdr:clientData/>
  </xdr:twoCellAnchor>
  <xdr:twoCellAnchor>
    <xdr:from>
      <xdr:col>1</xdr:col>
      <xdr:colOff>0</xdr:colOff>
      <xdr:row>22</xdr:row>
      <xdr:rowOff>142874</xdr:rowOff>
    </xdr:from>
    <xdr:to>
      <xdr:col>6</xdr:col>
      <xdr:colOff>57150</xdr:colOff>
      <xdr:row>38</xdr:row>
      <xdr:rowOff>133350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2000250</xdr:colOff>
      <xdr:row>0</xdr:row>
      <xdr:rowOff>95250</xdr:rowOff>
    </xdr:from>
    <xdr:to>
      <xdr:col>8</xdr:col>
      <xdr:colOff>533397</xdr:colOff>
      <xdr:row>8</xdr:row>
      <xdr:rowOff>19050</xdr:rowOff>
    </xdr:to>
    <xdr:graphicFrame macro="">
      <xdr:nvGraphicFramePr>
        <xdr:cNvPr id="6" name="Diagram 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6</xdr:col>
      <xdr:colOff>352425</xdr:colOff>
      <xdr:row>22</xdr:row>
      <xdr:rowOff>152399</xdr:rowOff>
    </xdr:from>
    <xdr:to>
      <xdr:col>11</xdr:col>
      <xdr:colOff>561975</xdr:colOff>
      <xdr:row>38</xdr:row>
      <xdr:rowOff>142875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9525</xdr:colOff>
      <xdr:row>2</xdr:row>
      <xdr:rowOff>57149</xdr:rowOff>
    </xdr:from>
    <xdr:to>
      <xdr:col>3</xdr:col>
      <xdr:colOff>636058</xdr:colOff>
      <xdr:row>6</xdr:row>
      <xdr:rowOff>76199</xdr:rowOff>
    </xdr:to>
    <xdr:pic>
      <xdr:nvPicPr>
        <xdr:cNvPr id="7" name="Picture 6" descr="Chandoo.PNG"/>
        <xdr:cNvPicPr>
          <a:picLocks noChangeAspect="1"/>
        </xdr:cNvPicPr>
      </xdr:nvPicPr>
      <xdr:blipFill>
        <a:blip xmlns:r="http://schemas.openxmlformats.org/officeDocument/2006/relationships" r:embed="rId9" cstate="print"/>
        <a:stretch>
          <a:fillRect/>
        </a:stretch>
      </xdr:blipFill>
      <xdr:spPr>
        <a:xfrm>
          <a:off x="9525" y="438149"/>
          <a:ext cx="3217333" cy="904875"/>
        </a:xfrm>
        <a:prstGeom prst="rect">
          <a:avLst/>
        </a:prstGeom>
      </xdr:spPr>
    </xdr:pic>
    <xdr:clientData/>
  </xdr:twoCellAnchor>
  <xdr:twoCellAnchor editAs="oneCell">
    <xdr:from>
      <xdr:col>1</xdr:col>
      <xdr:colOff>638175</xdr:colOff>
      <xdr:row>40</xdr:row>
      <xdr:rowOff>104775</xdr:rowOff>
    </xdr:from>
    <xdr:to>
      <xdr:col>2</xdr:col>
      <xdr:colOff>238128</xdr:colOff>
      <xdr:row>42</xdr:row>
      <xdr:rowOff>154541</xdr:rowOff>
    </xdr:to>
    <xdr:pic>
      <xdr:nvPicPr>
        <xdr:cNvPr id="10" name="Picture 9" descr="idea-light-bulb-md.png"/>
        <xdr:cNvPicPr>
          <a:picLocks noChangeAspect="1"/>
        </xdr:cNvPicPr>
      </xdr:nvPicPr>
      <xdr:blipFill>
        <a:blip xmlns:r="http://schemas.openxmlformats.org/officeDocument/2006/relationships" r:embed="rId10" cstate="print"/>
        <a:stretch>
          <a:fillRect/>
        </a:stretch>
      </xdr:blipFill>
      <xdr:spPr>
        <a:xfrm>
          <a:off x="885825" y="11249025"/>
          <a:ext cx="685803" cy="697466"/>
        </a:xfrm>
        <a:prstGeom prst="rect">
          <a:avLst/>
        </a:prstGeom>
      </xdr:spPr>
    </xdr:pic>
    <xdr:clientData/>
  </xdr:twoCellAnchor>
  <xdr:twoCellAnchor editAs="oneCell">
    <xdr:from>
      <xdr:col>7</xdr:col>
      <xdr:colOff>114301</xdr:colOff>
      <xdr:row>9</xdr:row>
      <xdr:rowOff>133350</xdr:rowOff>
    </xdr:from>
    <xdr:to>
      <xdr:col>8</xdr:col>
      <xdr:colOff>209550</xdr:colOff>
      <xdr:row>14</xdr:row>
      <xdr:rowOff>108839</xdr:rowOff>
    </xdr:to>
    <xdr:pic>
      <xdr:nvPicPr>
        <xdr:cNvPr id="11" name="Picture 10" descr="Money bags.jpg"/>
        <xdr:cNvPicPr>
          <a:picLocks noChangeAspect="1"/>
        </xdr:cNvPicPr>
      </xdr:nvPicPr>
      <xdr:blipFill>
        <a:blip xmlns:r="http://schemas.openxmlformats.org/officeDocument/2006/relationships" r:embed="rId11" cstate="print"/>
        <a:stretch>
          <a:fillRect/>
        </a:stretch>
      </xdr:blipFill>
      <xdr:spPr>
        <a:xfrm>
          <a:off x="9877426" y="1971675"/>
          <a:ext cx="1000124" cy="1280414"/>
        </a:xfrm>
        <a:prstGeom prst="rect">
          <a:avLst/>
        </a:prstGeom>
      </xdr:spPr>
    </xdr:pic>
    <xdr:clientData/>
  </xdr:twoCellAnchor>
  <xdr:twoCellAnchor editAs="oneCell">
    <xdr:from>
      <xdr:col>5</xdr:col>
      <xdr:colOff>790575</xdr:colOff>
      <xdr:row>44</xdr:row>
      <xdr:rowOff>66675</xdr:rowOff>
    </xdr:from>
    <xdr:to>
      <xdr:col>6</xdr:col>
      <xdr:colOff>95250</xdr:colOff>
      <xdr:row>46</xdr:row>
      <xdr:rowOff>257175</xdr:rowOff>
    </xdr:to>
    <xdr:pic>
      <xdr:nvPicPr>
        <xdr:cNvPr id="13" name="Picture 12" descr="Geeks rule.jpg"/>
        <xdr:cNvPicPr>
          <a:picLocks noChangeAspect="1"/>
        </xdr:cNvPicPr>
      </xdr:nvPicPr>
      <xdr:blipFill>
        <a:blip xmlns:r="http://schemas.openxmlformats.org/officeDocument/2006/relationships" r:embed="rId12" cstate="print"/>
        <a:stretch>
          <a:fillRect/>
        </a:stretch>
      </xdr:blipFill>
      <xdr:spPr>
        <a:xfrm>
          <a:off x="6734175" y="10620375"/>
          <a:ext cx="1143000" cy="800100"/>
        </a:xfrm>
        <a:prstGeom prst="rect">
          <a:avLst/>
        </a:prstGeom>
      </xdr:spPr>
    </xdr:pic>
    <xdr:clientData/>
  </xdr:twoCellAnchor>
  <xdr:twoCellAnchor>
    <xdr:from>
      <xdr:col>6</xdr:col>
      <xdr:colOff>1066800</xdr:colOff>
      <xdr:row>40</xdr:row>
      <xdr:rowOff>219075</xdr:rowOff>
    </xdr:from>
    <xdr:to>
      <xdr:col>10</xdr:col>
      <xdr:colOff>200025</xdr:colOff>
      <xdr:row>51</xdr:row>
      <xdr:rowOff>219075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123824</xdr:colOff>
      <xdr:row>54</xdr:row>
      <xdr:rowOff>0</xdr:rowOff>
    </xdr:from>
    <xdr:to>
      <xdr:col>9</xdr:col>
      <xdr:colOff>409574</xdr:colOff>
      <xdr:row>67</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190500</xdr:colOff>
      <xdr:row>39</xdr:row>
      <xdr:rowOff>219074</xdr:rowOff>
    </xdr:from>
    <xdr:to>
      <xdr:col>6</xdr:col>
      <xdr:colOff>352425</xdr:colOff>
      <xdr:row>50</xdr:row>
      <xdr:rowOff>257174</xdr:rowOff>
    </xdr:to>
    <xdr:sp macro="" textlink="">
      <xdr:nvSpPr>
        <xdr:cNvPr id="17" name="Rounded Rectangle 16"/>
        <xdr:cNvSpPr/>
      </xdr:nvSpPr>
      <xdr:spPr>
        <a:xfrm>
          <a:off x="190500" y="11363324"/>
          <a:ext cx="8096250" cy="35147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3</xdr:col>
      <xdr:colOff>2000250</xdr:colOff>
      <xdr:row>40</xdr:row>
      <xdr:rowOff>114300</xdr:rowOff>
    </xdr:from>
    <xdr:to>
      <xdr:col>4</xdr:col>
      <xdr:colOff>542928</xdr:colOff>
      <xdr:row>42</xdr:row>
      <xdr:rowOff>164066</xdr:rowOff>
    </xdr:to>
    <xdr:pic>
      <xdr:nvPicPr>
        <xdr:cNvPr id="18" name="Picture 17" descr="idea-light-bulb-md.png"/>
        <xdr:cNvPicPr>
          <a:picLocks noChangeAspect="1"/>
        </xdr:cNvPicPr>
      </xdr:nvPicPr>
      <xdr:blipFill>
        <a:blip xmlns:r="http://schemas.openxmlformats.org/officeDocument/2006/relationships" r:embed="rId10" cstate="print"/>
        <a:stretch>
          <a:fillRect/>
        </a:stretch>
      </xdr:blipFill>
      <xdr:spPr>
        <a:xfrm>
          <a:off x="4591050" y="11591925"/>
          <a:ext cx="685803" cy="697466"/>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0.39542</cdr:x>
      <cdr:y>0.03731</cdr:y>
    </cdr:from>
    <cdr:to>
      <cdr:x>0.53709</cdr:x>
      <cdr:y>0.13453</cdr:y>
    </cdr:to>
    <cdr:sp macro="" textlink="Currency">
      <cdr:nvSpPr>
        <cdr:cNvPr id="3" name="TextBox 2"/>
        <cdr:cNvSpPr txBox="1"/>
      </cdr:nvSpPr>
      <cdr:spPr>
        <a:xfrm xmlns:a="http://schemas.openxmlformats.org/drawingml/2006/main">
          <a:off x="3001802" y="137519"/>
          <a:ext cx="1075452" cy="35837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0412967D-14D9-41B5-90A0-4B5E8C4C2BCC}" type="TxLink">
            <a:rPr lang="en-US" sz="1800" b="1" i="0" u="none" strike="noStrike">
              <a:solidFill>
                <a:srgbClr val="000000"/>
              </a:solidFill>
              <a:latin typeface="Calibri"/>
              <a:cs typeface="Calibri"/>
            </a:rPr>
            <a:pPr/>
            <a:t>USD</a:t>
          </a:fld>
          <a:endParaRPr lang="en-US" sz="1100" b="0" i="0" u="none" strike="noStrike">
            <a:solidFill>
              <a:srgbClr val="000000"/>
            </a:solidFill>
            <a:latin typeface="Calibri"/>
            <a:cs typeface="Calibri"/>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0.66458</cdr:x>
      <cdr:y>0.21528</cdr:y>
    </cdr:from>
    <cdr:to>
      <cdr:x>0.86458</cdr:x>
      <cdr:y>0.34028</cdr:y>
    </cdr:to>
    <cdr:sp macro="" textlink="">
      <cdr:nvSpPr>
        <cdr:cNvPr id="2" name="TextBox 1"/>
        <cdr:cNvSpPr txBox="1"/>
      </cdr:nvSpPr>
      <cdr:spPr>
        <a:xfrm xmlns:a="http://schemas.openxmlformats.org/drawingml/2006/main">
          <a:off x="3038475" y="590550"/>
          <a:ext cx="914400" cy="342900"/>
        </a:xfrm>
        <a:prstGeom xmlns:a="http://schemas.openxmlformats.org/drawingml/2006/main" prst="rect">
          <a:avLst/>
        </a:prstGeom>
        <a:solidFill xmlns:a="http://schemas.openxmlformats.org/drawingml/2006/main">
          <a:schemeClr val="bg1"/>
        </a:solidFill>
        <a:ln xmlns:a="http://schemas.openxmlformats.org/drawingml/2006/main">
          <a:solidFill>
            <a:schemeClr val="tx2"/>
          </a:solidFill>
        </a:ln>
      </cdr:spPr>
      <cdr:txBody>
        <a:bodyPr xmlns:a="http://schemas.openxmlformats.org/drawingml/2006/main" vertOverflow="clip" wrap="none" rtlCol="0"/>
        <a:lstStyle xmlns:a="http://schemas.openxmlformats.org/drawingml/2006/main"/>
        <a:p xmlns:a="http://schemas.openxmlformats.org/drawingml/2006/main">
          <a:r>
            <a:rPr lang="en-US" sz="1800"/>
            <a:t>Analyst</a:t>
          </a:r>
        </a:p>
        <a:p xmlns:a="http://schemas.openxmlformats.org/drawingml/2006/main">
          <a:endParaRPr lang="en-US" sz="1800"/>
        </a:p>
      </cdr:txBody>
    </cdr:sp>
  </cdr:relSizeAnchor>
  <cdr:relSizeAnchor xmlns:cdr="http://schemas.openxmlformats.org/drawingml/2006/chartDrawing">
    <cdr:from>
      <cdr:x>0.10208</cdr:x>
      <cdr:y>0.23264</cdr:y>
    </cdr:from>
    <cdr:to>
      <cdr:x>0.31875</cdr:x>
      <cdr:y>0.35764</cdr:y>
    </cdr:to>
    <cdr:sp macro="" textlink="">
      <cdr:nvSpPr>
        <cdr:cNvPr id="3" name="TextBox 1"/>
        <cdr:cNvSpPr txBox="1"/>
      </cdr:nvSpPr>
      <cdr:spPr>
        <a:xfrm xmlns:a="http://schemas.openxmlformats.org/drawingml/2006/main">
          <a:off x="466725" y="638175"/>
          <a:ext cx="990600" cy="342900"/>
        </a:xfrm>
        <a:prstGeom xmlns:a="http://schemas.openxmlformats.org/drawingml/2006/main" prst="rect">
          <a:avLst/>
        </a:prstGeom>
        <a:solidFill xmlns:a="http://schemas.openxmlformats.org/drawingml/2006/main">
          <a:schemeClr val="bg1"/>
        </a:solidFill>
        <a:ln xmlns:a="http://schemas.openxmlformats.org/drawingml/2006/main">
          <a:solidFill>
            <a:schemeClr val="tx2"/>
          </a:solidFill>
        </a:ln>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a:t>Manager</a:t>
          </a:r>
        </a:p>
        <a:p xmlns:a="http://schemas.openxmlformats.org/drawingml/2006/main">
          <a:endParaRPr lang="en-US" sz="1800"/>
        </a:p>
      </cdr:txBody>
    </cdr:sp>
  </cdr:relSizeAnchor>
  <cdr:relSizeAnchor xmlns:cdr="http://schemas.openxmlformats.org/drawingml/2006/chartDrawing">
    <cdr:from>
      <cdr:x>0.31971</cdr:x>
      <cdr:y>0.02862</cdr:y>
    </cdr:from>
    <cdr:to>
      <cdr:x>0.68846</cdr:x>
      <cdr:y>0.11628</cdr:y>
    </cdr:to>
    <cdr:sp macro="" textlink="">
      <cdr:nvSpPr>
        <cdr:cNvPr id="4" name="TextBox 3"/>
        <cdr:cNvSpPr txBox="1"/>
      </cdr:nvSpPr>
      <cdr:spPr>
        <a:xfrm xmlns:a="http://schemas.openxmlformats.org/drawingml/2006/main">
          <a:off x="2000725" y="152401"/>
          <a:ext cx="2307610" cy="46672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800" b="1" i="0" u="none" strike="noStrike" kern="1200" baseline="0">
              <a:solidFill>
                <a:sysClr val="windowText" lastClr="000000"/>
              </a:solidFill>
              <a:latin typeface="+mn-lt"/>
              <a:ea typeface="+mn-ea"/>
              <a:cs typeface="+mn-cs"/>
            </a:rPr>
            <a:t>Popular</a:t>
          </a:r>
          <a:r>
            <a:rPr lang="en-US" sz="1100"/>
            <a:t> </a:t>
          </a:r>
          <a:r>
            <a:rPr lang="en-US" sz="1800" b="1" i="0" u="none" strike="noStrike" kern="1200" baseline="0">
              <a:solidFill>
                <a:sysClr val="windowText" lastClr="000000"/>
              </a:solidFill>
              <a:latin typeface="+mn-lt"/>
              <a:ea typeface="+mn-ea"/>
              <a:cs typeface="+mn-cs"/>
            </a:rPr>
            <a:t>Professions</a:t>
          </a:r>
        </a:p>
        <a:p xmlns:a="http://schemas.openxmlformats.org/drawingml/2006/main">
          <a:endParaRPr lang="en-US" sz="1100"/>
        </a:p>
      </cdr:txBody>
    </cdr:sp>
  </cdr:relSizeAnchor>
</c:userShapes>
</file>

<file path=xl/drawings/drawing4.xml><?xml version="1.0" encoding="utf-8"?>
<c:userShapes xmlns:c="http://schemas.openxmlformats.org/drawingml/2006/chart">
  <cdr:relSizeAnchor xmlns:cdr="http://schemas.openxmlformats.org/drawingml/2006/chartDrawing">
    <cdr:from>
      <cdr:x>0.2875</cdr:x>
      <cdr:y>0.05903</cdr:y>
    </cdr:from>
    <cdr:to>
      <cdr:x>0.88125</cdr:x>
      <cdr:y>0.23611</cdr:y>
    </cdr:to>
    <cdr:sp macro="" textlink="">
      <cdr:nvSpPr>
        <cdr:cNvPr id="2" name="TextBox 1"/>
        <cdr:cNvSpPr txBox="1"/>
      </cdr:nvSpPr>
      <cdr:spPr>
        <a:xfrm xmlns:a="http://schemas.openxmlformats.org/drawingml/2006/main">
          <a:off x="1314450" y="161925"/>
          <a:ext cx="2714625" cy="4857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800" b="1"/>
            <a:t>Number of Excel Power Users</a:t>
          </a:r>
        </a:p>
      </cdr:txBody>
    </cdr:sp>
  </cdr:relSizeAnchor>
</c:userShapes>
</file>

<file path=xl/drawings/drawing5.xml><?xml version="1.0" encoding="utf-8"?>
<c:userShapes xmlns:c="http://schemas.openxmlformats.org/drawingml/2006/chart">
  <cdr:relSizeAnchor xmlns:cdr="http://schemas.openxmlformats.org/drawingml/2006/chartDrawing">
    <cdr:from>
      <cdr:x>0.4137</cdr:x>
      <cdr:y>0.02882</cdr:y>
    </cdr:from>
    <cdr:to>
      <cdr:x>0.47123</cdr:x>
      <cdr:y>0.14121</cdr:y>
    </cdr:to>
    <cdr:sp macro="" textlink="Currency">
      <cdr:nvSpPr>
        <cdr:cNvPr id="2" name="TextBox 1"/>
        <cdr:cNvSpPr txBox="1"/>
      </cdr:nvSpPr>
      <cdr:spPr>
        <a:xfrm xmlns:a="http://schemas.openxmlformats.org/drawingml/2006/main">
          <a:off x="4314826" y="95250"/>
          <a:ext cx="600075" cy="3714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ABAC54DF-22DB-46C8-9595-8E7BE8E5D719}" type="TxLink">
            <a:rPr lang="en-US" sz="1800" b="1" i="0" u="none" strike="noStrike">
              <a:solidFill>
                <a:srgbClr val="000000"/>
              </a:solidFill>
              <a:latin typeface="Calibri"/>
              <a:cs typeface="Calibri"/>
            </a:rPr>
            <a:pPr/>
            <a:t>USD</a:t>
          </a:fld>
          <a:endParaRPr lang="en-US" sz="1100"/>
        </a:p>
      </cdr:txBody>
    </cdr:sp>
  </cdr:relSizeAnchor>
  <cdr:relSizeAnchor xmlns:cdr="http://schemas.openxmlformats.org/drawingml/2006/chartDrawing">
    <cdr:from>
      <cdr:x>0.45845</cdr:x>
      <cdr:y>0.02594</cdr:y>
    </cdr:from>
    <cdr:to>
      <cdr:x>0.63196</cdr:x>
      <cdr:y>0.14238</cdr:y>
    </cdr:to>
    <cdr:sp macro="" textlink="">
      <cdr:nvSpPr>
        <cdr:cNvPr id="3" name="TextBox 2"/>
        <cdr:cNvSpPr txBox="1"/>
      </cdr:nvSpPr>
      <cdr:spPr>
        <a:xfrm xmlns:a="http://schemas.openxmlformats.org/drawingml/2006/main">
          <a:off x="4781551" y="74608"/>
          <a:ext cx="1809750" cy="33496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800" b="1"/>
            <a:t>Vs Hours of Excel Use</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rishnana" refreshedDate="41097.451158333337" createdVersion="3" refreshedVersion="3" minRefreshableVersion="3" recordCount="1883">
  <cacheSource type="worksheet">
    <worksheetSource name="tblSalaries"/>
  </cacheSource>
  <cacheFields count="12">
    <cacheField name="Unique ID" numFmtId="0">
      <sharedItems/>
    </cacheField>
    <cacheField name="clean Salary (in local currency)" numFmtId="0">
      <sharedItems containsSemiMixedTypes="0" containsString="0" containsNumber="1" containsInteger="1" minValue="2400" maxValue="48000000"/>
    </cacheField>
    <cacheField name="Currency" numFmtId="0">
      <sharedItems/>
    </cacheField>
    <cacheField name="Salary in USD" numFmtId="0">
      <sharedItems containsSemiMixedTypes="0" containsString="0" containsNumber="1" minValue="1783.166904422254" maxValue="1229201.9037879086"/>
    </cacheField>
    <cacheField name="PPP Adjusted  USD" numFmtId="0">
      <sharedItems containsMixedTypes="1" containsNumber="1" minValue="2336.773068872194" maxValue="988057.75400293083"/>
    </cacheField>
    <cacheField name="Chosen Currency" numFmtId="2">
      <sharedItems containsMixedTypes="1" containsNumber="1" minValue="2336.773068872194" maxValue="988057.75400293083"/>
    </cacheField>
    <cacheField name="Your Job Title" numFmtId="0">
      <sharedItems/>
    </cacheField>
    <cacheField name="Job Type" numFmtId="0">
      <sharedItems/>
    </cacheField>
    <cacheField name="Country" numFmtId="0">
      <sharedItems count="107">
        <s v="Costa Rica"/>
        <s v="Egypt"/>
        <s v="Nigeria"/>
        <s v="Singapore"/>
        <s v="Kenya"/>
        <s v="Mongolia"/>
        <s v="Canada"/>
        <s v="India"/>
        <s v="USA"/>
        <s v="UK"/>
        <s v="Brazil"/>
        <s v="Netherlands"/>
        <s v="Europe"/>
        <s v="South Africa"/>
        <s v="Lesotho"/>
        <s v="Germany"/>
        <s v="Israel"/>
        <s v="Switzerland"/>
        <s v="Thailand"/>
        <s v="Australia"/>
        <s v="Norway"/>
        <s v="New Zealand"/>
        <s v="Japan"/>
        <s v="Spain"/>
        <s v="Denmark"/>
        <s v="Saudi Arabia"/>
        <s v="Oman"/>
        <s v="Mexico"/>
        <s v="Uganda"/>
        <s v="Sweden"/>
        <s v="Russia"/>
        <s v="UAE"/>
        <s v="CEE"/>
        <s v="Indonesia"/>
        <s v="Poland"/>
        <s v="Central America"/>
        <s v="Philippines"/>
        <s v="Sri Lanka"/>
        <s v="Croatia"/>
        <s v="Bermuda"/>
        <s v="Somalia"/>
        <s v="Finland"/>
        <s v="Ireland"/>
        <s v="France"/>
        <s v="italy"/>
        <s v="Qatar"/>
        <s v="Brasil"/>
        <s v="Turkey"/>
        <s v="Panama"/>
        <s v="Portugal"/>
        <s v="self-employed"/>
        <s v="Kuwait"/>
        <s v="Pakistan"/>
        <s v="malaysia"/>
        <s v="Austria"/>
        <s v="Bangladesh"/>
        <s v="Belgium"/>
        <s v="Dubai"/>
        <s v="Iceland"/>
        <s v="Hungary"/>
        <s v="Greece"/>
        <s v="Zimbabwe"/>
        <s v="Czech Republic"/>
        <s v="Azerbaijan"/>
        <s v="Uruguay"/>
        <s v="Romania"/>
        <s v="iran"/>
        <s v="Republica Dominicana"/>
        <s v="Libya"/>
        <s v="Colombia"/>
        <s v="mozambique"/>
        <s v="Argentina"/>
        <s v="Morocco"/>
        <s v="arabian Gulf"/>
        <s v="Albania"/>
        <s v="Myanmar"/>
        <s v="Zambia"/>
        <s v="Paraguay"/>
        <s v="Hong Kong"/>
        <s v="china"/>
        <s v="Ghana"/>
        <s v="Slovenia"/>
        <s v="Mauritius"/>
        <s v="Peru"/>
        <s v="Kuwait "/>
        <s v="Ukraine"/>
        <s v="Lithuania"/>
        <s v="Bulgaria"/>
        <s v="Montenegro"/>
        <s v="Slovakia"/>
        <s v="Estonia"/>
        <s v="Asia"/>
        <s v="MYS"/>
        <s v="Tunisia"/>
        <s v="Viet Nam"/>
        <s v="Vietnam"/>
        <s v="Bolivia"/>
        <s v="Ethiopia"/>
        <s v="Baltic"/>
        <s v="Dominican Republic"/>
        <s v="Guyana"/>
        <s v="Armenia"/>
        <s v="Republic of Georgia"/>
        <s v="Aruba"/>
        <s v="Bhutan"/>
        <s v="Latin America"/>
        <s v="Cambodia"/>
      </sharedItems>
    </cacheField>
    <cacheField name="How many hours of a day you work on Excel" numFmtId="0">
      <sharedItems/>
    </cacheField>
    <cacheField name="Years of Experience" numFmtId="0">
      <sharedItems containsBlank="1" containsMixedTypes="1" containsNumber="1" minValue="0" maxValue="40"/>
    </cacheField>
    <cacheField name="Count" numFmtId="0" formula=" COUNT('Job Type')" databaseField="0"/>
  </cacheFields>
</pivotCacheDefinition>
</file>

<file path=xl/pivotCache/pivotCacheRecords1.xml><?xml version="1.0" encoding="utf-8"?>
<pivotCacheRecords xmlns="http://schemas.openxmlformats.org/spreadsheetml/2006/main" xmlns:r="http://schemas.openxmlformats.org/officeDocument/2006/relationships" count="1883">
  <r>
    <s v="ID0412"/>
    <n v="14000000"/>
    <s v="COSTARICAN"/>
    <n v="28109.627547434993"/>
    <e v="#N/A"/>
    <e v="#N/A"/>
    <s v="Businees Adminstratot"/>
    <s v="Analyst"/>
    <x v="0"/>
    <s v="All the 8 hours baby, all the 8!"/>
    <m/>
  </r>
  <r>
    <s v="ID0740"/>
    <n v="120000"/>
    <s v="EGYPT"/>
    <n v="19831.432821021317"/>
    <e v="#N/A"/>
    <e v="#N/A"/>
    <s v="Estimator"/>
    <s v="Analyst"/>
    <x v="1"/>
    <s v="All the 8 hours baby, all the 8!"/>
    <n v="5"/>
  </r>
  <r>
    <s v="ID0759"/>
    <n v="1488000"/>
    <s v="NAIRA"/>
    <n v="9171.0323574730355"/>
    <e v="#N/A"/>
    <e v="#N/A"/>
    <s v="Company Systems Integration Manager"/>
    <s v="Manager"/>
    <x v="2"/>
    <s v="2 to 3 hours per day"/>
    <n v="5"/>
  </r>
  <r>
    <s v="ID0958"/>
    <n v="2000000"/>
    <s v="NAIRA"/>
    <n v="12326.656394453004"/>
    <e v="#N/A"/>
    <e v="#N/A"/>
    <s v="Head Business Advisory"/>
    <s v="Manager"/>
    <x v="2"/>
    <s v="4 to 6 hours a day"/>
    <n v="5"/>
  </r>
  <r>
    <s v="ID1021"/>
    <n v="92000"/>
    <s v="SGD"/>
    <n v="72571.80269935554"/>
    <e v="#N/A"/>
    <e v="#N/A"/>
    <s v="Finance Manager"/>
    <s v="Manager"/>
    <x v="3"/>
    <s v="All the 8 hours baby, all the 8!"/>
    <n v="15"/>
  </r>
  <r>
    <s v="ID1196"/>
    <n v="4300000"/>
    <s v="KENYA"/>
    <n v="51497.005988023957"/>
    <e v="#N/A"/>
    <e v="#N/A"/>
    <s v="Finance Manager"/>
    <s v="Manager"/>
    <x v="4"/>
    <s v="4 to 6 hours a day"/>
    <n v="9"/>
  </r>
  <r>
    <s v="ID1260"/>
    <n v="9600000"/>
    <s v="MONGOLIAN"/>
    <n v="7261.724659606657"/>
    <e v="#N/A"/>
    <e v="#N/A"/>
    <s v="Analyst"/>
    <s v="Analyst"/>
    <x v="5"/>
    <s v="All the 8 hours baby, all the 8!"/>
    <n v="2"/>
  </r>
  <r>
    <s v="ID0477"/>
    <n v="1250000"/>
    <s v="CAD"/>
    <n v="1229201.9037879086"/>
    <n v="988057.75400293083"/>
    <n v="988057.75400293083"/>
    <s v="Account Executive"/>
    <s v="Accountant"/>
    <x v="6"/>
    <s v="4 to 6 hours a day"/>
    <s v="Data Not Avaliable"/>
  </r>
  <r>
    <s v="ID0655"/>
    <n v="10500000"/>
    <s v="INR"/>
    <n v="186983.12521814698"/>
    <n v="497290.73466133379"/>
    <n v="497290.73466133379"/>
    <s v="MANAGER"/>
    <s v="Manager"/>
    <x v="7"/>
    <s v="2 to 3 hours per day"/>
    <n v="10"/>
  </r>
  <r>
    <s v="ID0376"/>
    <n v="9000000"/>
    <s v="INR"/>
    <n v="160271.25018698312"/>
    <n v="426249.20113828609"/>
    <n v="426249.20113828609"/>
    <s v="Financial Analyst"/>
    <s v="Analyst"/>
    <x v="7"/>
    <s v="4 to 6 hours a day"/>
    <s v="Data Not Avaliable"/>
  </r>
  <r>
    <s v="ID0211"/>
    <n v="400000"/>
    <s v="USD"/>
    <n v="400000"/>
    <n v="400000"/>
    <n v="400000"/>
    <s v="program manager"/>
    <s v="Manager"/>
    <x v="8"/>
    <s v="1 or 2 hours a day"/>
    <s v="Data Not Avaliable"/>
  </r>
  <r>
    <s v="ID0318"/>
    <n v="400000"/>
    <s v="USD"/>
    <n v="400000"/>
    <n v="400000"/>
    <n v="400000"/>
    <s v="Financial Specialist"/>
    <s v="Specialist"/>
    <x v="8"/>
    <s v="All the 8 hours baby, all the 8!"/>
    <s v="Data Not Avaliable"/>
  </r>
  <r>
    <s v="ID0584"/>
    <n v="300000"/>
    <s v="USD"/>
    <n v="300000"/>
    <n v="300000"/>
    <n v="300000"/>
    <s v="CEO"/>
    <s v="CXO or Top Mgmt."/>
    <x v="8"/>
    <s v="2 to 3 hours per day"/>
    <n v="30"/>
  </r>
  <r>
    <s v="ID0493"/>
    <n v="190000"/>
    <s v="GBP"/>
    <n v="299473.87169278396"/>
    <n v="280054.52894628118"/>
    <n v="280054.52894628118"/>
    <s v="Managing Partner"/>
    <s v="CXO or Top Mgmt."/>
    <x v="9"/>
    <s v="4 to 6 hours a day"/>
    <s v="Data Not Avaliable"/>
  </r>
  <r>
    <s v="ID1585"/>
    <n v="5650000"/>
    <s v="INR"/>
    <n v="100614.72928405051"/>
    <n v="267589.77627014625"/>
    <n v="267589.77627014625"/>
    <s v="MIS"/>
    <s v="Reporting"/>
    <x v="7"/>
    <s v="2 to 3 hours per day"/>
    <n v="6"/>
  </r>
  <r>
    <s v="ID0981"/>
    <n v="260000"/>
    <s v="USD"/>
    <n v="260000"/>
    <n v="260000"/>
    <n v="260000"/>
    <s v="CFO"/>
    <s v="CXO or Top Mgmt."/>
    <x v="8"/>
    <s v="2 to 3 hours per day"/>
    <n v="10"/>
  </r>
  <r>
    <s v="ID0425"/>
    <n v="250000"/>
    <s v="USD"/>
    <n v="250000"/>
    <n v="250000"/>
    <n v="250000"/>
    <s v="consultant"/>
    <s v="Consultant"/>
    <x v="8"/>
    <s v="All the 8 hours baby, all the 8!"/>
    <s v="Data Not Avaliable"/>
  </r>
  <r>
    <s v="ID1516"/>
    <n v="250000"/>
    <s v="USD"/>
    <n v="250000"/>
    <n v="250000"/>
    <n v="250000"/>
    <s v="consultant"/>
    <s v="Consultant"/>
    <x v="8"/>
    <s v="All the 8 hours baby, all the 8!"/>
    <n v="20"/>
  </r>
  <r>
    <s v="ID1656"/>
    <n v="225000"/>
    <s v="USD"/>
    <n v="225000"/>
    <n v="225000"/>
    <n v="225000"/>
    <s v="SVP of Acquisitions"/>
    <s v="CXO or Top Mgmt."/>
    <x v="8"/>
    <s v="4 to 6 hours a day"/>
    <n v="15"/>
  </r>
  <r>
    <s v="ID0374"/>
    <n v="220700"/>
    <s v="USD"/>
    <n v="220700"/>
    <n v="220700"/>
    <n v="220700"/>
    <s v="consultant"/>
    <s v="Consultant"/>
    <x v="10"/>
    <s v="All the 8 hours baby, all the 8!"/>
    <s v="Data Not Avaliable"/>
  </r>
  <r>
    <s v="ID0309"/>
    <n v="200000"/>
    <s v="EUR"/>
    <n v="254079.88779832155"/>
    <n v="220130.57719601042"/>
    <n v="220130.57719601042"/>
    <s v="consultant bi"/>
    <s v="Reporting"/>
    <x v="11"/>
    <s v="All the 8 hours baby, all the 8!"/>
    <s v="Data Not Avaliable"/>
  </r>
  <r>
    <s v="ID1489"/>
    <n v="146633"/>
    <s v="GBP"/>
    <n v="231119.74856804207"/>
    <n v="216132.81969989502"/>
    <n v="216132.81969989502"/>
    <s v="Senior Planning Engineer"/>
    <s v="Engineer"/>
    <x v="9"/>
    <s v="2 to 3 hours per day"/>
    <n v="10"/>
  </r>
  <r>
    <s v="ID1825"/>
    <n v="214000"/>
    <s v="USD"/>
    <n v="214000"/>
    <n v="214000"/>
    <n v="214000"/>
    <s v="Assistant Corporate Controller"/>
    <s v="Controller"/>
    <x v="8"/>
    <s v="All the 8 hours baby, all the 8!"/>
    <n v="20"/>
  </r>
  <r>
    <s v="ID0641"/>
    <n v="4500000"/>
    <s v="INR"/>
    <n v="80135.625093491559"/>
    <n v="213124.60056914305"/>
    <n v="213124.60056914305"/>
    <s v="cmo"/>
    <s v="CXO or Top Mgmt."/>
    <x v="7"/>
    <s v="1 or 2 hours a day"/>
    <n v="6"/>
  </r>
  <r>
    <s v="ID0532"/>
    <n v="140000"/>
    <s v="GBP"/>
    <n v="220664.95808941979"/>
    <n v="206355.96869725984"/>
    <n v="206355.96869725984"/>
    <s v="vba specialist"/>
    <s v="Specialist"/>
    <x v="9"/>
    <s v="All the 8 hours baby, all the 8!"/>
    <s v="Data Not Avaliable"/>
  </r>
  <r>
    <s v="ID0527"/>
    <n v="200000"/>
    <s v="USD"/>
    <n v="200000"/>
    <n v="200000"/>
    <n v="200000"/>
    <s v="COO"/>
    <s v="CXO or Top Mgmt."/>
    <x v="8"/>
    <s v="2 to 3 hours per day"/>
    <s v="Data Not Avaliable"/>
  </r>
  <r>
    <s v="ID1394"/>
    <n v="180000"/>
    <s v="EUR"/>
    <n v="228671.89901848941"/>
    <n v="198117.51947640939"/>
    <n v="198117.51947640939"/>
    <s v="MIS Controller"/>
    <s v="Controller"/>
    <x v="12"/>
    <s v="4 to 6 hours a day"/>
    <n v="15"/>
  </r>
  <r>
    <s v="ID0620"/>
    <n v="250000"/>
    <s v="CAD"/>
    <n v="245840.3807575817"/>
    <n v="197611.55080058615"/>
    <n v="197611.55080058615"/>
    <s v="Business Analyst"/>
    <s v="Analyst"/>
    <x v="6"/>
    <s v="4 to 6 hours a day"/>
    <n v="32"/>
  </r>
  <r>
    <s v="ID0375"/>
    <n v="194000"/>
    <s v="USD"/>
    <n v="194000"/>
    <n v="194000"/>
    <n v="194000"/>
    <s v="director"/>
    <s v="CXO or Top Mgmt."/>
    <x v="8"/>
    <s v="2 to 3 hours per day"/>
    <s v="Data Not Avaliable"/>
  </r>
  <r>
    <s v="ID1286"/>
    <n v="192000"/>
    <s v="USD"/>
    <n v="192000"/>
    <n v="192000"/>
    <n v="192000"/>
    <s v="Publisher"/>
    <s v="CXO or Top Mgmt."/>
    <x v="8"/>
    <s v="All the 8 hours baby, all the 8!"/>
    <n v="27"/>
  </r>
  <r>
    <s v="ID0441"/>
    <n v="4000000"/>
    <s v="INR"/>
    <n v="71231.666749770273"/>
    <n v="189444.08939479382"/>
    <n v="189444.08939479382"/>
    <s v="Sr Mgr Finance"/>
    <s v="Accountant"/>
    <x v="7"/>
    <s v="All the 8 hours baby, all the 8!"/>
    <s v="Data Not Avaliable"/>
  </r>
  <r>
    <s v="ID0640"/>
    <n v="4000000"/>
    <s v="INR"/>
    <n v="71231.666749770273"/>
    <n v="189444.08939479382"/>
    <n v="189444.08939479382"/>
    <s v="Senior Executive"/>
    <s v="Manager"/>
    <x v="7"/>
    <s v="4 to 6 hours a day"/>
    <n v="1.5"/>
  </r>
  <r>
    <s v="ID1509"/>
    <n v="4000000"/>
    <s v="INR"/>
    <n v="71231.666749770273"/>
    <n v="189444.08939479382"/>
    <n v="189444.08939479382"/>
    <s v="Operational Specialist"/>
    <s v="Specialist"/>
    <x v="7"/>
    <s v="All the 8 hours baby, all the 8!"/>
    <n v="5"/>
  </r>
  <r>
    <s v="ID0563"/>
    <n v="188000"/>
    <s v="USD"/>
    <n v="188000"/>
    <n v="188000"/>
    <n v="188000"/>
    <s v="Director, Supply Chain Operations"/>
    <s v="CXO or Top Mgmt."/>
    <x v="8"/>
    <s v="1 or 2 hours a day"/>
    <n v="20"/>
  </r>
  <r>
    <s v="ID0485"/>
    <n v="1080000"/>
    <s v="ZAR"/>
    <n v="131675.52225194403"/>
    <n v="179128.19579245601"/>
    <n v="179128.19579245601"/>
    <s v="Finance manager"/>
    <s v="Manager"/>
    <x v="13"/>
    <s v="2 to 3 hours per day"/>
    <s v="Data Not Avaliable"/>
  </r>
  <r>
    <s v="ID1596"/>
    <n v="177600"/>
    <s v="USD"/>
    <n v="177600"/>
    <n v="177600"/>
    <n v="177600"/>
    <s v="Accountant"/>
    <s v="Accountant"/>
    <x v="14"/>
    <s v="4 to 6 hours a day"/>
    <n v="6"/>
  </r>
  <r>
    <s v="ID1636"/>
    <n v="3700000"/>
    <s v="INR"/>
    <n v="65889.291743537498"/>
    <n v="175235.78269018428"/>
    <n v="175235.78269018428"/>
    <s v="Senior Officer"/>
    <s v="Manager"/>
    <x v="7"/>
    <s v="All the 8 hours baby, all the 8!"/>
    <n v="4"/>
  </r>
  <r>
    <s v="ID0358"/>
    <n v="170000"/>
    <s v="USD"/>
    <n v="170000"/>
    <n v="170000"/>
    <n v="170000"/>
    <s v="RS"/>
    <s v="Analyst"/>
    <x v="9"/>
    <s v="Excel ?!? What Excel?"/>
    <s v="Data Not Avaliable"/>
  </r>
  <r>
    <s v="ID1523"/>
    <n v="170000"/>
    <s v="USD"/>
    <n v="170000"/>
    <n v="170000"/>
    <n v="170000"/>
    <s v="CFO"/>
    <s v="CXO or Top Mgmt."/>
    <x v="8"/>
    <s v="2 to 3 hours per day"/>
    <n v="18"/>
  </r>
  <r>
    <s v="ID0482"/>
    <n v="169000"/>
    <s v="USD"/>
    <n v="169000"/>
    <n v="169000"/>
    <n v="169000"/>
    <s v="Category Director (Marketing)"/>
    <s v="CXO or Top Mgmt."/>
    <x v="8"/>
    <s v="2 to 3 hours per day"/>
    <s v="Data Not Avaliable"/>
  </r>
  <r>
    <s v="ID0608"/>
    <n v="160000"/>
    <s v="USD"/>
    <n v="160000"/>
    <n v="160000"/>
    <n v="160000"/>
    <s v="Director, Analytics"/>
    <s v="Analyst"/>
    <x v="8"/>
    <s v="4 to 6 hours a day"/>
    <n v="5"/>
  </r>
  <r>
    <s v="ID0007"/>
    <n v="145000"/>
    <s v="EUR"/>
    <n v="184207.91865378313"/>
    <n v="159594.66846710755"/>
    <n v="159594.66846710755"/>
    <s v="senior project manager"/>
    <s v="Manager"/>
    <x v="15"/>
    <s v="1 or 2 hours a day"/>
    <s v="Data Not Avaliable"/>
  </r>
  <r>
    <s v="ID1655"/>
    <n v="155000"/>
    <s v="USD"/>
    <n v="155000"/>
    <n v="155000"/>
    <n v="155000"/>
    <s v="Consulting Practice Manager"/>
    <s v="Manager"/>
    <x v="8"/>
    <s v="1 or 2 hours a day"/>
    <n v="14"/>
  </r>
  <r>
    <s v="ID1436"/>
    <n v="3250000"/>
    <s v="INR"/>
    <n v="57875.729234188344"/>
    <n v="153923.32263326997"/>
    <n v="153923.32263326997"/>
    <s v="ISO TS Documentation"/>
    <s v="Analyst"/>
    <x v="7"/>
    <s v="4 to 6 hours a day"/>
    <n v="5.5"/>
  </r>
  <r>
    <s v="ID1320"/>
    <n v="139000"/>
    <s v="EUR"/>
    <n v="176585.52201983347"/>
    <n v="152990.75115122725"/>
    <n v="152990.75115122725"/>
    <s v="NAF Support Manager"/>
    <s v="Manager"/>
    <x v="15"/>
    <s v="1 or 2 hours a day"/>
    <n v="25"/>
  </r>
  <r>
    <s v="ID0037"/>
    <n v="150000"/>
    <s v="USD"/>
    <n v="150000"/>
    <n v="150000"/>
    <n v="150000"/>
    <s v="Portfolio Manager"/>
    <s v="Manager"/>
    <x v="8"/>
    <s v="2 to 3 hours per day"/>
    <s v="Data Not Avaliable"/>
  </r>
  <r>
    <s v="ID0083"/>
    <n v="150000"/>
    <s v="USD"/>
    <n v="150000"/>
    <n v="150000"/>
    <n v="150000"/>
    <s v="Director"/>
    <s v="CXO or Top Mgmt."/>
    <x v="8"/>
    <s v="All the 8 hours baby, all the 8!"/>
    <s v="Data Not Avaliable"/>
  </r>
  <r>
    <s v="ID0335"/>
    <n v="150000"/>
    <s v="USD"/>
    <n v="150000"/>
    <n v="150000"/>
    <n v="150000"/>
    <s v="financial planning"/>
    <s v="Accountant"/>
    <x v="8"/>
    <s v="All the 8 hours baby, all the 8!"/>
    <s v="Data Not Avaliable"/>
  </r>
  <r>
    <s v="ID0337"/>
    <n v="150000"/>
    <s v="USD"/>
    <n v="150000"/>
    <n v="150000"/>
    <n v="150000"/>
    <s v="project manager, project finance consultant"/>
    <s v="Manager"/>
    <x v="16"/>
    <s v="4 to 6 hours a day"/>
    <s v="Data Not Avaliable"/>
  </r>
  <r>
    <s v="ID0470"/>
    <n v="150000"/>
    <s v="USD"/>
    <n v="150000"/>
    <n v="150000"/>
    <n v="150000"/>
    <s v="CFO"/>
    <s v="CXO or Top Mgmt."/>
    <x v="8"/>
    <s v="2 to 3 hours per day"/>
    <s v="Data Not Avaliable"/>
  </r>
  <r>
    <s v="ID0516"/>
    <n v="150000"/>
    <s v="USD"/>
    <n v="150000"/>
    <n v="150000"/>
    <n v="150000"/>
    <s v="Consultant"/>
    <s v="Consultant"/>
    <x v="8"/>
    <s v="All the 8 hours baby, all the 8!"/>
    <s v="Data Not Avaliable"/>
  </r>
  <r>
    <s v="ID0580"/>
    <n v="150000"/>
    <s v="USD"/>
    <n v="150000"/>
    <n v="150000"/>
    <n v="150000"/>
    <s v="CFO"/>
    <s v="CXO or Top Mgmt."/>
    <x v="8"/>
    <s v="4 to 6 hours a day"/>
    <n v="22"/>
  </r>
  <r>
    <s v="ID0927"/>
    <n v="150000"/>
    <s v="USD"/>
    <n v="150000"/>
    <n v="150000"/>
    <n v="150000"/>
    <s v="Controller"/>
    <s v="Controller"/>
    <x v="8"/>
    <s v="4 to 6 hours a day"/>
    <n v="25"/>
  </r>
  <r>
    <s v="ID0963"/>
    <n v="150000"/>
    <s v="USD"/>
    <n v="150000"/>
    <n v="150000"/>
    <n v="150000"/>
    <s v="Software Tester"/>
    <s v="Analyst"/>
    <x v="17"/>
    <s v="1 or 2 hours a day"/>
    <n v="20"/>
  </r>
  <r>
    <s v="ID1393"/>
    <n v="150000"/>
    <s v="USD"/>
    <n v="150000"/>
    <n v="150000"/>
    <n v="150000"/>
    <s v="VP, Business Management"/>
    <s v="Manager"/>
    <x v="8"/>
    <s v="2 to 3 hours per day"/>
    <n v="30"/>
  </r>
  <r>
    <s v="ID1412"/>
    <n v="150000"/>
    <s v="USD"/>
    <n v="150000"/>
    <n v="150000"/>
    <n v="150000"/>
    <s v="Senior Analyst"/>
    <s v="Analyst"/>
    <x v="8"/>
    <s v="2 to 3 hours per day"/>
    <n v="30"/>
  </r>
  <r>
    <s v="ID0804"/>
    <n v="900000"/>
    <s v="ZAR"/>
    <n v="109729.60187662003"/>
    <n v="149273.49649371335"/>
    <n v="149273.49649371335"/>
    <s v="Business Analyst"/>
    <s v="Analyst"/>
    <x v="13"/>
    <s v="All the 8 hours baby, all the 8!"/>
    <n v="40"/>
  </r>
  <r>
    <s v="ID0078"/>
    <n v="100000"/>
    <s v="GBP"/>
    <n v="157617.8272067284"/>
    <n v="147397.12049804273"/>
    <n v="147397.12049804273"/>
    <s v="Analyst"/>
    <s v="Analyst"/>
    <x v="9"/>
    <s v="2 to 3 hours per day"/>
    <s v="Data Not Avaliable"/>
  </r>
  <r>
    <s v="ID0844"/>
    <n v="100000"/>
    <s v="GBP"/>
    <n v="157617.8272067284"/>
    <n v="147397.12049804273"/>
    <n v="147397.12049804273"/>
    <s v="Financial Controller"/>
    <s v="Controller"/>
    <x v="9"/>
    <s v="2 to 3 hours per day"/>
    <n v="20"/>
  </r>
  <r>
    <s v="ID0167"/>
    <n v="145000"/>
    <s v="USD"/>
    <n v="145000"/>
    <n v="145000"/>
    <n v="145000"/>
    <s v="Financialcontroller"/>
    <s v="Controller"/>
    <x v="17"/>
    <s v="All the 8 hours baby, all the 8!"/>
    <s v="Data Not Avaliable"/>
  </r>
  <r>
    <s v="ID1528"/>
    <n v="145000"/>
    <s v="USD"/>
    <n v="145000"/>
    <n v="145000"/>
    <n v="145000"/>
    <s v="Associate"/>
    <s v="Analyst"/>
    <x v="8"/>
    <s v="4 to 6 hours a day"/>
    <n v="6"/>
  </r>
  <r>
    <s v="ID0445"/>
    <n v="3000000"/>
    <s v="INR"/>
    <n v="53423.750062327701"/>
    <n v="142083.06704609536"/>
    <n v="142083.06704609536"/>
    <s v="Management Consultant"/>
    <s v="Manager"/>
    <x v="7"/>
    <s v="4 to 6 hours a day"/>
    <s v="Data Not Avaliable"/>
  </r>
  <r>
    <s v="ID0248"/>
    <n v="140000"/>
    <s v="USD"/>
    <n v="140000"/>
    <n v="140000"/>
    <n v="140000"/>
    <s v="Manager"/>
    <s v="Manager"/>
    <x v="8"/>
    <s v="4 to 6 hours a day"/>
    <s v="Data Not Avaliable"/>
  </r>
  <r>
    <s v="ID0565"/>
    <n v="140000"/>
    <s v="USD"/>
    <n v="140000"/>
    <n v="140000"/>
    <n v="140000"/>
    <s v="controller"/>
    <s v="Controller"/>
    <x v="8"/>
    <s v="2 to 3 hours per day"/>
    <n v="10"/>
  </r>
  <r>
    <s v="ID1296"/>
    <n v="140000"/>
    <s v="USD"/>
    <n v="140000"/>
    <n v="140000"/>
    <n v="140000"/>
    <s v="Senior Accountant"/>
    <s v="Accountant"/>
    <x v="8"/>
    <s v="4 to 6 hours a day"/>
    <n v="12"/>
  </r>
  <r>
    <s v="ID1626"/>
    <n v="140000"/>
    <s v="USD"/>
    <n v="140000"/>
    <n v="140000"/>
    <n v="140000"/>
    <s v="sr manager"/>
    <s v="Manager"/>
    <x v="8"/>
    <s v="4 to 6 hours a day"/>
    <n v="12"/>
  </r>
  <r>
    <s v="ID0224"/>
    <n v="138000"/>
    <s v="USD"/>
    <n v="138000"/>
    <n v="138000"/>
    <n v="138000"/>
    <s v="Project engineer"/>
    <s v="Engineer"/>
    <x v="18"/>
    <s v="4 to 6 hours a day"/>
    <s v="Data Not Avaliable"/>
  </r>
  <r>
    <s v="ID0323"/>
    <n v="137500"/>
    <s v="USD"/>
    <n v="137500"/>
    <n v="137500"/>
    <n v="137500"/>
    <s v="director of analytics"/>
    <s v="Analyst"/>
    <x v="8"/>
    <s v="4 to 6 hours a day"/>
    <s v="Data Not Avaliable"/>
  </r>
  <r>
    <s v="ID0822"/>
    <n v="300000"/>
    <s v="BRL"/>
    <n v="148284.35006969364"/>
    <n v="136450.07275831036"/>
    <n v="136450.07275831036"/>
    <s v="Market Intelligence Analyst"/>
    <s v="Analyst"/>
    <x v="10"/>
    <s v="All the 8 hours baby, all the 8!"/>
    <n v="3"/>
  </r>
  <r>
    <s v="ID1398"/>
    <n v="136000"/>
    <s v="USD"/>
    <n v="136000"/>
    <n v="136000"/>
    <n v="136000"/>
    <s v="Manager FP and A"/>
    <s v="Manager"/>
    <x v="8"/>
    <s v="4 to 6 hours a day"/>
    <n v="10"/>
  </r>
  <r>
    <s v="ID0339"/>
    <n v="135000"/>
    <s v="USD"/>
    <n v="135000"/>
    <n v="135000"/>
    <n v="135000"/>
    <s v="Manager of Trade Investment &amp; Analysis"/>
    <s v="Manager"/>
    <x v="8"/>
    <s v="All the 8 hours baby, all the 8!"/>
    <s v="Data Not Avaliable"/>
  </r>
  <r>
    <s v="ID0870"/>
    <n v="135000"/>
    <s v="USD"/>
    <n v="135000"/>
    <n v="135000"/>
    <n v="135000"/>
    <s v="Director, P&amp;A"/>
    <s v="CXO or Top Mgmt."/>
    <x v="8"/>
    <s v="4 to 6 hours a day"/>
    <n v="25"/>
  </r>
  <r>
    <s v="ID0954"/>
    <n v="135000"/>
    <s v="USD"/>
    <n v="135000"/>
    <n v="135000"/>
    <n v="135000"/>
    <s v="Marketing Insights Manager"/>
    <s v="Manager"/>
    <x v="8"/>
    <s v="All the 8 hours baby, all the 8!"/>
    <n v="15"/>
  </r>
  <r>
    <s v="ID0257"/>
    <n v="130000"/>
    <s v="USD"/>
    <n v="130000"/>
    <n v="130000"/>
    <n v="130000"/>
    <s v="Senior Project Manager"/>
    <s v="Manager"/>
    <x v="8"/>
    <s v="4 to 6 hours a day"/>
    <s v="Data Not Avaliable"/>
  </r>
  <r>
    <s v="ID0351"/>
    <n v="130000"/>
    <s v="USD"/>
    <n v="130000"/>
    <n v="130000"/>
    <n v="130000"/>
    <s v="Sr Staff Engineer"/>
    <s v="Engineer"/>
    <x v="8"/>
    <s v="4 to 6 hours a day"/>
    <s v="Data Not Avaliable"/>
  </r>
  <r>
    <s v="ID0370"/>
    <n v="130000"/>
    <s v="USD"/>
    <n v="130000"/>
    <n v="130000"/>
    <n v="130000"/>
    <s v="Project Manager"/>
    <s v="Manager"/>
    <x v="8"/>
    <s v="2 to 3 hours per day"/>
    <s v="Data Not Avaliable"/>
  </r>
  <r>
    <s v="ID0725"/>
    <n v="130000"/>
    <s v="USD"/>
    <n v="130000"/>
    <n v="130000"/>
    <n v="130000"/>
    <s v="Modeller"/>
    <s v="Manager"/>
    <x v="19"/>
    <s v="4 to 6 hours a day"/>
    <n v="3"/>
  </r>
  <r>
    <s v="ID1401"/>
    <n v="130000"/>
    <s v="USD"/>
    <n v="130000"/>
    <n v="130000"/>
    <n v="130000"/>
    <s v="Manager"/>
    <s v="Manager"/>
    <x v="8"/>
    <s v="1 or 2 hours a day"/>
    <n v="25"/>
  </r>
  <r>
    <s v="ID1473"/>
    <n v="118000"/>
    <s v="EUR"/>
    <n v="149907.13380100971"/>
    <n v="129877.04054564614"/>
    <n v="129877.04054564614"/>
    <s v="Support"/>
    <s v="Analyst"/>
    <x v="12"/>
    <s v="4 to 6 hours a day"/>
    <n v="7"/>
  </r>
  <r>
    <s v="ID0126"/>
    <n v="128000"/>
    <s v="USD"/>
    <n v="128000"/>
    <n v="128000"/>
    <n v="128000"/>
    <s v="Actuary"/>
    <s v="Manager"/>
    <x v="8"/>
    <s v="All the 8 hours baby, all the 8!"/>
    <s v="Data Not Avaliable"/>
  </r>
  <r>
    <s v="ID1522"/>
    <n v="127500"/>
    <s v="USD"/>
    <n v="127500"/>
    <n v="127500"/>
    <n v="127500"/>
    <s v="SVP"/>
    <s v="CXO or Top Mgmt."/>
    <x v="8"/>
    <s v="All the 8 hours baby, all the 8!"/>
    <n v="22"/>
  </r>
  <r>
    <s v="ID0353"/>
    <n v="160000"/>
    <s v="CAD"/>
    <n v="157337.8436848523"/>
    <n v="126471.39251237514"/>
    <n v="126471.39251237514"/>
    <s v="Consultant"/>
    <s v="Consultant"/>
    <x v="6"/>
    <s v="2 to 3 hours per day"/>
    <s v="Data Not Avaliable"/>
  </r>
  <r>
    <s v="ID0976"/>
    <n v="200000"/>
    <s v="AUD"/>
    <n v="203981.93128052715"/>
    <n v="125342.8116397222"/>
    <n v="125342.8116397222"/>
    <s v="Corporate Finance Manager"/>
    <s v="Manager"/>
    <x v="19"/>
    <s v="4 to 6 hours a day"/>
    <n v="15"/>
  </r>
  <r>
    <s v="ID0091"/>
    <n v="125000"/>
    <s v="USD"/>
    <n v="125000"/>
    <n v="125000"/>
    <n v="125000"/>
    <s v="Director of Marketing"/>
    <s v="CXO or Top Mgmt."/>
    <x v="8"/>
    <s v="4 to 6 hours a day"/>
    <s v="Data Not Avaliable"/>
  </r>
  <r>
    <s v="ID0314"/>
    <n v="125000"/>
    <s v="USD"/>
    <n v="125000"/>
    <n v="125000"/>
    <n v="125000"/>
    <s v="Finance, Manager "/>
    <s v="Manager"/>
    <x v="8"/>
    <s v="4 to 6 hours a day"/>
    <s v="Data Not Avaliable"/>
  </r>
  <r>
    <s v="ID0461"/>
    <n v="125000"/>
    <s v="USD"/>
    <n v="125000"/>
    <n v="125000"/>
    <n v="125000"/>
    <s v="Prod Mgr"/>
    <s v="Manager"/>
    <x v="8"/>
    <s v="2 to 3 hours per day"/>
    <s v="Data Not Avaliable"/>
  </r>
  <r>
    <s v="ID0634"/>
    <n v="125000"/>
    <s v="USD"/>
    <n v="125000"/>
    <n v="125000"/>
    <n v="125000"/>
    <s v="Analyst"/>
    <s v="Analyst"/>
    <x v="8"/>
    <s v="2 to 3 hours per day"/>
    <n v="20"/>
  </r>
  <r>
    <s v="ID0871"/>
    <n v="125000"/>
    <s v="USD"/>
    <n v="125000"/>
    <n v="125000"/>
    <n v="125000"/>
    <s v="Project controls manager"/>
    <s v="Manager"/>
    <x v="20"/>
    <s v="4 to 6 hours a day"/>
    <n v="6"/>
  </r>
  <r>
    <s v="ID0887"/>
    <n v="125000"/>
    <s v="USD"/>
    <n v="125000"/>
    <n v="125000"/>
    <n v="125000"/>
    <s v="Commercial Director"/>
    <s v="CXO or Top Mgmt."/>
    <x v="13"/>
    <s v="4 to 6 hours a day"/>
    <n v="20"/>
  </r>
  <r>
    <s v="ID0991"/>
    <n v="125000"/>
    <s v="USD"/>
    <n v="125000"/>
    <n v="125000"/>
    <n v="125000"/>
    <s v="VP, Operational Analytics"/>
    <s v="CXO or Top Mgmt."/>
    <x v="8"/>
    <s v="4 to 6 hours a day"/>
    <n v="10"/>
  </r>
  <r>
    <s v="ID1355"/>
    <n v="125000"/>
    <s v="USD"/>
    <n v="125000"/>
    <n v="125000"/>
    <n v="125000"/>
    <s v="Vice President of Performance Management"/>
    <s v="Manager"/>
    <x v="8"/>
    <s v="4 to 6 hours a day"/>
    <n v="2"/>
  </r>
  <r>
    <s v="ID1364"/>
    <n v="125000"/>
    <s v="USD"/>
    <n v="125000"/>
    <n v="125000"/>
    <n v="125000"/>
    <s v="Finance Manager"/>
    <s v="Manager"/>
    <x v="8"/>
    <s v="4 to 6 hours a day"/>
    <n v="25"/>
  </r>
  <r>
    <s v="ID1558"/>
    <n v="125000"/>
    <s v="USD"/>
    <n v="125000"/>
    <n v="125000"/>
    <n v="125000"/>
    <s v="Consultant"/>
    <s v="Consultant"/>
    <x v="8"/>
    <s v="All the 8 hours baby, all the 8!"/>
    <n v="8"/>
  </r>
  <r>
    <s v="ID1778"/>
    <n v="125000"/>
    <s v="USD"/>
    <n v="125000"/>
    <n v="125000"/>
    <n v="125000"/>
    <s v="project manager"/>
    <s v="Manager"/>
    <x v="8"/>
    <s v="All the 8 hours baby, all the 8!"/>
    <n v="10"/>
  </r>
  <r>
    <s v="ID1216"/>
    <n v="2600000"/>
    <s v="INR"/>
    <n v="46300.583387350678"/>
    <n v="123138.65810661599"/>
    <n v="123138.65810661599"/>
    <s v="Practice Manager"/>
    <s v="Manager"/>
    <x v="7"/>
    <s v="4 to 6 hours a day"/>
    <n v="4"/>
  </r>
  <r>
    <s v="ID0084"/>
    <n v="120000"/>
    <s v="USD"/>
    <n v="120000"/>
    <n v="120000"/>
    <n v="120000"/>
    <s v="Manager, Forecasts &amp; Budgets"/>
    <s v="Manager"/>
    <x v="8"/>
    <s v="4 to 6 hours a day"/>
    <s v="Data Not Avaliable"/>
  </r>
  <r>
    <s v="ID0440"/>
    <n v="120000"/>
    <s v="USD"/>
    <n v="120000"/>
    <n v="120000"/>
    <n v="120000"/>
    <s v="Director"/>
    <s v="CXO or Top Mgmt."/>
    <x v="8"/>
    <s v="1 or 2 hours a day"/>
    <s v="Data Not Avaliable"/>
  </r>
  <r>
    <s v="ID0535"/>
    <n v="120000"/>
    <s v="USD"/>
    <n v="120000"/>
    <n v="120000"/>
    <n v="120000"/>
    <s v="manager"/>
    <s v="Manager"/>
    <x v="21"/>
    <s v="2 to 3 hours per day"/>
    <s v="Data Not Avaliable"/>
  </r>
  <r>
    <s v="ID0554"/>
    <n v="120000"/>
    <s v="USD"/>
    <n v="120000"/>
    <n v="120000"/>
    <n v="120000"/>
    <s v="Director"/>
    <s v="CXO or Top Mgmt."/>
    <x v="8"/>
    <s v="4 to 6 hours a day"/>
    <s v="Data Not Avaliable"/>
  </r>
  <r>
    <s v="ID0592"/>
    <n v="120000"/>
    <s v="USD"/>
    <n v="120000"/>
    <n v="120000"/>
    <n v="120000"/>
    <s v="Sr. Analyst"/>
    <s v="Analyst"/>
    <x v="8"/>
    <s v="All the 8 hours baby, all the 8!"/>
    <n v="7"/>
  </r>
  <r>
    <s v="ID1262"/>
    <n v="120000"/>
    <s v="USD"/>
    <n v="120000"/>
    <n v="120000"/>
    <n v="120000"/>
    <s v="Consultant - Process Improvement"/>
    <s v="Consultant"/>
    <x v="3"/>
    <s v="1 or 2 hours a day"/>
    <n v="5"/>
  </r>
  <r>
    <s v="ID1385"/>
    <n v="120000"/>
    <s v="USD"/>
    <n v="120000"/>
    <n v="120000"/>
    <n v="120000"/>
    <s v="Finance Manager"/>
    <s v="Manager"/>
    <x v="8"/>
    <s v="2 to 3 hours per day"/>
    <n v="5"/>
  </r>
  <r>
    <s v="ID1417"/>
    <n v="120000"/>
    <s v="USD"/>
    <n v="120000"/>
    <n v="120000"/>
    <n v="120000"/>
    <s v="Finance Manager"/>
    <s v="Manager"/>
    <x v="8"/>
    <s v="2 to 3 hours per day"/>
    <n v="10"/>
  </r>
  <r>
    <s v="ID1830"/>
    <n v="120000"/>
    <s v="USD"/>
    <n v="120000"/>
    <n v="120000"/>
    <n v="120000"/>
    <s v="Financial Modeler"/>
    <s v="Accountant"/>
    <x v="8"/>
    <s v="4 to 6 hours a day"/>
    <n v="20"/>
  </r>
  <r>
    <s v="ID1081"/>
    <n v="2500000"/>
    <s v="INR"/>
    <n v="44519.791718606422"/>
    <n v="118402.55587174614"/>
    <n v="118402.55587174614"/>
    <s v="Vice President"/>
    <s v="CXO or Top Mgmt."/>
    <x v="7"/>
    <s v="4 to 6 hours a day"/>
    <n v="9"/>
  </r>
  <r>
    <s v="ID1843"/>
    <n v="118000"/>
    <s v="USD"/>
    <n v="118000"/>
    <n v="118000"/>
    <n v="118000"/>
    <s v="AVP"/>
    <s v="CXO or Top Mgmt."/>
    <x v="8"/>
    <s v="4 to 6 hours a day"/>
    <n v="6"/>
  </r>
  <r>
    <s v="ID0909"/>
    <n v="80000"/>
    <s v="GBP"/>
    <n v="126094.26176538273"/>
    <n v="117917.6963984342"/>
    <n v="117917.6963984342"/>
    <s v="Financial Modeller"/>
    <s v="Accountant"/>
    <x v="9"/>
    <s v="4 to 6 hours a day"/>
    <n v="10"/>
  </r>
  <r>
    <s v="ID1085"/>
    <n v="80000"/>
    <s v="GBP"/>
    <n v="126094.26176538273"/>
    <n v="117917.6963984342"/>
    <n v="117917.6963984342"/>
    <s v="Manufacturing consultant"/>
    <s v="Consultant"/>
    <x v="9"/>
    <s v="4 to 6 hours a day"/>
    <n v="10"/>
  </r>
  <r>
    <s v="ID1170"/>
    <n v="80000"/>
    <s v="GBP"/>
    <n v="126094.26176538273"/>
    <n v="117917.6963984342"/>
    <n v="117917.6963984342"/>
    <s v="Financial Controller"/>
    <s v="Controller"/>
    <x v="9"/>
    <s v="4 to 6 hours a day"/>
    <n v="15"/>
  </r>
  <r>
    <s v="ID1600"/>
    <n v="80000"/>
    <s v="GBP"/>
    <n v="126094.26176538273"/>
    <n v="117917.6963984342"/>
    <n v="117917.6963984342"/>
    <s v="Owner of Business Improvement Consultancy"/>
    <s v="Consultant"/>
    <x v="9"/>
    <s v="4 to 6 hours a day"/>
    <n v="12"/>
  </r>
  <r>
    <s v="ID1103"/>
    <n v="79000"/>
    <s v="GBP"/>
    <n v="124518.08349331544"/>
    <n v="116443.72519345376"/>
    <n v="116443.72519345376"/>
    <s v="Market Analyst"/>
    <s v="Analyst"/>
    <x v="9"/>
    <s v="2 to 3 hours per day"/>
    <n v="14"/>
  </r>
  <r>
    <s v="ID0418"/>
    <n v="115000"/>
    <s v="USD"/>
    <n v="115000"/>
    <n v="115000"/>
    <n v="115000"/>
    <s v="Consultant"/>
    <s v="Consultant"/>
    <x v="8"/>
    <s v="2 to 3 hours per day"/>
    <s v="Data Not Avaliable"/>
  </r>
  <r>
    <s v="ID0586"/>
    <n v="115000"/>
    <s v="USD"/>
    <n v="115000"/>
    <n v="115000"/>
    <n v="115000"/>
    <s v="Mgr Op Excellence"/>
    <s v="Manager"/>
    <x v="8"/>
    <s v="4 to 6 hours a day"/>
    <n v="15"/>
  </r>
  <r>
    <s v="ID0873"/>
    <n v="115000"/>
    <s v="USD"/>
    <n v="115000"/>
    <n v="115000"/>
    <n v="115000"/>
    <s v="Principal Financial Analyst"/>
    <s v="Analyst"/>
    <x v="8"/>
    <s v="4 to 6 hours a day"/>
    <n v="10"/>
  </r>
  <r>
    <s v="ID1922"/>
    <n v="115000"/>
    <s v="USD"/>
    <n v="115000"/>
    <n v="115000"/>
    <n v="115000"/>
    <s v="Business Analyst"/>
    <s v="Analyst"/>
    <x v="8"/>
    <s v="All the 8 hours baby, all the 8!"/>
    <n v="15"/>
  </r>
  <r>
    <s v="ID0514"/>
    <n v="78000"/>
    <s v="GBP"/>
    <n v="122941.90522124816"/>
    <n v="114969.75398847334"/>
    <n v="114969.75398847334"/>
    <s v="Associate"/>
    <s v="Analyst"/>
    <x v="9"/>
    <s v="1 or 2 hours a day"/>
    <s v="Data Not Avaliable"/>
  </r>
  <r>
    <s v="ID0232"/>
    <n v="114000"/>
    <s v="USD"/>
    <n v="114000"/>
    <n v="114000"/>
    <n v="114000"/>
    <s v="Director"/>
    <s v="CXO or Top Mgmt."/>
    <x v="8"/>
    <s v="2 to 3 hours per day"/>
    <s v="Data Not Avaliable"/>
  </r>
  <r>
    <s v="ID1135"/>
    <n v="2400000"/>
    <s v="INR"/>
    <n v="42739.000049862167"/>
    <n v="113666.45363687631"/>
    <n v="113666.45363687631"/>
    <s v="GM Finance"/>
    <s v="Manager"/>
    <x v="7"/>
    <s v="All the 8 hours baby, all the 8!"/>
    <n v="10"/>
  </r>
  <r>
    <s v="ID1865"/>
    <n v="112000"/>
    <s v="USD"/>
    <n v="112000"/>
    <n v="112000"/>
    <n v="112000"/>
    <s v="manager"/>
    <s v="Manager"/>
    <x v="8"/>
    <s v="2 to 3 hours per day"/>
    <n v="8"/>
  </r>
  <r>
    <s v="ID0181"/>
    <n v="111680"/>
    <s v="USD"/>
    <n v="111680"/>
    <n v="111680"/>
    <n v="111680"/>
    <s v="Director of Analytics"/>
    <s v="Analyst"/>
    <x v="8"/>
    <s v="2 to 3 hours per day"/>
    <s v="Data Not Avaliable"/>
  </r>
  <r>
    <s v="ID0553"/>
    <n v="111000"/>
    <s v="USD"/>
    <n v="111000"/>
    <n v="111000"/>
    <n v="111000"/>
    <s v="Senior Financial Analyst"/>
    <s v="Analyst"/>
    <x v="22"/>
    <s v="All the 8 hours baby, all the 8!"/>
    <s v="Data Not Avaliable"/>
  </r>
  <r>
    <s v="ID1434"/>
    <n v="111000"/>
    <s v="USD"/>
    <n v="111000"/>
    <n v="111000"/>
    <n v="111000"/>
    <s v="Project Manager - Finance"/>
    <s v="Manager"/>
    <x v="8"/>
    <s v="2 to 3 hours per day"/>
    <n v="10"/>
  </r>
  <r>
    <s v="ID1880"/>
    <n v="2342342"/>
    <s v="INR"/>
    <n v="41712.231189497601"/>
    <n v="110935.71181029503"/>
    <n v="110935.71181029503"/>
    <s v="3r23regedf"/>
    <s v="Misc."/>
    <x v="7"/>
    <s v="2 to 3 hours per day"/>
    <n v="12"/>
  </r>
  <r>
    <s v="ID1115"/>
    <n v="75000"/>
    <s v="GBP"/>
    <n v="118213.37040504631"/>
    <n v="110547.84037353206"/>
    <n v="110547.84037353206"/>
    <s v="Management Consultant"/>
    <s v="Manager"/>
    <x v="9"/>
    <s v="2 to 3 hours per day"/>
    <n v="10"/>
  </r>
  <r>
    <s v="ID1240"/>
    <n v="75000"/>
    <s v="GBP"/>
    <n v="118213.37040504631"/>
    <n v="110547.84037353206"/>
    <n v="110547.84037353206"/>
    <s v="Finance Manager"/>
    <s v="Manager"/>
    <x v="9"/>
    <s v="4 to 6 hours a day"/>
    <n v="20"/>
  </r>
  <r>
    <s v="ID1137"/>
    <n v="100000"/>
    <s v="EUR"/>
    <n v="127039.94389916077"/>
    <n v="110065.28859800521"/>
    <n v="110065.28859800521"/>
    <s v="Finance Director"/>
    <s v="CXO or Top Mgmt."/>
    <x v="23"/>
    <s v="1 or 2 hours a day"/>
    <n v="20"/>
  </r>
  <r>
    <s v="ID0087"/>
    <n v="110000"/>
    <s v="USD"/>
    <n v="110000"/>
    <n v="110000"/>
    <n v="110000"/>
    <s v="Senior Scheduling Engineer"/>
    <s v="Engineer"/>
    <x v="8"/>
    <s v="2 to 3 hours per day"/>
    <s v="Data Not Avaliable"/>
  </r>
  <r>
    <s v="ID0484"/>
    <n v="110000"/>
    <s v="USD"/>
    <n v="110000"/>
    <n v="110000"/>
    <n v="110000"/>
    <s v="Senior consultant accounting"/>
    <s v="Accountant"/>
    <x v="20"/>
    <s v="2 to 3 hours per day"/>
    <s v="Data Not Avaliable"/>
  </r>
  <r>
    <s v="ID1361"/>
    <n v="110000"/>
    <s v="USD"/>
    <n v="110000"/>
    <n v="110000"/>
    <n v="110000"/>
    <s v="Business Analytics Associate"/>
    <s v="Analyst"/>
    <x v="8"/>
    <s v="1 or 2 hours a day"/>
    <n v="10"/>
  </r>
  <r>
    <s v="ID1556"/>
    <n v="110000"/>
    <s v="USD"/>
    <n v="110000"/>
    <n v="110000"/>
    <n v="110000"/>
    <s v="Business Controller"/>
    <s v="Controller"/>
    <x v="20"/>
    <s v="All the 8 hours baby, all the 8!"/>
    <n v="5"/>
  </r>
  <r>
    <s v="ID1919"/>
    <n v="110000"/>
    <s v="USD"/>
    <n v="110000"/>
    <n v="110000"/>
    <n v="110000"/>
    <s v="Vice President - Finance"/>
    <s v="CXO or Top Mgmt."/>
    <x v="8"/>
    <s v="4 to 6 hours a day"/>
    <n v="10"/>
  </r>
  <r>
    <s v="ID0746"/>
    <n v="74000"/>
    <s v="GBP"/>
    <n v="116637.19213297902"/>
    <n v="109073.86916855162"/>
    <n v="109073.86916855162"/>
    <s v="Corporate Finance Manager"/>
    <s v="Manager"/>
    <x v="9"/>
    <s v="4 to 6 hours a day"/>
    <n v="5"/>
  </r>
  <r>
    <s v="ID1484"/>
    <n v="109000"/>
    <s v="USD"/>
    <n v="109000"/>
    <n v="109000"/>
    <n v="109000"/>
    <s v="Mgr Technology"/>
    <s v="Manager"/>
    <x v="8"/>
    <s v="4 to 6 hours a day"/>
    <n v="15"/>
  </r>
  <r>
    <s v="ID0124"/>
    <n v="2300000"/>
    <s v="INR"/>
    <n v="40958.208381117904"/>
    <n v="108930.35140200643"/>
    <n v="108930.35140200643"/>
    <s v="Analytics lead"/>
    <s v="Analyst"/>
    <x v="7"/>
    <s v="1 or 2 hours a day"/>
    <s v="Data Not Avaliable"/>
  </r>
  <r>
    <s v="ID0712"/>
    <n v="2300000"/>
    <s v="INR"/>
    <n v="40958.208381117904"/>
    <n v="108930.35140200643"/>
    <n v="108930.35140200643"/>
    <s v="analyst"/>
    <s v="Analyst"/>
    <x v="7"/>
    <s v="All the 8 hours baby, all the 8!"/>
    <n v="5"/>
  </r>
  <r>
    <s v="ID0895"/>
    <n v="2300000"/>
    <s v="INR"/>
    <n v="40958.208381117904"/>
    <n v="108930.35140200643"/>
    <n v="108930.35140200643"/>
    <s v="Manager - Business Planning &amp; Reporting"/>
    <s v="Manager"/>
    <x v="7"/>
    <s v="2 to 3 hours per day"/>
    <n v="8"/>
  </r>
  <r>
    <s v="ID1002"/>
    <n v="180000"/>
    <s v="NZD"/>
    <n v="143565.85684888897"/>
    <n v="108388.22587402172"/>
    <n v="108388.22587402172"/>
    <s v="Commercial Manager"/>
    <s v="Manager"/>
    <x v="21"/>
    <s v="4 to 6 hours a day"/>
    <n v="25"/>
  </r>
  <r>
    <s v="ID0209"/>
    <n v="108160"/>
    <s v="USD"/>
    <n v="108160"/>
    <n v="108160"/>
    <n v="108160"/>
    <s v="Sr. Financial Analyst"/>
    <s v="Analyst"/>
    <x v="8"/>
    <s v="4 to 6 hours a day"/>
    <s v="Data Not Avaliable"/>
  </r>
  <r>
    <s v="ID0331"/>
    <n v="108000"/>
    <s v="USD"/>
    <n v="108000"/>
    <n v="108000"/>
    <n v="108000"/>
    <s v="Database Architect"/>
    <s v="Manager"/>
    <x v="8"/>
    <s v="2 to 3 hours per day"/>
    <s v="Data Not Avaliable"/>
  </r>
  <r>
    <s v="ID0496"/>
    <n v="108000"/>
    <s v="USD"/>
    <n v="108000"/>
    <n v="108000"/>
    <n v="108000"/>
    <s v="Manager"/>
    <s v="Manager"/>
    <x v="20"/>
    <s v="4 to 6 hours a day"/>
    <s v="Data Not Avaliable"/>
  </r>
  <r>
    <s v="ID0596"/>
    <n v="108000"/>
    <s v="USD"/>
    <n v="108000"/>
    <n v="108000"/>
    <n v="108000"/>
    <s v="Technology consultant "/>
    <s v="Consultant"/>
    <x v="8"/>
    <s v="2 to 3 hours per day"/>
    <n v="7"/>
  </r>
  <r>
    <s v="ID0538"/>
    <n v="73000"/>
    <s v="GBP"/>
    <n v="115061.01386091174"/>
    <n v="107599.8979635712"/>
    <n v="107599.8979635712"/>
    <s v="Finance Manager"/>
    <s v="Manager"/>
    <x v="9"/>
    <s v="4 to 6 hours a day"/>
    <s v="Data Not Avaliable"/>
  </r>
  <r>
    <s v="ID1739"/>
    <n v="73000"/>
    <s v="GBP"/>
    <n v="115061.01386091174"/>
    <n v="107599.8979635712"/>
    <n v="107599.8979635712"/>
    <s v="Financial Controller"/>
    <s v="Controller"/>
    <x v="9"/>
    <s v="4 to 6 hours a day"/>
    <n v="8"/>
  </r>
  <r>
    <s v="ID0017"/>
    <n v="107000"/>
    <s v="USD"/>
    <n v="107000"/>
    <n v="107000"/>
    <n v="107000"/>
    <s v="Business Development"/>
    <s v="Manager"/>
    <x v="17"/>
    <s v="4 to 6 hours a day"/>
    <s v="Data Not Avaliable"/>
  </r>
  <r>
    <s v="ID1266"/>
    <n v="107000"/>
    <s v="USD"/>
    <n v="107000"/>
    <n v="107000"/>
    <n v="107000"/>
    <s v="Certified Public Accountant"/>
    <s v="Accountant"/>
    <x v="8"/>
    <s v="4 to 6 hours a day"/>
    <n v="12"/>
  </r>
  <r>
    <s v="ID1418"/>
    <n v="107000"/>
    <s v="USD"/>
    <n v="107000"/>
    <n v="107000"/>
    <n v="107000"/>
    <s v="Tax Manager"/>
    <s v="Manager"/>
    <x v="8"/>
    <s v="All the 8 hours baby, all the 8!"/>
    <n v="29"/>
  </r>
  <r>
    <s v="ID0785"/>
    <n v="2250000"/>
    <s v="INR"/>
    <n v="40067.812546745779"/>
    <n v="106562.30028457152"/>
    <n v="106562.30028457152"/>
    <s v="company secretary"/>
    <s v="Accountant"/>
    <x v="7"/>
    <s v="1 or 2 hours a day"/>
    <n v="5"/>
  </r>
  <r>
    <s v="ID0633"/>
    <n v="170000"/>
    <s v="AUD"/>
    <n v="173384.64158844808"/>
    <n v="106541.38989376387"/>
    <n v="106541.38989376387"/>
    <s v="senior business analyst"/>
    <s v="Analyst"/>
    <x v="19"/>
    <s v="All the 8 hours baby, all the 8!"/>
    <n v="10"/>
  </r>
  <r>
    <s v="ID1009"/>
    <n v="170000"/>
    <s v="AUD"/>
    <n v="173384.64158844808"/>
    <n v="106541.38989376387"/>
    <n v="106541.38989376387"/>
    <s v="Business Consultant"/>
    <s v="Consultant"/>
    <x v="19"/>
    <s v="2 to 3 hours per day"/>
    <n v="8"/>
  </r>
  <r>
    <s v="ID1637"/>
    <n v="106000"/>
    <s v="USD"/>
    <n v="106000"/>
    <n v="106000"/>
    <n v="106000"/>
    <s v="IT Developer"/>
    <s v="Analyst"/>
    <x v="24"/>
    <s v="1 or 2 hours a day"/>
    <n v="7"/>
  </r>
  <r>
    <s v="ID1730"/>
    <n v="134000"/>
    <s v="CAD"/>
    <n v="131770.4440860638"/>
    <n v="105919.79122911418"/>
    <n v="105919.79122911418"/>
    <s v="Senior Production Accountant"/>
    <s v="Accountant"/>
    <x v="6"/>
    <s v="All the 8 hours baby, all the 8!"/>
    <n v="20"/>
  </r>
  <r>
    <s v="ID0677"/>
    <n v="105000"/>
    <s v="USD"/>
    <n v="105000"/>
    <n v="105000"/>
    <n v="105000"/>
    <s v="Senior Consultant"/>
    <s v="Consultant"/>
    <x v="8"/>
    <s v="2 to 3 hours per day"/>
    <n v="15"/>
  </r>
  <r>
    <s v="ID0930"/>
    <n v="105000"/>
    <s v="USD"/>
    <n v="105000"/>
    <n v="105000"/>
    <n v="105000"/>
    <s v="business analyst"/>
    <s v="Analyst"/>
    <x v="8"/>
    <s v="4 to 6 hours a day"/>
    <n v="20"/>
  </r>
  <r>
    <s v="ID1357"/>
    <n v="105000"/>
    <s v="USD"/>
    <n v="105000"/>
    <n v="105000"/>
    <n v="105000"/>
    <s v="Director of Technology"/>
    <s v="CXO or Top Mgmt."/>
    <x v="8"/>
    <s v="1 or 2 hours a day"/>
    <n v="15"/>
  </r>
  <r>
    <s v="ID1534"/>
    <n v="105000"/>
    <s v="USD"/>
    <n v="105000"/>
    <n v="105000"/>
    <n v="105000"/>
    <s v="Business Banker"/>
    <s v="Manager"/>
    <x v="8"/>
    <s v="1 or 2 hours a day"/>
    <n v="30"/>
  </r>
  <r>
    <s v="ID1366"/>
    <n v="2210000"/>
    <s v="INR"/>
    <n v="39355.495879248076"/>
    <n v="104667.85939062359"/>
    <n v="104667.85939062359"/>
    <s v="Marketing"/>
    <s v="Analyst"/>
    <x v="7"/>
    <s v="1 or 2 hours a day"/>
    <n v="5.6"/>
  </r>
  <r>
    <s v="ID0143"/>
    <n v="104000"/>
    <s v="USD"/>
    <n v="104000"/>
    <n v="104000"/>
    <n v="104000"/>
    <s v="Finance Director"/>
    <s v="CXO or Top Mgmt."/>
    <x v="8"/>
    <s v="2 to 3 hours per day"/>
    <s v="Data Not Avaliable"/>
  </r>
  <r>
    <s v="ID0525"/>
    <n v="104000"/>
    <s v="USD"/>
    <n v="104000"/>
    <n v="104000"/>
    <n v="104000"/>
    <s v="Vice President, Analyst"/>
    <s v="Analyst"/>
    <x v="8"/>
    <s v="4 to 6 hours a day"/>
    <s v="Data Not Avaliable"/>
  </r>
  <r>
    <s v="ID1492"/>
    <n v="165000"/>
    <s v="AUD"/>
    <n v="168285.09330643489"/>
    <n v="103407.81960277082"/>
    <n v="103407.81960277082"/>
    <s v="Engineer"/>
    <s v="Engineer"/>
    <x v="19"/>
    <s v="2 to 3 hours per day"/>
    <n v="17"/>
  </r>
  <r>
    <s v="ID0134"/>
    <n v="70000"/>
    <s v="GBP"/>
    <n v="110332.47904470989"/>
    <n v="103177.98434862992"/>
    <n v="103177.98434862992"/>
    <s v="Project Manager"/>
    <s v="Manager"/>
    <x v="9"/>
    <s v="2 to 3 hours per day"/>
    <s v="Data Not Avaliable"/>
  </r>
  <r>
    <s v="ID1348"/>
    <n v="70000"/>
    <s v="GBP"/>
    <n v="110332.47904470989"/>
    <n v="103177.98434862992"/>
    <n v="103177.98434862992"/>
    <s v="Consultant"/>
    <s v="Consultant"/>
    <x v="9"/>
    <s v="4 to 6 hours a day"/>
    <n v="15"/>
  </r>
  <r>
    <s v="ID0270"/>
    <n v="103000"/>
    <s v="USD"/>
    <n v="103000"/>
    <n v="103000"/>
    <n v="103000"/>
    <s v="VP / Credit Administrator"/>
    <s v="CXO or Top Mgmt."/>
    <x v="8"/>
    <s v="2 to 3 hours per day"/>
    <s v="Data Not Avaliable"/>
  </r>
  <r>
    <s v="ID1379"/>
    <n v="103000"/>
    <s v="USD"/>
    <n v="103000"/>
    <n v="103000"/>
    <n v="103000"/>
    <s v="Controller"/>
    <s v="Controller"/>
    <x v="8"/>
    <s v="4 to 6 hours a day"/>
    <n v="22"/>
  </r>
  <r>
    <s v="ID1445"/>
    <n v="102000"/>
    <s v="USD"/>
    <n v="102000"/>
    <n v="102000"/>
    <n v="102000"/>
    <s v="Sales Analyst"/>
    <s v="Analyst"/>
    <x v="8"/>
    <s v="4 to 6 hours a day"/>
    <n v="5"/>
  </r>
  <r>
    <s v="ID1543"/>
    <n v="320000"/>
    <s v="SAR"/>
    <n v="85333.333333333328"/>
    <n v="100869.27576127448"/>
    <n v="100869.27576127448"/>
    <s v="Merchandise Planning Manager"/>
    <s v="Manager"/>
    <x v="25"/>
    <s v="2 to 3 hours per day"/>
    <n v="15"/>
  </r>
  <r>
    <s v="ID1928"/>
    <n v="100800"/>
    <s v="USD"/>
    <n v="100800"/>
    <n v="100800"/>
    <n v="100800"/>
    <s v="AVP"/>
    <s v="CXO or Top Mgmt."/>
    <x v="26"/>
    <s v="4 to 6 hours a day"/>
    <n v="4"/>
  </r>
  <r>
    <s v="ID0050"/>
    <n v="100000"/>
    <s v="USD"/>
    <n v="100000"/>
    <n v="100000"/>
    <n v="100000"/>
    <s v="Seinor Financial Analyst"/>
    <s v="Analyst"/>
    <x v="15"/>
    <s v="All the 8 hours baby, all the 8!"/>
    <s v="Data Not Avaliable"/>
  </r>
  <r>
    <s v="ID0070"/>
    <n v="100000"/>
    <s v="USD"/>
    <n v="100000"/>
    <n v="100000"/>
    <n v="100000"/>
    <s v="Mngr MI"/>
    <s v="Manager"/>
    <x v="13"/>
    <s v="4 to 6 hours a day"/>
    <s v="Data Not Avaliable"/>
  </r>
  <r>
    <s v="ID0158"/>
    <n v="100000"/>
    <s v="USD"/>
    <n v="100000"/>
    <n v="100000"/>
    <n v="100000"/>
    <s v="COST ACCOUNTANT"/>
    <s v="Accountant"/>
    <x v="8"/>
    <s v="All the 8 hours baby, all the 8!"/>
    <s v="Data Not Avaliable"/>
  </r>
  <r>
    <s v="ID0204"/>
    <n v="100000"/>
    <s v="USD"/>
    <n v="100000"/>
    <n v="100000"/>
    <n v="100000"/>
    <s v="Strategic Sourcing Manager"/>
    <s v="Manager"/>
    <x v="8"/>
    <s v="All the 8 hours baby, all the 8!"/>
    <s v="Data Not Avaliable"/>
  </r>
  <r>
    <s v="ID0215"/>
    <n v="100000"/>
    <s v="USD"/>
    <n v="100000"/>
    <n v="100000"/>
    <n v="100000"/>
    <s v="Director of Finance"/>
    <s v="CXO or Top Mgmt."/>
    <x v="8"/>
    <s v="4 to 6 hours a day"/>
    <s v="Data Not Avaliable"/>
  </r>
  <r>
    <s v="ID0346"/>
    <n v="100000"/>
    <s v="USD"/>
    <n v="100000"/>
    <n v="100000"/>
    <n v="100000"/>
    <s v="Senior Data Analyst"/>
    <s v="Analyst"/>
    <x v="9"/>
    <s v="4 to 6 hours a day"/>
    <s v="Data Not Avaliable"/>
  </r>
  <r>
    <s v="ID0397"/>
    <n v="100000"/>
    <s v="USD"/>
    <n v="100000"/>
    <n v="100000"/>
    <n v="100000"/>
    <s v="Sales Operations Analyst"/>
    <s v="Analyst"/>
    <x v="8"/>
    <s v="All the 8 hours baby, all the 8!"/>
    <s v="Data Not Avaliable"/>
  </r>
  <r>
    <s v="ID0505"/>
    <n v="100000"/>
    <s v="USD"/>
    <n v="100000"/>
    <n v="100000"/>
    <n v="100000"/>
    <s v="Analyst"/>
    <s v="Analyst"/>
    <x v="8"/>
    <s v="4 to 6 hours a day"/>
    <s v="Data Not Avaliable"/>
  </r>
  <r>
    <s v="ID0524"/>
    <n v="100000"/>
    <s v="USD"/>
    <n v="100000"/>
    <n v="100000"/>
    <n v="100000"/>
    <s v="Director"/>
    <s v="CXO or Top Mgmt."/>
    <x v="8"/>
    <s v="2 to 3 hours per day"/>
    <s v="Data Not Avaliable"/>
  </r>
  <r>
    <s v="ID0829"/>
    <n v="100000"/>
    <s v="USD"/>
    <n v="100000"/>
    <n v="100000"/>
    <n v="100000"/>
    <s v="director"/>
    <s v="CXO or Top Mgmt."/>
    <x v="8"/>
    <s v="4 to 6 hours a day"/>
    <n v="10"/>
  </r>
  <r>
    <s v="ID0893"/>
    <n v="100000"/>
    <s v="USD"/>
    <n v="100000"/>
    <n v="100000"/>
    <n v="100000"/>
    <s v="Director"/>
    <s v="CXO or Top Mgmt."/>
    <x v="27"/>
    <s v="All the 8 hours baby, all the 8!"/>
    <n v="10"/>
  </r>
  <r>
    <s v="ID1227"/>
    <n v="100000"/>
    <s v="USD"/>
    <n v="100000"/>
    <n v="100000"/>
    <n v="100000"/>
    <s v="Finance Manager"/>
    <s v="Manager"/>
    <x v="8"/>
    <s v="4 to 6 hours a day"/>
    <n v="11"/>
  </r>
  <r>
    <s v="ID1235"/>
    <n v="100000"/>
    <s v="USD"/>
    <n v="100000"/>
    <n v="100000"/>
    <n v="100000"/>
    <s v="Controller"/>
    <s v="Controller"/>
    <x v="20"/>
    <s v="4 to 6 hours a day"/>
    <n v="12"/>
  </r>
  <r>
    <s v="ID1305"/>
    <n v="100000"/>
    <s v="USD"/>
    <n v="100000"/>
    <n v="100000"/>
    <n v="100000"/>
    <s v="Business Analyst"/>
    <s v="Analyst"/>
    <x v="28"/>
    <s v="4 to 6 hours a day"/>
    <n v="17"/>
  </r>
  <r>
    <s v="ID1374"/>
    <n v="100000"/>
    <s v="USD"/>
    <n v="100000"/>
    <n v="100000"/>
    <n v="100000"/>
    <s v="Senior Financial Analyst"/>
    <s v="Analyst"/>
    <x v="8"/>
    <s v="4 to 6 hours a day"/>
    <n v="1"/>
  </r>
  <r>
    <s v="ID1382"/>
    <n v="100000"/>
    <s v="USD"/>
    <n v="100000"/>
    <n v="100000"/>
    <n v="100000"/>
    <s v="Vice Head of Dpt in Education"/>
    <s v="CXO or Top Mgmt."/>
    <x v="29"/>
    <s v="2 to 3 hours per day"/>
    <n v="20"/>
  </r>
  <r>
    <s v="ID1643"/>
    <n v="100000"/>
    <s v="USD"/>
    <n v="100000"/>
    <n v="100000"/>
    <n v="100000"/>
    <s v="Consultant"/>
    <s v="Consultant"/>
    <x v="8"/>
    <s v="2 to 3 hours per day"/>
    <n v="4"/>
  </r>
  <r>
    <s v="ID1723"/>
    <n v="100000"/>
    <s v="USD"/>
    <n v="100000"/>
    <n v="100000"/>
    <n v="100000"/>
    <s v="financial analyst (real estate)"/>
    <s v="Analyst"/>
    <x v="30"/>
    <s v="All the 8 hours baby, all the 8!"/>
    <n v="6"/>
  </r>
  <r>
    <s v="ID1799"/>
    <n v="100000"/>
    <s v="USD"/>
    <n v="100000"/>
    <n v="100000"/>
    <n v="100000"/>
    <s v="analyst"/>
    <s v="Analyst"/>
    <x v="8"/>
    <s v="All the 8 hours baby, all the 8!"/>
    <n v="12"/>
  </r>
  <r>
    <s v="ID1884"/>
    <n v="100000"/>
    <s v="USD"/>
    <n v="100000"/>
    <n v="100000"/>
    <n v="100000"/>
    <s v="Senior Manager MIS"/>
    <s v="Manager"/>
    <x v="31"/>
    <s v="All the 8 hours baby, all the 8!"/>
    <n v="15"/>
  </r>
  <r>
    <s v="ID0394"/>
    <n v="99147"/>
    <s v="USD"/>
    <n v="99147"/>
    <n v="99147"/>
    <n v="99147"/>
    <s v="Chief Specialist of Economics &amp; Planning"/>
    <s v="Specialist"/>
    <x v="30"/>
    <s v="4 to 6 hours a day"/>
    <s v="Data Not Avaliable"/>
  </r>
  <r>
    <s v="ID1147"/>
    <n v="90000"/>
    <s v="EUR"/>
    <n v="114335.9495092447"/>
    <n v="99058.759738204695"/>
    <n v="99058.759738204695"/>
    <s v="Management Information Manager"/>
    <s v="Manager"/>
    <x v="32"/>
    <s v="2 to 3 hours per day"/>
    <n v="20"/>
  </r>
  <r>
    <s v="ID1867"/>
    <n v="90000"/>
    <s v="EUR"/>
    <n v="114335.9495092447"/>
    <n v="99058.759738204695"/>
    <n v="99058.759738204695"/>
    <s v="Controller"/>
    <s v="Controller"/>
    <x v="12"/>
    <s v="2 to 3 hours per day"/>
    <n v="20"/>
  </r>
  <r>
    <s v="ID0198"/>
    <n v="99000"/>
    <s v="USD"/>
    <n v="99000"/>
    <n v="99000"/>
    <n v="99000"/>
    <s v="Business Controller"/>
    <s v="Controller"/>
    <x v="8"/>
    <s v="4 to 6 hours a day"/>
    <s v="Data Not Avaliable"/>
  </r>
  <r>
    <s v="ID0275"/>
    <n v="99000"/>
    <s v="USD"/>
    <n v="99000"/>
    <n v="99000"/>
    <n v="99000"/>
    <s v="Business Analyst"/>
    <s v="Analyst"/>
    <x v="8"/>
    <s v="2 to 3 hours per day"/>
    <s v="Data Not Avaliable"/>
  </r>
  <r>
    <s v="ID0868"/>
    <n v="98000"/>
    <s v="USD"/>
    <n v="98000"/>
    <n v="98000"/>
    <n v="98000"/>
    <s v="supply chain manager"/>
    <s v="Manager"/>
    <x v="33"/>
    <s v="2 to 3 hours per day"/>
    <n v="14"/>
  </r>
  <r>
    <s v="ID1810"/>
    <n v="156000"/>
    <s v="AUD"/>
    <n v="159105.90639881117"/>
    <n v="97767.39307898331"/>
    <n v="97767.39307898331"/>
    <s v="Senior Associate Engineer"/>
    <s v="Engineer"/>
    <x v="19"/>
    <s v="2 to 3 hours per day"/>
    <n v="12"/>
  </r>
  <r>
    <s v="ID0419"/>
    <n v="66000"/>
    <s v="GBP"/>
    <n v="104027.76595644075"/>
    <n v="97282.099528708204"/>
    <n v="97282.099528708204"/>
    <s v="IT Project Manager, EMEA"/>
    <s v="Manager"/>
    <x v="9"/>
    <s v="1 or 2 hours a day"/>
    <s v="Data Not Avaliable"/>
  </r>
  <r>
    <s v="ID0569"/>
    <n v="155000"/>
    <s v="AUD"/>
    <n v="158085.99674240855"/>
    <n v="97140.679020784708"/>
    <n v="97140.679020784708"/>
    <s v="Finance Manager Business Services"/>
    <s v="Manager"/>
    <x v="19"/>
    <s v="4 to 6 hours a day"/>
    <n v="20"/>
  </r>
  <r>
    <s v="ID0290"/>
    <n v="97000"/>
    <s v="USD"/>
    <n v="97000"/>
    <n v="97000"/>
    <n v="97000"/>
    <s v="business analyst"/>
    <s v="Analyst"/>
    <x v="8"/>
    <s v="All the 8 hours baby, all the 8!"/>
    <s v="Data Not Avaliable"/>
  </r>
  <r>
    <s v="ID1387"/>
    <n v="97000"/>
    <s v="USD"/>
    <n v="97000"/>
    <n v="97000"/>
    <n v="97000"/>
    <s v="Sr. Manager of Finance"/>
    <s v="Manager"/>
    <x v="8"/>
    <s v="4 to 6 hours a day"/>
    <n v="14"/>
  </r>
  <r>
    <s v="ID1443"/>
    <n v="96230"/>
    <s v="USD"/>
    <n v="96230"/>
    <n v="96230"/>
    <n v="96230"/>
    <s v="Manager, Data Management"/>
    <s v="Manager"/>
    <x v="8"/>
    <s v="4 to 6 hours a day"/>
    <n v="18"/>
  </r>
  <r>
    <s v="ID0022"/>
    <n v="96000"/>
    <s v="USD"/>
    <n v="96000"/>
    <n v="96000"/>
    <n v="96000"/>
    <s v="Analyst"/>
    <s v="Analyst"/>
    <x v="8"/>
    <s v="2 to 3 hours per day"/>
    <s v="Data Not Avaliable"/>
  </r>
  <r>
    <s v="ID0152"/>
    <n v="96000"/>
    <s v="USD"/>
    <n v="96000"/>
    <n v="96000"/>
    <n v="96000"/>
    <s v="Specialist - Finance Planning and Analysis"/>
    <s v="Analyst"/>
    <x v="8"/>
    <s v="4 to 6 hours a day"/>
    <s v="Data Not Avaliable"/>
  </r>
  <r>
    <s v="ID0194"/>
    <n v="96000"/>
    <s v="USD"/>
    <n v="96000"/>
    <n v="96000"/>
    <n v="96000"/>
    <s v="Business Process Specialist"/>
    <s v="Specialist"/>
    <x v="8"/>
    <s v="2 to 3 hours per day"/>
    <s v="Data Not Avaliable"/>
  </r>
  <r>
    <s v="ID0249"/>
    <n v="96000"/>
    <s v="USD"/>
    <n v="96000"/>
    <n v="96000"/>
    <n v="96000"/>
    <s v="Freellance"/>
    <s v="Consultant"/>
    <x v="34"/>
    <s v="2 to 3 hours per day"/>
    <s v="Data Not Avaliable"/>
  </r>
  <r>
    <s v="ID0795"/>
    <n v="96000"/>
    <s v="USD"/>
    <n v="96000"/>
    <n v="96000"/>
    <n v="96000"/>
    <s v="MIS Executive"/>
    <s v="Reporting"/>
    <x v="7"/>
    <s v="All the 8 hours baby, all the 8!"/>
    <n v="8"/>
  </r>
  <r>
    <s v="ID1219"/>
    <n v="95856"/>
    <s v="USD"/>
    <n v="95856"/>
    <n v="95856"/>
    <n v="95856"/>
    <s v="Analyst"/>
    <s v="Analyst"/>
    <x v="8"/>
    <s v="2 to 3 hours per day"/>
    <n v="13"/>
  </r>
  <r>
    <s v="ID0433"/>
    <n v="65000"/>
    <s v="GBP"/>
    <n v="102451.58768437347"/>
    <n v="95808.128323727782"/>
    <n v="95808.128323727782"/>
    <s v="Financial Controller"/>
    <s v="Controller"/>
    <x v="9"/>
    <s v="2 to 3 hours per day"/>
    <s v="Data Not Avaliable"/>
  </r>
  <r>
    <s v="ID0748"/>
    <n v="65000"/>
    <s v="GBP"/>
    <n v="102451.58768437347"/>
    <n v="95808.128323727782"/>
    <n v="95808.128323727782"/>
    <s v="compliance manager"/>
    <s v="Manager"/>
    <x v="9"/>
    <s v="4 to 6 hours a day"/>
    <n v="15"/>
  </r>
  <r>
    <s v="ID0916"/>
    <n v="65000"/>
    <s v="GBP"/>
    <n v="102451.58768437347"/>
    <n v="95808.128323727782"/>
    <n v="95808.128323727782"/>
    <s v="Manager"/>
    <s v="Manager"/>
    <x v="9"/>
    <s v="1 or 2 hours a day"/>
    <n v="15"/>
  </r>
  <r>
    <s v="ID0095"/>
    <n v="95000"/>
    <s v="USD"/>
    <n v="95000"/>
    <n v="95000"/>
    <n v="95000"/>
    <s v="CFO"/>
    <s v="CXO or Top Mgmt."/>
    <x v="8"/>
    <s v="4 to 6 hours a day"/>
    <s v="Data Not Avaliable"/>
  </r>
  <r>
    <s v="ID0233"/>
    <n v="95000"/>
    <s v="USD"/>
    <n v="95000"/>
    <n v="95000"/>
    <n v="95000"/>
    <s v="VP - Procurment"/>
    <s v="CXO or Top Mgmt."/>
    <x v="8"/>
    <s v="4 to 6 hours a day"/>
    <s v="Data Not Avaliable"/>
  </r>
  <r>
    <s v="ID0344"/>
    <n v="95000"/>
    <s v="USD"/>
    <n v="95000"/>
    <n v="95000"/>
    <n v="95000"/>
    <s v="Senior Financial Analyst"/>
    <s v="Analyst"/>
    <x v="8"/>
    <s v="4 to 6 hours a day"/>
    <s v="Data Not Avaliable"/>
  </r>
  <r>
    <s v="ID0381"/>
    <n v="95000"/>
    <s v="USD"/>
    <n v="95000"/>
    <n v="95000"/>
    <n v="95000"/>
    <s v="Senior Financial Analyst"/>
    <s v="Analyst"/>
    <x v="8"/>
    <s v="All the 8 hours baby, all the 8!"/>
    <s v="Data Not Avaliable"/>
  </r>
  <r>
    <s v="ID0531"/>
    <n v="95000"/>
    <s v="USD"/>
    <n v="95000"/>
    <n v="95000"/>
    <n v="95000"/>
    <s v="Process Design Consultant"/>
    <s v="Consultant"/>
    <x v="8"/>
    <s v="4 to 6 hours a day"/>
    <s v="Data Not Avaliable"/>
  </r>
  <r>
    <s v="ID0536"/>
    <n v="95000"/>
    <s v="USD"/>
    <n v="95000"/>
    <n v="95000"/>
    <n v="95000"/>
    <s v="Director of Supply Chain"/>
    <s v="CXO or Top Mgmt."/>
    <x v="35"/>
    <s v="2 to 3 hours per day"/>
    <s v="Data Not Avaliable"/>
  </r>
  <r>
    <s v="ID0568"/>
    <n v="95000"/>
    <s v="USD"/>
    <n v="95000"/>
    <n v="95000"/>
    <n v="95000"/>
    <s v="Business Analyst"/>
    <s v="Analyst"/>
    <x v="19"/>
    <s v="2 to 3 hours per day"/>
    <n v="11"/>
  </r>
  <r>
    <s v="ID0627"/>
    <n v="95000"/>
    <s v="USD"/>
    <n v="95000"/>
    <n v="95000"/>
    <n v="95000"/>
    <s v="Program Manager"/>
    <s v="Manager"/>
    <x v="8"/>
    <s v="1 or 2 hours a day"/>
    <n v="10"/>
  </r>
  <r>
    <s v="ID0815"/>
    <n v="95000"/>
    <s v="USD"/>
    <n v="95000"/>
    <n v="95000"/>
    <n v="95000"/>
    <s v="Business Analyst"/>
    <s v="Analyst"/>
    <x v="8"/>
    <s v="2 to 3 hours per day"/>
    <n v="13"/>
  </r>
  <r>
    <s v="ID1376"/>
    <n v="95000"/>
    <s v="USD"/>
    <n v="95000"/>
    <n v="95000"/>
    <n v="95000"/>
    <s v="Cost Analyst"/>
    <s v="Analyst"/>
    <x v="8"/>
    <s v="2 to 3 hours per day"/>
    <n v="7"/>
  </r>
  <r>
    <s v="ID1400"/>
    <n v="95000"/>
    <s v="USD"/>
    <n v="95000"/>
    <n v="95000"/>
    <n v="95000"/>
    <s v="Stress Engineer"/>
    <s v="Engineer"/>
    <x v="8"/>
    <s v="4 to 6 hours a day"/>
    <n v="14"/>
  </r>
  <r>
    <s v="ID1514"/>
    <n v="95000"/>
    <s v="USD"/>
    <n v="95000"/>
    <n v="95000"/>
    <n v="95000"/>
    <s v="Sr Financial Analyst"/>
    <s v="Analyst"/>
    <x v="8"/>
    <s v="4 to 6 hours a day"/>
    <n v="15"/>
  </r>
  <r>
    <s v="ID0918"/>
    <n v="64210"/>
    <s v="GBP"/>
    <n v="101206.40684944032"/>
    <n v="94643.691071793248"/>
    <n v="94643.691071793248"/>
    <s v="HR Advisor - Systems &amp; MI"/>
    <s v="Consultant"/>
    <x v="9"/>
    <s v="4 to 6 hours a day"/>
    <n v="16"/>
  </r>
  <r>
    <s v="ID1237"/>
    <n v="150000"/>
    <s v="AUD"/>
    <n v="152986.44846039536"/>
    <n v="94007.108729791653"/>
    <n v="94007.108729791653"/>
    <s v="Analyst"/>
    <s v="Analyst"/>
    <x v="19"/>
    <s v="2 to 3 hours per day"/>
    <n v="10"/>
  </r>
  <r>
    <s v="ID1354"/>
    <n v="150000"/>
    <s v="AUD"/>
    <n v="152986.44846039536"/>
    <n v="94007.108729791653"/>
    <n v="94007.108729791653"/>
    <s v="Bus Analyst"/>
    <s v="Analyst"/>
    <x v="19"/>
    <s v="1 or 2 hours a day"/>
    <n v="5.5"/>
  </r>
  <r>
    <s v="ID1086"/>
    <n v="63000"/>
    <s v="GBP"/>
    <n v="99299.231140238902"/>
    <n v="92860.185913766938"/>
    <n v="92860.185913766938"/>
    <s v="Business Improvement Specialist"/>
    <s v="Specialist"/>
    <x v="9"/>
    <s v="2 to 3 hours per day"/>
    <n v="1"/>
  </r>
  <r>
    <s v="ID0854"/>
    <n v="92500"/>
    <s v="USD"/>
    <n v="92500"/>
    <n v="92500"/>
    <n v="92500"/>
    <s v="Dir of Analytics"/>
    <s v="Analyst"/>
    <x v="8"/>
    <s v="2 to 3 hours per day"/>
    <n v="15"/>
  </r>
  <r>
    <s v="ID0146"/>
    <n v="92000"/>
    <s v="USD"/>
    <n v="92000"/>
    <n v="92000"/>
    <n v="92000"/>
    <s v="Senior Financial &amp; Systems Analyst"/>
    <s v="Analyst"/>
    <x v="8"/>
    <s v="4 to 6 hours a day"/>
    <s v="Data Not Avaliable"/>
  </r>
  <r>
    <s v="ID0176"/>
    <n v="92000"/>
    <s v="USD"/>
    <n v="92000"/>
    <n v="92000"/>
    <n v="92000"/>
    <s v="Industrial Engineer (Fed)"/>
    <s v="Engineer"/>
    <x v="8"/>
    <s v="4 to 6 hours a day"/>
    <s v="Data Not Avaliable"/>
  </r>
  <r>
    <s v="ID0329"/>
    <n v="92000"/>
    <s v="USD"/>
    <n v="92000"/>
    <n v="92000"/>
    <n v="92000"/>
    <s v="Sales Analytics Manager"/>
    <s v="Manager"/>
    <x v="8"/>
    <s v="4 to 6 hours a day"/>
    <s v="Data Not Avaliable"/>
  </r>
  <r>
    <s v="ID0480"/>
    <n v="92000"/>
    <s v="USD"/>
    <n v="92000"/>
    <n v="92000"/>
    <n v="92000"/>
    <s v="principal engineer"/>
    <s v="Engineer"/>
    <x v="8"/>
    <s v="1 or 2 hours a day"/>
    <s v="Data Not Avaliable"/>
  </r>
  <r>
    <s v="ID1431"/>
    <n v="92000"/>
    <s v="USD"/>
    <n v="92000"/>
    <n v="92000"/>
    <n v="92000"/>
    <s v="Controller"/>
    <s v="Controller"/>
    <x v="8"/>
    <s v="2 to 3 hours per day"/>
    <n v="9"/>
  </r>
  <r>
    <s v="ID1668"/>
    <n v="92000"/>
    <s v="USD"/>
    <n v="92000"/>
    <n v="92000"/>
    <n v="92000"/>
    <s v="BI director"/>
    <s v="Reporting"/>
    <x v="8"/>
    <s v="2 to 3 hours per day"/>
    <n v="12"/>
  </r>
  <r>
    <s v="ID1698"/>
    <n v="92000"/>
    <s v="USD"/>
    <n v="92000"/>
    <n v="92000"/>
    <n v="92000"/>
    <s v="Anallyst"/>
    <s v="Analyst"/>
    <x v="8"/>
    <s v="4 to 6 hours a day"/>
    <n v="9"/>
  </r>
  <r>
    <s v="ID0097"/>
    <n v="91000"/>
    <s v="USD"/>
    <n v="91000"/>
    <n v="91000"/>
    <n v="91000"/>
    <s v="Channel Marketing Manager"/>
    <s v="Manager"/>
    <x v="8"/>
    <s v="1 or 2 hours a day"/>
    <s v="Data Not Avaliable"/>
  </r>
  <r>
    <s v="ID0261"/>
    <n v="1920000"/>
    <s v="INR"/>
    <n v="34191.200039889729"/>
    <n v="90933.162909501028"/>
    <n v="90933.162909501028"/>
    <s v="Project Manager"/>
    <s v="Manager"/>
    <x v="7"/>
    <s v="2 to 3 hours per day"/>
    <s v="Data Not Avaliable"/>
  </r>
  <r>
    <s v="ID1816"/>
    <n v="145000"/>
    <s v="AUD"/>
    <n v="147886.90017838217"/>
    <n v="90873.538438798583"/>
    <n v="90873.538438798583"/>
    <s v="Financial controller"/>
    <s v="Controller"/>
    <x v="19"/>
    <s v="2 to 3 hours per day"/>
    <n v="15"/>
  </r>
  <r>
    <s v="ID1197"/>
    <n v="82000"/>
    <s v="EUR"/>
    <n v="104172.75399731184"/>
    <n v="90253.536650364273"/>
    <n v="90253.536650364273"/>
    <s v="Finance Project Manager"/>
    <s v="Manager"/>
    <x v="11"/>
    <s v="All the 8 hours baby, all the 8!"/>
    <n v="25"/>
  </r>
  <r>
    <s v="ID0045"/>
    <n v="90000"/>
    <s v="USD"/>
    <n v="90000"/>
    <n v="90000"/>
    <n v="90000"/>
    <s v="Scientist"/>
    <s v="Misc."/>
    <x v="8"/>
    <s v="1 or 2 hours a day"/>
    <s v="Data Not Avaliable"/>
  </r>
  <r>
    <s v="ID0102"/>
    <n v="90000"/>
    <s v="USD"/>
    <n v="90000"/>
    <n v="90000"/>
    <n v="90000"/>
    <s v="Product Specialist"/>
    <s v="Specialist"/>
    <x v="8"/>
    <s v="4 to 6 hours a day"/>
    <s v="Data Not Avaliable"/>
  </r>
  <r>
    <s v="ID0156"/>
    <n v="90000"/>
    <s v="USD"/>
    <n v="90000"/>
    <n v="90000"/>
    <n v="90000"/>
    <s v="Senior Data Quality Analyst"/>
    <s v="Analyst"/>
    <x v="8"/>
    <s v="2 to 3 hours per day"/>
    <s v="Data Not Avaliable"/>
  </r>
  <r>
    <s v="ID0200"/>
    <n v="90000"/>
    <s v="USD"/>
    <n v="90000"/>
    <n v="90000"/>
    <n v="90000"/>
    <s v="Project Manager"/>
    <s v="Manager"/>
    <x v="8"/>
    <s v="2 to 3 hours per day"/>
    <s v="Data Not Avaliable"/>
  </r>
  <r>
    <s v="ID0244"/>
    <n v="90000"/>
    <s v="USD"/>
    <n v="90000"/>
    <n v="90000"/>
    <n v="90000"/>
    <s v="Manager Business Control"/>
    <s v="Manager"/>
    <x v="8"/>
    <s v="4 to 6 hours a day"/>
    <s v="Data Not Avaliable"/>
  </r>
  <r>
    <s v="ID0422"/>
    <n v="90000"/>
    <s v="USD"/>
    <n v="90000"/>
    <n v="90000"/>
    <n v="90000"/>
    <s v="Financial Analyst"/>
    <s v="Analyst"/>
    <x v="8"/>
    <s v="All the 8 hours baby, all the 8!"/>
    <s v="Data Not Avaliable"/>
  </r>
  <r>
    <s v="ID0435"/>
    <n v="90000"/>
    <s v="USD"/>
    <n v="90000"/>
    <n v="90000"/>
    <n v="90000"/>
    <s v="senior analyst"/>
    <s v="Analyst"/>
    <x v="8"/>
    <s v="1 or 2 hours a day"/>
    <s v="Data Not Avaliable"/>
  </r>
  <r>
    <s v="ID0573"/>
    <n v="90000"/>
    <s v="USD"/>
    <n v="90000"/>
    <n v="90000"/>
    <n v="90000"/>
    <s v="Sales Operations Supervisor"/>
    <s v="Manager"/>
    <x v="8"/>
    <s v="4 to 6 hours a day"/>
    <n v="6"/>
  </r>
  <r>
    <s v="ID0579"/>
    <n v="90000"/>
    <s v="USD"/>
    <n v="90000"/>
    <n v="90000"/>
    <n v="90000"/>
    <s v="Manager"/>
    <s v="Manager"/>
    <x v="8"/>
    <s v="2 to 3 hours per day"/>
    <n v="15"/>
  </r>
  <r>
    <s v="ID0602"/>
    <n v="90000"/>
    <s v="USD"/>
    <n v="90000"/>
    <n v="90000"/>
    <n v="90000"/>
    <s v="Operations"/>
    <s v="Manager"/>
    <x v="8"/>
    <s v="2 to 3 hours per day"/>
    <n v="20"/>
  </r>
  <r>
    <s v="ID1138"/>
    <n v="90000"/>
    <s v="USD"/>
    <n v="90000"/>
    <n v="90000"/>
    <n v="90000"/>
    <s v="Performance manager"/>
    <s v="Manager"/>
    <x v="8"/>
    <s v="4 to 6 hours a day"/>
    <n v="5"/>
  </r>
  <r>
    <s v="ID1222"/>
    <n v="90000"/>
    <s v="USD"/>
    <n v="90000"/>
    <n v="90000"/>
    <n v="90000"/>
    <s v="Senior Analyst"/>
    <s v="Analyst"/>
    <x v="8"/>
    <s v="4 to 6 hours a day"/>
    <n v="30"/>
  </r>
  <r>
    <s v="ID1564"/>
    <n v="90000"/>
    <s v="USD"/>
    <n v="90000"/>
    <n v="90000"/>
    <n v="90000"/>
    <s v="Operationsl Regional Manager"/>
    <s v="Manager"/>
    <x v="8"/>
    <s v="4 to 6 hours a day"/>
    <n v="25"/>
  </r>
  <r>
    <s v="ID1692"/>
    <n v="90000"/>
    <s v="USD"/>
    <n v="90000"/>
    <n v="90000"/>
    <n v="90000"/>
    <s v="Senior QA Tester"/>
    <s v="Analyst"/>
    <x v="8"/>
    <s v="2 to 3 hours per day"/>
    <n v="8"/>
  </r>
  <r>
    <s v="ID0367"/>
    <n v="89000"/>
    <s v="USD"/>
    <n v="89000"/>
    <n v="89000"/>
    <n v="89000"/>
    <s v="Quality Assurance Officer"/>
    <s v="Manager"/>
    <x v="8"/>
    <s v="4 to 6 hours a day"/>
    <s v="Data Not Avaliable"/>
  </r>
  <r>
    <s v="ID1519"/>
    <n v="89000"/>
    <s v="USD"/>
    <n v="89000"/>
    <n v="89000"/>
    <n v="89000"/>
    <s v="Finance Manager"/>
    <s v="Manager"/>
    <x v="8"/>
    <s v="2 to 3 hours per day"/>
    <n v="10"/>
  </r>
  <r>
    <s v="ID1529"/>
    <n v="89000"/>
    <s v="USD"/>
    <n v="89000"/>
    <n v="89000"/>
    <n v="89000"/>
    <s v="BI Analyst"/>
    <s v="Analyst"/>
    <x v="8"/>
    <s v="All the 8 hours baby, all the 8!"/>
    <n v="14"/>
  </r>
  <r>
    <s v="ID0260"/>
    <n v="60000"/>
    <s v="GBP"/>
    <n v="94570.696324037053"/>
    <n v="88438.272298825657"/>
    <n v="88438.272298825657"/>
    <s v="Decision Analyst &amp; Modeller"/>
    <s v="Analyst"/>
    <x v="9"/>
    <s v="All the 8 hours baby, all the 8!"/>
    <s v="Data Not Avaliable"/>
  </r>
  <r>
    <s v="ID0380"/>
    <n v="60000"/>
    <s v="GBP"/>
    <n v="94570.696324037053"/>
    <n v="88438.272298825657"/>
    <n v="88438.272298825657"/>
    <s v="Managing Director"/>
    <s v="CXO or Top Mgmt."/>
    <x v="9"/>
    <s v="2 to 3 hours per day"/>
    <s v="Data Not Avaliable"/>
  </r>
  <r>
    <s v="ID0450"/>
    <n v="60000"/>
    <s v="GBP"/>
    <n v="94570.696324037053"/>
    <n v="88438.272298825657"/>
    <n v="88438.272298825657"/>
    <s v="Excel Consultant"/>
    <s v="Consultant"/>
    <x v="9"/>
    <s v="4 to 6 hours a day"/>
    <s v="Data Not Avaliable"/>
  </r>
  <r>
    <s v="ID1388"/>
    <n v="60000"/>
    <s v="GBP"/>
    <n v="94570.696324037053"/>
    <n v="88438.272298825657"/>
    <n v="88438.272298825657"/>
    <s v="Analyst"/>
    <s v="Analyst"/>
    <x v="9"/>
    <s v="4 to 6 hours a day"/>
    <n v="7"/>
  </r>
  <r>
    <s v="ID1634"/>
    <n v="60000"/>
    <s v="GBP"/>
    <n v="94570.696324037053"/>
    <n v="88438.272298825657"/>
    <n v="88438.272298825657"/>
    <s v="Data Analyst"/>
    <s v="Analyst"/>
    <x v="9"/>
    <s v="4 to 6 hours a day"/>
    <n v="5"/>
  </r>
  <r>
    <s v="ID0147"/>
    <n v="88000"/>
    <s v="USD"/>
    <n v="88000"/>
    <n v="88000"/>
    <n v="88000"/>
    <s v="project manager - metrics"/>
    <s v="Manager"/>
    <x v="8"/>
    <s v="4 to 6 hours a day"/>
    <s v="Data Not Avaliable"/>
  </r>
  <r>
    <s v="ID1198"/>
    <n v="88000"/>
    <s v="USD"/>
    <n v="88000"/>
    <n v="88000"/>
    <n v="88000"/>
    <s v="Manager, Strategy &amp; Insights"/>
    <s v="Manager"/>
    <x v="8"/>
    <s v="4 to 6 hours a day"/>
    <n v="2"/>
  </r>
  <r>
    <s v="ID1413"/>
    <n v="88000"/>
    <s v="USD"/>
    <n v="88000"/>
    <n v="88000"/>
    <n v="88000"/>
    <s v="Manager, Financial Planning &amp; Analysis"/>
    <s v="Manager"/>
    <x v="8"/>
    <s v="4 to 6 hours a day"/>
    <n v="21"/>
  </r>
  <r>
    <s v="ID1744"/>
    <n v="88000"/>
    <s v="USD"/>
    <n v="88000"/>
    <n v="88000"/>
    <n v="88000"/>
    <s v="Senior Fiancial Analyst"/>
    <s v="Analyst"/>
    <x v="8"/>
    <s v="All the 8 hours baby, all the 8!"/>
    <n v="10"/>
  </r>
  <r>
    <s v="ID0876"/>
    <n v="87456"/>
    <s v="USD"/>
    <n v="87456"/>
    <n v="87456"/>
    <n v="87456"/>
    <s v="qa team supervisor "/>
    <s v="Manager"/>
    <x v="8"/>
    <s v="2 to 3 hours per day"/>
    <n v="12"/>
  </r>
  <r>
    <s v="ID1807"/>
    <n v="87000"/>
    <s v="USD"/>
    <n v="87000"/>
    <n v="87000"/>
    <n v="87000"/>
    <s v="Ð˜Ð¨ Ð¤Ñ‚Ñ„Ð´Ð½Ñ‹Ðµ"/>
    <s v="Misc."/>
    <x v="8"/>
    <s v="4 to 6 hours a day"/>
    <n v="3"/>
  </r>
  <r>
    <s v="ID0486"/>
    <n v="59000"/>
    <s v="GBP"/>
    <n v="92994.518051969761"/>
    <n v="86964.301093845221"/>
    <n v="86964.301093845221"/>
    <s v="Health and safety advisor"/>
    <s v="Consultant"/>
    <x v="9"/>
    <s v="2 to 3 hours per day"/>
    <s v="Data Not Avaliable"/>
  </r>
  <r>
    <s v="ID0446"/>
    <n v="110000"/>
    <s v="CAD"/>
    <n v="108169.76753333595"/>
    <n v="86949.082352257916"/>
    <n v="86949.082352257916"/>
    <s v="Continuos improvment"/>
    <s v="Controller"/>
    <x v="6"/>
    <s v="2 to 3 hours per day"/>
    <s v="Data Not Avaliable"/>
  </r>
  <r>
    <s v="ID1650"/>
    <n v="86000"/>
    <s v="USD"/>
    <n v="86000"/>
    <n v="86000"/>
    <n v="86000"/>
    <s v="Analyst"/>
    <s v="Analyst"/>
    <x v="36"/>
    <s v="All the 8 hours baby, all the 8!"/>
    <n v="3"/>
  </r>
  <r>
    <s v="ID0503"/>
    <n v="58000"/>
    <s v="GBP"/>
    <n v="91418.339779902482"/>
    <n v="85490.329888864799"/>
    <n v="85490.329888864799"/>
    <s v="Business Modeller"/>
    <s v="Manager"/>
    <x v="9"/>
    <s v="All the 8 hours baby, all the 8!"/>
    <s v="Data Not Avaliable"/>
  </r>
  <r>
    <s v="ID1102"/>
    <n v="58000"/>
    <s v="GBP"/>
    <n v="91418.339779902482"/>
    <n v="85490.329888864799"/>
    <n v="85490.329888864799"/>
    <s v="Data analyst"/>
    <s v="Analyst"/>
    <x v="9"/>
    <s v="All the 8 hours baby, all the 8!"/>
    <n v="8"/>
  </r>
  <r>
    <s v="ID0205"/>
    <n v="1800000"/>
    <s v="INR"/>
    <n v="32054.250037396621"/>
    <n v="85249.840227657216"/>
    <n v="85249.840227657216"/>
    <s v="Chief Manager"/>
    <s v="Manager"/>
    <x v="7"/>
    <s v="1 or 2 hours a day"/>
    <s v="Data Not Avaliable"/>
  </r>
  <r>
    <s v="ID0617"/>
    <n v="1800000"/>
    <s v="INR"/>
    <n v="32054.250037396621"/>
    <n v="85249.840227657216"/>
    <n v="85249.840227657216"/>
    <s v="AGM Finance"/>
    <s v="Manager"/>
    <x v="7"/>
    <s v="2 to 3 hours per day"/>
    <n v="10"/>
  </r>
  <r>
    <s v="ID1612"/>
    <n v="1800000"/>
    <s v="INR"/>
    <n v="32054.250037396621"/>
    <n v="85249.840227657216"/>
    <n v="85249.840227657216"/>
    <s v="analyst"/>
    <s v="Analyst"/>
    <x v="7"/>
    <s v="All the 8 hours baby, all the 8!"/>
    <n v="1"/>
  </r>
  <r>
    <s v="ID0068"/>
    <n v="85087"/>
    <s v="USD"/>
    <n v="85087"/>
    <n v="85087"/>
    <n v="85087"/>
    <s v="Business Systems Analyst"/>
    <s v="Analyst"/>
    <x v="8"/>
    <s v="2 to 3 hours per day"/>
    <s v="Data Not Avaliable"/>
  </r>
  <r>
    <s v="ID0015"/>
    <n v="85000"/>
    <s v="USD"/>
    <n v="85000"/>
    <n v="85000"/>
    <n v="85000"/>
    <s v="Project Engineer"/>
    <s v="Engineer"/>
    <x v="8"/>
    <s v="1 or 2 hours a day"/>
    <s v="Data Not Avaliable"/>
  </r>
  <r>
    <s v="ID0065"/>
    <n v="85000"/>
    <s v="USD"/>
    <n v="85000"/>
    <n v="85000"/>
    <n v="85000"/>
    <s v="Manager"/>
    <s v="Manager"/>
    <x v="8"/>
    <s v="4 to 6 hours a day"/>
    <s v="Data Not Avaliable"/>
  </r>
  <r>
    <s v="ID0111"/>
    <n v="85000"/>
    <s v="USD"/>
    <n v="85000"/>
    <n v="85000"/>
    <n v="85000"/>
    <s v="Strategic Analyst"/>
    <s v="Analyst"/>
    <x v="8"/>
    <s v="4 to 6 hours a day"/>
    <s v="Data Not Avaliable"/>
  </r>
  <r>
    <s v="ID0117"/>
    <n v="85000"/>
    <s v="USD"/>
    <n v="85000"/>
    <n v="85000"/>
    <n v="85000"/>
    <s v="Financial Controller"/>
    <s v="Controller"/>
    <x v="31"/>
    <s v="4 to 6 hours a day"/>
    <s v="Data Not Avaliable"/>
  </r>
  <r>
    <s v="ID0308"/>
    <n v="85000"/>
    <s v="USD"/>
    <n v="85000"/>
    <n v="85000"/>
    <n v="85000"/>
    <s v="Plant Controller"/>
    <s v="Controller"/>
    <x v="8"/>
    <s v="All the 8 hours baby, all the 8!"/>
    <s v="Data Not Avaliable"/>
  </r>
  <r>
    <s v="ID0365"/>
    <n v="85000"/>
    <s v="USD"/>
    <n v="85000"/>
    <n v="85000"/>
    <n v="85000"/>
    <s v="Sr. Financial Analyst"/>
    <s v="Analyst"/>
    <x v="8"/>
    <s v="4 to 6 hours a day"/>
    <s v="Data Not Avaliable"/>
  </r>
  <r>
    <s v="ID0399"/>
    <n v="85000"/>
    <s v="USD"/>
    <n v="85000"/>
    <n v="85000"/>
    <n v="85000"/>
    <s v="ENGINEER"/>
    <s v="Engineer"/>
    <x v="8"/>
    <s v="2 to 3 hours per day"/>
    <s v="Data Not Avaliable"/>
  </r>
  <r>
    <s v="ID0806"/>
    <n v="85000"/>
    <s v="USD"/>
    <n v="85000"/>
    <n v="85000"/>
    <n v="85000"/>
    <s v="Director, IT/Operations"/>
    <s v="CXO or Top Mgmt."/>
    <x v="8"/>
    <s v="4 to 6 hours a day"/>
    <n v="15"/>
  </r>
  <r>
    <s v="ID0840"/>
    <n v="85000"/>
    <s v="USD"/>
    <n v="85000"/>
    <n v="85000"/>
    <n v="85000"/>
    <s v="actuary"/>
    <s v="Accountant"/>
    <x v="8"/>
    <s v="All the 8 hours baby, all the 8!"/>
    <n v="1"/>
  </r>
  <r>
    <s v="ID0985"/>
    <n v="85000"/>
    <s v="USD"/>
    <n v="85000"/>
    <n v="85000"/>
    <n v="85000"/>
    <s v="Reporting and DB Analyist"/>
    <s v="Reporting"/>
    <x v="19"/>
    <s v="4 to 6 hours a day"/>
    <n v="8"/>
  </r>
  <r>
    <s v="ID1248"/>
    <n v="85000"/>
    <s v="USD"/>
    <n v="85000"/>
    <n v="85000"/>
    <n v="85000"/>
    <s v="Senior Executive Compensation Analyst "/>
    <s v="Analyst"/>
    <x v="8"/>
    <s v="4 to 6 hours a day"/>
    <n v="5"/>
  </r>
  <r>
    <s v="ID1283"/>
    <n v="85000"/>
    <s v="USD"/>
    <n v="85000"/>
    <n v="85000"/>
    <n v="85000"/>
    <s v="manager operation"/>
    <s v="Manager"/>
    <x v="37"/>
    <s v="All the 8 hours baby, all the 8!"/>
    <n v="10"/>
  </r>
  <r>
    <s v="ID1381"/>
    <n v="85000"/>
    <s v="USD"/>
    <n v="85000"/>
    <n v="85000"/>
    <n v="85000"/>
    <s v="Senior Analyst"/>
    <s v="Analyst"/>
    <x v="8"/>
    <s v="4 to 6 hours a day"/>
    <n v="17"/>
  </r>
  <r>
    <s v="ID1384"/>
    <n v="85000"/>
    <s v="USD"/>
    <n v="85000"/>
    <n v="85000"/>
    <n v="85000"/>
    <s v="energy engineer"/>
    <s v="Engineer"/>
    <x v="8"/>
    <s v="2 to 3 hours per day"/>
    <n v="25"/>
  </r>
  <r>
    <s v="ID1483"/>
    <n v="85000"/>
    <s v="USD"/>
    <n v="85000"/>
    <n v="85000"/>
    <n v="85000"/>
    <s v="sr analyst"/>
    <s v="Analyst"/>
    <x v="8"/>
    <s v="4 to 6 hours a day"/>
    <n v="9"/>
  </r>
  <r>
    <s v="ID1583"/>
    <n v="85000"/>
    <s v="USD"/>
    <n v="85000"/>
    <n v="85000"/>
    <n v="85000"/>
    <s v="Sr Report Developer"/>
    <s v="Reporting"/>
    <x v="8"/>
    <s v="4 to 6 hours a day"/>
    <n v="10"/>
  </r>
  <r>
    <s v="ID1620"/>
    <n v="85000"/>
    <s v="USD"/>
    <n v="85000"/>
    <n v="85000"/>
    <n v="85000"/>
    <s v="Senior Accountant"/>
    <s v="Accountant"/>
    <x v="8"/>
    <s v="2 to 3 hours per day"/>
    <n v="8"/>
  </r>
  <r>
    <s v="ID1669"/>
    <n v="85000"/>
    <s v="USD"/>
    <n v="85000"/>
    <n v="85000"/>
    <n v="85000"/>
    <s v="Sr Manager"/>
    <s v="Manager"/>
    <x v="8"/>
    <s v="All the 8 hours baby, all the 8!"/>
    <n v="10"/>
  </r>
  <r>
    <s v="ID1694"/>
    <n v="85000"/>
    <s v="USD"/>
    <n v="85000"/>
    <n v="85000"/>
    <n v="85000"/>
    <s v="Financial Analyst"/>
    <s v="Analyst"/>
    <x v="8"/>
    <s v="4 to 6 hours a day"/>
    <n v="12"/>
  </r>
  <r>
    <s v="ID1751"/>
    <n v="85000"/>
    <s v="USD"/>
    <n v="85000"/>
    <n v="85000"/>
    <n v="85000"/>
    <s v="Actuary"/>
    <s v="Accountant"/>
    <x v="8"/>
    <s v="4 to 6 hours a day"/>
    <n v="20"/>
  </r>
  <r>
    <s v="ID1775"/>
    <n v="85000"/>
    <s v="USD"/>
    <n v="85000"/>
    <n v="85000"/>
    <n v="85000"/>
    <s v="purchasing manager"/>
    <s v="Manager"/>
    <x v="8"/>
    <s v="2 to 3 hours per day"/>
    <n v="15"/>
  </r>
  <r>
    <s v="ID1809"/>
    <n v="85000"/>
    <s v="USD"/>
    <n v="85000"/>
    <n v="85000"/>
    <n v="85000"/>
    <s v="Lead Financial Analyst"/>
    <s v="Analyst"/>
    <x v="8"/>
    <s v="All the 8 hours baby, all the 8!"/>
    <n v="3"/>
  </r>
  <r>
    <s v="ID1852"/>
    <n v="85000"/>
    <s v="USD"/>
    <n v="85000"/>
    <n v="85000"/>
    <n v="85000"/>
    <s v="Chief Financial Officer"/>
    <s v="CXO or Top Mgmt."/>
    <x v="8"/>
    <s v="2 to 3 hours per day"/>
    <n v="15"/>
  </r>
  <r>
    <s v="ID0166"/>
    <n v="107000"/>
    <s v="CAD"/>
    <n v="105219.68296424497"/>
    <n v="84577.743742650884"/>
    <n v="84577.743742650884"/>
    <s v="Manager, Asset Optimization"/>
    <s v="Manager"/>
    <x v="6"/>
    <s v="2 to 3 hours per day"/>
    <s v="Data Not Avaliable"/>
  </r>
  <r>
    <s v="ID0498"/>
    <n v="84000"/>
    <s v="USD"/>
    <n v="84000"/>
    <n v="84000"/>
    <n v="84000"/>
    <s v="Senior Analyst"/>
    <s v="Analyst"/>
    <x v="8"/>
    <s v="All the 8 hours baby, all the 8!"/>
    <s v="Data Not Avaliable"/>
  </r>
  <r>
    <s v="ID1383"/>
    <n v="83000"/>
    <s v="USD"/>
    <n v="83000"/>
    <n v="83000"/>
    <n v="83000"/>
    <s v="Senior Planning Analyst"/>
    <s v="Analyst"/>
    <x v="6"/>
    <s v="4 to 6 hours a day"/>
    <n v="12"/>
  </r>
  <r>
    <s v="ID0955"/>
    <n v="75000"/>
    <s v="EUR"/>
    <n v="95279.957924370581"/>
    <n v="82548.96644850391"/>
    <n v="82548.96644850391"/>
    <s v="Risk analyst"/>
    <s v="Analyst"/>
    <x v="11"/>
    <s v="4 to 6 hours a day"/>
    <n v="4"/>
  </r>
  <r>
    <s v="ID1331"/>
    <n v="75000"/>
    <s v="EUR"/>
    <n v="95279.957924370581"/>
    <n v="82548.96644850391"/>
    <n v="82548.96644850391"/>
    <s v="Financial Analyst"/>
    <s v="Analyst"/>
    <x v="11"/>
    <s v="All the 8 hours baby, all the 8!"/>
    <n v="16"/>
  </r>
  <r>
    <s v="ID0530"/>
    <n v="82300"/>
    <s v="USD"/>
    <n v="82300"/>
    <n v="82300"/>
    <n v="82300"/>
    <s v="Manager - Finance"/>
    <s v="Manager"/>
    <x v="8"/>
    <s v="2 to 3 hours per day"/>
    <s v="Data Not Avaliable"/>
  </r>
  <r>
    <s v="ID1267"/>
    <n v="82000"/>
    <s v="USD"/>
    <n v="82000"/>
    <n v="82000"/>
    <n v="82000"/>
    <s v="Manager - Marketing Analytics"/>
    <s v="Manager"/>
    <x v="8"/>
    <s v="4 to 6 hours a day"/>
    <n v="10"/>
  </r>
  <r>
    <s v="ID1325"/>
    <n v="82000"/>
    <s v="USD"/>
    <n v="82000"/>
    <n v="82000"/>
    <n v="82000"/>
    <s v="Consultant"/>
    <s v="Consultant"/>
    <x v="13"/>
    <s v="4 to 6 hours a day"/>
    <n v="10"/>
  </r>
  <r>
    <s v="ID1164"/>
    <n v="81600"/>
    <s v="USD"/>
    <n v="81600"/>
    <n v="81600"/>
    <n v="81600"/>
    <s v="Business Analyst - Central Finance"/>
    <s v="Analyst"/>
    <x v="9"/>
    <s v="4 to 6 hours a day"/>
    <n v="4"/>
  </r>
  <r>
    <s v="ID0581"/>
    <n v="130000"/>
    <s v="AUD"/>
    <n v="132588.25533234264"/>
    <n v="81472.827565819432"/>
    <n v="81472.827565819432"/>
    <s v="Accountant"/>
    <s v="Accountant"/>
    <x v="19"/>
    <s v="2 to 3 hours per day"/>
    <n v="27"/>
  </r>
  <r>
    <s v="ID0820"/>
    <n v="55000"/>
    <s v="GBP"/>
    <n v="86689.804963700633"/>
    <n v="81068.416273923518"/>
    <n v="81068.416273923518"/>
    <s v="Financial controller"/>
    <s v="Controller"/>
    <x v="9"/>
    <s v="4 to 6 hours a day"/>
    <n v="12"/>
  </r>
  <r>
    <s v="ID1087"/>
    <n v="55000"/>
    <s v="GBP"/>
    <n v="86689.804963700633"/>
    <n v="81068.416273923518"/>
    <n v="81068.416273923518"/>
    <s v="Finance Director"/>
    <s v="CXO or Top Mgmt."/>
    <x v="9"/>
    <s v="2 to 3 hours per day"/>
    <n v="22"/>
  </r>
  <r>
    <s v="ID0088"/>
    <n v="81000"/>
    <s v="USD"/>
    <n v="81000"/>
    <n v="81000"/>
    <n v="81000"/>
    <s v="Strategy Consultant"/>
    <s v="Consultant"/>
    <x v="9"/>
    <s v="4 to 6 hours a day"/>
    <s v="Data Not Avaliable"/>
  </r>
  <r>
    <s v="ID1420"/>
    <n v="81000"/>
    <s v="USD"/>
    <n v="81000"/>
    <n v="81000"/>
    <n v="81000"/>
    <s v="Finance &amp; IT Manager"/>
    <s v="Manager"/>
    <x v="8"/>
    <s v="1 or 2 hours a day"/>
    <n v="12"/>
  </r>
  <r>
    <s v="ID1710"/>
    <n v="81000"/>
    <s v="USD"/>
    <n v="81000"/>
    <n v="81000"/>
    <n v="81000"/>
    <s v="Contact Operations Analyst"/>
    <s v="Analyst"/>
    <x v="8"/>
    <s v="4 to 6 hours a day"/>
    <n v="6"/>
  </r>
  <r>
    <s v="ID0826"/>
    <n v="1700000"/>
    <s v="INR"/>
    <n v="30273.458368652366"/>
    <n v="80513.73799278737"/>
    <n v="80513.73799278737"/>
    <s v="Operations Lead"/>
    <s v="Manager"/>
    <x v="7"/>
    <s v="All the 8 hours baby, all the 8!"/>
    <n v="1.1000000000000001"/>
  </r>
  <r>
    <s v="ID1592"/>
    <n v="1700000"/>
    <s v="INR"/>
    <n v="30273.458368652366"/>
    <n v="80513.73799278737"/>
    <n v="80513.73799278737"/>
    <s v="AVP"/>
    <s v="CXO or Top Mgmt."/>
    <x v="7"/>
    <s v="4 to 6 hours a day"/>
    <n v="6"/>
  </r>
  <r>
    <s v="ID1427"/>
    <n v="80442"/>
    <s v="USD"/>
    <n v="80442"/>
    <n v="80442"/>
    <n v="80442"/>
    <s v="Senior Budget Analyst"/>
    <s v="Analyst"/>
    <x v="8"/>
    <s v="4 to 6 hours a day"/>
    <n v="16"/>
  </r>
  <r>
    <s v="ID0101"/>
    <n v="80000"/>
    <s v="USD"/>
    <n v="80000"/>
    <n v="80000"/>
    <n v="80000"/>
    <s v="financial analyst"/>
    <s v="Analyst"/>
    <x v="8"/>
    <s v="4 to 6 hours a day"/>
    <s v="Data Not Avaliable"/>
  </r>
  <r>
    <s v="ID0125"/>
    <n v="80000"/>
    <s v="USD"/>
    <n v="80000"/>
    <n v="80000"/>
    <n v="80000"/>
    <s v="Financial Analyst"/>
    <s v="Analyst"/>
    <x v="8"/>
    <s v="4 to 6 hours a day"/>
    <s v="Data Not Avaliable"/>
  </r>
  <r>
    <s v="ID0148"/>
    <n v="80000"/>
    <s v="USD"/>
    <n v="80000"/>
    <n v="80000"/>
    <n v="80000"/>
    <s v="Informatics Research Analyst"/>
    <s v="Analyst"/>
    <x v="8"/>
    <s v="2 to 3 hours per day"/>
    <s v="Data Not Avaliable"/>
  </r>
  <r>
    <s v="ID0169"/>
    <n v="80000"/>
    <s v="USD"/>
    <n v="80000"/>
    <n v="80000"/>
    <n v="80000"/>
    <s v="Consultant, HR Services &amp; Governance"/>
    <s v="Consultant"/>
    <x v="8"/>
    <s v="4 to 6 hours a day"/>
    <s v="Data Not Avaliable"/>
  </r>
  <r>
    <s v="ID0189"/>
    <n v="80000"/>
    <s v="USD"/>
    <n v="80000"/>
    <n v="80000"/>
    <n v="80000"/>
    <s v="Project Manager (Process Owner)"/>
    <s v="Manager"/>
    <x v="8"/>
    <s v="2 to 3 hours per day"/>
    <s v="Data Not Avaliable"/>
  </r>
  <r>
    <s v="ID0217"/>
    <n v="80000"/>
    <s v="USD"/>
    <n v="80000"/>
    <n v="80000"/>
    <n v="80000"/>
    <s v="Marketing Analyst"/>
    <s v="Analyst"/>
    <x v="8"/>
    <s v="4 to 6 hours a day"/>
    <s v="Data Not Avaliable"/>
  </r>
  <r>
    <s v="ID0226"/>
    <n v="80000"/>
    <s v="USD"/>
    <n v="80000"/>
    <n v="80000"/>
    <n v="80000"/>
    <s v="Senior Analyst"/>
    <s v="Analyst"/>
    <x v="8"/>
    <s v="4 to 6 hours a day"/>
    <s v="Data Not Avaliable"/>
  </r>
  <r>
    <s v="ID0247"/>
    <n v="80000"/>
    <s v="USD"/>
    <n v="80000"/>
    <n v="80000"/>
    <n v="80000"/>
    <s v="Analyst"/>
    <s v="Analyst"/>
    <x v="8"/>
    <s v="4 to 6 hours a day"/>
    <s v="Data Not Avaliable"/>
  </r>
  <r>
    <s v="ID0273"/>
    <n v="80000"/>
    <s v="USD"/>
    <n v="80000"/>
    <n v="80000"/>
    <n v="80000"/>
    <s v="VP"/>
    <s v="CXO or Top Mgmt."/>
    <x v="8"/>
    <s v="2 to 3 hours per day"/>
    <s v="Data Not Avaliable"/>
  </r>
  <r>
    <s v="ID0278"/>
    <n v="80000"/>
    <s v="USD"/>
    <n v="80000"/>
    <n v="80000"/>
    <n v="80000"/>
    <s v="Enterprise Performance Metrics Manager"/>
    <s v="Manager"/>
    <x v="8"/>
    <s v="2 to 3 hours per day"/>
    <s v="Data Not Avaliable"/>
  </r>
  <r>
    <s v="ID0444"/>
    <n v="80000"/>
    <s v="USD"/>
    <n v="80000"/>
    <n v="80000"/>
    <n v="80000"/>
    <s v="web analyst"/>
    <s v="Analyst"/>
    <x v="8"/>
    <s v="4 to 6 hours a day"/>
    <s v="Data Not Avaliable"/>
  </r>
  <r>
    <s v="ID0458"/>
    <n v="80000"/>
    <s v="USD"/>
    <n v="80000"/>
    <n v="80000"/>
    <n v="80000"/>
    <s v="operations tech"/>
    <s v="Manager"/>
    <x v="8"/>
    <s v="1 or 2 hours a day"/>
    <s v="Data Not Avaliable"/>
  </r>
  <r>
    <s v="ID0551"/>
    <n v="80000"/>
    <s v="USD"/>
    <n v="80000"/>
    <n v="80000"/>
    <n v="80000"/>
    <s v="Cost Analyst"/>
    <s v="Analyst"/>
    <x v="8"/>
    <s v="All the 8 hours baby, all the 8!"/>
    <s v="Data Not Avaliable"/>
  </r>
  <r>
    <s v="ID0618"/>
    <n v="80000"/>
    <s v="USD"/>
    <n v="80000"/>
    <n v="80000"/>
    <n v="80000"/>
    <s v="Sales Controller"/>
    <s v="Controller"/>
    <x v="8"/>
    <s v="4 to 6 hours a day"/>
    <n v="15"/>
  </r>
  <r>
    <s v="ID0637"/>
    <n v="80000"/>
    <s v="USD"/>
    <n v="80000"/>
    <n v="80000"/>
    <n v="80000"/>
    <s v="program coordinator - automotive"/>
    <s v="Manager"/>
    <x v="8"/>
    <s v="4 to 6 hours a day"/>
    <n v="8"/>
  </r>
  <r>
    <s v="ID1199"/>
    <n v="80000"/>
    <s v="USD"/>
    <n v="80000"/>
    <n v="80000"/>
    <n v="80000"/>
    <s v="Financial/Data Analyst"/>
    <s v="Analyst"/>
    <x v="8"/>
    <s v="4 to 6 hours a day"/>
    <n v="6"/>
  </r>
  <r>
    <s v="ID1226"/>
    <n v="80000"/>
    <s v="USD"/>
    <n v="80000"/>
    <n v="80000"/>
    <n v="80000"/>
    <s v="Snr Business Analyst"/>
    <s v="Analyst"/>
    <x v="3"/>
    <s v="1 or 2 hours a day"/>
    <n v="6"/>
  </r>
  <r>
    <s v="ID1303"/>
    <n v="80000"/>
    <s v="USD"/>
    <n v="80000"/>
    <n v="80000"/>
    <n v="80000"/>
    <s v="Manager"/>
    <s v="Manager"/>
    <x v="8"/>
    <s v="1 or 2 hours a day"/>
    <n v="6"/>
  </r>
  <r>
    <s v="ID1352"/>
    <n v="80000"/>
    <s v="USD"/>
    <n v="80000"/>
    <n v="80000"/>
    <n v="80000"/>
    <s v="Developer"/>
    <s v="Analyst"/>
    <x v="8"/>
    <s v="1 or 2 hours a day"/>
    <n v="14"/>
  </r>
  <r>
    <s v="ID1371"/>
    <n v="80000"/>
    <s v="USD"/>
    <n v="80000"/>
    <n v="80000"/>
    <n v="80000"/>
    <s v="Manager of Data Analytics"/>
    <s v="Manager"/>
    <x v="8"/>
    <s v="4 to 6 hours a day"/>
    <n v="10"/>
  </r>
  <r>
    <s v="ID1403"/>
    <n v="80000"/>
    <s v="USD"/>
    <n v="80000"/>
    <n v="80000"/>
    <n v="80000"/>
    <s v="Sr Process Consultant"/>
    <s v="Consultant"/>
    <x v="8"/>
    <s v="2 to 3 hours per day"/>
    <n v="8"/>
  </r>
  <r>
    <s v="ID1435"/>
    <n v="80000"/>
    <s v="USD"/>
    <n v="80000"/>
    <n v="80000"/>
    <n v="80000"/>
    <s v="Senior analyst, ops support"/>
    <s v="Analyst"/>
    <x v="8"/>
    <s v="4 to 6 hours a day"/>
    <n v="20"/>
  </r>
  <r>
    <s v="ID1679"/>
    <n v="80000"/>
    <s v="USD"/>
    <n v="80000"/>
    <n v="80000"/>
    <n v="80000"/>
    <s v="Data Resource Specialist"/>
    <s v="Specialist"/>
    <x v="8"/>
    <s v="2 to 3 hours per day"/>
    <n v="2"/>
  </r>
  <r>
    <s v="ID1748"/>
    <n v="80000"/>
    <s v="USD"/>
    <n v="80000"/>
    <n v="80000"/>
    <n v="80000"/>
    <s v="Sales / Finance Manager"/>
    <s v="Manager"/>
    <x v="8"/>
    <s v="4 to 6 hours a day"/>
    <n v="7"/>
  </r>
  <r>
    <s v="ID1776"/>
    <n v="80000"/>
    <s v="USD"/>
    <n v="80000"/>
    <n v="80000"/>
    <n v="80000"/>
    <s v="Engineer"/>
    <s v="Engineer"/>
    <x v="10"/>
    <s v="1 or 2 hours a day"/>
    <n v="9"/>
  </r>
  <r>
    <s v="ID1821"/>
    <n v="80000"/>
    <s v="USD"/>
    <n v="80000"/>
    <n v="80000"/>
    <n v="80000"/>
    <s v="Manager, Operations"/>
    <s v="Manager"/>
    <x v="8"/>
    <s v="4 to 6 hours a day"/>
    <n v="2"/>
  </r>
  <r>
    <s v="ID1842"/>
    <n v="80000"/>
    <s v="USD"/>
    <n v="80000"/>
    <n v="80000"/>
    <n v="80000"/>
    <s v="Project Controller"/>
    <s v="Controller"/>
    <x v="8"/>
    <s v="4 to 6 hours a day"/>
    <n v="9"/>
  </r>
  <r>
    <s v="ID1782"/>
    <n v="72000"/>
    <s v="EUR"/>
    <n v="91468.759607395754"/>
    <n v="79247.007790563744"/>
    <n v="79247.007790563744"/>
    <s v="regional sales manager"/>
    <s v="Manager"/>
    <x v="38"/>
    <s v="1 or 2 hours a day"/>
    <n v="3"/>
  </r>
  <r>
    <s v="ID1764"/>
    <n v="140000"/>
    <s v="CHF"/>
    <n v="148102.22862117883"/>
    <n v="79141.190496561598"/>
    <n v="79141.190496561598"/>
    <s v="Projektleiter"/>
    <s v="Manager"/>
    <x v="17"/>
    <s v="2 to 3 hours per day"/>
    <n v="6"/>
  </r>
  <r>
    <s v="ID0239"/>
    <n v="100000"/>
    <s v="CAD"/>
    <n v="98336.152303032693"/>
    <n v="79044.620320234477"/>
    <n v="79044.620320234477"/>
    <s v="retail buyer"/>
    <s v="Manager"/>
    <x v="6"/>
    <s v="2 to 3 hours per day"/>
    <s v="Data Not Avaliable"/>
  </r>
  <r>
    <s v="ID0793"/>
    <n v="100000"/>
    <s v="CAD"/>
    <n v="98336.152303032693"/>
    <n v="79044.620320234477"/>
    <n v="79044.620320234477"/>
    <s v="VP Infrastructure"/>
    <s v="CXO or Top Mgmt."/>
    <x v="6"/>
    <s v="4 to 6 hours a day"/>
    <n v="5"/>
  </r>
  <r>
    <s v="ID0852"/>
    <n v="100000"/>
    <s v="CAD"/>
    <n v="98336.152303032693"/>
    <n v="79044.620320234477"/>
    <n v="79044.620320234477"/>
    <s v="Marketing Manager"/>
    <s v="Manager"/>
    <x v="6"/>
    <s v="2 to 3 hours per day"/>
    <n v="10"/>
  </r>
  <r>
    <s v="ID0243"/>
    <n v="79000"/>
    <s v="USD"/>
    <n v="79000"/>
    <n v="79000"/>
    <n v="79000"/>
    <s v="Director of Finance and Accounting"/>
    <s v="Accountant"/>
    <x v="8"/>
    <s v="2 to 3 hours per day"/>
    <s v="Data Not Avaliable"/>
  </r>
  <r>
    <s v="ID0978"/>
    <n v="125000"/>
    <s v="AUD"/>
    <n v="127488.70705032947"/>
    <n v="78339.257274826377"/>
    <n v="78339.257274826377"/>
    <s v="Director, Informatics"/>
    <s v="CXO or Top Mgmt."/>
    <x v="19"/>
    <s v="4 to 6 hours a day"/>
    <n v="15"/>
  </r>
  <r>
    <s v="ID1475"/>
    <n v="125000"/>
    <s v="AUD"/>
    <n v="127488.70705032947"/>
    <n v="78339.257274826377"/>
    <n v="78339.257274826377"/>
    <s v="Financial Application Developer"/>
    <s v="Accountant"/>
    <x v="19"/>
    <s v="4 to 6 hours a day"/>
    <n v="7"/>
  </r>
  <r>
    <s v="ID1242"/>
    <n v="71000"/>
    <s v="EUR"/>
    <n v="90198.36016840415"/>
    <n v="78146.354904583699"/>
    <n v="78146.354904583699"/>
    <s v="Consultant"/>
    <s v="Consultant"/>
    <x v="15"/>
    <s v="1 or 2 hours a day"/>
    <n v="3"/>
  </r>
  <r>
    <s v="ID0220"/>
    <n v="78000"/>
    <s v="USD"/>
    <n v="78000"/>
    <n v="78000"/>
    <n v="78000"/>
    <s v="Tax Professional"/>
    <s v="Accountant"/>
    <x v="39"/>
    <s v="4 to 6 hours a day"/>
    <s v="Data Not Avaliable"/>
  </r>
  <r>
    <s v="ID0453"/>
    <n v="78000"/>
    <s v="USD"/>
    <n v="78000"/>
    <n v="78000"/>
    <n v="78000"/>
    <s v="FinanceManager"/>
    <s v="Manager"/>
    <x v="40"/>
    <s v="4 to 6 hours a day"/>
    <s v="Data Not Avaliable"/>
  </r>
  <r>
    <s v="ID1826"/>
    <n v="78000"/>
    <s v="USD"/>
    <n v="78000"/>
    <n v="78000"/>
    <n v="78000"/>
    <s v="Data Integration Engenieer"/>
    <s v="Engineer"/>
    <x v="8"/>
    <s v="All the 8 hours baby, all the 8!"/>
    <n v="5"/>
  </r>
  <r>
    <s v="ID0426"/>
    <n v="70800"/>
    <s v="EUR"/>
    <n v="89944.280280605832"/>
    <n v="77926.224327387696"/>
    <n v="77926.224327387696"/>
    <s v="Excel trainer"/>
    <s v="Analyst"/>
    <x v="41"/>
    <s v="All the 8 hours baby, all the 8!"/>
    <s v="Data Not Avaliable"/>
  </r>
  <r>
    <s v="ID0256"/>
    <n v="52680"/>
    <s v="GBP"/>
    <n v="83033.071372504521"/>
    <n v="77648.803078368917"/>
    <n v="77648.803078368917"/>
    <s v="Excel Consultant"/>
    <s v="Consultant"/>
    <x v="9"/>
    <s v="All the 8 hours baby, all the 8!"/>
    <s v="Data Not Avaliable"/>
  </r>
  <r>
    <s v="ID1396"/>
    <n v="77500"/>
    <s v="USD"/>
    <n v="77500"/>
    <n v="77500"/>
    <n v="77500"/>
    <s v="Sr Financial Analyst"/>
    <s v="Analyst"/>
    <x v="8"/>
    <s v="4 to 6 hours a day"/>
    <n v="7"/>
  </r>
  <r>
    <s v="ID1150"/>
    <n v="70000"/>
    <s v="EUR"/>
    <n v="88927.960729412545"/>
    <n v="77045.702018603653"/>
    <n v="77045.702018603653"/>
    <s v="Construction Planner"/>
    <s v="Consultant"/>
    <x v="42"/>
    <s v="2 to 3 hours per day"/>
    <n v="20"/>
  </r>
  <r>
    <s v="ID1563"/>
    <n v="70000"/>
    <s v="EUR"/>
    <n v="88927.960729412545"/>
    <n v="77045.702018603653"/>
    <n v="77045.702018603653"/>
    <s v="Specialist Learning Technology"/>
    <s v="Specialist"/>
    <x v="15"/>
    <s v="1 or 2 hours a day"/>
    <n v="5"/>
  </r>
  <r>
    <s v="ID0268"/>
    <n v="77000"/>
    <s v="USD"/>
    <n v="77000"/>
    <n v="77000"/>
    <n v="77000"/>
    <s v="senior accounting coordinator"/>
    <s v="Accountant"/>
    <x v="8"/>
    <s v="4 to 6 hours a day"/>
    <s v="Data Not Avaliable"/>
  </r>
  <r>
    <s v="ID0504"/>
    <n v="77000"/>
    <s v="USD"/>
    <n v="77000"/>
    <n v="77000"/>
    <n v="77000"/>
    <s v="Senior Financial Analyst"/>
    <s v="Analyst"/>
    <x v="8"/>
    <s v="All the 8 hours baby, all the 8!"/>
    <s v="Data Not Avaliable"/>
  </r>
  <r>
    <s v="ID1430"/>
    <n v="77000"/>
    <s v="USD"/>
    <n v="77000"/>
    <n v="77000"/>
    <n v="77000"/>
    <s v="Assistant Engineer"/>
    <s v="Engineer"/>
    <x v="8"/>
    <s v="4 to 6 hours a day"/>
    <n v="10"/>
  </r>
  <r>
    <s v="ID1486"/>
    <n v="77000"/>
    <s v="USD"/>
    <n v="77000"/>
    <n v="77000"/>
    <n v="77000"/>
    <s v="Chemical Engineer"/>
    <s v="Engineer"/>
    <x v="8"/>
    <s v="2 to 3 hours per day"/>
    <n v="13"/>
  </r>
  <r>
    <s v="ID0432"/>
    <n v="76600"/>
    <s v="USD"/>
    <n v="76600"/>
    <n v="76600"/>
    <n v="76600"/>
    <s v="Analyst"/>
    <s v="Analyst"/>
    <x v="8"/>
    <s v="2 to 3 hours per day"/>
    <s v="Data Not Avaliable"/>
  </r>
  <r>
    <s v="ID0269"/>
    <n v="76000"/>
    <s v="USD"/>
    <n v="76000"/>
    <n v="76000"/>
    <n v="76000"/>
    <s v="Demand Planning Mgr"/>
    <s v="Manager"/>
    <x v="8"/>
    <s v="All the 8 hours baby, all the 8!"/>
    <s v="Data Not Avaliable"/>
  </r>
  <r>
    <s v="ID0515"/>
    <n v="76000"/>
    <s v="USD"/>
    <n v="76000"/>
    <n v="76000"/>
    <n v="76000"/>
    <s v="Accounting Manager"/>
    <s v="Manager"/>
    <x v="8"/>
    <s v="2 to 3 hours per day"/>
    <s v="Data Not Avaliable"/>
  </r>
  <r>
    <s v="ID1490"/>
    <n v="76000"/>
    <s v="USD"/>
    <n v="76000"/>
    <n v="76000"/>
    <n v="76000"/>
    <s v="Sr. Analyst"/>
    <s v="Analyst"/>
    <x v="8"/>
    <s v="All the 8 hours baby, all the 8!"/>
    <n v="10"/>
  </r>
  <r>
    <s v="ID1071"/>
    <n v="1600000"/>
    <s v="INR"/>
    <n v="28492.66669990811"/>
    <n v="75777.635757917524"/>
    <n v="75777.635757917524"/>
    <s v="Manager Fin"/>
    <s v="Manager"/>
    <x v="7"/>
    <s v="All the 8 hours baby, all the 8!"/>
    <n v="9"/>
  </r>
  <r>
    <s v="ID1345"/>
    <n v="1600000"/>
    <s v="INR"/>
    <n v="28492.66669990811"/>
    <n v="75777.635757917524"/>
    <n v="75777.635757917524"/>
    <s v="Senior Associate "/>
    <s v="Analyst"/>
    <x v="7"/>
    <s v="2 to 3 hours per day"/>
    <n v="4"/>
  </r>
  <r>
    <s v="ID0989"/>
    <n v="120000"/>
    <s v="AUD"/>
    <n v="122389.15876831629"/>
    <n v="75205.686983833322"/>
    <n v="75205.686983833322"/>
    <s v="analyst"/>
    <s v="Analyst"/>
    <x v="19"/>
    <s v="4 to 6 hours a day"/>
    <n v="2"/>
  </r>
  <r>
    <s v="ID0995"/>
    <n v="120000"/>
    <s v="AUD"/>
    <n v="122389.15876831629"/>
    <n v="75205.686983833322"/>
    <n v="75205.686983833322"/>
    <s v="HSLP Data Analyst"/>
    <s v="Analyst"/>
    <x v="19"/>
    <s v="4 to 6 hours a day"/>
    <n v="5"/>
  </r>
  <r>
    <s v="ID1587"/>
    <n v="120000"/>
    <s v="AUD"/>
    <n v="122389.15876831629"/>
    <n v="75205.686983833322"/>
    <n v="75205.686983833322"/>
    <s v="Reporting Analyst"/>
    <s v="Analyst"/>
    <x v="19"/>
    <s v="2 to 3 hours per day"/>
    <n v="5"/>
  </r>
  <r>
    <s v="ID1901"/>
    <n v="120000"/>
    <s v="AUD"/>
    <n v="122389.15876831629"/>
    <n v="75205.686983833322"/>
    <n v="75205.686983833322"/>
    <s v="Manager"/>
    <s v="Manager"/>
    <x v="19"/>
    <s v="1 or 2 hours a day"/>
    <n v="8"/>
  </r>
  <r>
    <s v="ID0906"/>
    <n v="75010"/>
    <s v="USD"/>
    <n v="75010"/>
    <n v="75010"/>
    <n v="75010"/>
    <s v="Senior Business Analyst"/>
    <s v="Analyst"/>
    <x v="8"/>
    <s v="2 to 3 hours per day"/>
    <n v="6"/>
  </r>
  <r>
    <s v="ID0016"/>
    <n v="75000"/>
    <s v="USD"/>
    <n v="75000"/>
    <n v="75000"/>
    <n v="75000"/>
    <s v="Sr Project Engineer"/>
    <s v="Engineer"/>
    <x v="8"/>
    <s v="All the 8 hours baby, all the 8!"/>
    <s v="Data Not Avaliable"/>
  </r>
  <r>
    <s v="ID0024"/>
    <n v="75000"/>
    <s v="USD"/>
    <n v="75000"/>
    <n v="75000"/>
    <n v="75000"/>
    <s v="Marketing Director"/>
    <s v="CXO or Top Mgmt."/>
    <x v="8"/>
    <s v="4 to 6 hours a day"/>
    <s v="Data Not Avaliable"/>
  </r>
  <r>
    <s v="ID0072"/>
    <n v="75000"/>
    <s v="USD"/>
    <n v="75000"/>
    <n v="75000"/>
    <n v="75000"/>
    <s v="Consumer Research Program Manager"/>
    <s v="Manager"/>
    <x v="8"/>
    <s v="All the 8 hours baby, all the 8!"/>
    <s v="Data Not Avaliable"/>
  </r>
  <r>
    <s v="ID0094"/>
    <n v="75000"/>
    <s v="USD"/>
    <n v="75000"/>
    <n v="75000"/>
    <n v="75000"/>
    <s v="Data Analyst"/>
    <s v="Analyst"/>
    <x v="8"/>
    <s v="1 or 2 hours a day"/>
    <s v="Data Not Avaliable"/>
  </r>
  <r>
    <s v="ID0161"/>
    <n v="75000"/>
    <s v="USD"/>
    <n v="75000"/>
    <n v="75000"/>
    <n v="75000"/>
    <s v="Program Analyst"/>
    <s v="Analyst"/>
    <x v="8"/>
    <s v="1 or 2 hours a day"/>
    <s v="Data Not Avaliable"/>
  </r>
  <r>
    <s v="ID0177"/>
    <n v="75000"/>
    <s v="USD"/>
    <n v="75000"/>
    <n v="75000"/>
    <n v="75000"/>
    <s v="Informatics specialist"/>
    <s v="Specialist"/>
    <x v="8"/>
    <s v="All the 8 hours baby, all the 8!"/>
    <s v="Data Not Avaliable"/>
  </r>
  <r>
    <s v="ID0277"/>
    <n v="75000"/>
    <s v="USD"/>
    <n v="75000"/>
    <n v="75000"/>
    <n v="75000"/>
    <s v="financial analyst"/>
    <s v="Analyst"/>
    <x v="8"/>
    <s v="4 to 6 hours a day"/>
    <s v="Data Not Avaliable"/>
  </r>
  <r>
    <s v="ID0300"/>
    <n v="75000"/>
    <s v="USD"/>
    <n v="75000"/>
    <n v="75000"/>
    <n v="75000"/>
    <s v="FA"/>
    <s v="Analyst"/>
    <x v="8"/>
    <s v="4 to 6 hours a day"/>
    <s v="Data Not Avaliable"/>
  </r>
  <r>
    <s v="ID0360"/>
    <n v="75000"/>
    <s v="USD"/>
    <n v="75000"/>
    <n v="75000"/>
    <n v="75000"/>
    <s v="Sr. Financial Analyst"/>
    <s v="Analyst"/>
    <x v="8"/>
    <s v="All the 8 hours baby, all the 8!"/>
    <s v="Data Not Avaliable"/>
  </r>
  <r>
    <s v="ID0437"/>
    <n v="75000"/>
    <s v="USD"/>
    <n v="75000"/>
    <n v="75000"/>
    <n v="75000"/>
    <s v="Financial Analys"/>
    <s v="Analyst"/>
    <x v="8"/>
    <s v="4 to 6 hours a day"/>
    <s v="Data Not Avaliable"/>
  </r>
  <r>
    <s v="ID0589"/>
    <n v="75000"/>
    <s v="USD"/>
    <n v="75000"/>
    <n v="75000"/>
    <n v="75000"/>
    <s v="Sr. Human Resources Analyst"/>
    <s v="Analyst"/>
    <x v="8"/>
    <s v="2 to 3 hours per day"/>
    <n v="25"/>
  </r>
  <r>
    <s v="ID0597"/>
    <n v="75000"/>
    <s v="USD"/>
    <n v="75000"/>
    <n v="75000"/>
    <n v="75000"/>
    <s v="Financial Analyst"/>
    <s v="Analyst"/>
    <x v="8"/>
    <s v="4 to 6 hours a day"/>
    <n v="5"/>
  </r>
  <r>
    <s v="ID0824"/>
    <n v="75000"/>
    <s v="USD"/>
    <n v="75000"/>
    <n v="75000"/>
    <n v="75000"/>
    <s v="sr financial analyst"/>
    <s v="Analyst"/>
    <x v="8"/>
    <s v="2 to 3 hours per day"/>
    <n v="27"/>
  </r>
  <r>
    <s v="ID1167"/>
    <n v="75000"/>
    <s v="USD"/>
    <n v="75000"/>
    <n v="75000"/>
    <n v="75000"/>
    <s v="Controller"/>
    <s v="Controller"/>
    <x v="8"/>
    <s v="2 to 3 hours per day"/>
    <n v="20"/>
  </r>
  <r>
    <s v="ID1188"/>
    <n v="75000"/>
    <s v="USD"/>
    <n v="75000"/>
    <n v="75000"/>
    <n v="75000"/>
    <s v="Financial Analyst"/>
    <s v="Analyst"/>
    <x v="8"/>
    <s v="4 to 6 hours a day"/>
    <n v="12"/>
  </r>
  <r>
    <s v="ID1359"/>
    <n v="75000"/>
    <s v="USD"/>
    <n v="75000"/>
    <n v="75000"/>
    <n v="75000"/>
    <s v="Financial Analyst"/>
    <s v="Analyst"/>
    <x v="8"/>
    <s v="4 to 6 hours a day"/>
    <n v="7"/>
  </r>
  <r>
    <s v="ID1428"/>
    <n v="75000"/>
    <s v="USD"/>
    <n v="75000"/>
    <n v="75000"/>
    <n v="75000"/>
    <s v="HR Cordinator"/>
    <s v="Manager"/>
    <x v="8"/>
    <s v="1 or 2 hours a day"/>
    <n v="9"/>
  </r>
  <r>
    <s v="ID1444"/>
    <n v="75000"/>
    <s v="USD"/>
    <n v="75000"/>
    <n v="75000"/>
    <n v="75000"/>
    <s v="Business Analyst"/>
    <s v="Analyst"/>
    <x v="8"/>
    <s v="2 to 3 hours per day"/>
    <n v="1.5"/>
  </r>
  <r>
    <s v="ID1520"/>
    <n v="75000"/>
    <s v="USD"/>
    <n v="75000"/>
    <n v="75000"/>
    <n v="75000"/>
    <s v="Financial Analyst"/>
    <s v="Analyst"/>
    <x v="8"/>
    <s v="All the 8 hours baby, all the 8!"/>
    <n v="1.5"/>
  </r>
  <r>
    <s v="ID1594"/>
    <n v="75000"/>
    <s v="USD"/>
    <n v="75000"/>
    <n v="75000"/>
    <n v="75000"/>
    <s v="Consultant"/>
    <s v="Consultant"/>
    <x v="15"/>
    <s v="2 to 3 hours per day"/>
    <n v="9"/>
  </r>
  <r>
    <s v="ID1675"/>
    <n v="75000"/>
    <s v="USD"/>
    <n v="75000"/>
    <n v="75000"/>
    <n v="75000"/>
    <s v="Accountant"/>
    <s v="Accountant"/>
    <x v="8"/>
    <s v="4 to 6 hours a day"/>
    <n v="10"/>
  </r>
  <r>
    <s v="ID1697"/>
    <n v="75000"/>
    <s v="USD"/>
    <n v="75000"/>
    <n v="75000"/>
    <n v="75000"/>
    <s v="Directer of Sales Support"/>
    <s v="CXO or Top Mgmt."/>
    <x v="8"/>
    <s v="2 to 3 hours per day"/>
    <n v="3"/>
  </r>
  <r>
    <s v="ID1743"/>
    <n v="75000"/>
    <s v="USD"/>
    <n v="75000"/>
    <n v="75000"/>
    <n v="75000"/>
    <s v="Senior Financial Analyst"/>
    <s v="Analyst"/>
    <x v="8"/>
    <s v="All the 8 hours baby, all the 8!"/>
    <n v="5"/>
  </r>
  <r>
    <s v="ID1749"/>
    <n v="75000"/>
    <s v="USD"/>
    <n v="75000"/>
    <n v="75000"/>
    <n v="75000"/>
    <s v="actuary"/>
    <s v="Accountant"/>
    <x v="8"/>
    <s v="All the 8 hours baby, all the 8!"/>
    <n v="1"/>
  </r>
  <r>
    <s v="ID1915"/>
    <n v="75000"/>
    <s v="USD"/>
    <n v="75000"/>
    <n v="75000"/>
    <n v="75000"/>
    <s v="Data Analyst"/>
    <s v="Analyst"/>
    <x v="8"/>
    <s v="1 or 2 hours a day"/>
    <n v="3"/>
  </r>
  <r>
    <s v="ID1788"/>
    <n v="74461"/>
    <s v="USD"/>
    <n v="74461"/>
    <n v="74461"/>
    <n v="74461"/>
    <s v="Scientist III"/>
    <s v="Misc."/>
    <x v="8"/>
    <s v="1 or 2 hours a day"/>
    <n v="9"/>
  </r>
  <r>
    <s v="ID1511"/>
    <n v="74300"/>
    <s v="USD"/>
    <n v="74300"/>
    <n v="74300"/>
    <n v="74300"/>
    <s v="Senior Business Research Analyst"/>
    <s v="Analyst"/>
    <x v="8"/>
    <s v="4 to 6 hours a day"/>
    <n v="3"/>
  </r>
  <r>
    <s v="ID0100"/>
    <n v="74000"/>
    <s v="USD"/>
    <n v="74000"/>
    <n v="74000"/>
    <n v="74000"/>
    <s v="Senior Consultant"/>
    <s v="Consultant"/>
    <x v="8"/>
    <s v="4 to 6 hours a day"/>
    <s v="Data Not Avaliable"/>
  </r>
  <r>
    <s v="ID0449"/>
    <n v="74000"/>
    <s v="USD"/>
    <n v="74000"/>
    <n v="74000"/>
    <n v="74000"/>
    <s v="Engineer"/>
    <s v="Engineer"/>
    <x v="8"/>
    <s v="4 to 6 hours a day"/>
    <s v="Data Not Avaliable"/>
  </r>
  <r>
    <s v="ID1218"/>
    <n v="74000"/>
    <s v="USD"/>
    <n v="74000"/>
    <n v="74000"/>
    <n v="74000"/>
    <s v="marketing specialist"/>
    <s v="Specialist"/>
    <x v="8"/>
    <s v="4 to 6 hours a day"/>
    <n v="10"/>
  </r>
  <r>
    <s v="ID0932"/>
    <n v="50000"/>
    <s v="GBP"/>
    <n v="78808.913603364199"/>
    <n v="73698.560249021364"/>
    <n v="73698.560249021364"/>
    <s v="Finance Analyst"/>
    <s v="Analyst"/>
    <x v="9"/>
    <s v="All the 8 hours baby, all the 8!"/>
    <n v="10"/>
  </r>
  <r>
    <s v="ID1076"/>
    <n v="50000"/>
    <s v="GBP"/>
    <n v="78808.913603364199"/>
    <n v="73698.560249021364"/>
    <n v="73698.560249021364"/>
    <s v="Production manager"/>
    <s v="Manager"/>
    <x v="9"/>
    <s v="2 to 3 hours per day"/>
    <n v="12"/>
  </r>
  <r>
    <s v="ID1695"/>
    <n v="50000"/>
    <s v="GBP"/>
    <n v="78808.913603364199"/>
    <n v="73698.560249021364"/>
    <n v="73698.560249021364"/>
    <s v="Commercial Director"/>
    <s v="CXO or Top Mgmt."/>
    <x v="9"/>
    <s v="4 to 6 hours a day"/>
    <n v="10"/>
  </r>
  <r>
    <s v="ID1733"/>
    <n v="50000"/>
    <s v="GBP"/>
    <n v="78808.913603364199"/>
    <n v="73698.560249021364"/>
    <n v="73698.560249021364"/>
    <s v="Research Analyst"/>
    <s v="Analyst"/>
    <x v="9"/>
    <s v="2 to 3 hours per day"/>
    <n v="2"/>
  </r>
  <r>
    <s v="ID1838"/>
    <n v="50000"/>
    <s v="GBP"/>
    <n v="78808.913603364199"/>
    <n v="73698.560249021364"/>
    <n v="73698.560249021364"/>
    <s v="Assistant Financial Accountant"/>
    <s v="Accountant"/>
    <x v="9"/>
    <s v="2 to 3 hours per day"/>
    <n v="10"/>
  </r>
  <r>
    <s v="ID1395"/>
    <n v="73500"/>
    <s v="USD"/>
    <n v="73500"/>
    <n v="73500"/>
    <n v="73500"/>
    <s v="Senior Underwriting Analyst"/>
    <s v="Analyst"/>
    <x v="8"/>
    <s v="All the 8 hours baby, all the 8!"/>
    <n v="6"/>
  </r>
  <r>
    <s v="ID0241"/>
    <n v="73000"/>
    <s v="USD"/>
    <n v="73000"/>
    <n v="73000"/>
    <n v="73000"/>
    <s v="Financial Analyst"/>
    <s v="Analyst"/>
    <x v="8"/>
    <s v="4 to 6 hours a day"/>
    <s v="Data Not Avaliable"/>
  </r>
  <r>
    <s v="ID0263"/>
    <n v="73000"/>
    <s v="USD"/>
    <n v="73000"/>
    <n v="73000"/>
    <n v="73000"/>
    <s v="Sr. Global marketing Specialist"/>
    <s v="Specialist"/>
    <x v="8"/>
    <s v="4 to 6 hours a day"/>
    <s v="Data Not Avaliable"/>
  </r>
  <r>
    <s v="ID1707"/>
    <n v="73000"/>
    <s v="USD"/>
    <n v="73000"/>
    <n v="73000"/>
    <n v="73000"/>
    <s v="process coordinator"/>
    <s v="Manager"/>
    <x v="8"/>
    <s v="2 to 3 hours per day"/>
    <n v="6"/>
  </r>
  <r>
    <s v="ID0187"/>
    <n v="92000"/>
    <s v="CAD"/>
    <n v="90469.260118790073"/>
    <n v="72721.050694615711"/>
    <n v="72721.050694615711"/>
    <s v="Consultant - Retail Mkts"/>
    <s v="Consultant"/>
    <x v="6"/>
    <s v="All the 8 hours baby, all the 8!"/>
    <s v="Data Not Avaliable"/>
  </r>
  <r>
    <s v="ID0743"/>
    <n v="66000"/>
    <s v="EUR"/>
    <n v="83846.362973446114"/>
    <n v="72643.090474683442"/>
    <n v="72643.090474683442"/>
    <s v="Logistics Analyst"/>
    <s v="Analyst"/>
    <x v="15"/>
    <s v="4 to 6 hours a day"/>
    <n v="7"/>
  </r>
  <r>
    <s v="ID0523"/>
    <n v="72600"/>
    <s v="USD"/>
    <n v="72600"/>
    <n v="72600"/>
    <n v="72600"/>
    <s v="Accounting Operations Manager"/>
    <s v="Manager"/>
    <x v="8"/>
    <s v="2 to 3 hours per day"/>
    <s v="Data Not Avaliable"/>
  </r>
  <r>
    <s v="ID0223"/>
    <n v="72500"/>
    <s v="USD"/>
    <n v="72500"/>
    <n v="72500"/>
    <n v="72500"/>
    <s v="Assistant Controller"/>
    <s v="Controller"/>
    <x v="8"/>
    <s v="4 to 6 hours a day"/>
    <s v="Data Not Avaliable"/>
  </r>
  <r>
    <s v="ID0356"/>
    <n v="72500"/>
    <s v="USD"/>
    <n v="72500"/>
    <n v="72500"/>
    <n v="72500"/>
    <s v="Transportation Engineer"/>
    <s v="Engineer"/>
    <x v="8"/>
    <s v="2 to 3 hours per day"/>
    <s v="Data Not Avaliable"/>
  </r>
  <r>
    <s v="ID0421"/>
    <n v="72000"/>
    <s v="USD"/>
    <n v="72000"/>
    <n v="72000"/>
    <n v="72000"/>
    <s v="IS Director"/>
    <s v="CXO or Top Mgmt."/>
    <x v="8"/>
    <s v="4 to 6 hours a day"/>
    <s v="Data Not Avaliable"/>
  </r>
  <r>
    <s v="ID0438"/>
    <n v="72000"/>
    <s v="USD"/>
    <n v="72000"/>
    <n v="72000"/>
    <n v="72000"/>
    <s v="Sr. Information Systems Analyst"/>
    <s v="Analyst"/>
    <x v="8"/>
    <s v="2 to 3 hours per day"/>
    <s v="Data Not Avaliable"/>
  </r>
  <r>
    <s v="ID0533"/>
    <n v="72000"/>
    <s v="USD"/>
    <n v="72000"/>
    <n v="72000"/>
    <n v="72000"/>
    <s v="Analytical Department Director "/>
    <s v="Analyst"/>
    <x v="30"/>
    <s v="2 to 3 hours per day"/>
    <s v="Data Not Avaliable"/>
  </r>
  <r>
    <s v="ID1249"/>
    <n v="72000"/>
    <s v="USD"/>
    <n v="72000"/>
    <n v="72000"/>
    <n v="72000"/>
    <s v="Markets Adviser"/>
    <s v="Consultant"/>
    <x v="21"/>
    <s v="2 to 3 hours per day"/>
    <n v="10"/>
  </r>
  <r>
    <s v="ID1424"/>
    <n v="72000"/>
    <s v="USD"/>
    <n v="72000"/>
    <n v="72000"/>
    <n v="72000"/>
    <s v="Manager"/>
    <s v="Manager"/>
    <x v="8"/>
    <s v="1 or 2 hours a day"/>
    <n v="20"/>
  </r>
  <r>
    <s v="ID1432"/>
    <n v="72000"/>
    <s v="USD"/>
    <n v="72000"/>
    <n v="72000"/>
    <n v="72000"/>
    <s v="sr. senior analyst"/>
    <s v="Analyst"/>
    <x v="8"/>
    <s v="All the 8 hours baby, all the 8!"/>
    <n v="10"/>
  </r>
  <r>
    <s v="ID1769"/>
    <n v="72000"/>
    <s v="USD"/>
    <n v="72000"/>
    <n v="72000"/>
    <n v="72000"/>
    <s v="Consultant"/>
    <s v="Consultant"/>
    <x v="8"/>
    <s v="2 to 3 hours per day"/>
    <n v="13"/>
  </r>
  <r>
    <s v="ID1869"/>
    <n v="72000"/>
    <s v="USD"/>
    <n v="72000"/>
    <n v="72000"/>
    <n v="72000"/>
    <s v="HR Supervisor"/>
    <s v="Manager"/>
    <x v="8"/>
    <s v="4 to 6 hours a day"/>
    <n v="10"/>
  </r>
  <r>
    <s v="ID0305"/>
    <n v="65000"/>
    <s v="EUR"/>
    <n v="82575.963534454509"/>
    <n v="71542.437588703397"/>
    <n v="71542.437588703397"/>
    <s v="controller"/>
    <s v="Controller"/>
    <x v="15"/>
    <s v="All the 8 hours baby, all the 8!"/>
    <s v="Data Not Avaliable"/>
  </r>
  <r>
    <s v="ID1561"/>
    <n v="71500"/>
    <s v="USD"/>
    <n v="71500"/>
    <n v="71500"/>
    <n v="71500"/>
    <s v="Management Reporting Analyst"/>
    <s v="Analyst"/>
    <x v="8"/>
    <s v="4 to 6 hours a day"/>
    <n v="5"/>
  </r>
  <r>
    <s v="ID1765"/>
    <n v="71500"/>
    <s v="USD"/>
    <n v="71500"/>
    <n v="71500"/>
    <n v="71500"/>
    <s v="Pricing Manager"/>
    <s v="Manager"/>
    <x v="8"/>
    <s v="All the 8 hours baby, all the 8!"/>
    <n v="11"/>
  </r>
  <r>
    <s v="ID1544"/>
    <n v="48360"/>
    <s v="GBP"/>
    <n v="76223.981237173866"/>
    <n v="71281.247472853473"/>
    <n v="71281.247472853473"/>
    <s v="pricing manager"/>
    <s v="Manager"/>
    <x v="9"/>
    <s v="All the 8 hours baby, all the 8!"/>
    <n v="8"/>
  </r>
  <r>
    <s v="ID0171"/>
    <n v="90000"/>
    <s v="CAD"/>
    <n v="88502.537072729421"/>
    <n v="71140.158288211023"/>
    <n v="71140.158288211023"/>
    <s v="Senior Actuarial Analyst"/>
    <s v="Analyst"/>
    <x v="6"/>
    <s v="4 to 6 hours a day"/>
    <s v="Data Not Avaliable"/>
  </r>
  <r>
    <s v="ID0286"/>
    <n v="1500000"/>
    <s v="INR"/>
    <n v="26711.875031163851"/>
    <n v="71041.533523047678"/>
    <n v="71041.533523047678"/>
    <s v="Consultant"/>
    <s v="Consultant"/>
    <x v="7"/>
    <s v="All the 8 hours baby, all the 8!"/>
    <s v="Data Not Avaliable"/>
  </r>
  <r>
    <s v="ID1304"/>
    <n v="1500000"/>
    <s v="INR"/>
    <n v="26711.875031163851"/>
    <n v="71041.533523047678"/>
    <n v="71041.533523047678"/>
    <s v="Analyst"/>
    <s v="Analyst"/>
    <x v="7"/>
    <s v="4 to 6 hours a day"/>
    <n v="7"/>
  </r>
  <r>
    <s v="ID1512"/>
    <n v="1500000"/>
    <s v="INR"/>
    <n v="26711.875031163851"/>
    <n v="71041.533523047678"/>
    <n v="71041.533523047678"/>
    <s v="Senior Consultant - PMO"/>
    <s v="Consultant"/>
    <x v="7"/>
    <s v="4 to 6 hours a day"/>
    <n v="10"/>
  </r>
  <r>
    <s v="ID0135"/>
    <n v="71000"/>
    <s v="USD"/>
    <n v="71000"/>
    <n v="71000"/>
    <n v="71000"/>
    <s v="Market Research Analyst"/>
    <s v="Analyst"/>
    <x v="8"/>
    <s v="4 to 6 hours a day"/>
    <s v="Data Not Avaliable"/>
  </r>
  <r>
    <s v="ID1554"/>
    <n v="70970"/>
    <s v="USD"/>
    <n v="70970"/>
    <n v="70970"/>
    <n v="70970"/>
    <s v="Sr. Risk Analyst"/>
    <s v="Analyst"/>
    <x v="8"/>
    <s v="4 to 6 hours a day"/>
    <n v="17"/>
  </r>
  <r>
    <s v="ID1098"/>
    <n v="48000"/>
    <s v="GBP"/>
    <n v="75656.557059229643"/>
    <n v="70750.61783906052"/>
    <n v="70750.61783906052"/>
    <s v="Business Operations Co-ordinator"/>
    <s v="Manager"/>
    <x v="9"/>
    <s v="2 to 3 hours per day"/>
    <n v="10"/>
  </r>
  <r>
    <s v="ID0122"/>
    <n v="70000"/>
    <s v="USD"/>
    <n v="70000"/>
    <n v="70000"/>
    <n v="70000"/>
    <s v="Sr. Acct"/>
    <s v="Accountant"/>
    <x v="8"/>
    <s v="All the 8 hours baby, all the 8!"/>
    <s v="Data Not Avaliable"/>
  </r>
  <r>
    <s v="ID0183"/>
    <n v="70000"/>
    <s v="USD"/>
    <n v="70000"/>
    <n v="70000"/>
    <n v="70000"/>
    <s v="Project Speciast"/>
    <s v="Manager"/>
    <x v="8"/>
    <s v="4 to 6 hours a day"/>
    <s v="Data Not Avaliable"/>
  </r>
  <r>
    <s v="ID0196"/>
    <n v="70000"/>
    <s v="USD"/>
    <n v="70000"/>
    <n v="70000"/>
    <n v="70000"/>
    <s v="Sr Financial Analyst"/>
    <s v="Analyst"/>
    <x v="8"/>
    <s v="4 to 6 hours a day"/>
    <s v="Data Not Avaliable"/>
  </r>
  <r>
    <s v="ID0245"/>
    <n v="70000"/>
    <s v="USD"/>
    <n v="70000"/>
    <n v="70000"/>
    <n v="70000"/>
    <s v="Manager Pricing"/>
    <s v="Manager"/>
    <x v="8"/>
    <s v="2 to 3 hours per day"/>
    <s v="Data Not Avaliable"/>
  </r>
  <r>
    <s v="ID0283"/>
    <n v="70000"/>
    <s v="USD"/>
    <n v="70000"/>
    <n v="70000"/>
    <n v="70000"/>
    <s v="Engineering Tech Sr."/>
    <s v="Engineer"/>
    <x v="8"/>
    <s v="All the 8 hours baby, all the 8!"/>
    <s v="Data Not Avaliable"/>
  </r>
  <r>
    <s v="ID0317"/>
    <n v="70000"/>
    <s v="USD"/>
    <n v="70000"/>
    <n v="70000"/>
    <n v="70000"/>
    <s v="Analyst"/>
    <s v="Analyst"/>
    <x v="8"/>
    <s v="2 to 3 hours per day"/>
    <s v="Data Not Avaliable"/>
  </r>
  <r>
    <s v="ID0396"/>
    <n v="70000"/>
    <s v="USD"/>
    <n v="70000"/>
    <n v="70000"/>
    <n v="70000"/>
    <s v="Management Ananlyst"/>
    <s v="Manager"/>
    <x v="8"/>
    <s v="4 to 6 hours a day"/>
    <s v="Data Not Avaliable"/>
  </r>
  <r>
    <s v="ID0472"/>
    <n v="70000"/>
    <s v="USD"/>
    <n v="70000"/>
    <n v="70000"/>
    <n v="70000"/>
    <s v="Analyst"/>
    <s v="Analyst"/>
    <x v="8"/>
    <s v="4 to 6 hours a day"/>
    <s v="Data Not Avaliable"/>
  </r>
  <r>
    <s v="ID0520"/>
    <n v="70000"/>
    <s v="USD"/>
    <n v="70000"/>
    <n v="70000"/>
    <n v="70000"/>
    <s v="Metrics Analyst"/>
    <s v="Analyst"/>
    <x v="8"/>
    <s v="All the 8 hours baby, all the 8!"/>
    <s v="Data Not Avaliable"/>
  </r>
  <r>
    <s v="ID0587"/>
    <n v="70000"/>
    <s v="USD"/>
    <n v="70000"/>
    <n v="70000"/>
    <n v="70000"/>
    <s v="Financial Analyst"/>
    <s v="Analyst"/>
    <x v="8"/>
    <s v="4 to 6 hours a day"/>
    <n v="3"/>
  </r>
  <r>
    <s v="ID0606"/>
    <n v="70000"/>
    <s v="USD"/>
    <n v="70000"/>
    <n v="70000"/>
    <n v="70000"/>
    <s v="Program/Mgt Analyst"/>
    <s v="Analyst"/>
    <x v="8"/>
    <s v="2 to 3 hours per day"/>
    <n v="18"/>
  </r>
  <r>
    <s v="ID0874"/>
    <n v="70000"/>
    <s v="USD"/>
    <n v="70000"/>
    <n v="70000"/>
    <n v="70000"/>
    <s v="Financial Analyst"/>
    <s v="Analyst"/>
    <x v="8"/>
    <s v="All the 8 hours baby, all the 8!"/>
    <n v="15"/>
  </r>
  <r>
    <s v="ID0945"/>
    <n v="70000"/>
    <s v="USD"/>
    <n v="70000"/>
    <n v="70000"/>
    <n v="70000"/>
    <s v="Client Manager"/>
    <s v="Manager"/>
    <x v="8"/>
    <s v="4 to 6 hours a day"/>
    <n v="4"/>
  </r>
  <r>
    <s v="ID1258"/>
    <n v="70000"/>
    <s v="USD"/>
    <n v="70000"/>
    <n v="70000"/>
    <n v="70000"/>
    <s v="Develope"/>
    <s v="Analyst"/>
    <x v="8"/>
    <s v="1 or 2 hours a day"/>
    <n v="6"/>
  </r>
  <r>
    <s v="ID1275"/>
    <n v="70000"/>
    <s v="USD"/>
    <n v="70000"/>
    <n v="70000"/>
    <n v="70000"/>
    <s v="Project Manager"/>
    <s v="Manager"/>
    <x v="8"/>
    <s v="4 to 6 hours a day"/>
    <n v="8"/>
  </r>
  <r>
    <s v="ID1654"/>
    <n v="70000"/>
    <s v="USD"/>
    <n v="70000"/>
    <n v="70000"/>
    <n v="70000"/>
    <s v="Sr financial analyst"/>
    <s v="Analyst"/>
    <x v="8"/>
    <s v="4 to 6 hours a day"/>
    <n v="9"/>
  </r>
  <r>
    <s v="ID1824"/>
    <n v="70000"/>
    <s v="USD"/>
    <n v="70000"/>
    <n v="70000"/>
    <n v="70000"/>
    <s v="business analyst"/>
    <s v="Analyst"/>
    <x v="8"/>
    <s v="2 to 3 hours per day"/>
    <n v="5"/>
  </r>
  <r>
    <s v="ID1932"/>
    <n v="70000"/>
    <s v="USD"/>
    <n v="70000"/>
    <n v="70000"/>
    <n v="70000"/>
    <s v="Administrative Coordinator"/>
    <s v="Analyst"/>
    <x v="8"/>
    <s v="4 to 6 hours a day"/>
    <n v="10"/>
  </r>
  <r>
    <s v="ID1386"/>
    <n v="69960"/>
    <s v="USD"/>
    <n v="69960"/>
    <n v="69960"/>
    <n v="69960"/>
    <s v="Measurement &amp; Verification Engineer"/>
    <s v="Engineer"/>
    <x v="8"/>
    <s v="2 to 3 hours per day"/>
    <n v="22"/>
  </r>
  <r>
    <s v="ID0944"/>
    <n v="63200"/>
    <s v="EUR"/>
    <n v="80289.244544269619"/>
    <n v="69561.262393939309"/>
    <n v="69561.262393939309"/>
    <s v="Consultant"/>
    <s v="Consultant"/>
    <x v="43"/>
    <s v="4 to 6 hours a day"/>
    <n v="3"/>
  </r>
  <r>
    <s v="ID0522"/>
    <n v="87550"/>
    <s v="CAD"/>
    <n v="86093.301341305123"/>
    <n v="69203.565090365286"/>
    <n v="69203.565090365286"/>
    <s v="Manager"/>
    <s v="Manager"/>
    <x v="6"/>
    <s v="4 to 6 hours a day"/>
    <s v="Data Not Avaliable"/>
  </r>
  <r>
    <s v="ID0038"/>
    <n v="69000"/>
    <s v="USD"/>
    <n v="69000"/>
    <n v="69000"/>
    <n v="69000"/>
    <s v="Design Engineer"/>
    <s v="Engineer"/>
    <x v="8"/>
    <s v="4 to 6 hours a day"/>
    <s v="Data Not Avaliable"/>
  </r>
  <r>
    <s v="ID0149"/>
    <n v="69000"/>
    <s v="USD"/>
    <n v="69000"/>
    <n v="69000"/>
    <n v="69000"/>
    <s v="Business Technical Consultant"/>
    <s v="Consultant"/>
    <x v="8"/>
    <s v="4 to 6 hours a day"/>
    <s v="Data Not Avaliable"/>
  </r>
  <r>
    <s v="ID1159"/>
    <n v="69000"/>
    <s v="USD"/>
    <n v="69000"/>
    <n v="69000"/>
    <n v="69000"/>
    <s v="Financial Analysist"/>
    <s v="Analyst"/>
    <x v="8"/>
    <s v="2 to 3 hours per day"/>
    <n v="20"/>
  </r>
  <r>
    <s v="ID1271"/>
    <n v="69000"/>
    <s v="USD"/>
    <n v="69000"/>
    <n v="69000"/>
    <n v="69000"/>
    <s v="master scheduler"/>
    <s v="Controller"/>
    <x v="8"/>
    <s v="4 to 6 hours a day"/>
    <n v="20"/>
  </r>
  <r>
    <s v="ID1746"/>
    <n v="69000"/>
    <s v="USD"/>
    <n v="69000"/>
    <n v="69000"/>
    <n v="69000"/>
    <s v="Business Analyst II"/>
    <s v="Analyst"/>
    <x v="8"/>
    <s v="All the 8 hours baby, all the 8!"/>
    <n v="15"/>
  </r>
  <r>
    <s v="ID0983"/>
    <n v="110000"/>
    <s v="AUD"/>
    <n v="112190.06220428993"/>
    <n v="68938.546401847212"/>
    <n v="68938.546401847212"/>
    <s v="Sustainability Strategy Advisor"/>
    <s v="Manager"/>
    <x v="19"/>
    <s v="2 to 3 hours per day"/>
    <n v="8"/>
  </r>
  <r>
    <s v="ID1264"/>
    <n v="110000"/>
    <s v="AUD"/>
    <n v="112190.06220428993"/>
    <n v="68938.546401847212"/>
    <n v="68938.546401847212"/>
    <s v="Analyst"/>
    <s v="Analyst"/>
    <x v="19"/>
    <s v="2 to 3 hours per day"/>
    <n v="7"/>
  </r>
  <r>
    <s v="ID0468"/>
    <n v="87000"/>
    <s v="CAD"/>
    <n v="85552.452503638444"/>
    <n v="68768.819678603992"/>
    <n v="68768.819678603992"/>
    <s v="Business Manager"/>
    <s v="Manager"/>
    <x v="6"/>
    <s v="4 to 6 hours a day"/>
    <s v="Data Not Avaliable"/>
  </r>
  <r>
    <s v="ID1236"/>
    <n v="62000"/>
    <s v="EUR"/>
    <n v="78764.765217479682"/>
    <n v="68240.478930763231"/>
    <n v="68240.478930763231"/>
    <s v="Stafmember"/>
    <s v="Analyst"/>
    <x v="11"/>
    <s v="4 to 6 hours a day"/>
    <n v="15"/>
  </r>
  <r>
    <s v="ID1370"/>
    <n v="62000"/>
    <s v="EUR"/>
    <n v="78764.765217479682"/>
    <n v="68240.478930763231"/>
    <n v="68240.478930763231"/>
    <s v="Controller"/>
    <s v="Controller"/>
    <x v="11"/>
    <s v="4 to 6 hours a day"/>
    <n v="15"/>
  </r>
  <r>
    <s v="ID1415"/>
    <n v="216000"/>
    <s v="SAR"/>
    <n v="57600"/>
    <n v="68086.761138860267"/>
    <n v="68086.761138860267"/>
    <s v="Senior Electrical Engineer"/>
    <s v="Engineer"/>
    <x v="25"/>
    <s v="4 to 6 hours a day"/>
    <n v="20"/>
  </r>
  <r>
    <s v="ID0061"/>
    <n v="68000"/>
    <s v="USD"/>
    <n v="68000"/>
    <n v="68000"/>
    <n v="68000"/>
    <s v="Engineering Data Analyst"/>
    <s v="Analyst"/>
    <x v="8"/>
    <s v="All the 8 hours baby, all the 8!"/>
    <s v="Data Not Avaliable"/>
  </r>
  <r>
    <s v="ID0289"/>
    <n v="68000"/>
    <s v="USD"/>
    <n v="68000"/>
    <n v="68000"/>
    <n v="68000"/>
    <s v="management accountant"/>
    <s v="Manager"/>
    <x v="8"/>
    <s v="All the 8 hours baby, all the 8!"/>
    <s v="Data Not Avaliable"/>
  </r>
  <r>
    <s v="ID0359"/>
    <n v="68000"/>
    <s v="USD"/>
    <n v="68000"/>
    <n v="68000"/>
    <n v="68000"/>
    <s v="Project Manager"/>
    <s v="Manager"/>
    <x v="8"/>
    <s v="2 to 3 hours per day"/>
    <s v="Data Not Avaliable"/>
  </r>
  <r>
    <s v="ID1619"/>
    <n v="68000"/>
    <s v="USD"/>
    <n v="68000"/>
    <n v="68000"/>
    <n v="68000"/>
    <s v="Supply Chain Analyst"/>
    <s v="Analyst"/>
    <x v="8"/>
    <s v="4 to 6 hours a day"/>
    <n v="12"/>
  </r>
  <r>
    <s v="ID1742"/>
    <n v="68000"/>
    <s v="USD"/>
    <n v="68000"/>
    <n v="68000"/>
    <n v="68000"/>
    <s v="Tax Associate"/>
    <s v="Analyst"/>
    <x v="8"/>
    <s v="4 to 6 hours a day"/>
    <n v="2.5"/>
  </r>
  <r>
    <s v="ID0987"/>
    <n v="107000"/>
    <s v="AUD"/>
    <n v="109130.33323508203"/>
    <n v="67058.404227251376"/>
    <n v="67058.404227251376"/>
    <s v="Management Accountant"/>
    <s v="Manager"/>
    <x v="19"/>
    <s v="4 to 6 hours a day"/>
    <n v="35"/>
  </r>
  <r>
    <s v="ID0116"/>
    <n v="67000"/>
    <s v="USD"/>
    <n v="67000"/>
    <n v="67000"/>
    <n v="67000"/>
    <s v="Operations Cost Analyst"/>
    <s v="Analyst"/>
    <x v="8"/>
    <s v="4 to 6 hours a day"/>
    <s v="Data Not Avaliable"/>
  </r>
  <r>
    <s v="ID0174"/>
    <n v="67000"/>
    <s v="USD"/>
    <n v="67000"/>
    <n v="67000"/>
    <n v="67000"/>
    <s v="B.I. Data Analyst II"/>
    <s v="Analyst"/>
    <x v="8"/>
    <s v="4 to 6 hours a day"/>
    <s v="Data Not Avaliable"/>
  </r>
  <r>
    <s v="ID0195"/>
    <n v="67000"/>
    <s v="USD"/>
    <n v="67000"/>
    <n v="67000"/>
    <n v="67000"/>
    <s v="Financial Analyst"/>
    <s v="Analyst"/>
    <x v="8"/>
    <s v="4 to 6 hours a day"/>
    <s v="Data Not Avaliable"/>
  </r>
  <r>
    <s v="ID0306"/>
    <n v="67000"/>
    <s v="USD"/>
    <n v="67000"/>
    <n v="67000"/>
    <n v="67000"/>
    <s v="HR Analyst"/>
    <s v="Analyst"/>
    <x v="8"/>
    <s v="4 to 6 hours a day"/>
    <s v="Data Not Avaliable"/>
  </r>
  <r>
    <s v="ID0552"/>
    <n v="67000"/>
    <s v="USD"/>
    <n v="67000"/>
    <n v="67000"/>
    <n v="67000"/>
    <s v="Management Analyst"/>
    <s v="Analyst"/>
    <x v="8"/>
    <s v="4 to 6 hours a day"/>
    <s v="Data Not Avaliable"/>
  </r>
  <r>
    <s v="ID1449"/>
    <n v="67000"/>
    <s v="USD"/>
    <n v="67000"/>
    <n v="67000"/>
    <n v="67000"/>
    <s v="accounting systems manager "/>
    <s v="Manager"/>
    <x v="8"/>
    <s v="2 to 3 hours per day"/>
    <n v="20"/>
  </r>
  <r>
    <s v="ID1762"/>
    <n v="67000"/>
    <s v="USD"/>
    <n v="67000"/>
    <n v="67000"/>
    <n v="67000"/>
    <s v="Manager"/>
    <s v="Manager"/>
    <x v="8"/>
    <s v="4 to 6 hours a day"/>
    <n v="16"/>
  </r>
  <r>
    <s v="ID1766"/>
    <n v="67000"/>
    <s v="USD"/>
    <n v="67000"/>
    <n v="67000"/>
    <n v="67000"/>
    <s v="Manager"/>
    <s v="Manager"/>
    <x v="8"/>
    <s v="Excel ?!? What Excel?"/>
    <n v="6"/>
  </r>
  <r>
    <s v="ID1871"/>
    <n v="67000"/>
    <s v="USD"/>
    <n v="67000"/>
    <n v="67000"/>
    <n v="67000"/>
    <s v="Sales Compensation Analyst"/>
    <s v="Analyst"/>
    <x v="8"/>
    <s v="4 to 6 hours a day"/>
    <n v="6"/>
  </r>
  <r>
    <s v="ID1122"/>
    <n v="45200"/>
    <s v="GBP"/>
    <n v="71243.257897441246"/>
    <n v="66623.498465115321"/>
    <n v="66623.498465115321"/>
    <s v="Clinical audit manager"/>
    <s v="Manager"/>
    <x v="9"/>
    <s v="2 to 3 hours per day"/>
    <n v="5"/>
  </r>
  <r>
    <s v="ID0157"/>
    <n v="66500"/>
    <s v="USD"/>
    <n v="66500"/>
    <n v="66500"/>
    <n v="66500"/>
    <s v="Sr Business Analyst"/>
    <s v="Analyst"/>
    <x v="8"/>
    <s v="All the 8 hours baby, all the 8!"/>
    <s v="Data Not Avaliable"/>
  </r>
  <r>
    <s v="ID0588"/>
    <n v="106000"/>
    <s v="AUD"/>
    <n v="108110.42357867939"/>
    <n v="66431.690169052759"/>
    <n v="66431.690169052759"/>
    <s v="Pricing and Strategy Specialist"/>
    <s v="Specialist"/>
    <x v="19"/>
    <s v="4 to 6 hours a day"/>
    <n v="16"/>
  </r>
  <r>
    <s v="ID0235"/>
    <n v="45000"/>
    <s v="GBP"/>
    <n v="70928.022243027779"/>
    <n v="66328.704224119225"/>
    <n v="66328.704224119225"/>
    <s v="Procurement manager"/>
    <s v="Manager"/>
    <x v="9"/>
    <s v="2 to 3 hours per day"/>
    <s v="Data Not Avaliable"/>
  </r>
  <r>
    <s v="ID1117"/>
    <n v="45000"/>
    <s v="GBP"/>
    <n v="70928.022243027779"/>
    <n v="66328.704224119225"/>
    <n v="66328.704224119225"/>
    <s v="Assistant Director - Performance Information"/>
    <s v="CXO or Top Mgmt."/>
    <x v="9"/>
    <s v="4 to 6 hours a day"/>
    <n v="8"/>
  </r>
  <r>
    <s v="ID1332"/>
    <n v="45000"/>
    <s v="GBP"/>
    <n v="70928.022243027779"/>
    <n v="66328.704224119225"/>
    <n v="66328.704224119225"/>
    <s v="Senior Consultant"/>
    <s v="Consultant"/>
    <x v="9"/>
    <s v="2 to 3 hours per day"/>
    <n v="4"/>
  </r>
  <r>
    <s v="ID1372"/>
    <n v="45000"/>
    <s v="GBP"/>
    <n v="70928.022243027779"/>
    <n v="66328.704224119225"/>
    <n v="66328.704224119225"/>
    <s v="Management Accountant"/>
    <s v="Manager"/>
    <x v="9"/>
    <s v="2 to 3 hours per day"/>
    <n v="15"/>
  </r>
  <r>
    <s v="ID1690"/>
    <n v="45000"/>
    <s v="GBP"/>
    <n v="70928.022243027779"/>
    <n v="66328.704224119225"/>
    <n v="66328.704224119225"/>
    <s v="Data Analyst"/>
    <s v="Analyst"/>
    <x v="9"/>
    <s v="All the 8 hours baby, all the 8!"/>
    <n v="5"/>
  </r>
  <r>
    <s v="ID1761"/>
    <n v="45000"/>
    <s v="GBP"/>
    <n v="70928.022243027779"/>
    <n v="66328.704224119225"/>
    <n v="66328.704224119225"/>
    <s v="bUSINESS aNALYST"/>
    <s v="Analyst"/>
    <x v="9"/>
    <s v="All the 8 hours baby, all the 8!"/>
    <n v="20"/>
  </r>
  <r>
    <s v="ID0313"/>
    <n v="1400000"/>
    <s v="INR"/>
    <n v="24931.083362419595"/>
    <n v="66305.431288177831"/>
    <n v="66305.431288177831"/>
    <s v="Marketing"/>
    <s v="Manager"/>
    <x v="7"/>
    <s v="1 or 2 hours a day"/>
    <s v="Data Not Avaliable"/>
  </r>
  <r>
    <s v="ID1861"/>
    <n v="1400000"/>
    <s v="INR"/>
    <n v="24931.083362419595"/>
    <n v="66305.431288177831"/>
    <n v="66305.431288177831"/>
    <s v="Manager - Controlling"/>
    <s v="Manager"/>
    <x v="7"/>
    <s v="4 to 6 hours a day"/>
    <n v="10"/>
  </r>
  <r>
    <s v="ID1684"/>
    <n v="110000"/>
    <s v="NZD"/>
    <n v="87734.690296543267"/>
    <n v="66237.249145235503"/>
    <n v="66237.249145235503"/>
    <s v="Enterprise Portfolio Manager"/>
    <s v="Manager"/>
    <x v="21"/>
    <s v="4 to 6 hours a day"/>
    <n v="6"/>
  </r>
  <r>
    <s v="ID1213"/>
    <n v="625000"/>
    <s v="DKK"/>
    <n v="106815.148267971"/>
    <n v="66218.481145868893"/>
    <n v="66218.481145868893"/>
    <s v="Manager Business Controlling"/>
    <s v="Manager"/>
    <x v="24"/>
    <s v="4 to 6 hours a day"/>
    <n v="25"/>
  </r>
  <r>
    <s v="ID1126"/>
    <n v="60000"/>
    <s v="EUR"/>
    <n v="76223.966339496474"/>
    <n v="66039.17315880314"/>
    <n v="66039.17315880314"/>
    <s v="Development Manager"/>
    <s v="Manager"/>
    <x v="41"/>
    <s v="1 or 2 hours a day"/>
    <n v="4"/>
  </r>
  <r>
    <s v="ID1485"/>
    <n v="60000"/>
    <s v="EUR"/>
    <n v="76223.966339496474"/>
    <n v="66039.17315880314"/>
    <n v="66039.17315880314"/>
    <s v="Sales Analyst"/>
    <s v="Analyst"/>
    <x v="44"/>
    <s v="All the 8 hours baby, all the 8!"/>
    <n v="14"/>
  </r>
  <r>
    <s v="ID1542"/>
    <n v="60000"/>
    <s v="EUR"/>
    <n v="76223.966339496474"/>
    <n v="66039.17315880314"/>
    <n v="66039.17315880314"/>
    <s v="Trade Marketing"/>
    <s v="Manager"/>
    <x v="11"/>
    <s v="2 to 3 hours per day"/>
    <n v="15"/>
  </r>
  <r>
    <s v="ID1555"/>
    <n v="60000"/>
    <s v="EUR"/>
    <n v="76223.966339496474"/>
    <n v="66039.17315880314"/>
    <n v="66039.17315880314"/>
    <s v="Business Engineer"/>
    <s v="Engineer"/>
    <x v="11"/>
    <s v="4 to 6 hours a day"/>
    <n v="7"/>
  </r>
  <r>
    <s v="ID1889"/>
    <n v="60000"/>
    <s v="EUR"/>
    <n v="76223.966339496474"/>
    <n v="66039.17315880314"/>
    <n v="66039.17315880314"/>
    <s v="pm"/>
    <s v="Manager"/>
    <x v="15"/>
    <s v="4 to 6 hours a day"/>
    <n v="6"/>
  </r>
  <r>
    <s v="ID1925"/>
    <n v="60000"/>
    <s v="EUR"/>
    <n v="76223.966339496474"/>
    <n v="66039.17315880314"/>
    <n v="66039.17315880314"/>
    <s v="Project Manager"/>
    <s v="Manager"/>
    <x v="12"/>
    <s v="2 to 3 hours per day"/>
    <n v="20"/>
  </r>
  <r>
    <s v="ID0108"/>
    <n v="66000"/>
    <s v="USD"/>
    <n v="66000"/>
    <n v="66000"/>
    <n v="66000"/>
    <s v="Analyst"/>
    <s v="Analyst"/>
    <x v="8"/>
    <s v="2 to 3 hours per day"/>
    <s v="Data Not Avaliable"/>
  </r>
  <r>
    <s v="ID1502"/>
    <n v="66000"/>
    <s v="USD"/>
    <n v="66000"/>
    <n v="66000"/>
    <n v="66000"/>
    <s v="Director of Business Analytics"/>
    <s v="Analyst"/>
    <x v="8"/>
    <s v="4 to 6 hours a day"/>
    <n v="2"/>
  </r>
  <r>
    <s v="ID0237"/>
    <n v="65250"/>
    <s v="USD"/>
    <n v="65250"/>
    <n v="65250"/>
    <n v="65250"/>
    <s v="Accountant"/>
    <s v="Accountant"/>
    <x v="8"/>
    <s v="4 to 6 hours a day"/>
    <s v="Data Not Avaliable"/>
  </r>
  <r>
    <s v="ID0128"/>
    <n v="65000"/>
    <s v="USD"/>
    <n v="65000"/>
    <n v="65000"/>
    <n v="65000"/>
    <s v="sr accountant"/>
    <s v="Accountant"/>
    <x v="8"/>
    <s v="All the 8 hours baby, all the 8!"/>
    <s v="Data Not Avaliable"/>
  </r>
  <r>
    <s v="ID0153"/>
    <n v="65000"/>
    <s v="USD"/>
    <n v="65000"/>
    <n v="65000"/>
    <n v="65000"/>
    <s v="Sr Accountant"/>
    <s v="Accountant"/>
    <x v="8"/>
    <s v="All the 8 hours baby, all the 8!"/>
    <s v="Data Not Avaliable"/>
  </r>
  <r>
    <s v="ID0231"/>
    <n v="65000"/>
    <s v="USD"/>
    <n v="65000"/>
    <n v="65000"/>
    <n v="65000"/>
    <s v="Sr. Strategic Development Specialist"/>
    <s v="Specialist"/>
    <x v="8"/>
    <s v="2 to 3 hours per day"/>
    <s v="Data Not Avaliable"/>
  </r>
  <r>
    <s v="ID0292"/>
    <n v="65000"/>
    <s v="USD"/>
    <n v="65000"/>
    <n v="65000"/>
    <n v="65000"/>
    <s v="Software Support"/>
    <s v="Analyst"/>
    <x v="8"/>
    <s v="4 to 6 hours a day"/>
    <s v="Data Not Avaliable"/>
  </r>
  <r>
    <s v="ID0327"/>
    <n v="65000"/>
    <s v="USD"/>
    <n v="65000"/>
    <n v="65000"/>
    <n v="65000"/>
    <s v="business analyst"/>
    <s v="Analyst"/>
    <x v="8"/>
    <s v="All the 8 hours baby, all the 8!"/>
    <s v="Data Not Avaliable"/>
  </r>
  <r>
    <s v="ID0439"/>
    <n v="65000"/>
    <s v="USD"/>
    <n v="65000"/>
    <n v="65000"/>
    <n v="65000"/>
    <s v="Senior Claims Analyst"/>
    <s v="Analyst"/>
    <x v="8"/>
    <s v="4 to 6 hours a day"/>
    <s v="Data Not Avaliable"/>
  </r>
  <r>
    <s v="ID0488"/>
    <n v="65000"/>
    <s v="USD"/>
    <n v="65000"/>
    <n v="65000"/>
    <n v="65000"/>
    <s v="Business Systems Analyst"/>
    <s v="Analyst"/>
    <x v="8"/>
    <s v="2 to 3 hours per day"/>
    <s v="Data Not Avaliable"/>
  </r>
  <r>
    <s v="ID0512"/>
    <n v="65000"/>
    <s v="USD"/>
    <n v="65000"/>
    <n v="65000"/>
    <n v="65000"/>
    <s v="Retail Store Manager"/>
    <s v="Manager"/>
    <x v="8"/>
    <s v="All the 8 hours baby, all the 8!"/>
    <s v="Data Not Avaliable"/>
  </r>
  <r>
    <s v="ID0591"/>
    <n v="65000"/>
    <s v="USD"/>
    <n v="65000"/>
    <n v="65000"/>
    <n v="65000"/>
    <s v="Data Analyst"/>
    <s v="Analyst"/>
    <x v="8"/>
    <s v="4 to 6 hours a day"/>
    <n v="3"/>
  </r>
  <r>
    <s v="ID0605"/>
    <n v="65000"/>
    <s v="USD"/>
    <n v="65000"/>
    <n v="65000"/>
    <n v="65000"/>
    <s v="Helicopter Mechanic"/>
    <s v="Analyst"/>
    <x v="8"/>
    <s v="2 to 3 hours per day"/>
    <n v="17"/>
  </r>
  <r>
    <s v="ID0791"/>
    <n v="65000"/>
    <s v="USD"/>
    <n v="65000"/>
    <n v="65000"/>
    <n v="65000"/>
    <s v="security analyst"/>
    <s v="Analyst"/>
    <x v="8"/>
    <s v="2 to 3 hours per day"/>
    <n v="10"/>
  </r>
  <r>
    <s v="ID0866"/>
    <n v="65000"/>
    <s v="USD"/>
    <n v="65000"/>
    <n v="65000"/>
    <n v="65000"/>
    <s v="Security Access Governance Analyst"/>
    <s v="Analyst"/>
    <x v="8"/>
    <s v="1 or 2 hours a day"/>
    <n v="8"/>
  </r>
  <r>
    <s v="ID1025"/>
    <n v="65000"/>
    <s v="USD"/>
    <n v="65000"/>
    <n v="65000"/>
    <n v="65000"/>
    <s v="Controller"/>
    <s v="Controller"/>
    <x v="8"/>
    <s v="4 to 6 hours a day"/>
    <n v="9"/>
  </r>
  <r>
    <s v="ID1402"/>
    <n v="65000"/>
    <s v="USD"/>
    <n v="65000"/>
    <n v="65000"/>
    <n v="65000"/>
    <s v="eeo analyst"/>
    <s v="Analyst"/>
    <x v="8"/>
    <s v="2 to 3 hours per day"/>
    <n v="10"/>
  </r>
  <r>
    <s v="ID1407"/>
    <n v="65000"/>
    <s v="USD"/>
    <n v="65000"/>
    <n v="65000"/>
    <n v="65000"/>
    <s v="Data Analyst"/>
    <s v="Analyst"/>
    <x v="8"/>
    <s v="All the 8 hours baby, all the 8!"/>
    <n v="14"/>
  </r>
  <r>
    <s v="ID1696"/>
    <n v="65000"/>
    <s v="USD"/>
    <n v="65000"/>
    <n v="65000"/>
    <n v="65000"/>
    <s v="Business Analyst"/>
    <s v="Analyst"/>
    <x v="8"/>
    <s v="4 to 6 hours a day"/>
    <n v="8"/>
  </r>
  <r>
    <s v="ID1706"/>
    <n v="65000"/>
    <s v="USD"/>
    <n v="65000"/>
    <n v="65000"/>
    <n v="65000"/>
    <s v="Actuarial Analyst"/>
    <s v="Analyst"/>
    <x v="8"/>
    <s v="All the 8 hours baby, all the 8!"/>
    <n v="4"/>
  </r>
  <r>
    <s v="ID1768"/>
    <n v="65000"/>
    <s v="USD"/>
    <n v="65000"/>
    <n v="65000"/>
    <n v="65000"/>
    <s v="Compliance Officer"/>
    <s v="Manager"/>
    <x v="8"/>
    <s v="4 to 6 hours a day"/>
    <n v="2"/>
  </r>
  <r>
    <s v="ID1802"/>
    <n v="65000"/>
    <s v="USD"/>
    <n v="65000"/>
    <n v="65000"/>
    <n v="65000"/>
    <s v="Sr Financial Systems Analyst"/>
    <s v="Analyst"/>
    <x v="8"/>
    <s v="4 to 6 hours a day"/>
    <n v="14"/>
  </r>
  <r>
    <s v="ID1803"/>
    <n v="65000"/>
    <s v="USD"/>
    <n v="65000"/>
    <n v="65000"/>
    <n v="65000"/>
    <s v="Data Analyst"/>
    <s v="Analyst"/>
    <x v="8"/>
    <s v="2 to 3 hours per day"/>
    <n v="10"/>
  </r>
  <r>
    <s v="ID1804"/>
    <n v="65000"/>
    <s v="USD"/>
    <n v="65000"/>
    <n v="65000"/>
    <n v="65000"/>
    <s v="Assistant Controller"/>
    <s v="Controller"/>
    <x v="8"/>
    <s v="2 to 3 hours per day"/>
    <n v="13"/>
  </r>
  <r>
    <s v="ID1104"/>
    <n v="43912"/>
    <s v="GBP"/>
    <n v="69213.140283018583"/>
    <n v="64725.023553100531"/>
    <n v="64725.023553100531"/>
    <s v="Senior Data Analyst"/>
    <s v="Analyst"/>
    <x v="9"/>
    <s v="All the 8 hours baby, all the 8!"/>
    <n v="3"/>
  </r>
  <r>
    <s v="ID1414"/>
    <n v="64500"/>
    <s v="USD"/>
    <n v="64500"/>
    <n v="64500"/>
    <n v="64500"/>
    <s v="Lead Budget/Financial Analyst"/>
    <s v="Analyst"/>
    <x v="8"/>
    <s v="4 to 6 hours a day"/>
    <n v="13"/>
  </r>
  <r>
    <s v="ID1515"/>
    <n v="64300"/>
    <s v="USD"/>
    <n v="64300"/>
    <n v="64300"/>
    <n v="64300"/>
    <s v="Financial Analst"/>
    <s v="Accountant"/>
    <x v="8"/>
    <s v="4 to 6 hours a day"/>
    <n v="15"/>
  </r>
  <r>
    <s v="ID1488"/>
    <n v="64000"/>
    <s v="USD"/>
    <n v="64000"/>
    <n v="64000"/>
    <n v="64000"/>
    <s v="Program Manager"/>
    <s v="Manager"/>
    <x v="8"/>
    <s v="2 to 3 hours per day"/>
    <n v="12"/>
  </r>
  <r>
    <s v="ID0585"/>
    <n v="102000"/>
    <s v="AUD"/>
    <n v="104030.78495306884"/>
    <n v="63924.833936258321"/>
    <n v="63924.833936258321"/>
    <s v="coordinator lismore regional airport"/>
    <s v="Manager"/>
    <x v="19"/>
    <s v="1 or 2 hours a day"/>
    <n v="10"/>
  </r>
  <r>
    <s v="ID0408"/>
    <n v="63586"/>
    <s v="USD"/>
    <n v="63586"/>
    <n v="63586"/>
    <n v="63586"/>
    <s v="Senior Purchasing Officer"/>
    <s v="Manager"/>
    <x v="31"/>
    <s v="2 to 3 hours per day"/>
    <s v="Data Not Avaliable"/>
  </r>
  <r>
    <s v="ID1890"/>
    <n v="600000"/>
    <s v="DKK"/>
    <n v="102542.54233725216"/>
    <n v="63569.741900034132"/>
    <n v="63569.741900034132"/>
    <s v="Engineer"/>
    <s v="Engineer"/>
    <x v="24"/>
    <s v="2 to 3 hours per day"/>
    <n v="20"/>
  </r>
  <r>
    <s v="ID0229"/>
    <n v="43000"/>
    <s v="GBP"/>
    <n v="67775.665698893223"/>
    <n v="63380.761814158388"/>
    <n v="63380.761814158388"/>
    <s v="ServiceDesk Supervisor"/>
    <s v="Manager"/>
    <x v="9"/>
    <s v="2 to 3 hours per day"/>
    <s v="Data Not Avaliable"/>
  </r>
  <r>
    <s v="ID0366"/>
    <n v="43000"/>
    <s v="GBP"/>
    <n v="67775.665698893223"/>
    <n v="63380.761814158388"/>
    <n v="63380.761814158388"/>
    <s v="Commercial Manager"/>
    <s v="Manager"/>
    <x v="9"/>
    <s v="4 to 6 hours a day"/>
    <s v="Data Not Avaliable"/>
  </r>
  <r>
    <s v="ID1176"/>
    <n v="43000"/>
    <s v="GBP"/>
    <n v="67775.665698893223"/>
    <n v="63380.761814158388"/>
    <n v="63380.761814158388"/>
    <s v="Head of Finance"/>
    <s v="Accountant"/>
    <x v="9"/>
    <s v="All the 8 hours baby, all the 8!"/>
    <n v="15"/>
  </r>
  <r>
    <s v="ID1251"/>
    <n v="43000"/>
    <s v="GBP"/>
    <n v="67775.665698893223"/>
    <n v="63380.761814158388"/>
    <n v="63380.761814158388"/>
    <s v="Financial Controller"/>
    <s v="Controller"/>
    <x v="9"/>
    <s v="4 to 6 hours a day"/>
    <n v="25"/>
  </r>
  <r>
    <s v="ID0378"/>
    <n v="80000"/>
    <s v="CAD"/>
    <n v="78668.921842426149"/>
    <n v="63235.69625618757"/>
    <n v="63235.69625618757"/>
    <s v="Senior Business Analyst"/>
    <s v="Analyst"/>
    <x v="6"/>
    <s v="4 to 6 hours a day"/>
    <s v="Data Not Avaliable"/>
  </r>
  <r>
    <s v="ID1582"/>
    <n v="80000"/>
    <s v="CAD"/>
    <n v="78668.921842426149"/>
    <n v="63235.69625618757"/>
    <n v="63235.69625618757"/>
    <s v="Business Operations Analyst"/>
    <s v="Analyst"/>
    <x v="6"/>
    <s v="4 to 6 hours a day"/>
    <n v="7"/>
  </r>
  <r>
    <s v="ID0343"/>
    <n v="63000"/>
    <s v="USD"/>
    <n v="63000"/>
    <n v="63000"/>
    <n v="63000"/>
    <s v="Sales Analyst"/>
    <s v="Analyst"/>
    <x v="8"/>
    <s v="All the 8 hours baby, all the 8!"/>
    <s v="Data Not Avaliable"/>
  </r>
  <r>
    <s v="ID1254"/>
    <n v="63000"/>
    <s v="USD"/>
    <n v="63000"/>
    <n v="63000"/>
    <n v="63000"/>
    <s v="Senior Staff Accountant"/>
    <s v="Accountant"/>
    <x v="8"/>
    <s v="All the 8 hours baby, all the 8!"/>
    <n v="16"/>
  </r>
  <r>
    <s v="ID1806"/>
    <n v="63000"/>
    <s v="USD"/>
    <n v="63000"/>
    <n v="63000"/>
    <n v="63000"/>
    <s v="Sales Analyst"/>
    <s v="Analyst"/>
    <x v="8"/>
    <s v="All the 8 hours baby, all the 8!"/>
    <n v="10"/>
  </r>
  <r>
    <s v="ID1874"/>
    <n v="63000"/>
    <s v="USD"/>
    <n v="63000"/>
    <n v="63000"/>
    <n v="63000"/>
    <s v="Marketing Database Analyst"/>
    <s v="Analyst"/>
    <x v="8"/>
    <s v="4 to 6 hours a day"/>
    <n v="6"/>
  </r>
  <r>
    <s v="ID1875"/>
    <n v="63000"/>
    <s v="USD"/>
    <n v="63000"/>
    <n v="63000"/>
    <n v="63000"/>
    <s v="Financial Analyst"/>
    <s v="Analyst"/>
    <x v="8"/>
    <s v="All the 8 hours baby, all the 8!"/>
    <n v="1"/>
  </r>
  <r>
    <s v="ID1108"/>
    <n v="57000"/>
    <s v="EUR"/>
    <n v="72412.768022521646"/>
    <n v="62737.214500862974"/>
    <n v="62737.214500862974"/>
    <s v="Spare Part Coordinator"/>
    <s v="Manager"/>
    <x v="20"/>
    <s v="1 or 2 hours a day"/>
    <n v="15"/>
  </r>
  <r>
    <s v="ID0073"/>
    <n v="100000"/>
    <s v="AUD"/>
    <n v="101990.96564026357"/>
    <n v="62671.405819861102"/>
    <n v="62671.405819861102"/>
    <s v="technical trainer"/>
    <s v="Manager"/>
    <x v="19"/>
    <s v="4 to 6 hours a day"/>
    <s v="Data Not Avaliable"/>
  </r>
  <r>
    <s v="ID0609"/>
    <n v="100000"/>
    <s v="AUD"/>
    <n v="101990.96564026357"/>
    <n v="62671.405819861102"/>
    <n v="62671.405819861102"/>
    <s v="Purchasing Manager"/>
    <s v="Manager"/>
    <x v="19"/>
    <s v="2 to 3 hours per day"/>
    <n v="20"/>
  </r>
  <r>
    <s v="ID0626"/>
    <n v="100000"/>
    <s v="AUD"/>
    <n v="101990.96564026357"/>
    <n v="62671.405819861102"/>
    <n v="62671.405819861102"/>
    <s v="Business Analyst"/>
    <s v="Analyst"/>
    <x v="19"/>
    <s v="All the 8 hours baby, all the 8!"/>
    <n v="1"/>
  </r>
  <r>
    <s v="ID0681"/>
    <n v="100000"/>
    <s v="AUD"/>
    <n v="101990.96564026357"/>
    <n v="62671.405819861102"/>
    <n v="62671.405819861102"/>
    <s v="principal developer"/>
    <s v="Manager"/>
    <x v="19"/>
    <s v="1 or 2 hours a day"/>
    <n v="20"/>
  </r>
  <r>
    <s v="ID0969"/>
    <n v="100000"/>
    <s v="AUD"/>
    <n v="101990.96564026357"/>
    <n v="62671.405819861102"/>
    <n v="62671.405819861102"/>
    <s v="Senior Consultant"/>
    <s v="Consultant"/>
    <x v="19"/>
    <s v="All the 8 hours baby, all the 8!"/>
    <n v="6"/>
  </r>
  <r>
    <s v="ID0994"/>
    <n v="100000"/>
    <s v="AUD"/>
    <n v="101990.96564026357"/>
    <n v="62671.405819861102"/>
    <n v="62671.405819861102"/>
    <s v="Reporting Analyst"/>
    <s v="Analyst"/>
    <x v="19"/>
    <s v="4 to 6 hours a day"/>
    <n v="20"/>
  </r>
  <r>
    <s v="ID1268"/>
    <n v="100000"/>
    <s v="AUD"/>
    <n v="101990.96564026357"/>
    <n v="62671.405819861102"/>
    <n v="62671.405819861102"/>
    <s v="Contractor/Consultant"/>
    <s v="Consultant"/>
    <x v="19"/>
    <s v="4 to 6 hours a day"/>
    <n v="15"/>
  </r>
  <r>
    <s v="ID1356"/>
    <n v="100000"/>
    <s v="AUD"/>
    <n v="101990.96564026357"/>
    <n v="62671.405819861102"/>
    <n v="62671.405819861102"/>
    <s v="Principal advisor"/>
    <s v="Consultant"/>
    <x v="19"/>
    <s v="1 or 2 hours a day"/>
    <n v="30"/>
  </r>
  <r>
    <s v="ID1584"/>
    <n v="100000"/>
    <s v="AUD"/>
    <n v="101990.96564026357"/>
    <n v="62671.405819861102"/>
    <n v="62671.405819861102"/>
    <s v="Management Accountant"/>
    <s v="Manager"/>
    <x v="19"/>
    <s v="4 to 6 hours a day"/>
    <n v="20"/>
  </r>
  <r>
    <s v="ID0361"/>
    <n v="62500"/>
    <s v="USD"/>
    <n v="62500"/>
    <n v="62500"/>
    <n v="62500"/>
    <s v="Director of Payroll"/>
    <s v="CXO or Top Mgmt."/>
    <x v="8"/>
    <s v="All the 8 hours baby, all the 8!"/>
    <s v="Data Not Avaliable"/>
  </r>
  <r>
    <s v="ID0264"/>
    <n v="62400"/>
    <s v="USD"/>
    <n v="62400"/>
    <n v="62400"/>
    <n v="62400"/>
    <s v="financial accountant"/>
    <s v="Accountant"/>
    <x v="8"/>
    <s v="All the 8 hours baby, all the 8!"/>
    <s v="Data Not Avaliable"/>
  </r>
  <r>
    <s v="ID0055"/>
    <n v="62000"/>
    <s v="USD"/>
    <n v="62000"/>
    <n v="62000"/>
    <n v="62000"/>
    <s v="Analyst"/>
    <s v="Analyst"/>
    <x v="8"/>
    <s v="4 to 6 hours a day"/>
    <s v="Data Not Avaliable"/>
  </r>
  <r>
    <s v="ID0764"/>
    <n v="62000"/>
    <s v="USD"/>
    <n v="62000"/>
    <n v="62000"/>
    <n v="62000"/>
    <s v="System Analyst "/>
    <s v="Analyst"/>
    <x v="8"/>
    <s v="2 to 3 hours per day"/>
    <n v="20"/>
  </r>
  <r>
    <s v="ID0880"/>
    <n v="62000"/>
    <s v="USD"/>
    <n v="62000"/>
    <n v="62000"/>
    <n v="62000"/>
    <s v="Deputy Manager Finance"/>
    <s v="Manager"/>
    <x v="45"/>
    <s v="All the 8 hours baby, all the 8!"/>
    <n v="11"/>
  </r>
  <r>
    <s v="ID1391"/>
    <n v="62000"/>
    <s v="USD"/>
    <n v="62000"/>
    <n v="62000"/>
    <n v="62000"/>
    <s v="Measurement Specialist"/>
    <s v="Specialist"/>
    <x v="8"/>
    <s v="All the 8 hours baby, all the 8!"/>
    <n v="25"/>
  </r>
  <r>
    <s v="ID1525"/>
    <n v="62000"/>
    <s v="USD"/>
    <n v="62000"/>
    <n v="62000"/>
    <n v="62000"/>
    <s v="info analyst"/>
    <s v="Analyst"/>
    <x v="8"/>
    <s v="All the 8 hours baby, all the 8!"/>
    <n v="27"/>
  </r>
  <r>
    <s v="ID1614"/>
    <n v="62000"/>
    <s v="USD"/>
    <n v="62000"/>
    <n v="62000"/>
    <n v="62000"/>
    <s v="Financial Analyst"/>
    <s v="Analyst"/>
    <x v="8"/>
    <s v="2 to 3 hours per day"/>
    <n v="5"/>
  </r>
  <r>
    <s v="ID1688"/>
    <n v="62000"/>
    <s v="USD"/>
    <n v="62000"/>
    <n v="62000"/>
    <n v="62000"/>
    <s v="Quality Engineer"/>
    <s v="Engineer"/>
    <x v="8"/>
    <s v="2 to 3 hours per day"/>
    <n v="12"/>
  </r>
  <r>
    <s v="ID1910"/>
    <n v="62000"/>
    <s v="USD"/>
    <n v="62000"/>
    <n v="62000"/>
    <n v="62000"/>
    <s v="Analyst"/>
    <s v="Analyst"/>
    <x v="8"/>
    <s v="4 to 6 hours a day"/>
    <n v="4"/>
  </r>
  <r>
    <s v="ID1662"/>
    <n v="42000"/>
    <s v="GBP"/>
    <n v="66199.48742682593"/>
    <n v="61906.790609177951"/>
    <n v="61906.790609177951"/>
    <s v="Management Accountant"/>
    <s v="Manager"/>
    <x v="9"/>
    <s v="4 to 6 hours a day"/>
    <n v="23"/>
  </r>
  <r>
    <s v="ID1805"/>
    <n v="78000"/>
    <s v="CAD"/>
    <n v="76702.198796365497"/>
    <n v="61654.803849782889"/>
    <n v="61654.803849782889"/>
    <s v="SFA"/>
    <s v="Analyst"/>
    <x v="6"/>
    <s v="All the 8 hours baby, all the 8!"/>
    <n v="4"/>
  </r>
  <r>
    <s v="ID0165"/>
    <n v="1300000"/>
    <s v="INR"/>
    <n v="23150.291693675339"/>
    <n v="61569.329053307993"/>
    <n v="61569.329053307993"/>
    <s v="Manager"/>
    <s v="Manager"/>
    <x v="7"/>
    <s v="4 to 6 hours a day"/>
    <s v="Data Not Avaliable"/>
  </r>
  <r>
    <s v="ID0911"/>
    <n v="1300000"/>
    <s v="INR"/>
    <n v="23150.291693675339"/>
    <n v="61569.329053307993"/>
    <n v="61569.329053307993"/>
    <s v="banker"/>
    <s v="Manager"/>
    <x v="7"/>
    <s v="1 or 2 hours a day"/>
    <n v="3"/>
  </r>
  <r>
    <s v="ID1779"/>
    <n v="1300000"/>
    <s v="INR"/>
    <n v="23150.291693675339"/>
    <n v="61569.329053307993"/>
    <n v="61569.329053307993"/>
    <s v="Manager"/>
    <s v="Manager"/>
    <x v="7"/>
    <s v="All the 8 hours baby, all the 8!"/>
    <n v="9"/>
  </r>
  <r>
    <s v="ID0063"/>
    <n v="61000"/>
    <s v="USD"/>
    <n v="61000"/>
    <n v="61000"/>
    <n v="61000"/>
    <s v="Coordinator Of Costa and Buget"/>
    <s v="Manager"/>
    <x v="46"/>
    <s v="All the 8 hours baby, all the 8!"/>
    <s v="Data Not Avaliable"/>
  </r>
  <r>
    <s v="ID0332"/>
    <n v="61000"/>
    <s v="USD"/>
    <n v="61000"/>
    <n v="61000"/>
    <n v="61000"/>
    <s v="Data Analyst"/>
    <s v="Analyst"/>
    <x v="8"/>
    <s v="1 or 2 hours a day"/>
    <s v="Data Not Avaliable"/>
  </r>
  <r>
    <s v="ID0519"/>
    <n v="61000"/>
    <s v="USD"/>
    <n v="61000"/>
    <n v="61000"/>
    <n v="61000"/>
    <s v="Senior Accountant"/>
    <s v="Accountant"/>
    <x v="8"/>
    <s v="4 to 6 hours a day"/>
    <s v="Data Not Avaliable"/>
  </r>
  <r>
    <s v="ID0614"/>
    <n v="61000"/>
    <s v="USD"/>
    <n v="61000"/>
    <n v="61000"/>
    <n v="61000"/>
    <s v="Sales ops"/>
    <s v="Manager"/>
    <x v="8"/>
    <s v="4 to 6 hours a day"/>
    <n v="5"/>
  </r>
  <r>
    <s v="ID1204"/>
    <n v="61000"/>
    <s v="USD"/>
    <n v="61000"/>
    <n v="61000"/>
    <n v="61000"/>
    <s v="Financial Analyst"/>
    <s v="Analyst"/>
    <x v="8"/>
    <s v="4 to 6 hours a day"/>
    <n v="1.5"/>
  </r>
  <r>
    <s v="ID1429"/>
    <n v="61000"/>
    <s v="USD"/>
    <n v="61000"/>
    <n v="61000"/>
    <n v="61000"/>
    <s v="Treasury Analyst"/>
    <s v="Analyst"/>
    <x v="8"/>
    <s v="4 to 6 hours a day"/>
    <n v="12"/>
  </r>
  <r>
    <s v="ID1439"/>
    <n v="61000"/>
    <s v="USD"/>
    <n v="61000"/>
    <n v="61000"/>
    <n v="61000"/>
    <s v="Accounting manager"/>
    <s v="Manager"/>
    <x v="8"/>
    <s v="2 to 3 hours per day"/>
    <n v="25"/>
  </r>
  <r>
    <s v="ID1501"/>
    <n v="61000"/>
    <s v="USD"/>
    <n v="61000"/>
    <n v="61000"/>
    <n v="61000"/>
    <s v="Financial Analyst"/>
    <s v="Analyst"/>
    <x v="8"/>
    <s v="4 to 6 hours a day"/>
    <n v="5"/>
  </r>
  <r>
    <s v="ID1397"/>
    <n v="60800"/>
    <s v="USD"/>
    <n v="60800"/>
    <n v="60800"/>
    <n v="60800"/>
    <s v="Data Integrity &amp; Reporting Tool Analyst"/>
    <s v="Analyst"/>
    <x v="8"/>
    <s v="All the 8 hours baby, all the 8!"/>
    <n v="10"/>
  </r>
  <r>
    <s v="ID1158"/>
    <n v="366252"/>
    <s v="ZAR"/>
    <n v="44654.095718350931"/>
    <n v="60746.351819795003"/>
    <n v="60746.351819795003"/>
    <s v="Accountant"/>
    <s v="Accountant"/>
    <x v="13"/>
    <s v="All the 8 hours baby, all the 8!"/>
    <n v="15"/>
  </r>
  <r>
    <s v="ID0566"/>
    <n v="55000"/>
    <s v="EUR"/>
    <n v="69871.969144538423"/>
    <n v="60535.908728902868"/>
    <n v="60535.908728902868"/>
    <s v="Business analyst"/>
    <s v="Analyst"/>
    <x v="11"/>
    <s v="All the 8 hours baby, all the 8!"/>
    <n v="6"/>
  </r>
  <r>
    <s v="ID0778"/>
    <n v="55000"/>
    <s v="EUR"/>
    <n v="69871.969144538423"/>
    <n v="60535.908728902868"/>
    <n v="60535.908728902868"/>
    <s v="CFO"/>
    <s v="CXO or Top Mgmt."/>
    <x v="44"/>
    <s v="2 to 3 hours per day"/>
    <n v="18"/>
  </r>
  <r>
    <s v="ID1553"/>
    <n v="55000"/>
    <s v="EUR"/>
    <n v="69871.969144538423"/>
    <n v="60535.908728902868"/>
    <n v="60535.908728902868"/>
    <s v="Risk Officer"/>
    <s v="Manager"/>
    <x v="11"/>
    <s v="1 or 2 hours a day"/>
    <n v="5"/>
  </r>
  <r>
    <s v="ID0026"/>
    <n v="60000"/>
    <s v="USD"/>
    <n v="60000"/>
    <n v="60000"/>
    <n v="60000"/>
    <s v="Analyst II"/>
    <s v="Analyst"/>
    <x v="8"/>
    <s v="All the 8 hours baby, all the 8!"/>
    <s v="Data Not Avaliable"/>
  </r>
  <r>
    <s v="ID0077"/>
    <n v="60000"/>
    <s v="USD"/>
    <n v="60000"/>
    <n v="60000"/>
    <n v="60000"/>
    <s v="Statistical Analyst"/>
    <s v="Analyst"/>
    <x v="6"/>
    <s v="1 or 2 hours a day"/>
    <s v="Data Not Avaliable"/>
  </r>
  <r>
    <s v="ID0164"/>
    <n v="60000"/>
    <s v="USD"/>
    <n v="60000"/>
    <n v="60000"/>
    <n v="60000"/>
    <s v="Telecom Technician"/>
    <s v="Analyst"/>
    <x v="8"/>
    <s v="4 to 6 hours a day"/>
    <s v="Data Not Avaliable"/>
  </r>
  <r>
    <s v="ID0186"/>
    <n v="60000"/>
    <s v="USD"/>
    <n v="60000"/>
    <n v="60000"/>
    <n v="60000"/>
    <s v="Senior Staff Accountant"/>
    <s v="Accountant"/>
    <x v="8"/>
    <s v="4 to 6 hours a day"/>
    <s v="Data Not Avaliable"/>
  </r>
  <r>
    <s v="ID0193"/>
    <n v="60000"/>
    <s v="USD"/>
    <n v="60000"/>
    <n v="60000"/>
    <n v="60000"/>
    <s v="Accounting/Financial Analyst"/>
    <s v="Analyst"/>
    <x v="8"/>
    <s v="4 to 6 hours a day"/>
    <s v="Data Not Avaliable"/>
  </r>
  <r>
    <s v="ID0236"/>
    <n v="60000"/>
    <s v="USD"/>
    <n v="60000"/>
    <n v="60000"/>
    <n v="60000"/>
    <s v="Energy Analyst"/>
    <s v="Analyst"/>
    <x v="8"/>
    <s v="4 to 6 hours a day"/>
    <s v="Data Not Avaliable"/>
  </r>
  <r>
    <s v="ID0298"/>
    <n v="60000"/>
    <s v="USD"/>
    <n v="60000"/>
    <n v="60000"/>
    <n v="60000"/>
    <s v="IS Manager"/>
    <s v="Manager"/>
    <x v="8"/>
    <s v="All the 8 hours baby, all the 8!"/>
    <s v="Data Not Avaliable"/>
  </r>
  <r>
    <s v="ID0320"/>
    <n v="60000"/>
    <s v="USD"/>
    <n v="60000"/>
    <n v="60000"/>
    <n v="60000"/>
    <s v="Management Analyst"/>
    <s v="Analyst"/>
    <x v="8"/>
    <s v="4 to 6 hours a day"/>
    <s v="Data Not Avaliable"/>
  </r>
  <r>
    <s v="ID0410"/>
    <n v="60000"/>
    <s v="USD"/>
    <n v="60000"/>
    <n v="60000"/>
    <n v="60000"/>
    <s v="Sr financial analyst "/>
    <s v="Analyst"/>
    <x v="8"/>
    <s v="4 to 6 hours a day"/>
    <s v="Data Not Avaliable"/>
  </r>
  <r>
    <s v="ID0431"/>
    <n v="60000"/>
    <s v="USD"/>
    <n v="60000"/>
    <n v="60000"/>
    <n v="60000"/>
    <s v="Planner"/>
    <s v="Manager"/>
    <x v="8"/>
    <s v="4 to 6 hours a day"/>
    <s v="Data Not Avaliable"/>
  </r>
  <r>
    <s v="ID0456"/>
    <n v="60000"/>
    <s v="USD"/>
    <n v="60000"/>
    <n v="60000"/>
    <n v="60000"/>
    <s v="Finalcial Reporting Analyst"/>
    <s v="Analyst"/>
    <x v="8"/>
    <s v="All the 8 hours baby, all the 8!"/>
    <s v="Data Not Avaliable"/>
  </r>
  <r>
    <s v="ID0465"/>
    <n v="60000"/>
    <s v="USD"/>
    <n v="60000"/>
    <n v="60000"/>
    <n v="60000"/>
    <s v="Business intelligence manager"/>
    <s v="Manager"/>
    <x v="8"/>
    <s v="All the 8 hours baby, all the 8!"/>
    <s v="Data Not Avaliable"/>
  </r>
  <r>
    <s v="ID0557"/>
    <n v="60000"/>
    <s v="USD"/>
    <n v="60000"/>
    <n v="60000"/>
    <n v="60000"/>
    <s v="Marketing Specialist"/>
    <s v="Specialist"/>
    <x v="8"/>
    <s v="1 or 2 hours a day"/>
    <s v="Data Not Avaliable"/>
  </r>
  <r>
    <s v="ID0632"/>
    <n v="60000"/>
    <s v="USD"/>
    <n v="60000"/>
    <n v="60000"/>
    <n v="60000"/>
    <s v="business analyst"/>
    <s v="Analyst"/>
    <x v="8"/>
    <s v="4 to 6 hours a day"/>
    <n v="12"/>
  </r>
  <r>
    <s v="ID0734"/>
    <n v="60000"/>
    <s v="USD"/>
    <n v="60000"/>
    <n v="60000"/>
    <n v="60000"/>
    <s v="Manager"/>
    <s v="Manager"/>
    <x v="30"/>
    <s v="4 to 6 hours a day"/>
    <n v="10"/>
  </r>
  <r>
    <s v="ID0811"/>
    <n v="60000"/>
    <s v="USD"/>
    <n v="60000"/>
    <n v="60000"/>
    <n v="60000"/>
    <s v="Audit Manager"/>
    <s v="Manager"/>
    <x v="31"/>
    <s v="2 to 3 hours per day"/>
    <n v="15"/>
  </r>
  <r>
    <s v="ID0875"/>
    <n v="60000"/>
    <s v="USD"/>
    <n v="60000"/>
    <n v="60000"/>
    <n v="60000"/>
    <s v="Store keeper"/>
    <s v="Analyst"/>
    <x v="8"/>
    <s v="2 to 3 hours per day"/>
    <n v="8"/>
  </r>
  <r>
    <s v="ID0910"/>
    <n v="60000"/>
    <s v="USD"/>
    <n v="60000"/>
    <n v="60000"/>
    <n v="60000"/>
    <s v="Cost accountant"/>
    <s v="Accountant"/>
    <x v="3"/>
    <s v="All the 8 hours baby, all the 8!"/>
    <n v="10"/>
  </r>
  <r>
    <s v="ID0935"/>
    <n v="60000"/>
    <s v="USD"/>
    <n v="60000"/>
    <n v="60000"/>
    <n v="60000"/>
    <s v="Consultant"/>
    <s v="Consultant"/>
    <x v="3"/>
    <s v="4 to 6 hours a day"/>
    <n v="5"/>
  </r>
  <r>
    <s v="ID0970"/>
    <n v="60000"/>
    <s v="USD"/>
    <n v="60000"/>
    <n v="60000"/>
    <n v="60000"/>
    <s v="Sales Manager"/>
    <s v="Manager"/>
    <x v="8"/>
    <s v="2 to 3 hours per day"/>
    <n v="3"/>
  </r>
  <r>
    <s v="ID1043"/>
    <n v="60000"/>
    <s v="USD"/>
    <n v="60000"/>
    <n v="60000"/>
    <n v="60000"/>
    <s v="Excel Developer"/>
    <s v="Consultant"/>
    <x v="41"/>
    <s v="All the 8 hours baby, all the 8!"/>
    <n v="5"/>
  </r>
  <r>
    <s v="ID1121"/>
    <n v="60000"/>
    <s v="USD"/>
    <n v="60000"/>
    <n v="60000"/>
    <n v="60000"/>
    <s v="manager"/>
    <s v="Manager"/>
    <x v="7"/>
    <s v="All the 8 hours baby, all the 8!"/>
    <n v="14"/>
  </r>
  <r>
    <s v="ID1144"/>
    <n v="60000"/>
    <s v="USD"/>
    <n v="60000"/>
    <n v="60000"/>
    <n v="60000"/>
    <s v="Business Anaylyst"/>
    <s v="Analyst"/>
    <x v="8"/>
    <s v="2 to 3 hours per day"/>
    <n v="4"/>
  </r>
  <r>
    <s v="ID1191"/>
    <n v="60000"/>
    <s v="USD"/>
    <n v="60000"/>
    <n v="60000"/>
    <n v="60000"/>
    <s v="Quality Management"/>
    <s v="Manager"/>
    <x v="8"/>
    <s v="2 to 3 hours per day"/>
    <n v="10"/>
  </r>
  <r>
    <s v="ID1211"/>
    <n v="60000"/>
    <s v="USD"/>
    <n v="60000"/>
    <n v="60000"/>
    <n v="60000"/>
    <s v="Quality Assurance Engineer"/>
    <s v="Engineer"/>
    <x v="8"/>
    <s v="1 or 2 hours a day"/>
    <n v="6"/>
  </r>
  <r>
    <s v="ID1215"/>
    <n v="60000"/>
    <s v="USD"/>
    <n v="60000"/>
    <n v="60000"/>
    <n v="60000"/>
    <s v="sample manager"/>
    <s v="Manager"/>
    <x v="8"/>
    <s v="4 to 6 hours a day"/>
    <n v="12"/>
  </r>
  <r>
    <s v="ID1337"/>
    <n v="60000"/>
    <s v="USD"/>
    <n v="60000"/>
    <n v="60000"/>
    <n v="60000"/>
    <s v="Controlling Manager"/>
    <s v="Manager"/>
    <x v="32"/>
    <s v="All the 8 hours baby, all the 8!"/>
    <n v="20"/>
  </r>
  <r>
    <s v="ID1365"/>
    <n v="60000"/>
    <s v="USD"/>
    <n v="60000"/>
    <n v="60000"/>
    <n v="60000"/>
    <s v="Business Information Analyst"/>
    <s v="Analyst"/>
    <x v="8"/>
    <s v="All the 8 hours baby, all the 8!"/>
    <n v="12"/>
  </r>
  <r>
    <s v="ID1375"/>
    <n v="60000"/>
    <s v="USD"/>
    <n v="60000"/>
    <n v="60000"/>
    <n v="60000"/>
    <s v="project manager"/>
    <s v="Manager"/>
    <x v="8"/>
    <s v="2 to 3 hours per day"/>
    <n v="20"/>
  </r>
  <r>
    <s v="ID1410"/>
    <n v="60000"/>
    <s v="USD"/>
    <n v="60000"/>
    <n v="60000"/>
    <n v="60000"/>
    <s v="business analyst"/>
    <s v="Analyst"/>
    <x v="8"/>
    <s v="4 to 6 hours a day"/>
    <n v="15"/>
  </r>
  <r>
    <s v="ID1459"/>
    <n v="60000"/>
    <s v="USD"/>
    <n v="60000"/>
    <n v="60000"/>
    <n v="60000"/>
    <s v="Business Intelligence Supervisor"/>
    <s v="Manager"/>
    <x v="8"/>
    <s v="2 to 3 hours per day"/>
    <n v="4"/>
  </r>
  <r>
    <s v="ID1482"/>
    <n v="60000"/>
    <s v="USD"/>
    <n v="60000"/>
    <n v="60000"/>
    <n v="60000"/>
    <s v="sales&amp;marketing"/>
    <s v="Analyst"/>
    <x v="47"/>
    <s v="2 to 3 hours per day"/>
    <n v="10"/>
  </r>
  <r>
    <s v="ID1616"/>
    <n v="60000"/>
    <s v="USD"/>
    <n v="60000"/>
    <n v="60000"/>
    <n v="60000"/>
    <s v="Data Analyst"/>
    <s v="Analyst"/>
    <x v="8"/>
    <s v="2 to 3 hours per day"/>
    <n v="1"/>
  </r>
  <r>
    <s v="ID1631"/>
    <n v="60000"/>
    <s v="USD"/>
    <n v="60000"/>
    <n v="60000"/>
    <n v="60000"/>
    <s v="Head of Business"/>
    <s v="Manager"/>
    <x v="33"/>
    <s v="2 to 3 hours per day"/>
    <n v="16"/>
  </r>
  <r>
    <s v="ID1705"/>
    <n v="60000"/>
    <s v="USD"/>
    <n v="60000"/>
    <n v="60000"/>
    <n v="60000"/>
    <s v="Analyst"/>
    <s v="Analyst"/>
    <x v="8"/>
    <s v="All the 8 hours baby, all the 8!"/>
    <n v="1"/>
  </r>
  <r>
    <s v="ID1754"/>
    <n v="60000"/>
    <s v="USD"/>
    <n v="60000"/>
    <n v="60000"/>
    <n v="60000"/>
    <s v="Project Lead "/>
    <s v="Manager"/>
    <x v="8"/>
    <s v="All the 8 hours baby, all the 8!"/>
    <n v="2"/>
  </r>
  <r>
    <s v="ID1755"/>
    <n v="60000"/>
    <s v="USD"/>
    <n v="60000"/>
    <n v="60000"/>
    <n v="60000"/>
    <s v="Project Lead "/>
    <s v="Manager"/>
    <x v="8"/>
    <s v="All the 8 hours baby, all the 8!"/>
    <n v="2"/>
  </r>
  <r>
    <s v="ID1839"/>
    <n v="60000"/>
    <s v="USD"/>
    <n v="60000"/>
    <n v="60000"/>
    <n v="60000"/>
    <s v="Business Analyst"/>
    <s v="Analyst"/>
    <x v="8"/>
    <s v="4 to 6 hours a day"/>
    <n v="15"/>
  </r>
  <r>
    <s v="ID1844"/>
    <n v="60000"/>
    <s v="USD"/>
    <n v="60000"/>
    <n v="60000"/>
    <n v="60000"/>
    <s v="Analyst"/>
    <s v="Analyst"/>
    <x v="31"/>
    <s v="4 to 6 hours a day"/>
    <n v="5"/>
  </r>
  <r>
    <s v="ID1849"/>
    <n v="60000"/>
    <s v="USD"/>
    <n v="60000"/>
    <n v="60000"/>
    <n v="60000"/>
    <s v="Business Analyst"/>
    <s v="Analyst"/>
    <x v="8"/>
    <s v="2 to 3 hours per day"/>
    <n v="3"/>
  </r>
  <r>
    <s v="ID1870"/>
    <n v="60000"/>
    <s v="USD"/>
    <n v="60000"/>
    <n v="60000"/>
    <n v="60000"/>
    <s v="Marketing Initatities Analyst"/>
    <s v="Analyst"/>
    <x v="8"/>
    <s v="All the 8 hours baby, all the 8!"/>
    <n v="10"/>
  </r>
  <r>
    <s v="ID1897"/>
    <n v="60000"/>
    <s v="USD"/>
    <n v="60000"/>
    <n v="60000"/>
    <n v="60000"/>
    <s v="buyer"/>
    <s v="Manager"/>
    <x v="6"/>
    <s v="2 to 3 hours per day"/>
    <n v="10"/>
  </r>
  <r>
    <s v="ID1092"/>
    <n v="40500"/>
    <s v="GBP"/>
    <n v="63835.220018725006"/>
    <n v="59695.833801707311"/>
    <n v="59695.833801707311"/>
    <s v="Policy, Performance and Research Officer"/>
    <s v="Manager"/>
    <x v="9"/>
    <s v="2 to 3 hours per day"/>
    <n v="25"/>
  </r>
  <r>
    <s v="ID0769"/>
    <n v="95000"/>
    <s v="AUD"/>
    <n v="96891.417358250401"/>
    <n v="59537.835528868047"/>
    <n v="59537.835528868047"/>
    <s v="Data Analyst - Report Writer"/>
    <s v="Analyst"/>
    <x v="19"/>
    <s v="2 to 3 hours per day"/>
    <n v="11"/>
  </r>
  <r>
    <s v="ID0922"/>
    <n v="95000"/>
    <s v="AUD"/>
    <n v="96891.417358250401"/>
    <n v="59537.835528868047"/>
    <n v="59537.835528868047"/>
    <s v="Senior Marketing Analyst"/>
    <s v="Analyst"/>
    <x v="19"/>
    <s v="1 or 2 hours a day"/>
    <n v="7"/>
  </r>
  <r>
    <s v="ID0965"/>
    <n v="95000"/>
    <s v="AUD"/>
    <n v="96891.417358250401"/>
    <n v="59537.835528868047"/>
    <n v="59537.835528868047"/>
    <s v="financial analyst"/>
    <s v="Analyst"/>
    <x v="19"/>
    <s v="2 to 3 hours per day"/>
    <n v="20"/>
  </r>
  <r>
    <s v="ID0357"/>
    <n v="75000"/>
    <s v="CAD"/>
    <n v="73752.11422727452"/>
    <n v="59283.465240175858"/>
    <n v="59283.465240175858"/>
    <s v="web marketing analyst"/>
    <s v="Analyst"/>
    <x v="6"/>
    <s v="4 to 6 hours a day"/>
    <s v="Data Not Avaliable"/>
  </r>
  <r>
    <s v="ID1168"/>
    <n v="59000"/>
    <s v="USD"/>
    <n v="59000"/>
    <n v="59000"/>
    <n v="59000"/>
    <s v="Management Analyst"/>
    <s v="Analyst"/>
    <x v="8"/>
    <s v="4 to 6 hours a day"/>
    <n v="14"/>
  </r>
  <r>
    <s v="ID1560"/>
    <n v="59000"/>
    <s v="USD"/>
    <n v="59000"/>
    <n v="59000"/>
    <n v="59000"/>
    <s v="Operations Manager"/>
    <s v="Manager"/>
    <x v="8"/>
    <s v="4 to 6 hours a day"/>
    <n v="15"/>
  </r>
  <r>
    <s v="ID1673"/>
    <n v="59000"/>
    <s v="USD"/>
    <n v="59000"/>
    <n v="59000"/>
    <n v="59000"/>
    <s v="Category Leader"/>
    <s v="Manager"/>
    <x v="8"/>
    <s v="1 or 2 hours a day"/>
    <n v="3"/>
  </r>
  <r>
    <s v="ID0052"/>
    <n v="40000"/>
    <s v="GBP"/>
    <n v="63047.130882691366"/>
    <n v="58958.8481992171"/>
    <n v="58958.8481992171"/>
    <s v="Senior Accountant"/>
    <s v="Accountant"/>
    <x v="9"/>
    <s v="4 to 6 hours a day"/>
    <s v="Data Not Avaliable"/>
  </r>
  <r>
    <s v="ID1107"/>
    <n v="40000"/>
    <s v="GBP"/>
    <n v="63047.130882691366"/>
    <n v="58958.8481992171"/>
    <n v="58958.8481992171"/>
    <s v="Buyer"/>
    <s v="Manager"/>
    <x v="9"/>
    <s v="1 or 2 hours a day"/>
    <n v="20"/>
  </r>
  <r>
    <s v="ID1682"/>
    <n v="40000"/>
    <s v="GBP"/>
    <n v="63047.130882691366"/>
    <n v="58958.8481992171"/>
    <n v="58958.8481992171"/>
    <s v="Technical Specialist"/>
    <s v="Specialist"/>
    <x v="9"/>
    <s v="2 to 3 hours per day"/>
    <n v="25"/>
  </r>
  <r>
    <s v="ID1724"/>
    <n v="40000"/>
    <s v="GBP"/>
    <n v="63047.130882691366"/>
    <n v="58958.8481992171"/>
    <n v="58958.8481992171"/>
    <s v="project manager"/>
    <s v="Manager"/>
    <x v="9"/>
    <s v="4 to 6 hours a day"/>
    <n v="15"/>
  </r>
  <r>
    <s v="ID1737"/>
    <n v="40000"/>
    <s v="GBP"/>
    <n v="63047.130882691366"/>
    <n v="58958.8481992171"/>
    <n v="58958.8481992171"/>
    <s v="Analyst"/>
    <s v="Analyst"/>
    <x v="9"/>
    <s v="4 to 6 hours a day"/>
    <n v="5"/>
  </r>
  <r>
    <s v="ID0986"/>
    <n v="94000"/>
    <s v="AUD"/>
    <n v="95871.50770184776"/>
    <n v="58911.121470669437"/>
    <n v="58911.121470669437"/>
    <s v="Business Analyst"/>
    <s v="Analyst"/>
    <x v="19"/>
    <s v="2 to 3 hours per day"/>
    <n v="2.5"/>
  </r>
  <r>
    <s v="ID1008"/>
    <n v="94000"/>
    <s v="AUD"/>
    <n v="95871.50770184776"/>
    <n v="58911.121470669437"/>
    <n v="58911.121470669437"/>
    <s v="Principal Analyst"/>
    <s v="Analyst"/>
    <x v="19"/>
    <s v="2 to 3 hours per day"/>
    <n v="14"/>
  </r>
  <r>
    <s v="ID1559"/>
    <n v="74000"/>
    <s v="CAD"/>
    <n v="72768.752704244194"/>
    <n v="58493.019036973514"/>
    <n v="58493.019036973514"/>
    <s v="Operations Analyst"/>
    <s v="Analyst"/>
    <x v="6"/>
    <s v="4 to 6 hours a day"/>
    <n v="10"/>
  </r>
  <r>
    <s v="ID1759"/>
    <n v="1230000"/>
    <s v="INR"/>
    <n v="21903.737525554359"/>
    <n v="58254.057488899103"/>
    <n v="58254.057488899103"/>
    <s v="Financial Analyst "/>
    <s v="Analyst"/>
    <x v="7"/>
    <s v="All the 8 hours baby, all the 8!"/>
    <n v="3"/>
  </r>
  <r>
    <s v="ID0003"/>
    <n v="58000"/>
    <s v="USD"/>
    <n v="58000"/>
    <n v="58000"/>
    <n v="58000"/>
    <s v="Financial Analyst"/>
    <s v="Analyst"/>
    <x v="8"/>
    <s v="All the 8 hours baby, all the 8!"/>
    <s v="Data Not Avaliable"/>
  </r>
  <r>
    <s v="ID0044"/>
    <n v="58000"/>
    <s v="USD"/>
    <n v="58000"/>
    <n v="58000"/>
    <n v="58000"/>
    <s v="Senior Accountant"/>
    <s v="Accountant"/>
    <x v="8"/>
    <s v="4 to 6 hours a day"/>
    <s v="Data Not Avaliable"/>
  </r>
  <r>
    <s v="ID0113"/>
    <n v="58000"/>
    <s v="USD"/>
    <n v="58000"/>
    <n v="58000"/>
    <n v="58000"/>
    <s v="Operations Programs Support"/>
    <s v="Manager"/>
    <x v="8"/>
    <s v="4 to 6 hours a day"/>
    <s v="Data Not Avaliable"/>
  </r>
  <r>
    <s v="ID0162"/>
    <n v="58000"/>
    <s v="USD"/>
    <n v="58000"/>
    <n v="58000"/>
    <n v="58000"/>
    <s v="Team Lead - Computer Discounts"/>
    <s v="Manager"/>
    <x v="6"/>
    <s v="1 or 2 hours a day"/>
    <s v="Data Not Avaliable"/>
  </r>
  <r>
    <s v="ID1426"/>
    <n v="57678"/>
    <s v="USD"/>
    <n v="57678"/>
    <n v="57678"/>
    <n v="57678"/>
    <s v="Financial Analyst"/>
    <s v="Analyst"/>
    <x v="8"/>
    <s v="4 to 6 hours a day"/>
    <n v="2"/>
  </r>
  <r>
    <s v="ID0993"/>
    <n v="92000"/>
    <s v="AUD"/>
    <n v="93831.688389042494"/>
    <n v="57657.693354272218"/>
    <n v="57657.693354272218"/>
    <s v="Finance analyst"/>
    <s v="Analyst"/>
    <x v="19"/>
    <s v="All the 8 hours baby, all the 8!"/>
    <n v="6"/>
  </r>
  <r>
    <s v="ID1369"/>
    <n v="57500"/>
    <s v="USD"/>
    <n v="57500"/>
    <n v="57500"/>
    <n v="57500"/>
    <s v="Planning Supervisor"/>
    <s v="Manager"/>
    <x v="8"/>
    <s v="4 to 6 hours a day"/>
    <n v="30"/>
  </r>
  <r>
    <s v="ID0107"/>
    <n v="57400"/>
    <s v="USD"/>
    <n v="57400"/>
    <n v="57400"/>
    <n v="57400"/>
    <s v="IT Analyst"/>
    <s v="Analyst"/>
    <x v="8"/>
    <s v="4 to 6 hours a day"/>
    <s v="Data Not Avaliable"/>
  </r>
  <r>
    <s v="ID0973"/>
    <n v="95000"/>
    <s v="NZD"/>
    <n v="75770.868892469181"/>
    <n v="57204.89698906702"/>
    <n v="57204.89698906702"/>
    <s v="Cost Accountant"/>
    <s v="Accountant"/>
    <x v="21"/>
    <s v="4 to 6 hours a day"/>
    <n v="20"/>
  </r>
  <r>
    <s v="ID0051"/>
    <n v="57000"/>
    <s v="USD"/>
    <n v="57000"/>
    <n v="57000"/>
    <n v="57000"/>
    <s v="Senior Accounting Supervisor"/>
    <s v="Accountant"/>
    <x v="8"/>
    <s v="2 to 3 hours per day"/>
    <s v="Data Not Avaliable"/>
  </r>
  <r>
    <s v="ID0071"/>
    <n v="57000"/>
    <s v="USD"/>
    <n v="57000"/>
    <n v="57000"/>
    <n v="57000"/>
    <s v="sales analyst"/>
    <s v="Analyst"/>
    <x v="8"/>
    <s v="4 to 6 hours a day"/>
    <s v="Data Not Avaliable"/>
  </r>
  <r>
    <s v="ID0099"/>
    <n v="57000"/>
    <s v="USD"/>
    <n v="57000"/>
    <n v="57000"/>
    <n v="57000"/>
    <s v="Production Scheduler"/>
    <s v="Manager"/>
    <x v="8"/>
    <s v="4 to 6 hours a day"/>
    <s v="Data Not Avaliable"/>
  </r>
  <r>
    <s v="ID0144"/>
    <n v="57000"/>
    <s v="USD"/>
    <n v="57000"/>
    <n v="57000"/>
    <n v="57000"/>
    <s v="Industrial Engineer"/>
    <s v="Engineer"/>
    <x v="8"/>
    <s v="4 to 6 hours a day"/>
    <s v="Data Not Avaliable"/>
  </r>
  <r>
    <s v="ID0518"/>
    <n v="57000"/>
    <s v="USD"/>
    <n v="57000"/>
    <n v="57000"/>
    <n v="57000"/>
    <s v="project finance manager"/>
    <s v="Manager"/>
    <x v="16"/>
    <s v="4 to 6 hours a day"/>
    <s v="Data Not Avaliable"/>
  </r>
  <r>
    <s v="ID0953"/>
    <n v="57000"/>
    <s v="USD"/>
    <n v="57000"/>
    <n v="57000"/>
    <n v="57000"/>
    <s v="Construction Engineer"/>
    <s v="Engineer"/>
    <x v="8"/>
    <s v="2 to 3 hours per day"/>
    <n v="4"/>
  </r>
  <r>
    <s v="ID1840"/>
    <n v="57000"/>
    <s v="USD"/>
    <n v="57000"/>
    <n v="57000"/>
    <n v="57000"/>
    <s v="Staff Accountant"/>
    <s v="Accountant"/>
    <x v="8"/>
    <s v="4 to 6 hours a day"/>
    <n v="9"/>
  </r>
  <r>
    <s v="ID0403"/>
    <n v="72000"/>
    <s v="CAD"/>
    <n v="70802.029658183528"/>
    <n v="56912.126630568811"/>
    <n v="56912.126630568811"/>
    <s v="Controller"/>
    <s v="Controller"/>
    <x v="6"/>
    <s v="4 to 6 hours a day"/>
    <s v="Data Not Avaliable"/>
  </r>
  <r>
    <s v="ID0011"/>
    <n v="51650"/>
    <s v="EUR"/>
    <n v="65616.131023916547"/>
    <n v="56848.721560869701"/>
    <n v="56848.721560869701"/>
    <s v="Training Specialist"/>
    <s v="Specialist"/>
    <x v="42"/>
    <s v="2 to 3 hours per day"/>
    <s v="Data Not Avaliable"/>
  </r>
  <r>
    <s v="ID0238"/>
    <n v="1200000"/>
    <s v="INR"/>
    <n v="21369.500024931083"/>
    <n v="56833.226818438154"/>
    <n v="56833.226818438154"/>
    <s v="Branch head -sales"/>
    <s v="Manager"/>
    <x v="7"/>
    <s v="2 to 3 hours per day"/>
    <s v="Data Not Avaliable"/>
  </r>
  <r>
    <s v="ID0770"/>
    <n v="1200000"/>
    <s v="INR"/>
    <n v="21369.500024931083"/>
    <n v="56833.226818438154"/>
    <n v="56833.226818438154"/>
    <s v="Regional Formwork Head "/>
    <s v="Manager"/>
    <x v="7"/>
    <s v="All the 8 hours baby, all the 8!"/>
    <n v="14"/>
  </r>
  <r>
    <s v="ID0845"/>
    <n v="1200000"/>
    <s v="INR"/>
    <n v="21369.500024931083"/>
    <n v="56833.226818438154"/>
    <n v="56833.226818438154"/>
    <s v="project manager"/>
    <s v="Manager"/>
    <x v="7"/>
    <s v="1 or 2 hours a day"/>
    <n v="18"/>
  </r>
  <r>
    <s v="ID0896"/>
    <n v="1200000"/>
    <s v="INR"/>
    <n v="21369.500024931083"/>
    <n v="56833.226818438154"/>
    <n v="56833.226818438154"/>
    <s v="ASST VICE PREDISDENT"/>
    <s v="CXO or Top Mgmt."/>
    <x v="7"/>
    <s v="4 to 6 hours a day"/>
    <n v="17"/>
  </r>
  <r>
    <s v="ID0999"/>
    <n v="1200000"/>
    <s v="INR"/>
    <n v="21369.500024931083"/>
    <n v="56833.226818438154"/>
    <n v="56833.226818438154"/>
    <s v="Senior Consultant"/>
    <s v="Consultant"/>
    <x v="7"/>
    <s v="All the 8 hours baby, all the 8!"/>
    <n v="6"/>
  </r>
  <r>
    <s v="ID1054"/>
    <n v="1200000"/>
    <s v="INR"/>
    <n v="21369.500024931083"/>
    <n v="56833.226818438154"/>
    <n v="56833.226818438154"/>
    <s v="Management Trainee"/>
    <s v="Manager"/>
    <x v="7"/>
    <s v="2 to 3 hours per day"/>
    <n v="2"/>
  </r>
  <r>
    <s v="ID1068"/>
    <n v="1200000"/>
    <s v="INR"/>
    <n v="21369.500024931083"/>
    <n v="56833.226818438154"/>
    <n v="56833.226818438154"/>
    <s v="executive"/>
    <s v="Analyst"/>
    <x v="7"/>
    <s v="4 to 6 hours a day"/>
    <n v="7"/>
  </r>
  <r>
    <s v="ID1084"/>
    <n v="1200000"/>
    <s v="INR"/>
    <n v="21369.500024931083"/>
    <n v="56833.226818438154"/>
    <n v="56833.226818438154"/>
    <s v="finance controller"/>
    <s v="Controller"/>
    <x v="7"/>
    <s v="4 to 6 hours a day"/>
    <n v="8"/>
  </r>
  <r>
    <s v="ID1110"/>
    <n v="1200000"/>
    <s v="INR"/>
    <n v="21369.500024931083"/>
    <n v="56833.226818438154"/>
    <n v="56833.226818438154"/>
    <s v="coordinator"/>
    <s v="Manager"/>
    <x v="7"/>
    <s v="2 to 3 hours per day"/>
    <n v="5"/>
  </r>
  <r>
    <s v="ID1318"/>
    <n v="1200000"/>
    <s v="INR"/>
    <n v="21369.500024931083"/>
    <n v="56833.226818438154"/>
    <n v="56833.226818438154"/>
    <s v="Manager - Corporate strategy and Planning"/>
    <s v="Manager"/>
    <x v="7"/>
    <s v="4 to 6 hours a day"/>
    <n v="9"/>
  </r>
  <r>
    <s v="ID1342"/>
    <n v="1200000"/>
    <s v="INR"/>
    <n v="21369.500024931083"/>
    <n v="56833.226818438154"/>
    <n v="56833.226818438154"/>
    <s v="Consultant"/>
    <s v="Consultant"/>
    <x v="7"/>
    <s v="2 to 3 hours per day"/>
    <n v="21"/>
  </r>
  <r>
    <s v="ID1836"/>
    <n v="1200000"/>
    <s v="INR"/>
    <n v="21369.500024931083"/>
    <n v="56833.226818438154"/>
    <n v="56833.226818438154"/>
    <s v="AM"/>
    <s v="Manager"/>
    <x v="7"/>
    <s v="4 to 6 hours a day"/>
    <n v="7"/>
  </r>
  <r>
    <s v="ID1796"/>
    <n v="56600"/>
    <s v="USD"/>
    <n v="56600"/>
    <n v="56600"/>
    <n v="56600"/>
    <s v="ECommerce Manager"/>
    <s v="Manager"/>
    <x v="8"/>
    <s v="4 to 6 hours a day"/>
    <n v="12"/>
  </r>
  <r>
    <s v="ID0966"/>
    <n v="90000"/>
    <s v="AUD"/>
    <n v="91791.869076237213"/>
    <n v="56404.265237874984"/>
    <n v="56404.265237874984"/>
    <s v="Senior Research Analyst"/>
    <s v="Analyst"/>
    <x v="19"/>
    <s v="4 to 6 hours a day"/>
    <n v="13"/>
  </r>
  <r>
    <s v="ID1263"/>
    <n v="90000"/>
    <s v="AUD"/>
    <n v="91791.869076237213"/>
    <n v="56404.265237874984"/>
    <n v="56404.265237874984"/>
    <s v="Business Analyst"/>
    <s v="Analyst"/>
    <x v="19"/>
    <s v="4 to 6 hours a day"/>
    <n v="5"/>
  </r>
  <r>
    <s v="ID0674"/>
    <n v="56400"/>
    <s v="USD"/>
    <n v="56400"/>
    <n v="56400"/>
    <n v="56400"/>
    <s v="Finance Manager"/>
    <s v="Manager"/>
    <x v="31"/>
    <s v="2 to 3 hours per day"/>
    <n v="6"/>
  </r>
  <r>
    <s v="ID0118"/>
    <n v="56160"/>
    <s v="USD"/>
    <n v="56160"/>
    <n v="56160"/>
    <n v="56160"/>
    <s v="Utilization Analyst"/>
    <s v="Analyst"/>
    <x v="8"/>
    <s v="4 to 6 hours a day"/>
    <s v="Data Not Avaliable"/>
  </r>
  <r>
    <s v="ID0459"/>
    <n v="38000"/>
    <s v="GBP"/>
    <n v="59894.774338556796"/>
    <n v="56010.905789256241"/>
    <n v="56010.905789256241"/>
    <s v="Commercial Accountant"/>
    <s v="Accountant"/>
    <x v="9"/>
    <s v="4 to 6 hours a day"/>
    <s v="Data Not Avaliable"/>
  </r>
  <r>
    <s v="ID0355"/>
    <n v="56000"/>
    <s v="USD"/>
    <n v="56000"/>
    <n v="56000"/>
    <n v="56000"/>
    <s v="asset manager"/>
    <s v="Manager"/>
    <x v="8"/>
    <s v="2 to 3 hours per day"/>
    <s v="Data Not Avaliable"/>
  </r>
  <r>
    <s v="ID0413"/>
    <n v="56000"/>
    <s v="USD"/>
    <n v="56000"/>
    <n v="56000"/>
    <n v="56000"/>
    <s v="Staff assistant "/>
    <s v="Analyst"/>
    <x v="8"/>
    <s v="4 to 6 hours a day"/>
    <s v="Data Not Avaliable"/>
  </r>
  <r>
    <s v="ID0417"/>
    <n v="56000"/>
    <s v="USD"/>
    <n v="56000"/>
    <n v="56000"/>
    <n v="56000"/>
    <s v="financial management consultant"/>
    <s v="Manager"/>
    <x v="8"/>
    <s v="All the 8 hours baby, all the 8!"/>
    <s v="Data Not Avaliable"/>
  </r>
  <r>
    <s v="ID1194"/>
    <n v="56000"/>
    <s v="USD"/>
    <n v="56000"/>
    <n v="56000"/>
    <n v="56000"/>
    <s v="Analyst"/>
    <s v="Analyst"/>
    <x v="8"/>
    <s v="1 or 2 hours a day"/>
    <n v="2"/>
  </r>
  <r>
    <s v="ID1244"/>
    <n v="56000"/>
    <s v="USD"/>
    <n v="56000"/>
    <n v="56000"/>
    <n v="56000"/>
    <s v="Accountant"/>
    <s v="Accountant"/>
    <x v="8"/>
    <s v="4 to 6 hours a day"/>
    <n v="1"/>
  </r>
  <r>
    <s v="ID0506"/>
    <n v="55500"/>
    <s v="USD"/>
    <n v="55500"/>
    <n v="55500"/>
    <n v="55500"/>
    <s v="Sr QS"/>
    <s v="Controller"/>
    <x v="31"/>
    <s v="4 to 6 hours a day"/>
    <s v="Data Not Avaliable"/>
  </r>
  <r>
    <s v="ID0043"/>
    <n v="70000"/>
    <s v="CAD"/>
    <n v="68835.306612122877"/>
    <n v="55331.234224164124"/>
    <n v="55331.234224164124"/>
    <s v="Product Engineer"/>
    <s v="Engineer"/>
    <x v="6"/>
    <s v="2 to 3 hours per day"/>
    <s v="Data Not Avaliable"/>
  </r>
  <r>
    <s v="ID0137"/>
    <n v="70000"/>
    <s v="CAD"/>
    <n v="68835.306612122877"/>
    <n v="55331.234224164124"/>
    <n v="55331.234224164124"/>
    <s v="project manager"/>
    <s v="Manager"/>
    <x v="6"/>
    <s v="4 to 6 hours a day"/>
    <s v="Data Not Avaliable"/>
  </r>
  <r>
    <s v="ID0466"/>
    <n v="70000"/>
    <s v="CAD"/>
    <n v="68835.306612122877"/>
    <n v="55331.234224164124"/>
    <n v="55331.234224164124"/>
    <s v="Program Manager"/>
    <s v="Manager"/>
    <x v="6"/>
    <s v="1 or 2 hours a day"/>
    <s v="Data Not Avaliable"/>
  </r>
  <r>
    <s v="ID1731"/>
    <n v="70000"/>
    <s v="CAD"/>
    <n v="68835.306612122877"/>
    <n v="55331.234224164124"/>
    <n v="55331.234224164124"/>
    <s v="Financial Analyst"/>
    <s v="Analyst"/>
    <x v="6"/>
    <s v="All the 8 hours baby, all the 8!"/>
    <n v="2"/>
  </r>
  <r>
    <s v="ID1156"/>
    <n v="37500"/>
    <s v="GBP"/>
    <n v="59106.685202523156"/>
    <n v="55273.92018676603"/>
    <n v="55273.92018676603"/>
    <s v="Corporate Finance Executive"/>
    <s v="Accountant"/>
    <x v="9"/>
    <s v="2 to 3 hours per day"/>
    <n v="5"/>
  </r>
  <r>
    <s v="ID0208"/>
    <n v="50000"/>
    <s v="EUR"/>
    <n v="63519.971949580387"/>
    <n v="55032.644299002604"/>
    <n v="55032.644299002604"/>
    <s v="Data Analyst"/>
    <s v="Analyst"/>
    <x v="42"/>
    <s v="4 to 6 hours a day"/>
    <s v="Data Not Avaliable"/>
  </r>
  <r>
    <s v="ID0559"/>
    <n v="50000"/>
    <s v="EUR"/>
    <n v="63519.971949580387"/>
    <n v="55032.644299002604"/>
    <n v="55032.644299002604"/>
    <s v="Proyect Manager"/>
    <s v="Manager"/>
    <x v="48"/>
    <s v="2 to 3 hours per day"/>
    <s v="Data Not Avaliable"/>
  </r>
  <r>
    <s v="ID0595"/>
    <n v="50000"/>
    <s v="EUR"/>
    <n v="63519.971949580387"/>
    <n v="55032.644299002604"/>
    <n v="55032.644299002604"/>
    <s v="Analyst"/>
    <s v="Analyst"/>
    <x v="15"/>
    <s v="2 to 3 hours per day"/>
    <n v="4"/>
  </r>
  <r>
    <s v="ID1129"/>
    <n v="50000"/>
    <s v="EUR"/>
    <n v="63519.971949580387"/>
    <n v="55032.644299002604"/>
    <n v="55032.644299002604"/>
    <s v="Network Enginer"/>
    <s v="Engineer"/>
    <x v="49"/>
    <s v="2 to 3 hours per day"/>
    <n v="14"/>
  </r>
  <r>
    <s v="ID1508"/>
    <n v="50000"/>
    <s v="EUR"/>
    <n v="63519.971949580387"/>
    <n v="55032.644299002604"/>
    <n v="55032.644299002604"/>
    <s v="accountant"/>
    <s v="Accountant"/>
    <x v="44"/>
    <s v="All the 8 hours baby, all the 8!"/>
    <n v="15"/>
  </r>
  <r>
    <s v="ID1608"/>
    <n v="50000"/>
    <s v="EUR"/>
    <n v="63519.971949580387"/>
    <n v="55032.644299002604"/>
    <n v="55032.644299002604"/>
    <s v="Controller"/>
    <s v="Controller"/>
    <x v="11"/>
    <s v="4 to 6 hours a day"/>
    <n v="10"/>
  </r>
  <r>
    <s v="ID0163"/>
    <n v="55000"/>
    <s v="USD"/>
    <n v="55000"/>
    <n v="55000"/>
    <n v="55000"/>
    <s v="Change Architect"/>
    <s v="Manager"/>
    <x v="8"/>
    <s v="2 to 3 hours per day"/>
    <s v="Data Not Avaliable"/>
  </r>
  <r>
    <s v="ID0274"/>
    <n v="55000"/>
    <s v="USD"/>
    <n v="55000"/>
    <n v="55000"/>
    <n v="55000"/>
    <s v="data analyst"/>
    <s v="Analyst"/>
    <x v="8"/>
    <s v="All the 8 hours baby, all the 8!"/>
    <s v="Data Not Avaliable"/>
  </r>
  <r>
    <s v="ID0319"/>
    <n v="55000"/>
    <s v="USD"/>
    <n v="55000"/>
    <n v="55000"/>
    <n v="55000"/>
    <s v="Business Analyst"/>
    <s v="Analyst"/>
    <x v="8"/>
    <s v="4 to 6 hours a day"/>
    <s v="Data Not Avaliable"/>
  </r>
  <r>
    <s v="ID0390"/>
    <n v="55000"/>
    <s v="USD"/>
    <n v="55000"/>
    <n v="55000"/>
    <n v="55000"/>
    <s v="Accountant"/>
    <s v="Accountant"/>
    <x v="8"/>
    <s v="4 to 6 hours a day"/>
    <s v="Data Not Avaliable"/>
  </r>
  <r>
    <s v="ID0490"/>
    <n v="55000"/>
    <s v="USD"/>
    <n v="55000"/>
    <n v="55000"/>
    <n v="55000"/>
    <s v="Analyst"/>
    <s v="Analyst"/>
    <x v="8"/>
    <s v="2 to 3 hours per day"/>
    <s v="Data Not Avaliable"/>
  </r>
  <r>
    <s v="ID0547"/>
    <n v="55000"/>
    <s v="USD"/>
    <n v="55000"/>
    <n v="55000"/>
    <n v="55000"/>
    <s v="Marketing"/>
    <s v="Analyst"/>
    <x v="8"/>
    <s v="2 to 3 hours per day"/>
    <s v="Data Not Avaliable"/>
  </r>
  <r>
    <s v="ID0857"/>
    <n v="55000"/>
    <s v="USD"/>
    <n v="55000"/>
    <n v="55000"/>
    <n v="55000"/>
    <s v="Analyst"/>
    <s v="Analyst"/>
    <x v="8"/>
    <s v="4 to 6 hours a day"/>
    <n v="10"/>
  </r>
  <r>
    <s v="ID1051"/>
    <n v="55000"/>
    <s v="USD"/>
    <n v="55000"/>
    <n v="55000"/>
    <n v="55000"/>
    <s v="Economist"/>
    <s v="Reporting"/>
    <x v="16"/>
    <s v="4 to 6 hours a day"/>
    <n v="6"/>
  </r>
  <r>
    <s v="ID1250"/>
    <n v="55000"/>
    <s v="USD"/>
    <n v="55000"/>
    <n v="55000"/>
    <n v="55000"/>
    <s v="Systems Analyst"/>
    <s v="Analyst"/>
    <x v="8"/>
    <s v="1 or 2 hours a day"/>
    <n v="7"/>
  </r>
  <r>
    <s v="ID1408"/>
    <n v="55000"/>
    <s v="USD"/>
    <n v="55000"/>
    <n v="55000"/>
    <n v="55000"/>
    <s v="Risk Analyst"/>
    <s v="Analyst"/>
    <x v="8"/>
    <s v="All the 8 hours baby, all the 8!"/>
    <n v="1"/>
  </r>
  <r>
    <s v="ID1504"/>
    <n v="55000"/>
    <s v="USD"/>
    <n v="55000"/>
    <n v="55000"/>
    <n v="55000"/>
    <s v="Supplier Manager"/>
    <s v="Manager"/>
    <x v="8"/>
    <s v="2 to 3 hours per day"/>
    <n v="14"/>
  </r>
  <r>
    <s v="ID1610"/>
    <n v="55000"/>
    <s v="USD"/>
    <n v="55000"/>
    <n v="55000"/>
    <n v="55000"/>
    <s v="Business Analyst"/>
    <s v="Analyst"/>
    <x v="8"/>
    <s v="4 to 6 hours a day"/>
    <n v="2"/>
  </r>
  <r>
    <s v="ID1630"/>
    <n v="55000"/>
    <s v="USD"/>
    <n v="55000"/>
    <n v="55000"/>
    <n v="55000"/>
    <s v="Supply Chain Analyst"/>
    <s v="Analyst"/>
    <x v="8"/>
    <s v="4 to 6 hours a day"/>
    <n v="1"/>
  </r>
  <r>
    <s v="ID1674"/>
    <n v="55000"/>
    <s v="USD"/>
    <n v="55000"/>
    <n v="55000"/>
    <n v="55000"/>
    <s v="Customer Sales Analyst"/>
    <s v="Analyst"/>
    <x v="8"/>
    <s v="4 to 6 hours a day"/>
    <n v="15"/>
  </r>
  <r>
    <s v="ID0796"/>
    <n v="1152000"/>
    <s v="INR"/>
    <n v="20514.720023933838"/>
    <n v="54559.897745700619"/>
    <n v="54559.897745700619"/>
    <s v="Cashier"/>
    <s v="Accountant"/>
    <x v="7"/>
    <s v="4 to 6 hours a day"/>
    <n v="6"/>
  </r>
  <r>
    <s v="ID1476"/>
    <n v="37000"/>
    <s v="GBP"/>
    <n v="58318.59606648951"/>
    <n v="54536.934584275812"/>
    <n v="54536.934584275812"/>
    <s v="Planning &amp; Scheduling Manager"/>
    <s v="Manager"/>
    <x v="9"/>
    <s v="All the 8 hours baby, all the 8!"/>
    <n v="20"/>
  </r>
  <r>
    <s v="ID1628"/>
    <n v="37000"/>
    <s v="GBP"/>
    <n v="58318.59606648951"/>
    <n v="54536.934584275812"/>
    <n v="54536.934584275812"/>
    <s v="Technical Web Analyst"/>
    <s v="Analyst"/>
    <x v="9"/>
    <s v="4 to 6 hours a day"/>
    <n v="9"/>
  </r>
  <r>
    <s v="ID0688"/>
    <n v="1150000"/>
    <s v="INR"/>
    <n v="20479.104190558952"/>
    <n v="54465.175701003216"/>
    <n v="54465.175701003216"/>
    <s v="manager portfolio monitoring"/>
    <s v="Manager"/>
    <x v="7"/>
    <s v="2 to 3 hours per day"/>
    <n v="7"/>
  </r>
  <r>
    <s v="ID1466"/>
    <n v="1150000"/>
    <s v="INR"/>
    <n v="20479.104190558952"/>
    <n v="54465.175701003216"/>
    <n v="54465.175701003216"/>
    <s v="Project Manager"/>
    <s v="Manager"/>
    <x v="7"/>
    <s v="All the 8 hours baby, all the 8!"/>
    <n v="12"/>
  </r>
  <r>
    <s v="ID0528"/>
    <n v="49248"/>
    <s v="EUR"/>
    <n v="62564.631571458704"/>
    <n v="54204.953328745614"/>
    <n v="54204.953328745614"/>
    <s v="Financial Advisor"/>
    <s v="Accountant"/>
    <x v="11"/>
    <s v="All the 8 hours baby, all the 8!"/>
    <s v="Data Not Avaliable"/>
  </r>
  <r>
    <s v="ID0501"/>
    <n v="68500"/>
    <s v="CAD"/>
    <n v="67360.264327577388"/>
    <n v="54145.564919360608"/>
    <n v="54145.564919360608"/>
    <s v="Financial Analyst"/>
    <s v="Analyst"/>
    <x v="6"/>
    <s v="4 to 6 hours a day"/>
    <s v="Data Not Avaliable"/>
  </r>
  <r>
    <s v="ID0005"/>
    <n v="54000"/>
    <s v="USD"/>
    <n v="54000"/>
    <n v="54000"/>
    <n v="54000"/>
    <s v="Quality Engineer"/>
    <s v="Engineer"/>
    <x v="8"/>
    <s v="All the 8 hours baby, all the 8!"/>
    <s v="Data Not Avaliable"/>
  </r>
  <r>
    <s v="ID0133"/>
    <n v="54000"/>
    <s v="USD"/>
    <n v="54000"/>
    <n v="54000"/>
    <n v="54000"/>
    <s v="Research Analyst"/>
    <s v="Analyst"/>
    <x v="8"/>
    <s v="2 to 3 hours per day"/>
    <s v="Data Not Avaliable"/>
  </r>
  <r>
    <s v="ID0266"/>
    <n v="54000"/>
    <s v="USD"/>
    <n v="54000"/>
    <n v="54000"/>
    <n v="54000"/>
    <s v="Anaylst"/>
    <s v="Manager"/>
    <x v="8"/>
    <s v="All the 8 hours baby, all the 8!"/>
    <s v="Data Not Avaliable"/>
  </r>
  <r>
    <s v="ID0517"/>
    <n v="54000"/>
    <s v="USD"/>
    <n v="54000"/>
    <n v="54000"/>
    <n v="54000"/>
    <s v="Business Analyst"/>
    <s v="Analyst"/>
    <x v="8"/>
    <s v="4 to 6 hours a day"/>
    <s v="Data Not Avaliable"/>
  </r>
  <r>
    <s v="ID0560"/>
    <n v="54000"/>
    <s v="USD"/>
    <n v="54000"/>
    <n v="54000"/>
    <n v="54000"/>
    <s v="IT Specialist"/>
    <s v="Specialist"/>
    <x v="8"/>
    <s v="All the 8 hours baby, all the 8!"/>
    <n v="5"/>
  </r>
  <r>
    <s v="ID1287"/>
    <n v="54000"/>
    <s v="USD"/>
    <n v="54000"/>
    <n v="54000"/>
    <n v="54000"/>
    <s v="Resource Planning Analyst"/>
    <s v="Analyst"/>
    <x v="8"/>
    <s v="All the 8 hours baby, all the 8!"/>
    <n v="6"/>
  </r>
  <r>
    <s v="ID1642"/>
    <n v="54000"/>
    <s v="USD"/>
    <n v="54000"/>
    <n v="54000"/>
    <n v="54000"/>
    <s v="assistant director of finance"/>
    <s v="CXO or Top Mgmt."/>
    <x v="8"/>
    <s v="4 to 6 hours a day"/>
    <n v="10"/>
  </r>
  <r>
    <s v="ID1708"/>
    <n v="54000"/>
    <s v="USD"/>
    <n v="54000"/>
    <n v="54000"/>
    <n v="54000"/>
    <s v="Energy Analyst"/>
    <s v="Analyst"/>
    <x v="8"/>
    <s v="All the 8 hours baby, all the 8!"/>
    <n v="6"/>
  </r>
  <r>
    <s v="ID1872"/>
    <n v="54000"/>
    <s v="USD"/>
    <n v="54000"/>
    <n v="54000"/>
    <n v="54000"/>
    <s v="materials"/>
    <s v="Analyst"/>
    <x v="8"/>
    <s v="4 to 6 hours a day"/>
    <n v="18"/>
  </r>
  <r>
    <s v="ID0058"/>
    <n v="49000"/>
    <s v="EUR"/>
    <n v="62249.572510588783"/>
    <n v="53931.991413022559"/>
    <n v="53931.991413022559"/>
    <s v="Project leader"/>
    <s v="Manager"/>
    <x v="43"/>
    <s v="2 to 3 hours per day"/>
    <s v="Data Not Avaliable"/>
  </r>
  <r>
    <s v="ID1456"/>
    <n v="86000"/>
    <s v="AUD"/>
    <n v="87712.230450626681"/>
    <n v="53897.409005080553"/>
    <n v="53897.409005080553"/>
    <s v="data analyst"/>
    <s v="Analyst"/>
    <x v="19"/>
    <s v="4 to 6 hours a day"/>
    <n v="10"/>
  </r>
  <r>
    <s v="ID0529"/>
    <n v="36500"/>
    <s v="GBP"/>
    <n v="57530.506930455871"/>
    <n v="53799.948981785601"/>
    <n v="53799.948981785601"/>
    <s v="Production Manager"/>
    <s v="Manager"/>
    <x v="9"/>
    <s v="2 to 3 hours per day"/>
    <s v="Data Not Avaliable"/>
  </r>
  <r>
    <s v="ID1760"/>
    <n v="1130000"/>
    <s v="INR"/>
    <n v="20122.945856810104"/>
    <n v="53517.955254029257"/>
    <n v="53517.955254029257"/>
    <s v="Financial Analyst "/>
    <s v="Analyst"/>
    <x v="7"/>
    <s v="All the 8 hours baby, all the 8!"/>
    <n v="3"/>
  </r>
  <r>
    <s v="ID1312"/>
    <n v="48500"/>
    <s v="EUR"/>
    <n v="61614.372791092981"/>
    <n v="53381.664970032536"/>
    <n v="53381.664970032536"/>
    <s v="Information analyst"/>
    <s v="Analyst"/>
    <x v="11"/>
    <s v="4 to 6 hours a day"/>
    <n v="8"/>
  </r>
  <r>
    <s v="ID0067"/>
    <n v="85000"/>
    <s v="AUD"/>
    <n v="86692.320794224041"/>
    <n v="53270.694946881937"/>
    <n v="53270.694946881937"/>
    <s v="head of data"/>
    <s v="CXO or Top Mgmt."/>
    <x v="19"/>
    <s v="4 to 6 hours a day"/>
    <s v="Data Not Avaliable"/>
  </r>
  <r>
    <s v="ID0543"/>
    <n v="85000"/>
    <s v="AUD"/>
    <n v="86692.320794224041"/>
    <n v="53270.694946881937"/>
    <n v="53270.694946881937"/>
    <s v="Business analyst"/>
    <s v="Analyst"/>
    <x v="19"/>
    <s v="4 to 6 hours a day"/>
    <s v="Data Not Avaliable"/>
  </r>
  <r>
    <s v="ID0623"/>
    <n v="85000"/>
    <s v="AUD"/>
    <n v="86692.320794224041"/>
    <n v="53270.694946881937"/>
    <n v="53270.694946881937"/>
    <s v="Trainer"/>
    <s v="Consultant"/>
    <x v="19"/>
    <s v="1 or 2 hours a day"/>
    <n v="20"/>
  </r>
  <r>
    <s v="ID1537"/>
    <n v="85000"/>
    <s v="AUD"/>
    <n v="86692.320794224041"/>
    <n v="53270.694946881937"/>
    <n v="53270.694946881937"/>
    <s v="Demand Planner"/>
    <s v="Analyst"/>
    <x v="19"/>
    <s v="1 or 2 hours a day"/>
    <n v="5"/>
  </r>
  <r>
    <s v="ID1586"/>
    <n v="85000"/>
    <s v="AUD"/>
    <n v="86692.320794224041"/>
    <n v="53270.694946881937"/>
    <n v="53270.694946881937"/>
    <s v="Administrator"/>
    <s v="Analyst"/>
    <x v="19"/>
    <s v="4 to 6 hours a day"/>
    <n v="30"/>
  </r>
  <r>
    <s v="ID1725"/>
    <n v="36000"/>
    <s v="GBP"/>
    <n v="56742.417794422225"/>
    <n v="53062.963379295383"/>
    <n v="53062.963379295383"/>
    <s v="contracts officer"/>
    <s v="Manager"/>
    <x v="9"/>
    <s v="1 or 2 hours a day"/>
    <n v="25"/>
  </r>
  <r>
    <s v="ID1835"/>
    <n v="36000"/>
    <s v="GBP"/>
    <n v="56742.417794422225"/>
    <n v="53062.963379295383"/>
    <n v="53062.963379295383"/>
    <s v="Senior officer data reporting"/>
    <s v="Manager"/>
    <x v="9"/>
    <s v="All the 8 hours baby, all the 8!"/>
    <n v="7"/>
  </r>
  <r>
    <s v="ID0142"/>
    <n v="53000"/>
    <s v="USD"/>
    <n v="53000"/>
    <n v="53000"/>
    <n v="53000"/>
    <s v="Data Analyst"/>
    <s v="Analyst"/>
    <x v="8"/>
    <s v="4 to 6 hours a day"/>
    <s v="Data Not Avaliable"/>
  </r>
  <r>
    <s v="ID0304"/>
    <n v="53000"/>
    <s v="USD"/>
    <n v="53000"/>
    <n v="53000"/>
    <n v="53000"/>
    <s v="Data Analyst"/>
    <s v="Analyst"/>
    <x v="8"/>
    <s v="4 to 6 hours a day"/>
    <s v="Data Not Avaliable"/>
  </r>
  <r>
    <s v="ID0350"/>
    <n v="53000"/>
    <s v="USD"/>
    <n v="53000"/>
    <n v="53000"/>
    <n v="53000"/>
    <s v="General Manager"/>
    <s v="Manager"/>
    <x v="8"/>
    <s v="2 to 3 hours per day"/>
    <s v="Data Not Avaliable"/>
  </r>
  <r>
    <s v="ID0643"/>
    <n v="53000"/>
    <s v="USD"/>
    <n v="53000"/>
    <n v="53000"/>
    <n v="53000"/>
    <s v="Financial Analyst"/>
    <s v="Analyst"/>
    <x v="8"/>
    <s v="4 to 6 hours a day"/>
    <n v="30"/>
  </r>
  <r>
    <s v="ID1659"/>
    <n v="84000"/>
    <s v="AUD"/>
    <n v="85672.4111378214"/>
    <n v="52643.98088868332"/>
    <n v="52643.98088868332"/>
    <s v="consultant"/>
    <s v="Consultant"/>
    <x v="19"/>
    <s v="4 to 6 hours a day"/>
    <n v="6"/>
  </r>
  <r>
    <s v="ID0234"/>
    <n v="52500"/>
    <s v="USD"/>
    <n v="52500"/>
    <n v="52500"/>
    <n v="52500"/>
    <s v="HRIS Analyst"/>
    <s v="Analyst"/>
    <x v="8"/>
    <s v="4 to 6 hours a day"/>
    <s v="Data Not Avaliable"/>
  </r>
  <r>
    <s v="ID0253"/>
    <n v="52500"/>
    <s v="USD"/>
    <n v="52500"/>
    <n v="52500"/>
    <n v="52500"/>
    <s v="Analyst"/>
    <s v="Analyst"/>
    <x v="8"/>
    <s v="4 to 6 hours a day"/>
    <s v="Data Not Avaliable"/>
  </r>
  <r>
    <s v="ID1770"/>
    <n v="52500"/>
    <s v="USD"/>
    <n v="52500"/>
    <n v="52500"/>
    <n v="52500"/>
    <s v="Data Management Solutions Supervisor"/>
    <s v="Manager"/>
    <x v="8"/>
    <s v="All the 8 hours baby, all the 8!"/>
    <n v="3"/>
  </r>
  <r>
    <s v="ID1927"/>
    <n v="52500"/>
    <s v="USD"/>
    <n v="52500"/>
    <n v="52500"/>
    <n v="52500"/>
    <s v="Business Analist"/>
    <s v="Analyst"/>
    <x v="13"/>
    <s v="4 to 6 hours a day"/>
    <n v="21"/>
  </r>
  <r>
    <s v="ID1700"/>
    <n v="35500"/>
    <s v="GBP"/>
    <n v="55954.328658388586"/>
    <n v="52325.977776805172"/>
    <n v="52325.977776805172"/>
    <s v="Assistant Accountant"/>
    <s v="Accountant"/>
    <x v="9"/>
    <s v="4 to 6 hours a day"/>
    <n v="8"/>
  </r>
  <r>
    <s v="ID0790"/>
    <n v="66000"/>
    <s v="CAD"/>
    <n v="64901.860520001574"/>
    <n v="52169.449411354748"/>
    <n v="52169.449411354748"/>
    <s v="Programmer-analyst"/>
    <s v="Analyst"/>
    <x v="6"/>
    <s v="2 to 3 hours per day"/>
    <n v="20"/>
  </r>
  <r>
    <s v="ID0175"/>
    <n v="1100000"/>
    <s v="INR"/>
    <n v="19588.708356186824"/>
    <n v="52097.1245835683"/>
    <n v="52097.1245835683"/>
    <s v="Asst manager investor relations and business analytics"/>
    <s v="Manager"/>
    <x v="7"/>
    <s v="4 to 6 hours a day"/>
    <s v="Data Not Avaliable"/>
  </r>
  <r>
    <s v="ID0443"/>
    <n v="1100000"/>
    <s v="INR"/>
    <n v="19588.708356186824"/>
    <n v="52097.1245835683"/>
    <n v="52097.1245835683"/>
    <s v="manager - MIS &amp; operations planning"/>
    <s v="Manager"/>
    <x v="7"/>
    <s v="4 to 6 hours a day"/>
    <s v="Data Not Avaliable"/>
  </r>
  <r>
    <s v="ID1203"/>
    <n v="1100000"/>
    <s v="INR"/>
    <n v="19588.708356186824"/>
    <n v="52097.1245835683"/>
    <n v="52097.1245835683"/>
    <s v="Sr. Consultant"/>
    <s v="Consultant"/>
    <x v="7"/>
    <s v="All the 8 hours baby, all the 8!"/>
    <n v="13"/>
  </r>
  <r>
    <s v="ID0104"/>
    <n v="52000"/>
    <s v="USD"/>
    <n v="52000"/>
    <n v="52000"/>
    <n v="52000"/>
    <s v="sr. project coordinator"/>
    <s v="Manager"/>
    <x v="8"/>
    <s v="4 to 6 hours a day"/>
    <s v="Data Not Avaliable"/>
  </r>
  <r>
    <s v="ID0120"/>
    <n v="52000"/>
    <s v="USD"/>
    <n v="52000"/>
    <n v="52000"/>
    <n v="52000"/>
    <s v="Market Analyst"/>
    <s v="Analyst"/>
    <x v="8"/>
    <s v="Excel ?!? What Excel?"/>
    <s v="Data Not Avaliable"/>
  </r>
  <r>
    <s v="ID0405"/>
    <n v="52000"/>
    <s v="USD"/>
    <n v="52000"/>
    <n v="52000"/>
    <n v="52000"/>
    <s v="Data Analyst"/>
    <s v="Analyst"/>
    <x v="8"/>
    <s v="4 to 6 hours a day"/>
    <s v="Data Not Avaliable"/>
  </r>
  <r>
    <s v="ID0414"/>
    <n v="52000"/>
    <s v="USD"/>
    <n v="52000"/>
    <n v="52000"/>
    <n v="52000"/>
    <s v="Sr. Accountant"/>
    <s v="Accountant"/>
    <x v="8"/>
    <s v="4 to 6 hours a day"/>
    <s v="Data Not Avaliable"/>
  </r>
  <r>
    <s v="ID0462"/>
    <n v="52000"/>
    <s v="USD"/>
    <n v="52000"/>
    <n v="52000"/>
    <n v="52000"/>
    <s v="Graphics/Web Document Designer"/>
    <s v="Analyst"/>
    <x v="8"/>
    <s v="2 to 3 hours per day"/>
    <s v="Data Not Avaliable"/>
  </r>
  <r>
    <s v="ID0481"/>
    <n v="52000"/>
    <s v="USD"/>
    <n v="52000"/>
    <n v="52000"/>
    <n v="52000"/>
    <s v="budget analyst"/>
    <s v="Analyst"/>
    <x v="8"/>
    <s v="4 to 6 hours a day"/>
    <s v="Data Not Avaliable"/>
  </r>
  <r>
    <s v="ID0683"/>
    <n v="52000"/>
    <s v="USD"/>
    <n v="52000"/>
    <n v="52000"/>
    <n v="52000"/>
    <s v="Maint Sys Support Specialist"/>
    <s v="Specialist"/>
    <x v="8"/>
    <s v="4 to 6 hours a day"/>
    <n v="18"/>
  </r>
  <r>
    <s v="ID1593"/>
    <n v="52000"/>
    <s v="USD"/>
    <n v="52000"/>
    <n v="52000"/>
    <n v="52000"/>
    <s v="Planner"/>
    <s v="Analyst"/>
    <x v="8"/>
    <s v="All the 8 hours baby, all the 8!"/>
    <n v="5"/>
  </r>
  <r>
    <s v="ID0415"/>
    <n v="51613"/>
    <s v="USD"/>
    <n v="51613"/>
    <n v="51613"/>
    <n v="51613"/>
    <s v="Air Planning Analyst"/>
    <s v="Analyst"/>
    <x v="8"/>
    <s v="All the 8 hours baby, all the 8!"/>
    <s v="Data Not Avaliable"/>
  </r>
  <r>
    <s v="ID0033"/>
    <n v="35000"/>
    <s v="GBP"/>
    <n v="55166.239522354947"/>
    <n v="51588.992174314961"/>
    <n v="51588.992174314961"/>
    <s v="Management Information Analyst"/>
    <s v="Analyst"/>
    <x v="9"/>
    <s v="All the 8 hours baby, all the 8!"/>
    <s v="Data Not Avaliable"/>
  </r>
  <r>
    <s v="ID0409"/>
    <n v="35000"/>
    <s v="GBP"/>
    <n v="55166.239522354947"/>
    <n v="51588.992174314961"/>
    <n v="51588.992174314961"/>
    <s v="Mgmt Accountant"/>
    <s v="Accountant"/>
    <x v="9"/>
    <s v="4 to 6 hours a day"/>
    <s v="Data Not Avaliable"/>
  </r>
  <r>
    <s v="ID1111"/>
    <n v="35000"/>
    <s v="GBP"/>
    <n v="55166.239522354947"/>
    <n v="51588.992174314961"/>
    <n v="51588.992174314961"/>
    <s v="Systems Analyst"/>
    <s v="Analyst"/>
    <x v="9"/>
    <s v="2 to 3 hours per day"/>
    <n v="6"/>
  </r>
  <r>
    <s v="ID1153"/>
    <n v="35000"/>
    <s v="GBP"/>
    <n v="55166.239522354947"/>
    <n v="51588.992174314961"/>
    <n v="51588.992174314961"/>
    <s v="MI Analyst"/>
    <s v="Analyst"/>
    <x v="9"/>
    <s v="4 to 6 hours a day"/>
    <n v="10"/>
  </r>
  <r>
    <s v="ID1552"/>
    <n v="35000"/>
    <s v="GBP"/>
    <n v="55166.239522354947"/>
    <n v="51588.992174314961"/>
    <n v="51588.992174314961"/>
    <s v="Research Analyst"/>
    <s v="Analyst"/>
    <x v="9"/>
    <s v="4 to 6 hours a day"/>
    <n v="3"/>
  </r>
  <r>
    <s v="ID1577"/>
    <n v="35000"/>
    <s v="GBP"/>
    <n v="55166.239522354947"/>
    <n v="51588.992174314961"/>
    <n v="51588.992174314961"/>
    <s v="finance director"/>
    <s v="CXO or Top Mgmt."/>
    <x v="9"/>
    <s v="2 to 3 hours per day"/>
    <n v="30"/>
  </r>
  <r>
    <s v="ID1895"/>
    <n v="35000"/>
    <s v="GBP"/>
    <n v="55166.239522354947"/>
    <n v="51588.992174314961"/>
    <n v="51588.992174314961"/>
    <s v="Process Analyst"/>
    <s v="Analyst"/>
    <x v="9"/>
    <s v="All the 8 hours baby, all the 8!"/>
    <n v="34"/>
  </r>
  <r>
    <s v="ID1638"/>
    <n v="485000"/>
    <s v="DKK"/>
    <n v="82888.5550559455"/>
    <n v="51385.541369194259"/>
    <n v="51385.541369194259"/>
    <s v="Controller"/>
    <s v="Controller"/>
    <x v="24"/>
    <s v="4 to 6 hours a day"/>
    <n v="18"/>
  </r>
  <r>
    <s v="ID0246"/>
    <n v="65000"/>
    <s v="CAD"/>
    <n v="63918.498996971248"/>
    <n v="51379.003208152404"/>
    <n v="51379.003208152404"/>
    <s v="Insurance Manager"/>
    <s v="Manager"/>
    <x v="6"/>
    <s v="4 to 6 hours a day"/>
    <s v="Data Not Avaliable"/>
  </r>
  <r>
    <s v="ID0333"/>
    <n v="65000"/>
    <s v="CAD"/>
    <n v="63918.498996971248"/>
    <n v="51379.003208152404"/>
    <n v="51379.003208152404"/>
    <s v="Product developer"/>
    <s v="Manager"/>
    <x v="6"/>
    <s v="2 to 3 hours per day"/>
    <s v="Data Not Avaliable"/>
  </r>
  <r>
    <s v="ID1166"/>
    <n v="65000"/>
    <s v="CAD"/>
    <n v="63918.498996971248"/>
    <n v="51379.003208152404"/>
    <n v="51379.003208152404"/>
    <s v="IT Analyst (Reporting)"/>
    <s v="Analyst"/>
    <x v="6"/>
    <s v="4 to 6 hours a day"/>
    <n v="20"/>
  </r>
  <r>
    <s v="ID1259"/>
    <n v="65000"/>
    <s v="CAD"/>
    <n v="63918.498996971248"/>
    <n v="51379.003208152404"/>
    <n v="51379.003208152404"/>
    <s v="it manager"/>
    <s v="Manager"/>
    <x v="6"/>
    <s v="2 to 3 hours per day"/>
    <n v="15"/>
  </r>
  <r>
    <s v="ID0721"/>
    <n v="85000"/>
    <s v="NZD"/>
    <n v="67794.987956419791"/>
    <n v="51183.328884954703"/>
    <n v="51183.328884954703"/>
    <s v="Systems Manager"/>
    <s v="Manager"/>
    <x v="21"/>
    <s v="4 to 6 hours a day"/>
    <n v="15"/>
  </r>
  <r>
    <s v="ID1017"/>
    <n v="308500"/>
    <s v="ZAR"/>
    <n v="37612.869087708088"/>
    <n v="51167.637409233968"/>
    <n v="51167.637409233968"/>
    <s v="Management Information Consultant"/>
    <s v="Manager"/>
    <x v="13"/>
    <s v="All the 8 hours baby, all the 8!"/>
    <n v="3"/>
  </r>
  <r>
    <s v="ID0203"/>
    <n v="51000"/>
    <s v="USD"/>
    <n v="51000"/>
    <n v="51000"/>
    <n v="51000"/>
    <s v="Service Line Coordinator"/>
    <s v="Manager"/>
    <x v="8"/>
    <s v="4 to 6 hours a day"/>
    <s v="Data Not Avaliable"/>
  </r>
  <r>
    <s v="ID0259"/>
    <n v="51000"/>
    <s v="USD"/>
    <n v="51000"/>
    <n v="51000"/>
    <n v="51000"/>
    <s v="Business Data Analyst I"/>
    <s v="Analyst"/>
    <x v="8"/>
    <s v="2 to 3 hours per day"/>
    <s v="Data Not Avaliable"/>
  </r>
  <r>
    <s v="ID0447"/>
    <n v="51000"/>
    <s v="USD"/>
    <n v="51000"/>
    <n v="51000"/>
    <n v="51000"/>
    <s v="Direct marketing manager"/>
    <s v="Manager"/>
    <x v="8"/>
    <s v="2 to 3 hours per day"/>
    <s v="Data Not Avaliable"/>
  </r>
  <r>
    <s v="ID1253"/>
    <n v="50846"/>
    <s v="USD"/>
    <n v="50846"/>
    <n v="50846"/>
    <n v="50846"/>
    <s v="Program &amp; Policy Analyst-Advanced"/>
    <s v="Analyst"/>
    <x v="8"/>
    <s v="4 to 6 hours a day"/>
    <n v="25"/>
  </r>
  <r>
    <s v="ID1256"/>
    <n v="50700"/>
    <s v="USD"/>
    <n v="50700"/>
    <n v="50700"/>
    <n v="50700"/>
    <s v="Sr. Systems Analyst"/>
    <s v="Analyst"/>
    <x v="10"/>
    <s v="1 or 2 hours a day"/>
    <n v="15"/>
  </r>
  <r>
    <s v="ID0964"/>
    <n v="80000"/>
    <s v="AUD"/>
    <n v="81592.772512210868"/>
    <n v="50137.124655888889"/>
    <n v="50137.124655888889"/>
    <s v="Billing manager"/>
    <s v="Manager"/>
    <x v="19"/>
    <s v="4 to 6 hours a day"/>
    <n v="25"/>
  </r>
  <r>
    <s v="ID1255"/>
    <n v="80000"/>
    <s v="AUD"/>
    <n v="81592.772512210868"/>
    <n v="50137.124655888889"/>
    <n v="50137.124655888889"/>
    <s v="systems accountant"/>
    <s v="Accountant"/>
    <x v="19"/>
    <s v="4 to 6 hours a day"/>
    <n v="5"/>
  </r>
  <r>
    <s v="ID1713"/>
    <n v="80000"/>
    <s v="AUD"/>
    <n v="81592.772512210868"/>
    <n v="50137.124655888889"/>
    <n v="50137.124655888889"/>
    <s v="PPC Search Specialist"/>
    <s v="Specialist"/>
    <x v="19"/>
    <s v="4 to 6 hours a day"/>
    <n v="5"/>
  </r>
  <r>
    <s v="ID1205"/>
    <n v="34000"/>
    <s v="GBP"/>
    <n v="53590.061250287661"/>
    <n v="50115.020969334531"/>
    <n v="50115.020969334531"/>
    <s v="investment accountant"/>
    <s v="Accountant"/>
    <x v="9"/>
    <s v="All the 8 hours baby, all the 8!"/>
    <n v="10"/>
  </r>
  <r>
    <s v="ID1206"/>
    <n v="34000"/>
    <s v="GBP"/>
    <n v="53590.061250287661"/>
    <n v="50115.020969334531"/>
    <n v="50115.020969334531"/>
    <s v="investment accountant"/>
    <s v="Accountant"/>
    <x v="9"/>
    <s v="All the 8 hours baby, all the 8!"/>
    <n v="10"/>
  </r>
  <r>
    <s v="ID1246"/>
    <n v="34000"/>
    <s v="GBP"/>
    <n v="53590.061250287661"/>
    <n v="50115.020969334531"/>
    <n v="50115.020969334531"/>
    <s v="Investment Accountant"/>
    <s v="Accountant"/>
    <x v="9"/>
    <s v="All the 8 hours baby, all the 8!"/>
    <n v="10"/>
  </r>
  <r>
    <s v="ID0020"/>
    <n v="50000"/>
    <s v="USD"/>
    <n v="50000"/>
    <n v="50000"/>
    <n v="50000"/>
    <s v="GM"/>
    <s v="Manager"/>
    <x v="7"/>
    <s v="1 or 2 hours a day"/>
    <s v="Data Not Avaliable"/>
  </r>
  <r>
    <s v="ID0069"/>
    <n v="50000"/>
    <s v="USD"/>
    <n v="50000"/>
    <n v="50000"/>
    <n v="50000"/>
    <s v="Financial Analyst II"/>
    <s v="Analyst"/>
    <x v="8"/>
    <s v="All the 8 hours baby, all the 8!"/>
    <s v="Data Not Avaliable"/>
  </r>
  <r>
    <s v="ID0080"/>
    <n v="50000"/>
    <s v="USD"/>
    <n v="50000"/>
    <n v="50000"/>
    <n v="50000"/>
    <s v="Exceler"/>
    <s v="Manager"/>
    <x v="8"/>
    <s v="2 to 3 hours per day"/>
    <s v="Data Not Avaliable"/>
  </r>
  <r>
    <s v="ID0112"/>
    <n v="50000"/>
    <s v="USD"/>
    <n v="50000"/>
    <n v="50000"/>
    <n v="50000"/>
    <s v="Transportation Specialist"/>
    <s v="Specialist"/>
    <x v="8"/>
    <s v="4 to 6 hours a day"/>
    <s v="Data Not Avaliable"/>
  </r>
  <r>
    <s v="ID0123"/>
    <n v="50000"/>
    <s v="USD"/>
    <n v="50000"/>
    <n v="50000"/>
    <n v="50000"/>
    <s v="Information Systems Specialist"/>
    <s v="Specialist"/>
    <x v="8"/>
    <s v="4 to 6 hours a day"/>
    <s v="Data Not Avaliable"/>
  </r>
  <r>
    <s v="ID0150"/>
    <n v="50000"/>
    <s v="USD"/>
    <n v="50000"/>
    <n v="50000"/>
    <n v="50000"/>
    <s v="Business Operations Reporting Analyst"/>
    <s v="Analyst"/>
    <x v="27"/>
    <s v="All the 8 hours baby, all the 8!"/>
    <s v="Data Not Avaliable"/>
  </r>
  <r>
    <s v="ID0210"/>
    <n v="50000"/>
    <s v="USD"/>
    <n v="50000"/>
    <n v="50000"/>
    <n v="50000"/>
    <s v="Buyer"/>
    <s v="Manager"/>
    <x v="8"/>
    <s v="4 to 6 hours a day"/>
    <s v="Data Not Avaliable"/>
  </r>
  <r>
    <s v="ID0227"/>
    <n v="50000"/>
    <s v="USD"/>
    <n v="50000"/>
    <n v="50000"/>
    <n v="50000"/>
    <s v="Project Manager"/>
    <s v="Manager"/>
    <x v="8"/>
    <s v="4 to 6 hours a day"/>
    <s v="Data Not Avaliable"/>
  </r>
  <r>
    <s v="ID0242"/>
    <n v="50000"/>
    <s v="USD"/>
    <n v="50000"/>
    <n v="50000"/>
    <n v="50000"/>
    <s v="data analyst"/>
    <s v="Analyst"/>
    <x v="8"/>
    <s v="All the 8 hours baby, all the 8!"/>
    <s v="Data Not Avaliable"/>
  </r>
  <r>
    <s v="ID0295"/>
    <n v="50000"/>
    <s v="USD"/>
    <n v="50000"/>
    <n v="50000"/>
    <n v="50000"/>
    <s v="Mathematical Data Analyist"/>
    <s v="Analyst"/>
    <x v="8"/>
    <s v="All the 8 hours baby, all the 8!"/>
    <s v="Data Not Avaliable"/>
  </r>
  <r>
    <s v="ID0334"/>
    <n v="50000"/>
    <s v="USD"/>
    <n v="50000"/>
    <n v="50000"/>
    <n v="50000"/>
    <s v="Supply Chain Analyst"/>
    <s v="Analyst"/>
    <x v="8"/>
    <s v="All the 8 hours baby, all the 8!"/>
    <s v="Data Not Avaliable"/>
  </r>
  <r>
    <s v="ID0392"/>
    <n v="50000"/>
    <s v="USD"/>
    <n v="50000"/>
    <n v="50000"/>
    <n v="50000"/>
    <s v="IR Manager"/>
    <s v="Manager"/>
    <x v="8"/>
    <s v="2 to 3 hours per day"/>
    <s v="Data Not Avaliable"/>
  </r>
  <r>
    <s v="ID0451"/>
    <n v="50000"/>
    <s v="USD"/>
    <n v="50000"/>
    <n v="50000"/>
    <n v="50000"/>
    <s v="Wine Analyst"/>
    <s v="Analyst"/>
    <x v="8"/>
    <s v="4 to 6 hours a day"/>
    <s v="Data Not Avaliable"/>
  </r>
  <r>
    <s v="ID0471"/>
    <n v="50000"/>
    <s v="USD"/>
    <n v="50000"/>
    <n v="50000"/>
    <n v="50000"/>
    <s v="Researcher &amp; Data Analyst"/>
    <s v="Analyst"/>
    <x v="8"/>
    <s v="4 to 6 hours a day"/>
    <s v="Data Not Avaliable"/>
  </r>
  <r>
    <s v="ID0487"/>
    <n v="50000"/>
    <s v="USD"/>
    <n v="50000"/>
    <n v="50000"/>
    <n v="50000"/>
    <s v="Workforce Analyst"/>
    <s v="Analyst"/>
    <x v="8"/>
    <s v="4 to 6 hours a day"/>
    <s v="Data Not Avaliable"/>
  </r>
  <r>
    <s v="ID0537"/>
    <n v="50000"/>
    <s v="USD"/>
    <n v="50000"/>
    <n v="50000"/>
    <n v="50000"/>
    <s v="Research Assistant"/>
    <s v="Analyst"/>
    <x v="8"/>
    <s v="2 to 3 hours per day"/>
    <s v="Data Not Avaliable"/>
  </r>
  <r>
    <s v="ID0539"/>
    <n v="50000"/>
    <s v="USD"/>
    <n v="50000"/>
    <n v="50000"/>
    <n v="50000"/>
    <s v="Excel professional"/>
    <s v="Analyst"/>
    <x v="50"/>
    <s v="4 to 6 hours a day"/>
    <s v="Data Not Avaliable"/>
  </r>
  <r>
    <s v="ID0550"/>
    <n v="50000"/>
    <s v="USD"/>
    <n v="50000"/>
    <n v="50000"/>
    <n v="50000"/>
    <s v="Quality Compliance Manager"/>
    <s v="Manager"/>
    <x v="8"/>
    <s v="4 to 6 hours a day"/>
    <s v="Data Not Avaliable"/>
  </r>
  <r>
    <s v="ID0583"/>
    <n v="50000"/>
    <s v="USD"/>
    <n v="50000"/>
    <n v="50000"/>
    <n v="50000"/>
    <s v="IT Specialist"/>
    <s v="Specialist"/>
    <x v="8"/>
    <s v="2 to 3 hours per day"/>
    <n v="10"/>
  </r>
  <r>
    <s v="ID0599"/>
    <n v="50000"/>
    <s v="USD"/>
    <n v="50000"/>
    <n v="50000"/>
    <n v="50000"/>
    <s v="General manager"/>
    <s v="Manager"/>
    <x v="7"/>
    <s v="1 or 2 hours a day"/>
    <n v="25"/>
  </r>
  <r>
    <s v="ID0604"/>
    <n v="50000"/>
    <s v="USD"/>
    <n v="50000"/>
    <n v="50000"/>
    <n v="50000"/>
    <s v="Product manager"/>
    <s v="Manager"/>
    <x v="7"/>
    <s v="1 or 2 hours a day"/>
    <n v="10"/>
  </r>
  <r>
    <s v="ID0624"/>
    <n v="50000"/>
    <s v="USD"/>
    <n v="50000"/>
    <n v="50000"/>
    <n v="50000"/>
    <s v="Project coordinator"/>
    <s v="Manager"/>
    <x v="8"/>
    <s v="4 to 6 hours a day"/>
    <n v="20"/>
  </r>
  <r>
    <s v="ID0690"/>
    <n v="50000"/>
    <s v="USD"/>
    <n v="50000"/>
    <n v="50000"/>
    <n v="50000"/>
    <s v="AREA SALES MANAGER"/>
    <s v="Manager"/>
    <x v="7"/>
    <s v="2 to 3 hours per day"/>
    <n v="20"/>
  </r>
  <r>
    <s v="ID0869"/>
    <n v="50000"/>
    <s v="USD"/>
    <n v="50000"/>
    <n v="50000"/>
    <n v="50000"/>
    <s v="Boss"/>
    <s v="CXO or Top Mgmt."/>
    <x v="8"/>
    <s v="All the 8 hours baby, all the 8!"/>
    <n v="15"/>
  </r>
  <r>
    <s v="ID1070"/>
    <n v="50000"/>
    <s v="USD"/>
    <n v="50000"/>
    <n v="50000"/>
    <n v="50000"/>
    <s v="Managing Partner"/>
    <s v="CXO or Top Mgmt."/>
    <x v="7"/>
    <s v="1 or 2 hours a day"/>
    <n v="26"/>
  </r>
  <r>
    <s v="ID1088"/>
    <n v="50000"/>
    <s v="USD"/>
    <n v="50000"/>
    <n v="50000"/>
    <n v="50000"/>
    <s v="Sr. Manager MIS"/>
    <s v="Manager"/>
    <x v="7"/>
    <s v="2 to 3 hours per day"/>
    <n v="30"/>
  </r>
  <r>
    <s v="ID1169"/>
    <n v="50000"/>
    <s v="USD"/>
    <n v="50000"/>
    <n v="50000"/>
    <n v="50000"/>
    <s v="Program Manager"/>
    <s v="Manager"/>
    <x v="6"/>
    <s v="1 or 2 hours a day"/>
    <n v="5"/>
  </r>
  <r>
    <s v="ID1185"/>
    <n v="50000"/>
    <s v="USD"/>
    <n v="50000"/>
    <n v="50000"/>
    <n v="50000"/>
    <s v="Engineer"/>
    <s v="Engineer"/>
    <x v="3"/>
    <s v="2 to 3 hours per day"/>
    <n v="25"/>
  </r>
  <r>
    <s v="ID1282"/>
    <n v="50000"/>
    <s v="USD"/>
    <n v="50000"/>
    <n v="50000"/>
    <n v="50000"/>
    <s v="Data Analyst"/>
    <s v="Analyst"/>
    <x v="8"/>
    <s v="4 to 6 hours a day"/>
    <n v="3"/>
  </r>
  <r>
    <s v="ID1378"/>
    <n v="50000"/>
    <s v="USD"/>
    <n v="50000"/>
    <n v="50000"/>
    <n v="50000"/>
    <s v="Engineering Intern"/>
    <s v="Engineer"/>
    <x v="8"/>
    <s v="4 to 6 hours a day"/>
    <n v="0.5"/>
  </r>
  <r>
    <s v="ID1416"/>
    <n v="50000"/>
    <s v="USD"/>
    <n v="50000"/>
    <n v="50000"/>
    <n v="50000"/>
    <s v="Accounting Supervisor"/>
    <s v="Accountant"/>
    <x v="8"/>
    <s v="4 to 6 hours a day"/>
    <n v="15"/>
  </r>
  <r>
    <s v="ID1425"/>
    <n v="50000"/>
    <s v="USD"/>
    <n v="50000"/>
    <n v="50000"/>
    <n v="50000"/>
    <s v="Digital Analyst"/>
    <s v="Analyst"/>
    <x v="8"/>
    <s v="4 to 6 hours a day"/>
    <n v="7"/>
  </r>
  <r>
    <s v="ID1493"/>
    <n v="50000"/>
    <s v="USD"/>
    <n v="50000"/>
    <n v="50000"/>
    <n v="50000"/>
    <s v="Sr. Financial Analyst"/>
    <s v="Analyst"/>
    <x v="51"/>
    <s v="4 to 6 hours a day"/>
    <n v="13"/>
  </r>
  <r>
    <s v="ID1581"/>
    <n v="50000"/>
    <s v="USD"/>
    <n v="50000"/>
    <n v="50000"/>
    <n v="50000"/>
    <s v="Staff Accountant"/>
    <s v="Accountant"/>
    <x v="8"/>
    <s v="4 to 6 hours a day"/>
    <n v="15"/>
  </r>
  <r>
    <s v="ID1603"/>
    <n v="50000"/>
    <s v="USD"/>
    <n v="50000"/>
    <n v="50000"/>
    <n v="50000"/>
    <s v="Sales Operations Analyst"/>
    <s v="Analyst"/>
    <x v="8"/>
    <s v="All the 8 hours baby, all the 8!"/>
    <n v="2"/>
  </r>
  <r>
    <s v="ID1605"/>
    <n v="50000"/>
    <s v="USD"/>
    <n v="50000"/>
    <n v="50000"/>
    <n v="50000"/>
    <s v="Catalog Circulation Analyst"/>
    <s v="Analyst"/>
    <x v="8"/>
    <s v="All the 8 hours baby, all the 8!"/>
    <n v="12"/>
  </r>
  <r>
    <s v="ID1624"/>
    <n v="50000"/>
    <s v="USD"/>
    <n v="50000"/>
    <n v="50000"/>
    <n v="50000"/>
    <s v="Associate Vice President"/>
    <s v="CXO or Top Mgmt."/>
    <x v="7"/>
    <s v="1 or 2 hours a day"/>
    <n v="8"/>
  </r>
  <r>
    <s v="ID1847"/>
    <n v="50000"/>
    <s v="USD"/>
    <n v="50000"/>
    <n v="50000"/>
    <n v="50000"/>
    <s v="Digital Media Analyst"/>
    <s v="Analyst"/>
    <x v="8"/>
    <s v="All the 8 hours baby, all the 8!"/>
    <n v="15"/>
  </r>
  <r>
    <s v="ID1920"/>
    <n v="50000"/>
    <s v="USD"/>
    <n v="50000"/>
    <n v="50000"/>
    <n v="50000"/>
    <s v="Operations Analyst "/>
    <s v="Analyst"/>
    <x v="8"/>
    <s v="All the 8 hours baby, all the 8!"/>
    <n v="3.5"/>
  </r>
  <r>
    <s v="ID0913"/>
    <n v="1050000"/>
    <s v="INR"/>
    <n v="18698.312521814696"/>
    <n v="49729.073466133377"/>
    <n v="49729.073466133377"/>
    <s v="Manager Market Reesrach"/>
    <s v="Manager"/>
    <x v="7"/>
    <s v="All the 8 hours baby, all the 8!"/>
    <n v="5"/>
  </r>
  <r>
    <s v="ID0049"/>
    <n v="45000"/>
    <s v="EUR"/>
    <n v="57167.974754622352"/>
    <n v="49529.379869102348"/>
    <n v="49529.379869102348"/>
    <s v="Online Traffic Manager / Web Analist"/>
    <s v="Manager"/>
    <x v="11"/>
    <s v="4 to 6 hours a day"/>
    <s v="Data Not Avaliable"/>
  </r>
  <r>
    <s v="ID0957"/>
    <n v="45000"/>
    <s v="EUR"/>
    <n v="57167.974754622352"/>
    <n v="49529.379869102348"/>
    <n v="49529.379869102348"/>
    <s v="data analist"/>
    <s v="Analyst"/>
    <x v="11"/>
    <s v="2 to 3 hours per day"/>
    <n v="10"/>
  </r>
  <r>
    <s v="ID1134"/>
    <n v="45000"/>
    <s v="EUR"/>
    <n v="57167.974754622352"/>
    <n v="49529.379869102348"/>
    <n v="49529.379869102348"/>
    <s v="Sales Planning"/>
    <s v="Manager"/>
    <x v="23"/>
    <s v="4 to 6 hours a day"/>
    <n v="14"/>
  </r>
  <r>
    <s v="ID1367"/>
    <n v="45000"/>
    <s v="EUR"/>
    <n v="57167.974754622352"/>
    <n v="49529.379869102348"/>
    <n v="49529.379869102348"/>
    <s v="Junior Controller"/>
    <s v="Controller"/>
    <x v="15"/>
    <s v="4 to 6 hours a day"/>
    <n v="12"/>
  </r>
  <r>
    <s v="ID1822"/>
    <n v="45000"/>
    <s v="EUR"/>
    <n v="57167.974754622352"/>
    <n v="49529.379869102348"/>
    <n v="49529.379869102348"/>
    <s v="IT Trainer"/>
    <s v="Analyst"/>
    <x v="11"/>
    <s v="2 to 3 hours per day"/>
    <n v="14"/>
  </r>
  <r>
    <s v="ID1346"/>
    <n v="49500"/>
    <s v="USD"/>
    <n v="49500"/>
    <n v="49500"/>
    <n v="49500"/>
    <s v="Financial Analyst II"/>
    <s v="Analyst"/>
    <x v="8"/>
    <s v="4 to 6 hours a day"/>
    <n v="4.5"/>
  </r>
  <r>
    <s v="ID1854"/>
    <n v="33500"/>
    <s v="GBP"/>
    <n v="52801.972114254015"/>
    <n v="49378.035366844313"/>
    <n v="49378.035366844313"/>
    <s v="Senior Manufacturing Engineer"/>
    <s v="Engineer"/>
    <x v="9"/>
    <s v="2 to 3 hours per day"/>
    <n v="7"/>
  </r>
  <r>
    <s v="ID1190"/>
    <n v="2000000"/>
    <s v="PKR"/>
    <n v="21228.177433598263"/>
    <n v="49256.114142394494"/>
    <n v="49256.114142394494"/>
    <s v="Excel Corporate Trainer"/>
    <s v="Consultant"/>
    <x v="52"/>
    <s v="All the 8 hours baby, all the 8!"/>
    <n v="8"/>
  </r>
  <r>
    <s v="ID1228"/>
    <n v="49200"/>
    <s v="USD"/>
    <n v="49200"/>
    <n v="49200"/>
    <n v="49200"/>
    <s v="Chief Accountant"/>
    <s v="Accountant"/>
    <x v="45"/>
    <s v="2 to 3 hours per day"/>
    <n v="25"/>
  </r>
  <r>
    <s v="ID0140"/>
    <n v="62000"/>
    <s v="CAD"/>
    <n v="60968.414427880263"/>
    <n v="49007.664598545365"/>
    <n v="49007.664598545365"/>
    <s v="Process Technician"/>
    <s v="Analyst"/>
    <x v="6"/>
    <s v="2 to 3 hours per day"/>
    <s v="Data Not Avaliable"/>
  </r>
  <r>
    <s v="ID0014"/>
    <n v="49000"/>
    <s v="USD"/>
    <n v="49000"/>
    <n v="49000"/>
    <n v="49000"/>
    <s v="business analyst"/>
    <s v="Analyst"/>
    <x v="8"/>
    <s v="All the 8 hours baby, all the 8!"/>
    <s v="Data Not Avaliable"/>
  </r>
  <r>
    <s v="ID1406"/>
    <n v="49000"/>
    <s v="USD"/>
    <n v="49000"/>
    <n v="49000"/>
    <n v="49000"/>
    <s v="Research Analyst"/>
    <s v="Analyst"/>
    <x v="8"/>
    <s v="4 to 6 hours a day"/>
    <n v="10"/>
  </r>
  <r>
    <s v="ID1422"/>
    <n v="49000"/>
    <s v="USD"/>
    <n v="49000"/>
    <n v="49000"/>
    <n v="49000"/>
    <s v="Clinical Data Specialist"/>
    <s v="Specialist"/>
    <x v="8"/>
    <s v="4 to 6 hours a day"/>
    <n v="5"/>
  </r>
  <r>
    <s v="ID1672"/>
    <n v="49000"/>
    <s v="USD"/>
    <n v="49000"/>
    <n v="49000"/>
    <n v="49000"/>
    <s v="Marketing Data Analyst"/>
    <s v="Analyst"/>
    <x v="8"/>
    <s v="2 to 3 hours per day"/>
    <n v="3"/>
  </r>
  <r>
    <s v="ID0363"/>
    <n v="480000"/>
    <s v="SEK"/>
    <n v="68954.520184280962"/>
    <n v="48902.714771046114"/>
    <n v="48902.714771046114"/>
    <s v="IT consultant"/>
    <s v="Consultant"/>
    <x v="29"/>
    <s v="1 or 2 hours a day"/>
    <s v="Data Not Avaliable"/>
  </r>
  <r>
    <s v="ID0635"/>
    <n v="78000"/>
    <s v="AUD"/>
    <n v="79552.953199405587"/>
    <n v="48883.696539491655"/>
    <n v="48883.696539491655"/>
    <s v="Corporate Accountant"/>
    <s v="Accountant"/>
    <x v="19"/>
    <s v="All the 8 hours baby, all the 8!"/>
    <n v="4"/>
  </r>
  <r>
    <s v="ID0499"/>
    <n v="33000"/>
    <s v="GBP"/>
    <n v="52013.882978220376"/>
    <n v="48641.049764354102"/>
    <n v="48641.049764354102"/>
    <s v="LOGISTIC MANAGER"/>
    <s v="Manager"/>
    <x v="9"/>
    <s v="4 to 6 hours a day"/>
    <s v="Data Not Avaliable"/>
  </r>
  <r>
    <s v="ID0801"/>
    <n v="48500"/>
    <s v="USD"/>
    <n v="48500"/>
    <n v="48500"/>
    <n v="48500"/>
    <s v="Loss Prevention Finance Coordinator"/>
    <s v="Manager"/>
    <x v="8"/>
    <s v="2 to 3 hours per day"/>
    <n v="10"/>
  </r>
  <r>
    <s v="ID1681"/>
    <n v="48500"/>
    <s v="USD"/>
    <n v="48500"/>
    <n v="48500"/>
    <n v="48500"/>
    <s v="Business Systems Analyst I"/>
    <s v="Analyst"/>
    <x v="8"/>
    <s v="4 to 6 hours a day"/>
    <n v="6"/>
  </r>
  <r>
    <s v="ID0556"/>
    <n v="77000"/>
    <s v="AUD"/>
    <n v="78533.043543002947"/>
    <n v="48256.982481293046"/>
    <n v="48256.982481293046"/>
    <s v="Intelligence Analyst"/>
    <s v="Analyst"/>
    <x v="19"/>
    <s v="2 to 3 hours per day"/>
    <s v="Data Not Avaliable"/>
  </r>
  <r>
    <s v="ID0570"/>
    <n v="80000"/>
    <s v="NZD"/>
    <n v="63807.047488395103"/>
    <n v="48172.544832898544"/>
    <n v="48172.544832898544"/>
    <s v="Accountant/Analyst"/>
    <s v="Analyst"/>
    <x v="21"/>
    <s v="4 to 6 hours a day"/>
    <n v="23"/>
  </r>
  <r>
    <s v="ID1335"/>
    <n v="80000"/>
    <s v="NZD"/>
    <n v="63807.047488395103"/>
    <n v="48172.544832898544"/>
    <n v="48172.544832898544"/>
    <s v="accountant"/>
    <s v="Accountant"/>
    <x v="21"/>
    <s v="All the 8 hours baby, all the 8!"/>
    <n v="15"/>
  </r>
  <r>
    <s v="ID0004"/>
    <n v="48000"/>
    <s v="USD"/>
    <n v="48000"/>
    <n v="48000"/>
    <n v="48000"/>
    <s v="Quality Control"/>
    <s v="Controller"/>
    <x v="52"/>
    <s v="2 to 3 hours per day"/>
    <s v="Data Not Avaliable"/>
  </r>
  <r>
    <s v="ID0115"/>
    <n v="48000"/>
    <s v="USD"/>
    <n v="48000"/>
    <n v="48000"/>
    <n v="48000"/>
    <s v="Asst.Manager Finance"/>
    <s v="Manager"/>
    <x v="31"/>
    <s v="2 to 3 hours per day"/>
    <s v="Data Not Avaliable"/>
  </r>
  <r>
    <s v="ID0383"/>
    <n v="48000"/>
    <s v="USD"/>
    <n v="48000"/>
    <n v="48000"/>
    <n v="48000"/>
    <s v="Quality Analyst"/>
    <s v="Analyst"/>
    <x v="8"/>
    <s v="1 or 2 hours a day"/>
    <s v="Data Not Avaliable"/>
  </r>
  <r>
    <s v="ID0774"/>
    <n v="48000"/>
    <s v="USD"/>
    <n v="48000"/>
    <n v="48000"/>
    <n v="48000"/>
    <s v="Consultant"/>
    <s v="Consultant"/>
    <x v="3"/>
    <s v="All the 8 hours baby, all the 8!"/>
    <n v="3"/>
  </r>
  <r>
    <s v="ID0808"/>
    <n v="48000"/>
    <s v="USD"/>
    <n v="48000"/>
    <n v="48000"/>
    <n v="48000"/>
    <s v="Operations Support Coordinator"/>
    <s v="Manager"/>
    <x v="8"/>
    <s v="2 to 3 hours per day"/>
    <n v="16"/>
  </r>
  <r>
    <s v="ID0960"/>
    <n v="48000"/>
    <s v="USD"/>
    <n v="48000"/>
    <n v="48000"/>
    <n v="48000"/>
    <s v="Merchandise planner"/>
    <s v="Manager"/>
    <x v="43"/>
    <s v="4 to 6 hours a day"/>
    <n v="5"/>
  </r>
  <r>
    <s v="ID1186"/>
    <n v="48000"/>
    <s v="USD"/>
    <n v="48000"/>
    <n v="48000"/>
    <n v="48000"/>
    <s v="Cost Controlling Executive"/>
    <s v="Controller"/>
    <x v="45"/>
    <s v="2 to 3 hours per day"/>
    <n v="10"/>
  </r>
  <r>
    <s v="ID1857"/>
    <n v="48000"/>
    <s v="USD"/>
    <n v="48000"/>
    <n v="48000"/>
    <n v="48000"/>
    <s v="Accountant"/>
    <s v="Accountant"/>
    <x v="8"/>
    <s v="4 to 6 hours a day"/>
    <n v="1"/>
  </r>
  <r>
    <s v="ID1858"/>
    <n v="48000"/>
    <s v="USD"/>
    <n v="48000"/>
    <n v="48000"/>
    <n v="48000"/>
    <s v="Accountant"/>
    <s v="Accountant"/>
    <x v="8"/>
    <s v="4 to 6 hours a day"/>
    <n v="1"/>
  </r>
  <r>
    <s v="ID1900"/>
    <n v="48000"/>
    <s v="USD"/>
    <n v="48000"/>
    <n v="48000"/>
    <n v="48000"/>
    <s v="Inventory Analyst"/>
    <s v="Analyst"/>
    <x v="8"/>
    <s v="4 to 6 hours a day"/>
    <n v="12"/>
  </r>
  <r>
    <s v="ID1911"/>
    <n v="48000"/>
    <s v="USD"/>
    <n v="48000"/>
    <n v="48000"/>
    <n v="48000"/>
    <s v="Marketing Analyst Co-op"/>
    <s v="Analyst"/>
    <x v="8"/>
    <s v="4 to 6 hours a day"/>
    <n v="1"/>
  </r>
  <r>
    <s v="ID1053"/>
    <n v="43500"/>
    <s v="EUR"/>
    <n v="55262.375596134938"/>
    <n v="47878.400540132272"/>
    <n v="47878.400540132272"/>
    <s v="RRHH"/>
    <s v="Manager"/>
    <x v="23"/>
    <s v="2 to 3 hours per day"/>
    <n v="10"/>
  </r>
  <r>
    <s v="ID1893"/>
    <n v="76300"/>
    <s v="AUD"/>
    <n v="77819.106783521114"/>
    <n v="47818.282640554025"/>
    <n v="47818.282640554025"/>
    <s v="Operations Analyst"/>
    <s v="Analyst"/>
    <x v="19"/>
    <s v="All the 8 hours baby, all the 8!"/>
    <n v="3"/>
  </r>
  <r>
    <s v="ID0251"/>
    <n v="47700"/>
    <s v="USD"/>
    <n v="47700"/>
    <n v="47700"/>
    <n v="47700"/>
    <s v="Customer Operations Analyst"/>
    <s v="Analyst"/>
    <x v="8"/>
    <s v="4 to 6 hours a day"/>
    <s v="Data Not Avaliable"/>
  </r>
  <r>
    <s v="ID1247"/>
    <n v="450000"/>
    <s v="DKK"/>
    <n v="76906.906752939132"/>
    <n v="47677.306425025607"/>
    <n v="47677.306425025607"/>
    <s v="owner"/>
    <s v="CXO or Top Mgmt."/>
    <x v="24"/>
    <s v="All the 8 hours baby, all the 8!"/>
    <n v="17"/>
  </r>
  <r>
    <s v="ID0159"/>
    <n v="32250"/>
    <s v="GBP"/>
    <n v="50831.74927416991"/>
    <n v="47535.571360618786"/>
    <n v="47535.571360618786"/>
    <s v="project Support"/>
    <s v="Manager"/>
    <x v="9"/>
    <s v="4 to 6 hours a day"/>
    <s v="Data Not Avaliable"/>
  </r>
  <r>
    <s v="ID0369"/>
    <n v="47500"/>
    <s v="USD"/>
    <n v="47500"/>
    <n v="47500"/>
    <n v="47500"/>
    <s v="Supervisor, Contracts, Rebates, Chargebacks and Returns"/>
    <s v="Manager"/>
    <x v="8"/>
    <s v="All the 8 hours baby, all the 8!"/>
    <s v="Data Not Avaliable"/>
  </r>
  <r>
    <s v="ID0121"/>
    <n v="60000"/>
    <s v="CAD"/>
    <n v="59001.691381819612"/>
    <n v="47426.772192140677"/>
    <n v="47426.772192140677"/>
    <s v="Web Developer"/>
    <s v="Analyst"/>
    <x v="6"/>
    <s v="Excel ?!? What Excel?"/>
    <s v="Data Not Avaliable"/>
  </r>
  <r>
    <s v="ID0190"/>
    <n v="60000"/>
    <s v="CAD"/>
    <n v="59001.691381819612"/>
    <n v="47426.772192140677"/>
    <n v="47426.772192140677"/>
    <s v="Demographer"/>
    <s v="Analyst"/>
    <x v="6"/>
    <s v="2 to 3 hours per day"/>
    <s v="Data Not Avaliable"/>
  </r>
  <r>
    <s v="ID0315"/>
    <n v="60000"/>
    <s v="CAD"/>
    <n v="59001.691381819612"/>
    <n v="47426.772192140677"/>
    <n v="47426.772192140677"/>
    <s v="Sr. Business Analyst"/>
    <s v="Analyst"/>
    <x v="6"/>
    <s v="All the 8 hours baby, all the 8!"/>
    <s v="Data Not Avaliable"/>
  </r>
  <r>
    <s v="ID0023"/>
    <n v="1000000"/>
    <s v="INR"/>
    <n v="17807.916687442568"/>
    <n v="47361.022348698454"/>
    <n v="47361.022348698454"/>
    <s v="Manager"/>
    <s v="Manager"/>
    <x v="7"/>
    <s v="4 to 6 hours a day"/>
    <s v="Data Not Avaliable"/>
  </r>
  <r>
    <s v="ID0321"/>
    <n v="1000000"/>
    <s v="INR"/>
    <n v="17807.916687442568"/>
    <n v="47361.022348698454"/>
    <n v="47361.022348698454"/>
    <s v="Manager"/>
    <s v="Manager"/>
    <x v="7"/>
    <s v="4 to 6 hours a day"/>
    <s v="Data Not Avaliable"/>
  </r>
  <r>
    <s v="ID0732"/>
    <n v="1000000"/>
    <s v="INR"/>
    <n v="17807.916687442568"/>
    <n v="47361.022348698454"/>
    <n v="47361.022348698454"/>
    <s v="Sr Associate"/>
    <s v="Analyst"/>
    <x v="7"/>
    <s v="2 to 3 hours per day"/>
    <n v="12"/>
  </r>
  <r>
    <s v="ID0837"/>
    <n v="1000000"/>
    <s v="INR"/>
    <n v="17807.916687442568"/>
    <n v="47361.022348698454"/>
    <n v="47361.022348698454"/>
    <s v="business analyist"/>
    <s v="Analyst"/>
    <x v="7"/>
    <s v="4 to 6 hours a day"/>
    <n v="10"/>
  </r>
  <r>
    <s v="ID0850"/>
    <n v="1000000"/>
    <s v="INR"/>
    <n v="17807.916687442568"/>
    <n v="47361.022348698454"/>
    <n v="47361.022348698454"/>
    <s v="HR Analyst"/>
    <s v="Analyst"/>
    <x v="7"/>
    <s v="4 to 6 hours a day"/>
    <n v="6.5"/>
  </r>
  <r>
    <s v="ID0899"/>
    <n v="1000000"/>
    <s v="INR"/>
    <n v="17807.916687442568"/>
    <n v="47361.022348698454"/>
    <n v="47361.022348698454"/>
    <s v="Engagement Lead"/>
    <s v="Manager"/>
    <x v="7"/>
    <s v="4 to 6 hours a day"/>
    <n v="5"/>
  </r>
  <r>
    <s v="ID0936"/>
    <n v="1000000"/>
    <s v="INR"/>
    <n v="17807.916687442568"/>
    <n v="47361.022348698454"/>
    <n v="47361.022348698454"/>
    <s v="business"/>
    <s v="Manager"/>
    <x v="7"/>
    <s v="All the 8 hours baby, all the 8!"/>
    <n v="8"/>
  </r>
  <r>
    <s v="ID1004"/>
    <n v="1000000"/>
    <s v="INR"/>
    <n v="17807.916687442568"/>
    <n v="47361.022348698454"/>
    <n v="47361.022348698454"/>
    <s v="Credit Manager - Loans"/>
    <s v="Manager"/>
    <x v="7"/>
    <s v="All the 8 hours baby, all the 8!"/>
    <n v="8"/>
  </r>
  <r>
    <s v="ID1041"/>
    <n v="1000000"/>
    <s v="INR"/>
    <n v="17807.916687442568"/>
    <n v="47361.022348698454"/>
    <n v="47361.022348698454"/>
    <s v="Teaching"/>
    <s v="Analyst"/>
    <x v="7"/>
    <s v="1 or 2 hours a day"/>
    <n v="25"/>
  </r>
  <r>
    <s v="ID1224"/>
    <n v="1000000"/>
    <s v="INR"/>
    <n v="17807.916687442568"/>
    <n v="47361.022348698454"/>
    <n v="47361.022348698454"/>
    <s v="Asst Manager"/>
    <s v="Manager"/>
    <x v="7"/>
    <s v="4 to 6 hours a day"/>
    <n v="8.5"/>
  </r>
  <r>
    <s v="ID1284"/>
    <n v="1000000"/>
    <s v="INR"/>
    <n v="17807.916687442568"/>
    <n v="47361.022348698454"/>
    <n v="47361.022348698454"/>
    <s v="Manager"/>
    <s v="Manager"/>
    <x v="7"/>
    <s v="2 to 3 hours per day"/>
    <n v="10"/>
  </r>
  <r>
    <s v="ID1457"/>
    <n v="1000000"/>
    <s v="INR"/>
    <n v="17807.916687442568"/>
    <n v="47361.022348698454"/>
    <n v="47361.022348698454"/>
    <s v="project management"/>
    <s v="Manager"/>
    <x v="7"/>
    <s v="All the 8 hours baby, all the 8!"/>
    <n v="6"/>
  </r>
  <r>
    <s v="ID1468"/>
    <n v="1000000"/>
    <s v="INR"/>
    <n v="17807.916687442568"/>
    <n v="47361.022348698454"/>
    <n v="47361.022348698454"/>
    <s v="Marketing Specialist"/>
    <s v="Specialist"/>
    <x v="7"/>
    <s v="2 to 3 hours per day"/>
    <n v="7"/>
  </r>
  <r>
    <s v="ID1551"/>
    <n v="1000000"/>
    <s v="INR"/>
    <n v="17807.916687442568"/>
    <n v="47361.022348698454"/>
    <n v="47361.022348698454"/>
    <s v="Financial analyst"/>
    <s v="Analyst"/>
    <x v="7"/>
    <s v="All the 8 hours baby, all the 8!"/>
    <n v="10"/>
  </r>
  <r>
    <s v="ID1595"/>
    <n v="1000000"/>
    <s v="INR"/>
    <n v="17807.916687442568"/>
    <n v="47361.022348698454"/>
    <n v="47361.022348698454"/>
    <s v="Senior Analyst"/>
    <s v="Analyst"/>
    <x v="7"/>
    <s v="All the 8 hours baby, all the 8!"/>
    <n v="4"/>
  </r>
  <r>
    <s v="ID1641"/>
    <n v="1000000"/>
    <s v="INR"/>
    <n v="17807.916687442568"/>
    <n v="47361.022348698454"/>
    <n v="47361.022348698454"/>
    <s v="Category Manager"/>
    <s v="Manager"/>
    <x v="7"/>
    <s v="2 to 3 hours per day"/>
    <n v="13"/>
  </r>
  <r>
    <s v="ID1647"/>
    <n v="1000000"/>
    <s v="INR"/>
    <n v="17807.916687442568"/>
    <n v="47361.022348698454"/>
    <n v="47361.022348698454"/>
    <s v="Senior Associate, Finance"/>
    <s v="Analyst"/>
    <x v="7"/>
    <s v="All the 8 hours baby, all the 8!"/>
    <n v="4"/>
  </r>
  <r>
    <s v="ID1833"/>
    <n v="1000000"/>
    <s v="INR"/>
    <n v="17807.916687442568"/>
    <n v="47361.022348698454"/>
    <n v="47361.022348698454"/>
    <s v="Mnanager- Customer Project finance &amp; recovery"/>
    <s v="Manager"/>
    <x v="7"/>
    <s v="2 to 3 hours per day"/>
    <n v="10"/>
  </r>
  <r>
    <s v="ID1864"/>
    <n v="1000000"/>
    <s v="INR"/>
    <n v="17807.916687442568"/>
    <n v="47361.022348698454"/>
    <n v="47361.022348698454"/>
    <s v="Sr.Manager"/>
    <s v="Manager"/>
    <x v="7"/>
    <s v="All the 8 hours baby, all the 8!"/>
    <n v="10"/>
  </r>
  <r>
    <s v="ID0064"/>
    <n v="43000"/>
    <s v="EUR"/>
    <n v="54627.175876639136"/>
    <n v="47328.074097142242"/>
    <n v="47328.074097142242"/>
    <s v="SAP consultant"/>
    <s v="Consultant"/>
    <x v="43"/>
    <s v="4 to 6 hours a day"/>
    <s v="Data Not Avaliable"/>
  </r>
  <r>
    <s v="ID1322"/>
    <n v="43000"/>
    <s v="EUR"/>
    <n v="54627.175876639136"/>
    <n v="47328.074097142242"/>
    <n v="47328.074097142242"/>
    <s v="Project manager of IT infrastructure"/>
    <s v="Manager"/>
    <x v="43"/>
    <s v="All the 8 hours baby, all the 8!"/>
    <n v="7"/>
  </r>
  <r>
    <s v="ID0047"/>
    <n v="32000"/>
    <s v="GBP"/>
    <n v="50437.70470615309"/>
    <n v="47167.07855937368"/>
    <n v="47167.07855937368"/>
    <s v="Senior intelligence analyst"/>
    <s v="Analyst"/>
    <x v="9"/>
    <s v="4 to 6 hours a day"/>
    <s v="Data Not Avaliable"/>
  </r>
  <r>
    <s v="ID1175"/>
    <n v="32000"/>
    <s v="GBP"/>
    <n v="50437.70470615309"/>
    <n v="47167.07855937368"/>
    <n v="47167.07855937368"/>
    <s v="Service Analyst"/>
    <s v="Analyst"/>
    <x v="9"/>
    <s v="4 to 6 hours a day"/>
    <n v="4"/>
  </r>
  <r>
    <s v="ID1182"/>
    <n v="32000"/>
    <s v="GBP"/>
    <n v="50437.70470615309"/>
    <n v="47167.07855937368"/>
    <n v="47167.07855937368"/>
    <s v="Performance Analyst"/>
    <s v="Analyst"/>
    <x v="6"/>
    <s v="4 to 6 hours a day"/>
    <n v="9"/>
  </r>
  <r>
    <s v="ID1813"/>
    <n v="32000"/>
    <s v="GBP"/>
    <n v="50437.70470615309"/>
    <n v="47167.07855937368"/>
    <n v="47167.07855937368"/>
    <s v="Business Analyst"/>
    <s v="Analyst"/>
    <x v="9"/>
    <s v="4 to 6 hours a day"/>
    <n v="20"/>
  </r>
  <r>
    <s v="ID1814"/>
    <n v="32000"/>
    <s v="GBP"/>
    <n v="50437.70470615309"/>
    <n v="47167.07855937368"/>
    <n v="47167.07855937368"/>
    <s v="Financial Analyst"/>
    <s v="Analyst"/>
    <x v="9"/>
    <s v="All the 8 hours baby, all the 8!"/>
    <n v="1"/>
  </r>
  <r>
    <s v="ID0326"/>
    <n v="47000"/>
    <s v="USD"/>
    <n v="47000"/>
    <n v="47000"/>
    <n v="47000"/>
    <s v="Sourcing Specialist"/>
    <s v="Specialist"/>
    <x v="8"/>
    <s v="4 to 6 hours a day"/>
    <s v="Data Not Avaliable"/>
  </r>
  <r>
    <s v="ID0388"/>
    <n v="47000"/>
    <s v="USD"/>
    <n v="47000"/>
    <n v="47000"/>
    <n v="47000"/>
    <s v="Trainer "/>
    <s v="Manager"/>
    <x v="8"/>
    <s v="2 to 3 hours per day"/>
    <s v="Data Not Avaliable"/>
  </r>
  <r>
    <s v="ID0400"/>
    <n v="47000"/>
    <s v="USD"/>
    <n v="47000"/>
    <n v="47000"/>
    <n v="47000"/>
    <s v="Sr Management Analytst 2"/>
    <s v="Manager"/>
    <x v="8"/>
    <s v="4 to 6 hours a day"/>
    <s v="Data Not Avaliable"/>
  </r>
  <r>
    <s v="ID0075"/>
    <n v="59450"/>
    <s v="CAD"/>
    <n v="58460.842544152933"/>
    <n v="46992.02678037939"/>
    <n v="46992.02678037939"/>
    <s v="Process Improvement Specialist"/>
    <s v="Specialist"/>
    <x v="6"/>
    <s v="All the 8 hours baby, all the 8!"/>
    <s v="Data Not Avaliable"/>
  </r>
  <r>
    <s v="ID1181"/>
    <n v="31763"/>
    <s v="GBP"/>
    <n v="50064.150455673145"/>
    <n v="46817.747383793314"/>
    <n v="46817.747383793314"/>
    <s v="Network Administrator"/>
    <s v="Analyst"/>
    <x v="9"/>
    <s v="2 to 3 hours per day"/>
    <n v="2"/>
  </r>
  <r>
    <s v="ID0173"/>
    <n v="46584"/>
    <s v="USD"/>
    <n v="46584"/>
    <n v="46584"/>
    <n v="46584"/>
    <s v="Budget Analyst"/>
    <s v="Analyst"/>
    <x v="8"/>
    <s v="4 to 6 hours a day"/>
    <s v="Data Not Avaliable"/>
  </r>
  <r>
    <s v="ID1498"/>
    <n v="74000"/>
    <s v="AUD"/>
    <n v="75473.31457379504"/>
    <n v="46376.84030669721"/>
    <n v="46376.84030669721"/>
    <s v="operations Administrator"/>
    <s v="Analyst"/>
    <x v="19"/>
    <s v="All the 8 hours baby, all the 8!"/>
    <n v="20"/>
  </r>
  <r>
    <s v="ID1906"/>
    <n v="74000"/>
    <s v="AUD"/>
    <n v="75473.31457379504"/>
    <n v="46376.84030669721"/>
    <n v="46376.84030669721"/>
    <s v="Systems Analyst"/>
    <s v="Analyst"/>
    <x v="19"/>
    <s v="4 to 6 hours a day"/>
    <n v="8"/>
  </r>
  <r>
    <s v="ID1931"/>
    <n v="46359"/>
    <s v="USD"/>
    <n v="46359"/>
    <n v="46359"/>
    <n v="46359"/>
    <s v="Data Analyst"/>
    <s v="Analyst"/>
    <x v="8"/>
    <s v="All the 8 hours baby, all the 8!"/>
    <n v="5"/>
  </r>
  <r>
    <s v="ID1569"/>
    <n v="46325"/>
    <s v="USD"/>
    <n v="46325"/>
    <n v="46325"/>
    <n v="46325"/>
    <s v="Work Force Scheduler for Call Center"/>
    <s v="Controller"/>
    <x v="8"/>
    <s v="4 to 6 hours a day"/>
    <n v="1"/>
  </r>
  <r>
    <s v="ID0830"/>
    <n v="42000"/>
    <s v="EUR"/>
    <n v="53356.776437647524"/>
    <n v="46227.421211162189"/>
    <n v="46227.421211162189"/>
    <s v="Project Engineer"/>
    <s v="Engineer"/>
    <x v="11"/>
    <s v="4 to 6 hours a day"/>
    <n v="2"/>
  </r>
  <r>
    <s v="ID0951"/>
    <n v="42000"/>
    <s v="EUR"/>
    <n v="53356.776437647524"/>
    <n v="46227.421211162189"/>
    <n v="46227.421211162189"/>
    <s v="Consultant"/>
    <s v="Consultant"/>
    <x v="15"/>
    <s v="2 to 3 hours per day"/>
    <n v="3"/>
  </r>
  <r>
    <s v="ID1495"/>
    <n v="42000"/>
    <s v="EUR"/>
    <n v="53356.776437647524"/>
    <n v="46227.421211162189"/>
    <n v="46227.421211162189"/>
    <s v="Business Intelligence Consultant"/>
    <s v="Consultant"/>
    <x v="15"/>
    <s v="All the 8 hours baby, all the 8!"/>
    <n v="7"/>
  </r>
  <r>
    <s v="ID0281"/>
    <n v="46000"/>
    <s v="USD"/>
    <n v="46000"/>
    <n v="46000"/>
    <n v="46000"/>
    <s v="University Relations Intern"/>
    <s v="Analyst"/>
    <x v="8"/>
    <s v="All the 8 hours baby, all the 8!"/>
    <s v="Data Not Avaliable"/>
  </r>
  <r>
    <s v="ID0384"/>
    <n v="46000"/>
    <s v="USD"/>
    <n v="46000"/>
    <n v="46000"/>
    <n v="46000"/>
    <s v="Financial analyst"/>
    <s v="Analyst"/>
    <x v="8"/>
    <s v="4 to 6 hours a day"/>
    <s v="Data Not Avaliable"/>
  </r>
  <r>
    <s v="ID0540"/>
    <n v="46000"/>
    <s v="USD"/>
    <n v="46000"/>
    <n v="46000"/>
    <n v="46000"/>
    <s v="Research Analyst"/>
    <s v="Analyst"/>
    <x v="8"/>
    <s v="2 to 3 hours per day"/>
    <s v="Data Not Avaliable"/>
  </r>
  <r>
    <s v="ID1891"/>
    <n v="46000"/>
    <s v="USD"/>
    <n v="46000"/>
    <n v="46000"/>
    <n v="46000"/>
    <s v="AML Analyst"/>
    <s v="Analyst"/>
    <x v="8"/>
    <s v="All the 8 hours baby, all the 8!"/>
    <n v="1"/>
  </r>
  <r>
    <s v="ID1921"/>
    <n v="46000"/>
    <s v="USD"/>
    <n v="46000"/>
    <n v="46000"/>
    <n v="46000"/>
    <s v="Poultry Analyst"/>
    <s v="Analyst"/>
    <x v="8"/>
    <s v="4 to 6 hours a day"/>
    <n v="8"/>
  </r>
  <r>
    <s v="ID1784"/>
    <n v="31185"/>
    <s v="GBP"/>
    <n v="49153.119414418252"/>
    <n v="45965.79202731463"/>
    <n v="45965.79202731463"/>
    <s v="Data Team Leader"/>
    <s v="Manager"/>
    <x v="9"/>
    <s v="4 to 6 hours a day"/>
    <n v="7"/>
  </r>
  <r>
    <s v="ID0395"/>
    <n v="45880"/>
    <s v="USD"/>
    <n v="45880"/>
    <n v="45880"/>
    <n v="45880"/>
    <s v="Campus Budget Officer"/>
    <s v="Manager"/>
    <x v="8"/>
    <s v="All the 8 hours baby, all the 8!"/>
    <s v="Data Not Avaliable"/>
  </r>
  <r>
    <s v="ID0291"/>
    <n v="31000"/>
    <s v="GBP"/>
    <n v="48861.526434085805"/>
    <n v="45693.107354393251"/>
    <n v="45693.107354393251"/>
    <s v="Telecoms Engineer"/>
    <s v="Engineer"/>
    <x v="9"/>
    <s v="2 to 3 hours per day"/>
    <s v="Data Not Avaliable"/>
  </r>
  <r>
    <s v="ID0972"/>
    <n v="45616"/>
    <s v="USD"/>
    <n v="45616"/>
    <n v="45616"/>
    <n v="45616"/>
    <s v="Assistant Fleet Analyst"/>
    <s v="Analyst"/>
    <x v="19"/>
    <s v="4 to 6 hours a day"/>
    <n v="1.5"/>
  </r>
  <r>
    <s v="ID1279"/>
    <n v="89500"/>
    <s v="MYR"/>
    <n v="28353.650809742252"/>
    <n v="45507.365367197875"/>
    <n v="45507.365367197875"/>
    <s v="Manager"/>
    <s v="Manager"/>
    <x v="53"/>
    <s v="2 to 3 hours per day"/>
    <n v="20"/>
  </r>
  <r>
    <s v="ID0962"/>
    <n v="75000"/>
    <s v="NZD"/>
    <n v="59819.107020370408"/>
    <n v="45161.760780842385"/>
    <n v="45161.760780842385"/>
    <s v="Information Analyst"/>
    <s v="Analyst"/>
    <x v="21"/>
    <s v="4 to 6 hours a day"/>
    <n v="10"/>
  </r>
  <r>
    <s v="ID1639"/>
    <n v="75000"/>
    <s v="NZD"/>
    <n v="59819.107020370408"/>
    <n v="45161.760780842385"/>
    <n v="45161.760780842385"/>
    <s v="business support analyst"/>
    <s v="Analyst"/>
    <x v="21"/>
    <s v="2 to 3 hours per day"/>
    <n v="10"/>
  </r>
  <r>
    <s v="ID1885"/>
    <n v="75000"/>
    <s v="NZD"/>
    <n v="59819.107020370408"/>
    <n v="45161.760780842385"/>
    <n v="45161.760780842385"/>
    <s v="Commercial Accountant"/>
    <s v="Accountant"/>
    <x v="21"/>
    <s v="4 to 6 hours a day"/>
    <n v="4"/>
  </r>
  <r>
    <s v="ID1333"/>
    <n v="41000"/>
    <s v="EUR"/>
    <n v="52086.37699865592"/>
    <n v="45126.768325182136"/>
    <n v="45126.768325182136"/>
    <s v="engineer"/>
    <s v="Engineer"/>
    <x v="23"/>
    <s v="4 to 6 hours a day"/>
    <n v="12"/>
  </r>
  <r>
    <s v="ID0018"/>
    <n v="45000"/>
    <s v="USD"/>
    <n v="45000"/>
    <n v="45000"/>
    <n v="45000"/>
    <s v="Excel Report Writer"/>
    <s v="Reporting"/>
    <x v="13"/>
    <s v="All the 8 hours baby, all the 8!"/>
    <s v="Data Not Avaliable"/>
  </r>
  <r>
    <s v="ID0132"/>
    <n v="45000"/>
    <s v="USD"/>
    <n v="45000"/>
    <n v="45000"/>
    <n v="45000"/>
    <s v="DBA"/>
    <s v="Analyst"/>
    <x v="8"/>
    <s v="4 to 6 hours a day"/>
    <s v="Data Not Avaliable"/>
  </r>
  <r>
    <s v="ID0145"/>
    <n v="45000"/>
    <s v="USD"/>
    <n v="45000"/>
    <n v="45000"/>
    <n v="45000"/>
    <s v="data analyst"/>
    <s v="Analyst"/>
    <x v="8"/>
    <s v="2 to 3 hours per day"/>
    <s v="Data Not Avaliable"/>
  </r>
  <r>
    <s v="ID0219"/>
    <n v="45000"/>
    <s v="USD"/>
    <n v="45000"/>
    <n v="45000"/>
    <n v="45000"/>
    <s v="Accounting Assistant"/>
    <s v="Accountant"/>
    <x v="8"/>
    <s v="2 to 3 hours per day"/>
    <s v="Data Not Avaliable"/>
  </r>
  <r>
    <s v="ID0296"/>
    <n v="45000"/>
    <s v="USD"/>
    <n v="45000"/>
    <n v="45000"/>
    <n v="45000"/>
    <s v="sales support"/>
    <s v="Analyst"/>
    <x v="8"/>
    <s v="4 to 6 hours a day"/>
    <s v="Data Not Avaliable"/>
  </r>
  <r>
    <s v="ID0338"/>
    <n v="45000"/>
    <s v="USD"/>
    <n v="45000"/>
    <n v="45000"/>
    <n v="45000"/>
    <s v="QC Fabrication Inspector"/>
    <s v="Specialist"/>
    <x v="8"/>
    <s v="4 to 6 hours a day"/>
    <s v="Data Not Avaliable"/>
  </r>
  <r>
    <s v="ID0463"/>
    <n v="45000"/>
    <s v="USD"/>
    <n v="45000"/>
    <n v="45000"/>
    <n v="45000"/>
    <s v="Analyst"/>
    <s v="Analyst"/>
    <x v="8"/>
    <s v="4 to 6 hours a day"/>
    <s v="Data Not Avaliable"/>
  </r>
  <r>
    <s v="ID0549"/>
    <n v="45000"/>
    <s v="USD"/>
    <n v="45000"/>
    <n v="45000"/>
    <n v="45000"/>
    <s v="Reports Coordinator"/>
    <s v="Reporting"/>
    <x v="8"/>
    <s v="All the 8 hours baby, all the 8!"/>
    <s v="Data Not Avaliable"/>
  </r>
  <r>
    <s v="ID0567"/>
    <n v="45000"/>
    <s v="USD"/>
    <n v="45000"/>
    <n v="45000"/>
    <n v="45000"/>
    <s v="Workflow Analyst"/>
    <s v="Analyst"/>
    <x v="8"/>
    <s v="4 to 6 hours a day"/>
    <n v="2"/>
  </r>
  <r>
    <s v="ID0582"/>
    <n v="45000"/>
    <s v="USD"/>
    <n v="45000"/>
    <n v="45000"/>
    <n v="45000"/>
    <s v="business analyst"/>
    <s v="Analyst"/>
    <x v="8"/>
    <s v="4 to 6 hours a day"/>
    <n v="3"/>
  </r>
  <r>
    <s v="ID0600"/>
    <n v="45000"/>
    <s v="USD"/>
    <n v="45000"/>
    <n v="45000"/>
    <n v="45000"/>
    <s v="Technical Analyst"/>
    <s v="Analyst"/>
    <x v="8"/>
    <s v="4 to 6 hours a day"/>
    <n v="15"/>
  </r>
  <r>
    <s v="ID0601"/>
    <n v="45000"/>
    <s v="USD"/>
    <n v="45000"/>
    <n v="45000"/>
    <n v="45000"/>
    <s v="Head Accounts"/>
    <s v="Accountant"/>
    <x v="8"/>
    <s v="4 to 6 hours a day"/>
    <n v="7"/>
  </r>
  <r>
    <s v="ID0777"/>
    <n v="45000"/>
    <s v="USD"/>
    <n v="45000"/>
    <n v="45000"/>
    <n v="45000"/>
    <s v="AGM"/>
    <s v="Manager"/>
    <x v="7"/>
    <s v="1 or 2 hours a day"/>
    <n v="15"/>
  </r>
  <r>
    <s v="ID1006"/>
    <n v="45000"/>
    <s v="USD"/>
    <n v="45000"/>
    <n v="45000"/>
    <n v="45000"/>
    <s v="Staff accountant -- Auditing"/>
    <s v="Accountant"/>
    <x v="8"/>
    <s v="All the 8 hours baby, all the 8!"/>
    <n v="3"/>
  </r>
  <r>
    <s v="ID1030"/>
    <n v="45000"/>
    <s v="USD"/>
    <n v="45000"/>
    <n v="45000"/>
    <n v="45000"/>
    <s v="Engineer"/>
    <s v="Engineer"/>
    <x v="3"/>
    <s v="2 to 3 hours per day"/>
    <n v="4"/>
  </r>
  <r>
    <s v="ID1276"/>
    <n v="45000"/>
    <s v="USD"/>
    <n v="45000"/>
    <n v="45000"/>
    <n v="45000"/>
    <s v="Staff Assistant"/>
    <s v="Analyst"/>
    <x v="8"/>
    <s v="4 to 6 hours a day"/>
    <n v="7"/>
  </r>
  <r>
    <s v="ID1302"/>
    <n v="45000"/>
    <s v="USD"/>
    <n v="45000"/>
    <n v="45000"/>
    <n v="45000"/>
    <s v="Financial Analysis"/>
    <s v="Analyst"/>
    <x v="52"/>
    <s v="All the 8 hours baby, all the 8!"/>
    <n v="8"/>
  </r>
  <r>
    <s v="ID1421"/>
    <n v="45000"/>
    <s v="USD"/>
    <n v="45000"/>
    <n v="45000"/>
    <n v="45000"/>
    <s v="Technical Support Specialist"/>
    <s v="Specialist"/>
    <x v="8"/>
    <s v="4 to 6 hours a day"/>
    <n v="20"/>
  </r>
  <r>
    <s v="ID1496"/>
    <n v="45000"/>
    <s v="USD"/>
    <n v="45000"/>
    <n v="45000"/>
    <n v="45000"/>
    <s v="Data Specialist"/>
    <s v="Specialist"/>
    <x v="8"/>
    <s v="2 to 3 hours per day"/>
    <n v="10"/>
  </r>
  <r>
    <s v="ID1521"/>
    <n v="45000"/>
    <s v="USD"/>
    <n v="45000"/>
    <n v="45000"/>
    <n v="45000"/>
    <s v="Excel Business Analyst"/>
    <s v="Analyst"/>
    <x v="8"/>
    <s v="All the 8 hours baby, all the 8!"/>
    <n v="5"/>
  </r>
  <r>
    <s v="ID1527"/>
    <n v="45000"/>
    <s v="USD"/>
    <n v="45000"/>
    <n v="45000"/>
    <n v="45000"/>
    <s v="Business Analyst"/>
    <s v="Analyst"/>
    <x v="8"/>
    <s v="4 to 6 hours a day"/>
    <n v="8"/>
  </r>
  <r>
    <s v="ID1548"/>
    <n v="45000"/>
    <s v="USD"/>
    <n v="45000"/>
    <n v="45000"/>
    <n v="45000"/>
    <s v="Junior Reporting Manager"/>
    <s v="Manager"/>
    <x v="15"/>
    <s v="2 to 3 hours per day"/>
    <n v="5"/>
  </r>
  <r>
    <s v="ID1701"/>
    <n v="45000"/>
    <s v="USD"/>
    <n v="45000"/>
    <n v="45000"/>
    <n v="45000"/>
    <s v="Bussiness Analyst"/>
    <s v="Analyst"/>
    <x v="8"/>
    <s v="2 to 3 hours per day"/>
    <n v="4"/>
  </r>
  <r>
    <s v="ID1704"/>
    <n v="45000"/>
    <s v="USD"/>
    <n v="45000"/>
    <n v="45000"/>
    <n v="45000"/>
    <s v="CFO"/>
    <s v="CXO or Top Mgmt."/>
    <x v="27"/>
    <s v="4 to 6 hours a day"/>
    <n v="5"/>
  </r>
  <r>
    <s v="ID1740"/>
    <n v="45000"/>
    <s v="USD"/>
    <n v="45000"/>
    <n v="45000"/>
    <n v="45000"/>
    <s v="Sourcing Analyst"/>
    <s v="Analyst"/>
    <x v="8"/>
    <s v="All the 8 hours baby, all the 8!"/>
    <n v="2"/>
  </r>
  <r>
    <s v="ID1808"/>
    <n v="45000"/>
    <s v="USD"/>
    <n v="45000"/>
    <n v="45000"/>
    <n v="45000"/>
    <s v="ba"/>
    <s v="Analyst"/>
    <x v="8"/>
    <s v="4 to 6 hours a day"/>
    <n v="4"/>
  </r>
  <r>
    <s v="ID1896"/>
    <n v="45000"/>
    <s v="USD"/>
    <n v="45000"/>
    <n v="45000"/>
    <n v="45000"/>
    <s v="Senior Accountant"/>
    <s v="Accountant"/>
    <x v="8"/>
    <s v="2 to 3 hours per day"/>
    <n v="5"/>
  </r>
  <r>
    <s v="ID0660"/>
    <n v="950000"/>
    <s v="INR"/>
    <n v="16917.52085307044"/>
    <n v="44992.971231263531"/>
    <n v="44992.971231263531"/>
    <s v="Investment Banker"/>
    <s v="Manager"/>
    <x v="7"/>
    <s v="4 to 6 hours a day"/>
    <n v="3"/>
  </r>
  <r>
    <s v="ID1752"/>
    <n v="950000"/>
    <s v="INR"/>
    <n v="16917.52085307044"/>
    <n v="44992.971231263531"/>
    <n v="44992.971231263531"/>
    <s v="Associate Manager, Drug Safety Operations"/>
    <s v="Manager"/>
    <x v="7"/>
    <s v="2 to 3 hours per day"/>
    <n v="9"/>
  </r>
  <r>
    <s v="ID1541"/>
    <n v="30500"/>
    <s v="GBP"/>
    <n v="48073.437298052166"/>
    <n v="44956.12175190304"/>
    <n v="44956.12175190304"/>
    <s v="Construction Estimator"/>
    <s v="Consultant"/>
    <x v="9"/>
    <s v="4 to 6 hours a day"/>
    <n v="14"/>
  </r>
  <r>
    <s v="ID0062"/>
    <n v="56000"/>
    <s v="CAD"/>
    <n v="55068.245289698301"/>
    <n v="44264.987379331302"/>
    <n v="44264.987379331302"/>
    <s v="Sales Analyst"/>
    <s v="Analyst"/>
    <x v="6"/>
    <s v="All the 8 hours baby, all the 8!"/>
    <s v="Data Not Avaliable"/>
  </r>
  <r>
    <s v="ID0349"/>
    <n v="56000"/>
    <s v="CAD"/>
    <n v="55068.245289698301"/>
    <n v="44264.987379331302"/>
    <n v="44264.987379331302"/>
    <s v="Online Analyst"/>
    <s v="Analyst"/>
    <x v="6"/>
    <s v="4 to 6 hours a day"/>
    <s v="Data Not Avaliable"/>
  </r>
  <r>
    <s v="ID1666"/>
    <n v="56000"/>
    <s v="CAD"/>
    <n v="55068.245289698301"/>
    <n v="44264.987379331302"/>
    <n v="44264.987379331302"/>
    <s v="consultant"/>
    <s v="Consultant"/>
    <x v="6"/>
    <s v="All the 8 hours baby, all the 8!"/>
    <n v="1"/>
  </r>
  <r>
    <s v="ID0082"/>
    <n v="30000"/>
    <s v="GBP"/>
    <n v="47285.348162018527"/>
    <n v="44219.136149412829"/>
    <n v="44219.136149412829"/>
    <s v="Database Manager"/>
    <s v="Manager"/>
    <x v="9"/>
    <s v="4 to 6 hours a day"/>
    <s v="Data Not Avaliable"/>
  </r>
  <r>
    <s v="ID0207"/>
    <n v="30000"/>
    <s v="GBP"/>
    <n v="47285.348162018527"/>
    <n v="44219.136149412829"/>
    <n v="44219.136149412829"/>
    <s v="Business Intelligence Analyst"/>
    <s v="Analyst"/>
    <x v="9"/>
    <s v="2 to 3 hours per day"/>
    <s v="Data Not Avaliable"/>
  </r>
  <r>
    <s v="ID1079"/>
    <n v="30000"/>
    <s v="GBP"/>
    <n v="47285.348162018527"/>
    <n v="44219.136149412829"/>
    <n v="44219.136149412829"/>
    <s v="Data Analyst"/>
    <s v="Analyst"/>
    <x v="9"/>
    <s v="All the 8 hours baby, all the 8!"/>
    <n v="15"/>
  </r>
  <r>
    <s v="ID1097"/>
    <n v="30000"/>
    <s v="GBP"/>
    <n v="47285.348162018527"/>
    <n v="44219.136149412829"/>
    <n v="44219.136149412829"/>
    <s v="Information Analyst"/>
    <s v="Analyst"/>
    <x v="9"/>
    <s v="4 to 6 hours a day"/>
    <n v="4"/>
  </r>
  <r>
    <s v="ID1101"/>
    <n v="30000"/>
    <s v="GBP"/>
    <n v="47285.348162018527"/>
    <n v="44219.136149412829"/>
    <n v="44219.136149412829"/>
    <s v="MDM Executive (Business Analyst)"/>
    <s v="Analyst"/>
    <x v="9"/>
    <s v="All the 8 hours baby, all the 8!"/>
    <n v="10"/>
  </r>
  <r>
    <s v="ID1149"/>
    <n v="30000"/>
    <s v="GBP"/>
    <n v="47285.348162018527"/>
    <n v="44219.136149412829"/>
    <n v="44219.136149412829"/>
    <s v="Reporting Accountant"/>
    <s v="Accountant"/>
    <x v="9"/>
    <s v="2 to 3 hours per day"/>
    <n v="5"/>
  </r>
  <r>
    <s v="ID1243"/>
    <n v="30000"/>
    <s v="GBP"/>
    <n v="47285.348162018527"/>
    <n v="44219.136149412829"/>
    <n v="44219.136149412829"/>
    <s v="Infection Prevention Surveillance Specialist"/>
    <s v="Specialist"/>
    <x v="9"/>
    <s v="4 to 6 hours a day"/>
    <n v="14"/>
  </r>
  <r>
    <s v="ID1349"/>
    <n v="30000"/>
    <s v="GBP"/>
    <n v="47285.348162018527"/>
    <n v="44219.136149412829"/>
    <n v="44219.136149412829"/>
    <s v="Market Analyst"/>
    <s v="Analyst"/>
    <x v="9"/>
    <s v="All the 8 hours baby, all the 8!"/>
    <n v="6"/>
  </r>
  <r>
    <s v="ID1550"/>
    <n v="30000"/>
    <s v="GBP"/>
    <n v="47285.348162018527"/>
    <n v="44219.136149412829"/>
    <n v="44219.136149412829"/>
    <s v="Cost Analyst"/>
    <s v="Analyst"/>
    <x v="9"/>
    <s v="4 to 6 hours a day"/>
    <n v="7"/>
  </r>
  <r>
    <s v="ID0354"/>
    <n v="44200"/>
    <s v="USD"/>
    <n v="44200"/>
    <n v="44200"/>
    <n v="44200"/>
    <s v="Planning and Analysis Supervisor"/>
    <s v="Analyst"/>
    <x v="8"/>
    <s v="All the 8 hours baby, all the 8!"/>
    <s v="Data Not Avaliable"/>
  </r>
  <r>
    <s v="ID0882"/>
    <n v="40000"/>
    <s v="EUR"/>
    <n v="50815.977559664309"/>
    <n v="44026.115439202084"/>
    <n v="44026.115439202084"/>
    <s v="Medical information analist"/>
    <s v="Analyst"/>
    <x v="11"/>
    <s v="4 to 6 hours a day"/>
    <n v="4"/>
  </r>
  <r>
    <s v="ID1096"/>
    <n v="40000"/>
    <s v="EUR"/>
    <n v="50815.977559664309"/>
    <n v="44026.115439202084"/>
    <n v="44026.115439202084"/>
    <s v="Accounting analyst"/>
    <s v="Analyst"/>
    <x v="11"/>
    <s v="4 to 6 hours a day"/>
    <n v="3"/>
  </r>
  <r>
    <s v="ID1109"/>
    <n v="40000"/>
    <s v="EUR"/>
    <n v="50815.977559664309"/>
    <n v="44026.115439202084"/>
    <n v="44026.115439202084"/>
    <s v="Actuary"/>
    <s v="Accountant"/>
    <x v="49"/>
    <s v="2 to 3 hours per day"/>
    <n v="10"/>
  </r>
  <r>
    <s v="ID1358"/>
    <n v="40000"/>
    <s v="EUR"/>
    <n v="50815.977559664309"/>
    <n v="44026.115439202084"/>
    <n v="44026.115439202084"/>
    <s v="officer"/>
    <s v="Manager"/>
    <x v="54"/>
    <s v="4 to 6 hours a day"/>
    <n v="20"/>
  </r>
  <r>
    <s v="ID1699"/>
    <n v="40000"/>
    <s v="EUR"/>
    <n v="50815.977559664309"/>
    <n v="44026.115439202084"/>
    <n v="44026.115439202084"/>
    <s v="Financial Analyst"/>
    <s v="Analyst"/>
    <x v="15"/>
    <s v="2 to 3 hours per day"/>
    <n v="3"/>
  </r>
  <r>
    <s v="ID0009"/>
    <n v="44000"/>
    <s v="USD"/>
    <n v="44000"/>
    <n v="44000"/>
    <n v="44000"/>
    <s v="CFO"/>
    <s v="CXO or Top Mgmt."/>
    <x v="49"/>
    <s v="1 or 2 hours a day"/>
    <s v="Data Not Avaliable"/>
  </r>
  <r>
    <s v="ID0127"/>
    <n v="44000"/>
    <s v="USD"/>
    <n v="44000"/>
    <n v="44000"/>
    <n v="44000"/>
    <s v="School Tech Coordinator"/>
    <s v="Manager"/>
    <x v="8"/>
    <s v="1 or 2 hours a day"/>
    <s v="Data Not Avaliable"/>
  </r>
  <r>
    <s v="ID0389"/>
    <n v="44000"/>
    <s v="USD"/>
    <n v="44000"/>
    <n v="44000"/>
    <n v="44000"/>
    <s v="continuous improvement team member"/>
    <s v="Analyst"/>
    <x v="8"/>
    <s v="2 to 3 hours per day"/>
    <s v="Data Not Avaliable"/>
  </r>
  <r>
    <s v="ID1392"/>
    <n v="44000"/>
    <s v="USD"/>
    <n v="44000"/>
    <n v="44000"/>
    <n v="44000"/>
    <s v="Test engineer"/>
    <s v="Engineer"/>
    <x v="8"/>
    <s v="4 to 6 hours a day"/>
    <n v="15"/>
  </r>
  <r>
    <s v="ID1589"/>
    <n v="44000"/>
    <s v="USD"/>
    <n v="44000"/>
    <n v="44000"/>
    <n v="44000"/>
    <s v="Quality Assurance Analyst"/>
    <s v="Analyst"/>
    <x v="8"/>
    <s v="4 to 6 hours a day"/>
    <n v="3.5"/>
  </r>
  <r>
    <s v="ID0398"/>
    <n v="1440000"/>
    <s v="BDT"/>
    <n v="17598.017290051986"/>
    <n v="43940.395832632195"/>
    <n v="43940.395832632195"/>
    <s v="Computer Operator"/>
    <s v="Analyst"/>
    <x v="55"/>
    <s v="2 to 3 hours per day"/>
    <s v="Data Not Avaliable"/>
  </r>
  <r>
    <s v="ID0041"/>
    <n v="70000"/>
    <s v="AUD"/>
    <n v="71393.675948184507"/>
    <n v="43869.984073902771"/>
    <n v="43869.984073902771"/>
    <s v="consultant"/>
    <s v="Consultant"/>
    <x v="19"/>
    <s v="2 to 3 hours per day"/>
    <s v="Data Not Avaliable"/>
  </r>
  <r>
    <s v="ID0984"/>
    <n v="70000"/>
    <s v="AUD"/>
    <n v="71393.675948184507"/>
    <n v="43869.984073902771"/>
    <n v="43869.984073902771"/>
    <s v="Business Development"/>
    <s v="Manager"/>
    <x v="19"/>
    <s v="4 to 6 hours a day"/>
    <n v="7"/>
  </r>
  <r>
    <s v="ID1012"/>
    <n v="70000"/>
    <s v="AUD"/>
    <n v="71393.675948184507"/>
    <n v="43869.984073902771"/>
    <n v="43869.984073902771"/>
    <s v="Director"/>
    <s v="CXO or Top Mgmt."/>
    <x v="19"/>
    <s v="All the 8 hours baby, all the 8!"/>
    <n v="2"/>
  </r>
  <r>
    <s v="ID1442"/>
    <n v="70000"/>
    <s v="AUD"/>
    <n v="71393.675948184507"/>
    <n v="43869.984073902771"/>
    <n v="43869.984073902771"/>
    <s v="Assistant Accountant"/>
    <s v="Accountant"/>
    <x v="19"/>
    <s v="2 to 3 hours per day"/>
    <n v="5"/>
  </r>
  <r>
    <s v="ID1460"/>
    <n v="264000"/>
    <s v="ZAR"/>
    <n v="32187.34988380854"/>
    <n v="43786.892304822584"/>
    <n v="43786.892304822584"/>
    <s v="Analyst"/>
    <s v="Analyst"/>
    <x v="13"/>
    <s v="All the 8 hours baby, all the 8!"/>
    <n v="2"/>
  </r>
  <r>
    <s v="ID0860"/>
    <n v="43600"/>
    <s v="USD"/>
    <n v="43600"/>
    <n v="43600"/>
    <n v="43600"/>
    <s v="Data Analyst"/>
    <s v="Analyst"/>
    <x v="8"/>
    <s v="4 to 6 hours a day"/>
    <n v="5"/>
  </r>
  <r>
    <s v="ID1677"/>
    <n v="39600"/>
    <s v="EUR"/>
    <n v="50307.817784067665"/>
    <n v="43585.854284810062"/>
    <n v="43585.854284810062"/>
    <s v="Maintenance Manager"/>
    <s v="Manager"/>
    <x v="12"/>
    <s v="1 or 2 hours a day"/>
    <n v="5"/>
  </r>
  <r>
    <s v="ID0642"/>
    <n v="55000"/>
    <s v="CAD"/>
    <n v="54084.883766667976"/>
    <n v="43474.541176128958"/>
    <n v="43474.541176128958"/>
    <s v="Project coordinator"/>
    <s v="Manager"/>
    <x v="6"/>
    <s v="4 to 6 hours a day"/>
    <n v="5"/>
  </r>
  <r>
    <s v="ID0293"/>
    <n v="43200"/>
    <s v="USD"/>
    <n v="43200"/>
    <n v="43200"/>
    <n v="43200"/>
    <s v="Projects Planner"/>
    <s v="Manager"/>
    <x v="25"/>
    <s v="4 to 6 hours a day"/>
    <s v="Data Not Avaliable"/>
  </r>
  <r>
    <s v="ID0212"/>
    <n v="43000"/>
    <s v="USD"/>
    <n v="43000"/>
    <n v="43000"/>
    <n v="43000"/>
    <s v="Reporting Analyst Team Lead"/>
    <s v="Analyst"/>
    <x v="8"/>
    <s v="All the 8 hours baby, all the 8!"/>
    <s v="Data Not Avaliable"/>
  </r>
  <r>
    <s v="ID0545"/>
    <n v="43000"/>
    <s v="USD"/>
    <n v="43000"/>
    <n v="43000"/>
    <n v="43000"/>
    <s v="Accountant"/>
    <s v="Accountant"/>
    <x v="8"/>
    <s v="All the 8 hours baby, all the 8!"/>
    <s v="Data Not Avaliable"/>
  </r>
  <r>
    <s v="ID0888"/>
    <n v="43000"/>
    <s v="USD"/>
    <n v="43000"/>
    <n v="43000"/>
    <n v="43000"/>
    <s v="Financial Analyst"/>
    <s v="Analyst"/>
    <x v="8"/>
    <s v="4 to 6 hours a day"/>
    <n v="1"/>
  </r>
  <r>
    <s v="ID1270"/>
    <n v="43000"/>
    <s v="USD"/>
    <n v="43000"/>
    <n v="43000"/>
    <n v="43000"/>
    <s v="Operations Support Officer"/>
    <s v="Manager"/>
    <x v="19"/>
    <s v="2 to 3 hours per day"/>
    <n v="4"/>
  </r>
  <r>
    <s v="ID1898"/>
    <n v="43000"/>
    <s v="USD"/>
    <n v="43000"/>
    <n v="43000"/>
    <n v="43000"/>
    <s v="Performance Improvement Analyst"/>
    <s v="Analyst"/>
    <x v="8"/>
    <s v="4 to 6 hours a day"/>
    <n v="5"/>
  </r>
  <r>
    <s v="ID1703"/>
    <n v="38920"/>
    <s v="EUR"/>
    <n v="49443.946165553374"/>
    <n v="42837.410322343632"/>
    <n v="42837.410322343632"/>
    <s v="functional analyst"/>
    <s v="Analyst"/>
    <x v="56"/>
    <s v="4 to 6 hours a day"/>
    <n v="1.5"/>
  </r>
  <r>
    <s v="ID1685"/>
    <n v="71000"/>
    <s v="NZD"/>
    <n v="56628.754645950656"/>
    <n v="42753.133539197464"/>
    <n v="42753.133539197464"/>
    <s v="Business Analyst"/>
    <s v="Analyst"/>
    <x v="21"/>
    <s v="All the 8 hours baby, all the 8!"/>
    <n v="6"/>
  </r>
  <r>
    <s v="ID0325"/>
    <n v="29000"/>
    <s v="GBP"/>
    <n v="45709.169889951241"/>
    <n v="42745.164944432399"/>
    <n v="42745.164944432399"/>
    <s v="ICT Technical Analyst"/>
    <s v="Analyst"/>
    <x v="9"/>
    <s v="4 to 6 hours a day"/>
    <s v="Data Not Avaliable"/>
  </r>
  <r>
    <s v="ID0800"/>
    <n v="29000"/>
    <s v="GBP"/>
    <n v="45709.169889951241"/>
    <n v="42745.164944432399"/>
    <n v="42745.164944432399"/>
    <s v="Reporting Assistant"/>
    <s v="Reporting"/>
    <x v="9"/>
    <s v="2 to 3 hours per day"/>
    <n v="15"/>
  </r>
  <r>
    <s v="ID1141"/>
    <n v="29000"/>
    <s v="GBP"/>
    <n v="45709.169889951241"/>
    <n v="42745.164944432399"/>
    <n v="42745.164944432399"/>
    <s v="Financial Analyst"/>
    <s v="Analyst"/>
    <x v="9"/>
    <s v="4 to 6 hours a day"/>
    <n v="14"/>
  </r>
  <r>
    <s v="ID1233"/>
    <n v="29000"/>
    <s v="GBP"/>
    <n v="45709.169889951241"/>
    <n v="42745.164944432399"/>
    <n v="42745.164944432399"/>
    <s v="Financial Accountant"/>
    <s v="Accountant"/>
    <x v="9"/>
    <s v="2 to 3 hours per day"/>
    <n v="8"/>
  </r>
  <r>
    <s v="ID0029"/>
    <n v="900000"/>
    <s v="INR"/>
    <n v="16027.125018698311"/>
    <n v="42624.920113828608"/>
    <n v="42624.920113828608"/>
    <s v="Applications Engineer"/>
    <s v="Engineer"/>
    <x v="7"/>
    <s v="1 or 2 hours a day"/>
    <s v="Data Not Avaliable"/>
  </r>
  <r>
    <s v="ID0454"/>
    <n v="900000"/>
    <s v="INR"/>
    <n v="16027.125018698311"/>
    <n v="42624.920113828608"/>
    <n v="42624.920113828608"/>
    <s v="Regional Manager"/>
    <s v="Manager"/>
    <x v="7"/>
    <s v="1 or 2 hours a day"/>
    <s v="Data Not Avaliable"/>
  </r>
  <r>
    <s v="ID0839"/>
    <n v="900000"/>
    <s v="INR"/>
    <n v="16027.125018698311"/>
    <n v="42624.920113828608"/>
    <n v="42624.920113828608"/>
    <s v="Deputy Manager"/>
    <s v="Manager"/>
    <x v="7"/>
    <s v="1 or 2 hours a day"/>
    <n v="9"/>
  </r>
  <r>
    <s v="ID1130"/>
    <n v="900000"/>
    <s v="INR"/>
    <n v="16027.125018698311"/>
    <n v="42624.920113828608"/>
    <n v="42624.920113828608"/>
    <s v="officer"/>
    <s v="Manager"/>
    <x v="7"/>
    <s v="4 to 6 hours a day"/>
    <n v="22"/>
  </r>
  <r>
    <s v="ID1210"/>
    <n v="900000"/>
    <s v="INR"/>
    <n v="16027.125018698311"/>
    <n v="42624.920113828608"/>
    <n v="42624.920113828608"/>
    <s v="Manager F &amp; A"/>
    <s v="Manager"/>
    <x v="7"/>
    <s v="1 or 2 hours a day"/>
    <n v="13"/>
  </r>
  <r>
    <s v="ID1285"/>
    <n v="900000"/>
    <s v="INR"/>
    <n v="16027.125018698311"/>
    <n v="42624.920113828608"/>
    <n v="42624.920113828608"/>
    <s v="RENTAL INVENTORY CONTROLLER"/>
    <s v="Controller"/>
    <x v="7"/>
    <s v="All the 8 hours baby, all the 8!"/>
    <n v="8"/>
  </r>
  <r>
    <s v="ID1451"/>
    <n v="900000"/>
    <s v="INR"/>
    <n v="16027.125018698311"/>
    <n v="42624.920113828608"/>
    <n v="42624.920113828608"/>
    <s v="Data Analyst"/>
    <s v="Analyst"/>
    <x v="7"/>
    <s v="4 to 6 hours a day"/>
    <n v="4"/>
  </r>
  <r>
    <s v="ID1834"/>
    <n v="900000"/>
    <s v="INR"/>
    <n v="16027.125018698311"/>
    <n v="42624.920113828608"/>
    <n v="42624.920113828608"/>
    <s v="Lead "/>
    <s v="Manager"/>
    <x v="7"/>
    <s v="2 to 3 hours per day"/>
    <n v="6"/>
  </r>
  <r>
    <s v="ID1306"/>
    <n v="68000"/>
    <s v="AUD"/>
    <n v="69353.856635379227"/>
    <n v="42616.555957505545"/>
    <n v="42616.555957505545"/>
    <s v="Project Support Officer"/>
    <s v="Manager"/>
    <x v="19"/>
    <s v="4 to 6 hours a day"/>
    <n v="10"/>
  </r>
  <r>
    <s v="ID0574"/>
    <n v="28800"/>
    <s v="GBP"/>
    <n v="45393.934235537781"/>
    <n v="42450.370703436311"/>
    <n v="42450.370703436311"/>
    <s v="Finance Manager"/>
    <s v="Manager"/>
    <x v="9"/>
    <s v="4 to 6 hours a day"/>
    <n v="27"/>
  </r>
  <r>
    <s v="ID1827"/>
    <n v="42307"/>
    <s v="USD"/>
    <n v="42307"/>
    <n v="42307"/>
    <n v="42307"/>
    <s v="purchasing operations administrator"/>
    <s v="Analyst"/>
    <x v="8"/>
    <s v="2 to 3 hours per day"/>
    <n v="25"/>
  </r>
  <r>
    <s v="ID1189"/>
    <n v="216000"/>
    <s v="AED"/>
    <n v="58799.349940520107"/>
    <n v="42258.318380709279"/>
    <n v="42258.318380709279"/>
    <s v="Financial analyst"/>
    <s v="Analyst"/>
    <x v="57"/>
    <s v="4 to 6 hours a day"/>
    <n v="2"/>
  </r>
  <r>
    <s v="ID0216"/>
    <n v="42140"/>
    <s v="USD"/>
    <n v="42140"/>
    <n v="42140"/>
    <n v="42140"/>
    <s v="Information Analyst II"/>
    <s v="Analyst"/>
    <x v="8"/>
    <s v="4 to 6 hours a day"/>
    <s v="Data Not Avaliable"/>
  </r>
  <r>
    <s v="ID0473"/>
    <n v="28500"/>
    <s v="GBP"/>
    <n v="44921.080753917595"/>
    <n v="42008.179341942181"/>
    <n v="42008.179341942181"/>
    <s v="Data Quality &amp; Analysis Manager"/>
    <s v="Manager"/>
    <x v="9"/>
    <s v="2 to 3 hours per day"/>
    <s v="Data Not Avaliable"/>
  </r>
  <r>
    <s v="ID1120"/>
    <n v="28500"/>
    <s v="GBP"/>
    <n v="44921.080753917595"/>
    <n v="42008.179341942181"/>
    <n v="42008.179341942181"/>
    <s v="Development (Project &amp; Planning) Manager"/>
    <s v="Manager"/>
    <x v="9"/>
    <s v="1 or 2 hours a day"/>
    <n v="15"/>
  </r>
  <r>
    <s v="ID0933"/>
    <n v="42000"/>
    <s v="USD"/>
    <n v="42000"/>
    <n v="42000"/>
    <n v="42000"/>
    <s v="Credit Controller"/>
    <s v="Controller"/>
    <x v="25"/>
    <s v="All the 8 hours baby, all the 8!"/>
    <n v="15"/>
  </r>
  <r>
    <s v="ID1037"/>
    <n v="42000"/>
    <s v="USD"/>
    <n v="42000"/>
    <n v="42000"/>
    <n v="42000"/>
    <s v="Category Operations Supv."/>
    <s v="Manager"/>
    <x v="51"/>
    <s v="All the 8 hours baby, all the 8!"/>
    <n v="5"/>
  </r>
  <r>
    <s v="ID1480"/>
    <n v="42000"/>
    <s v="USD"/>
    <n v="42000"/>
    <n v="42000"/>
    <n v="42000"/>
    <s v="Service Solution Rep"/>
    <s v="Analyst"/>
    <x v="8"/>
    <s v="All the 8 hours baby, all the 8!"/>
    <n v="2"/>
  </r>
  <r>
    <s v="ID1618"/>
    <n v="42000"/>
    <s v="USD"/>
    <n v="42000"/>
    <n v="42000"/>
    <n v="42000"/>
    <s v="production clerk"/>
    <s v="Analyst"/>
    <x v="8"/>
    <s v="4 to 6 hours a day"/>
    <n v="2"/>
  </r>
  <r>
    <s v="ID1712"/>
    <n v="42000"/>
    <s v="USD"/>
    <n v="42000"/>
    <n v="42000"/>
    <n v="42000"/>
    <s v="Staff Accountant"/>
    <s v="Accountant"/>
    <x v="8"/>
    <s v="4 to 6 hours a day"/>
    <n v="1"/>
  </r>
  <r>
    <s v="ID0373"/>
    <n v="41932"/>
    <s v="USD"/>
    <n v="41932"/>
    <n v="41932"/>
    <n v="41932"/>
    <s v="Buyer"/>
    <s v="Manager"/>
    <x v="8"/>
    <s v="2 to 3 hours per day"/>
    <s v="Data Not Avaliable"/>
  </r>
  <r>
    <s v="ID1177"/>
    <n v="53000"/>
    <s v="CAD"/>
    <n v="52118.160720607324"/>
    <n v="41893.64876972427"/>
    <n v="41893.64876972427"/>
    <s v="Data Analyst"/>
    <s v="Analyst"/>
    <x v="6"/>
    <s v="4 to 6 hours a day"/>
    <n v="6"/>
  </r>
  <r>
    <s v="ID0066"/>
    <n v="38000"/>
    <s v="EUR"/>
    <n v="48275.178681681093"/>
    <n v="41824.809667241978"/>
    <n v="41824.809667241978"/>
    <s v="busines analist"/>
    <s v="Analyst"/>
    <x v="11"/>
    <s v="1 or 2 hours a day"/>
    <s v="Data Not Avaliable"/>
  </r>
  <r>
    <s v="ID0006"/>
    <n v="41731"/>
    <s v="USD"/>
    <n v="41731"/>
    <n v="41731"/>
    <n v="41731"/>
    <s v="Analyst"/>
    <s v="Analyst"/>
    <x v="58"/>
    <s v="All the 8 hours baby, all the 8!"/>
    <s v="Data Not Avaliable"/>
  </r>
  <r>
    <s v="ID0218"/>
    <n v="41600"/>
    <s v="USD"/>
    <n v="41600"/>
    <n v="41600"/>
    <n v="41600"/>
    <s v="Project Manager"/>
    <s v="Manager"/>
    <x v="8"/>
    <s v="4 to 6 hours a day"/>
    <s v="Data Not Avaliable"/>
  </r>
  <r>
    <s v="ID0494"/>
    <n v="28164"/>
    <s v="GBP"/>
    <n v="44391.484854502989"/>
    <n v="41512.925017068759"/>
    <n v="41512.925017068759"/>
    <s v="Administration Officer"/>
    <s v="Manager"/>
    <x v="9"/>
    <s v="4 to 6 hours a day"/>
    <s v="Data Not Avaliable"/>
  </r>
  <r>
    <s v="ID0131"/>
    <n v="28159"/>
    <s v="GBP"/>
    <n v="44383.603963142654"/>
    <n v="41505.555161043856"/>
    <n v="41505.555161043856"/>
    <s v="Data Analyst"/>
    <s v="Analyst"/>
    <x v="9"/>
    <s v="All the 8 hours baby, all the 8!"/>
    <s v="Data Not Avaliable"/>
  </r>
  <r>
    <s v="ID0182"/>
    <n v="41406"/>
    <s v="USD"/>
    <n v="41406"/>
    <n v="41406"/>
    <n v="41406"/>
    <s v="Executive Assistant"/>
    <s v="Analyst"/>
    <x v="6"/>
    <s v="1 or 2 hours a day"/>
    <s v="Data Not Avaliable"/>
  </r>
  <r>
    <s v="ID0262"/>
    <n v="28000"/>
    <s v="GBP"/>
    <n v="44132.991617883956"/>
    <n v="41271.19373945197"/>
    <n v="41271.19373945197"/>
    <s v="Ops Adminstrator"/>
    <s v="Analyst"/>
    <x v="9"/>
    <s v="All the 8 hours baby, all the 8!"/>
    <s v="Data Not Avaliable"/>
  </r>
  <r>
    <s v="ID0387"/>
    <n v="28000"/>
    <s v="GBP"/>
    <n v="44132.991617883956"/>
    <n v="41271.19373945197"/>
    <n v="41271.19373945197"/>
    <s v="Central Services Manager"/>
    <s v="Manager"/>
    <x v="9"/>
    <s v="2 to 3 hours per day"/>
    <s v="Data Not Avaliable"/>
  </r>
  <r>
    <s v="ID1062"/>
    <n v="28000"/>
    <s v="GBP"/>
    <n v="44132.991617883956"/>
    <n v="41271.19373945197"/>
    <n v="41271.19373945197"/>
    <s v="Modeller"/>
    <s v="Analyst"/>
    <x v="9"/>
    <s v="2 to 3 hours per day"/>
    <n v="16"/>
  </r>
  <r>
    <s v="ID0460"/>
    <n v="52000"/>
    <s v="CAD"/>
    <n v="51134.799197576998"/>
    <n v="41103.202566521926"/>
    <n v="41103.202566521926"/>
    <s v="Office Manager"/>
    <s v="Manager"/>
    <x v="6"/>
    <s v="4 to 6 hours a day"/>
    <s v="Data Not Avaliable"/>
  </r>
  <r>
    <s v="ID0031"/>
    <n v="41000"/>
    <s v="USD"/>
    <n v="41000"/>
    <n v="41000"/>
    <n v="41000"/>
    <s v="Chief of the department of public budget analisis and forecasting"/>
    <s v="Manager"/>
    <x v="30"/>
    <s v="All the 8 hours baby, all the 8!"/>
    <s v="Data Not Avaliable"/>
  </r>
  <r>
    <s v="ID0060"/>
    <n v="41000"/>
    <s v="USD"/>
    <n v="41000"/>
    <n v="41000"/>
    <n v="41000"/>
    <s v="Specialist"/>
    <s v="Specialist"/>
    <x v="8"/>
    <s v="4 to 6 hours a day"/>
    <s v="Data Not Avaliable"/>
  </r>
  <r>
    <s v="ID0214"/>
    <n v="41000"/>
    <s v="USD"/>
    <n v="41000"/>
    <n v="41000"/>
    <n v="41000"/>
    <s v="Operations Expert"/>
    <s v="Manager"/>
    <x v="8"/>
    <s v="All the 8 hours baby, all the 8!"/>
    <s v="Data Not Avaliable"/>
  </r>
  <r>
    <s v="ID0312"/>
    <n v="41000"/>
    <s v="USD"/>
    <n v="41000"/>
    <n v="41000"/>
    <n v="41000"/>
    <s v="Operations Analyst"/>
    <s v="Analyst"/>
    <x v="8"/>
    <s v="4 to 6 hours a day"/>
    <s v="Data Not Avaliable"/>
  </r>
  <r>
    <s v="ID0768"/>
    <n v="41000"/>
    <s v="USD"/>
    <n v="41000"/>
    <n v="41000"/>
    <n v="41000"/>
    <s v="Business Analyst"/>
    <s v="Analyst"/>
    <x v="8"/>
    <s v="All the 8 hours baby, all the 8!"/>
    <n v="4"/>
  </r>
  <r>
    <s v="ID1344"/>
    <n v="41000"/>
    <s v="USD"/>
    <n v="41000"/>
    <n v="41000"/>
    <n v="41000"/>
    <s v="PO/PMO/Planner/PM"/>
    <s v="Manager"/>
    <x v="16"/>
    <s v="2 to 3 hours per day"/>
    <n v="4"/>
  </r>
  <r>
    <s v="ID1458"/>
    <n v="41000"/>
    <s v="USD"/>
    <n v="41000"/>
    <n v="41000"/>
    <n v="41000"/>
    <s v="Marketing Analyst"/>
    <s v="Analyst"/>
    <x v="22"/>
    <s v="2 to 3 hours per day"/>
    <n v="2"/>
  </r>
  <r>
    <s v="ID1575"/>
    <n v="41000"/>
    <s v="USD"/>
    <n v="41000"/>
    <n v="41000"/>
    <n v="41000"/>
    <s v="Excel Developer"/>
    <s v="Consultant"/>
    <x v="8"/>
    <s v="4 to 6 hours a day"/>
    <n v="10"/>
  </r>
  <r>
    <s v="ID0798"/>
    <n v="65000"/>
    <s v="AUD"/>
    <n v="66294.12766617132"/>
    <n v="40736.413782909716"/>
    <n v="40736.413782909716"/>
    <s v="Market analyst"/>
    <s v="Analyst"/>
    <x v="19"/>
    <s v="All the 8 hours baby, all the 8!"/>
    <n v="10"/>
  </r>
  <r>
    <s v="ID0968"/>
    <n v="65000"/>
    <s v="AUD"/>
    <n v="66294.12766617132"/>
    <n v="40736.413782909716"/>
    <n v="40736.413782909716"/>
    <s v="Business Support "/>
    <s v="Manager"/>
    <x v="19"/>
    <s v="2 to 3 hours per day"/>
    <n v="5"/>
  </r>
  <r>
    <s v="ID0979"/>
    <n v="65000"/>
    <s v="AUD"/>
    <n v="66294.12766617132"/>
    <n v="40736.413782909716"/>
    <n v="40736.413782909716"/>
    <s v="Data Analyst"/>
    <s v="Analyst"/>
    <x v="19"/>
    <s v="4 to 6 hours a day"/>
    <n v="4"/>
  </r>
  <r>
    <s v="ID1100"/>
    <n v="37000"/>
    <s v="EUR"/>
    <n v="47004.779242689488"/>
    <n v="40724.156781261932"/>
    <n v="40724.156781261932"/>
    <s v="Project Control Analyst"/>
    <s v="Analyst"/>
    <x v="23"/>
    <s v="4 to 6 hours a day"/>
    <n v="11"/>
  </r>
  <r>
    <s v="ID0184"/>
    <n v="40700"/>
    <s v="USD"/>
    <n v="40700"/>
    <n v="40700"/>
    <n v="40700"/>
    <s v="Sales Coordinator &amp; Analytical Support"/>
    <s v="Analyst"/>
    <x v="8"/>
    <s v="1 or 2 hours a day"/>
    <s v="Data Not Avaliable"/>
  </r>
  <r>
    <s v="ID0590"/>
    <n v="40414"/>
    <s v="USD"/>
    <n v="40414"/>
    <n v="40414"/>
    <n v="40414"/>
    <s v="Performance Improvement Analyst"/>
    <s v="Analyst"/>
    <x v="8"/>
    <s v="4 to 6 hours a day"/>
    <n v="8"/>
  </r>
  <r>
    <s v="ID1146"/>
    <n v="853000"/>
    <s v="INR"/>
    <n v="15190.15293438851"/>
    <n v="40398.952063439785"/>
    <n v="40398.952063439785"/>
    <s v="Lead Research Analyst"/>
    <s v="Analyst"/>
    <x v="7"/>
    <s v="2 to 3 hours per day"/>
    <n v="6"/>
  </r>
  <r>
    <s v="ID0616"/>
    <n v="850000"/>
    <s v="INR"/>
    <n v="15136.729184326183"/>
    <n v="40256.868996393685"/>
    <n v="40256.868996393685"/>
    <s v="Sales Analyst"/>
    <s v="Analyst"/>
    <x v="7"/>
    <s v="4 to 6 hours a day"/>
    <n v="6"/>
  </r>
  <r>
    <s v="ID0805"/>
    <n v="850000"/>
    <s v="INR"/>
    <n v="15136.729184326183"/>
    <n v="40256.868996393685"/>
    <n v="40256.868996393685"/>
    <s v="Senior Research Analyst"/>
    <s v="Analyst"/>
    <x v="7"/>
    <s v="4 to 6 hours a day"/>
    <n v="2"/>
  </r>
  <r>
    <s v="ID0900"/>
    <n v="850000"/>
    <s v="INR"/>
    <n v="15136.729184326183"/>
    <n v="40256.868996393685"/>
    <n v="40256.868996393685"/>
    <s v="Assistant Manager"/>
    <s v="Manager"/>
    <x v="7"/>
    <s v="2 to 3 hours per day"/>
    <n v="3"/>
  </r>
  <r>
    <s v="ID1574"/>
    <n v="850000"/>
    <s v="INR"/>
    <n v="15136.729184326183"/>
    <n v="40256.868996393685"/>
    <n v="40256.868996393685"/>
    <s v="Sr Business analyst"/>
    <s v="Analyst"/>
    <x v="7"/>
    <s v="4 to 6 hours a day"/>
    <n v="5"/>
  </r>
  <r>
    <s v="ID0025"/>
    <n v="40000"/>
    <s v="USD"/>
    <n v="40000"/>
    <n v="40000"/>
    <n v="40000"/>
    <s v="sales and marketing"/>
    <s v="Manager"/>
    <x v="8"/>
    <s v="2 to 3 hours per day"/>
    <s v="Data Not Avaliable"/>
  </r>
  <r>
    <s v="ID0089"/>
    <n v="40000"/>
    <s v="USD"/>
    <n v="40000"/>
    <n v="40000"/>
    <n v="40000"/>
    <s v="Admin"/>
    <s v="Analyst"/>
    <x v="8"/>
    <s v="4 to 6 hours a day"/>
    <s v="Data Not Avaliable"/>
  </r>
  <r>
    <s v="ID0098"/>
    <n v="40000"/>
    <s v="USD"/>
    <n v="40000"/>
    <n v="40000"/>
    <n v="40000"/>
    <s v="Sales and Marketing Analyst "/>
    <s v="Analyst"/>
    <x v="8"/>
    <s v="4 to 6 hours a day"/>
    <s v="Data Not Avaliable"/>
  </r>
  <r>
    <s v="ID0139"/>
    <n v="40000"/>
    <s v="USD"/>
    <n v="40000"/>
    <n v="40000"/>
    <n v="40000"/>
    <s v="Business Analyst"/>
    <s v="Analyst"/>
    <x v="8"/>
    <s v="4 to 6 hours a day"/>
    <s v="Data Not Avaliable"/>
  </r>
  <r>
    <s v="ID0180"/>
    <n v="40000"/>
    <s v="USD"/>
    <n v="40000"/>
    <n v="40000"/>
    <n v="40000"/>
    <s v="Senior analyst"/>
    <s v="Analyst"/>
    <x v="8"/>
    <s v="All the 8 hours baby, all the 8!"/>
    <s v="Data Not Avaliable"/>
  </r>
  <r>
    <s v="ID0185"/>
    <n v="40000"/>
    <s v="USD"/>
    <n v="40000"/>
    <n v="40000"/>
    <n v="40000"/>
    <s v="analyst"/>
    <s v="Analyst"/>
    <x v="8"/>
    <s v="4 to 6 hours a day"/>
    <s v="Data Not Avaliable"/>
  </r>
  <r>
    <s v="ID0254"/>
    <n v="40000"/>
    <s v="USD"/>
    <n v="40000"/>
    <n v="40000"/>
    <n v="40000"/>
    <s v="Business Analyst"/>
    <s v="Analyst"/>
    <x v="8"/>
    <s v="All the 8 hours baby, all the 8!"/>
    <s v="Data Not Avaliable"/>
  </r>
  <r>
    <s v="ID0272"/>
    <n v="40000"/>
    <s v="USD"/>
    <n v="40000"/>
    <n v="40000"/>
    <n v="40000"/>
    <s v="Analyst 2"/>
    <s v="Analyst"/>
    <x v="8"/>
    <s v="4 to 6 hours a day"/>
    <s v="Data Not Avaliable"/>
  </r>
  <r>
    <s v="ID0280"/>
    <n v="40000"/>
    <s v="USD"/>
    <n v="40000"/>
    <n v="40000"/>
    <n v="40000"/>
    <s v="Business Analyst"/>
    <s v="Analyst"/>
    <x v="8"/>
    <s v="All the 8 hours baby, all the 8!"/>
    <s v="Data Not Avaliable"/>
  </r>
  <r>
    <s v="ID0310"/>
    <n v="40000"/>
    <s v="USD"/>
    <n v="40000"/>
    <n v="40000"/>
    <n v="40000"/>
    <s v="Royalties Coordinator"/>
    <s v="Manager"/>
    <x v="8"/>
    <s v="4 to 6 hours a day"/>
    <s v="Data Not Avaliable"/>
  </r>
  <r>
    <s v="ID0322"/>
    <n v="40000"/>
    <s v="USD"/>
    <n v="40000"/>
    <n v="40000"/>
    <n v="40000"/>
    <s v="Dp manager"/>
    <s v="Manager"/>
    <x v="59"/>
    <s v="4 to 6 hours a day"/>
    <s v="Data Not Avaliable"/>
  </r>
  <r>
    <s v="ID0401"/>
    <n v="40000"/>
    <s v="USD"/>
    <n v="40000"/>
    <n v="40000"/>
    <n v="40000"/>
    <s v="Accounting Manager"/>
    <s v="Manager"/>
    <x v="8"/>
    <s v="2 to 3 hours per day"/>
    <s v="Data Not Avaliable"/>
  </r>
  <r>
    <s v="ID0495"/>
    <n v="40000"/>
    <s v="USD"/>
    <n v="40000"/>
    <n v="40000"/>
    <n v="40000"/>
    <s v="BAS"/>
    <s v="Analyst"/>
    <x v="8"/>
    <s v="2 to 3 hours per day"/>
    <s v="Data Not Avaliable"/>
  </r>
  <r>
    <s v="ID0737"/>
    <n v="40000"/>
    <s v="USD"/>
    <n v="40000"/>
    <n v="40000"/>
    <n v="40000"/>
    <s v="Revenue Manager"/>
    <s v="Manager"/>
    <x v="7"/>
    <s v="All the 8 hours baby, all the 8!"/>
    <n v="15"/>
  </r>
  <r>
    <s v="ID0831"/>
    <n v="40000"/>
    <s v="USD"/>
    <n v="40000"/>
    <n v="40000"/>
    <n v="40000"/>
    <s v="High School Teacher"/>
    <s v="Manager"/>
    <x v="8"/>
    <s v="2 to 3 hours per day"/>
    <n v="20"/>
  </r>
  <r>
    <s v="ID0858"/>
    <n v="40000"/>
    <s v="USD"/>
    <n v="40000"/>
    <n v="40000"/>
    <n v="40000"/>
    <s v="Data Research Assistant"/>
    <s v="Analyst"/>
    <x v="8"/>
    <s v="All the 8 hours baby, all the 8!"/>
    <n v="4"/>
  </r>
  <r>
    <s v="ID0867"/>
    <n v="40000"/>
    <s v="USD"/>
    <n v="40000"/>
    <n v="40000"/>
    <n v="40000"/>
    <s v="IT Capacity Planner"/>
    <s v="Analyst"/>
    <x v="8"/>
    <s v="All the 8 hours baby, all the 8!"/>
    <n v="2"/>
  </r>
  <r>
    <s v="ID0961"/>
    <n v="40000"/>
    <s v="USD"/>
    <n v="40000"/>
    <n v="40000"/>
    <n v="40000"/>
    <s v="analyst"/>
    <s v="Analyst"/>
    <x v="21"/>
    <s v="4 to 6 hours a day"/>
    <n v="5"/>
  </r>
  <r>
    <s v="ID1145"/>
    <n v="40000"/>
    <s v="USD"/>
    <n v="40000"/>
    <n v="40000"/>
    <n v="40000"/>
    <s v="Engineer"/>
    <s v="Engineer"/>
    <x v="7"/>
    <s v="2 to 3 hours per day"/>
    <n v="2"/>
  </r>
  <r>
    <s v="ID1220"/>
    <n v="40000"/>
    <s v="USD"/>
    <n v="40000"/>
    <n v="40000"/>
    <n v="40000"/>
    <s v="Staff Accountant"/>
    <s v="Accountant"/>
    <x v="8"/>
    <s v="2 to 3 hours per day"/>
    <n v="15"/>
  </r>
  <r>
    <s v="ID1231"/>
    <n v="40000"/>
    <s v="USD"/>
    <n v="40000"/>
    <n v="40000"/>
    <n v="40000"/>
    <s v="SOX,SAP, Insurance Coordinator"/>
    <s v="Manager"/>
    <x v="52"/>
    <s v="4 to 6 hours a day"/>
    <n v="15"/>
  </r>
  <r>
    <s v="ID1265"/>
    <n v="40000"/>
    <s v="USD"/>
    <n v="40000"/>
    <n v="40000"/>
    <n v="40000"/>
    <s v="Senior Materials Handler"/>
    <s v="Manager"/>
    <x v="8"/>
    <s v="2 to 3 hours per day"/>
    <n v="18"/>
  </r>
  <r>
    <s v="ID1405"/>
    <n v="40000"/>
    <s v="USD"/>
    <n v="40000"/>
    <n v="40000"/>
    <n v="40000"/>
    <s v="Transportation Planner"/>
    <s v="Manager"/>
    <x v="8"/>
    <s v="1 or 2 hours a day"/>
    <n v="8"/>
  </r>
  <r>
    <s v="ID1409"/>
    <n v="40000"/>
    <s v="USD"/>
    <n v="40000"/>
    <n v="40000"/>
    <n v="40000"/>
    <s v="Project Coordinator"/>
    <s v="Manager"/>
    <x v="8"/>
    <s v="4 to 6 hours a day"/>
    <n v="1"/>
  </r>
  <r>
    <s v="ID1419"/>
    <n v="40000"/>
    <s v="USD"/>
    <n v="40000"/>
    <n v="40000"/>
    <n v="40000"/>
    <s v="Metrics Analyst"/>
    <s v="Analyst"/>
    <x v="8"/>
    <s v="2 to 3 hours per day"/>
    <n v="6"/>
  </r>
  <r>
    <s v="ID1566"/>
    <n v="40000"/>
    <s v="USD"/>
    <n v="40000"/>
    <n v="40000"/>
    <n v="40000"/>
    <s v="QA Data Analyst"/>
    <s v="Analyst"/>
    <x v="8"/>
    <s v="4 to 6 hours a day"/>
    <n v="8"/>
  </r>
  <r>
    <s v="ID1767"/>
    <n v="40000"/>
    <s v="USD"/>
    <n v="40000"/>
    <n v="40000"/>
    <n v="40000"/>
    <s v="Market Research Analyst"/>
    <s v="Analyst"/>
    <x v="8"/>
    <s v="4 to 6 hours a day"/>
    <n v="5"/>
  </r>
  <r>
    <s v="ID1794"/>
    <n v="40000"/>
    <s v="USD"/>
    <n v="40000"/>
    <n v="40000"/>
    <n v="40000"/>
    <s v="Intern"/>
    <s v="Analyst"/>
    <x v="8"/>
    <s v="2 to 3 hours per day"/>
    <n v="2"/>
  </r>
  <r>
    <s v="ID1841"/>
    <n v="40000"/>
    <s v="USD"/>
    <n v="40000"/>
    <n v="40000"/>
    <n v="40000"/>
    <s v="Rates Analyst"/>
    <s v="Analyst"/>
    <x v="8"/>
    <s v="2 to 3 hours per day"/>
    <n v="0"/>
  </r>
  <r>
    <s v="ID1851"/>
    <n v="40000"/>
    <s v="USD"/>
    <n v="40000"/>
    <n v="40000"/>
    <n v="40000"/>
    <s v="Research Support Specialist"/>
    <s v="Specialist"/>
    <x v="8"/>
    <s v="4 to 6 hours a day"/>
    <n v="1"/>
  </r>
  <r>
    <s v="ID1878"/>
    <n v="40000"/>
    <s v="USD"/>
    <n v="40000"/>
    <n v="40000"/>
    <n v="40000"/>
    <s v="Assistant Manager"/>
    <s v="Manager"/>
    <x v="7"/>
    <s v="4 to 6 hours a day"/>
    <n v="5"/>
  </r>
  <r>
    <s v="ID1930"/>
    <n v="40000"/>
    <s v="USD"/>
    <n v="40000"/>
    <n v="40000"/>
    <n v="40000"/>
    <s v="Corporate Trainer"/>
    <s v="Analyst"/>
    <x v="8"/>
    <s v="1 or 2 hours a day"/>
    <n v="3"/>
  </r>
  <r>
    <s v="ID1059"/>
    <n v="240000"/>
    <s v="ZAR"/>
    <n v="29261.227167098674"/>
    <n v="39806.265731656895"/>
    <n v="39806.265731656895"/>
    <s v="Bookkeeper"/>
    <s v="Accountant"/>
    <x v="13"/>
    <s v="2 to 3 hours per day"/>
    <n v="20"/>
  </r>
  <r>
    <s v="ID1362"/>
    <n v="27000"/>
    <s v="GBP"/>
    <n v="42556.81334581667"/>
    <n v="39797.222534471541"/>
    <n v="39797.222534471541"/>
    <s v="Engineering Tech"/>
    <s v="Engineer"/>
    <x v="9"/>
    <s v="4 to 6 hours a day"/>
    <n v="1"/>
  </r>
  <r>
    <s v="ID1729"/>
    <n v="27000"/>
    <s v="GBP"/>
    <n v="42556.81334581667"/>
    <n v="39797.222534471541"/>
    <n v="39797.222534471541"/>
    <s v="Network Designer"/>
    <s v="Analyst"/>
    <x v="9"/>
    <s v="4 to 6 hours a day"/>
    <n v="2"/>
  </r>
  <r>
    <s v="ID1786"/>
    <n v="27000"/>
    <s v="GBP"/>
    <n v="42556.81334581667"/>
    <n v="39797.222534471541"/>
    <n v="39797.222534471541"/>
    <s v="assistant account manager"/>
    <s v="Manager"/>
    <x v="9"/>
    <s v="4 to 6 hours a day"/>
    <n v="3"/>
  </r>
  <r>
    <s v="ID1787"/>
    <n v="27000"/>
    <s v="GBP"/>
    <n v="42556.81334581667"/>
    <n v="39797.222534471541"/>
    <n v="39797.222534471541"/>
    <s v="assistant account manager"/>
    <s v="Manager"/>
    <x v="9"/>
    <s v="4 to 6 hours a day"/>
    <n v="3"/>
  </r>
  <r>
    <s v="ID1411"/>
    <n v="36000"/>
    <s v="EUR"/>
    <n v="45734.379803697877"/>
    <n v="39623.503895281872"/>
    <n v="39623.503895281872"/>
    <s v="Data Analytics Consultant"/>
    <s v="Analyst"/>
    <x v="42"/>
    <s v="2 to 3 hours per day"/>
    <n v="4"/>
  </r>
  <r>
    <s v="ID0138"/>
    <n v="50000"/>
    <s v="CAD"/>
    <n v="49168.076151516347"/>
    <n v="39522.310160117238"/>
    <n v="39522.310160117238"/>
    <s v="Inventory manger"/>
    <s v="Manager"/>
    <x v="6"/>
    <s v="4 to 6 hours a day"/>
    <s v="Data Not Avaliable"/>
  </r>
  <r>
    <s v="ID1531"/>
    <n v="50000"/>
    <s v="CAD"/>
    <n v="49168.076151516347"/>
    <n v="39522.310160117238"/>
    <n v="39522.310160117238"/>
    <s v="Business Analyst"/>
    <s v="Analyst"/>
    <x v="6"/>
    <s v="4 to 6 hours a day"/>
    <n v="3"/>
  </r>
  <r>
    <s v="ID1644"/>
    <n v="50000"/>
    <s v="CAD"/>
    <n v="49168.076151516347"/>
    <n v="39522.310160117238"/>
    <n v="39522.310160117238"/>
    <s v="Application Developer"/>
    <s v="Analyst"/>
    <x v="6"/>
    <s v="4 to 6 hours a day"/>
    <n v="5"/>
  </r>
  <r>
    <s v="ID1888"/>
    <n v="63000"/>
    <s v="AUD"/>
    <n v="64254.308353366054"/>
    <n v="39482.985666512497"/>
    <n v="39482.985666512497"/>
    <s v="Financial Modelling adviser"/>
    <s v="Accountant"/>
    <x v="19"/>
    <s v="All the 8 hours baby, all the 8!"/>
    <n v="3"/>
  </r>
  <r>
    <s v="ID1789"/>
    <n v="26500"/>
    <s v="GBP"/>
    <n v="41768.724209783031"/>
    <n v="39060.23693198133"/>
    <n v="39060.23693198133"/>
    <s v="Compliance Manager"/>
    <s v="Manager"/>
    <x v="9"/>
    <s v="4 to 6 hours a day"/>
    <n v="16"/>
  </r>
  <r>
    <s v="ID0631"/>
    <n v="39000"/>
    <s v="USD"/>
    <n v="39000"/>
    <n v="39000"/>
    <n v="39000"/>
    <s v="Content Analyst "/>
    <s v="Analyst"/>
    <x v="8"/>
    <s v="All the 8 hours baby, all the 8!"/>
    <n v="3"/>
  </r>
  <r>
    <s v="ID1389"/>
    <n v="39000"/>
    <s v="USD"/>
    <n v="39000"/>
    <n v="39000"/>
    <n v="39000"/>
    <s v="I.T Manager"/>
    <s v="Manager"/>
    <x v="13"/>
    <s v="All the 8 hours baby, all the 8!"/>
    <n v="6"/>
  </r>
  <r>
    <s v="ID0980"/>
    <n v="62000"/>
    <s v="AUD"/>
    <n v="63234.398696963413"/>
    <n v="38856.27160831388"/>
    <n v="38856.27160831388"/>
    <s v="Business Analyst"/>
    <s v="Analyst"/>
    <x v="19"/>
    <s v="4 to 6 hours a day"/>
    <n v="3"/>
  </r>
  <r>
    <s v="ID1873"/>
    <n v="38666"/>
    <s v="USD"/>
    <n v="38666"/>
    <n v="38666"/>
    <n v="38666"/>
    <s v="Actuarial Specialist"/>
    <s v="Specialist"/>
    <x v="13"/>
    <s v="All the 8 hours baby, all the 8!"/>
    <n v="10"/>
  </r>
  <r>
    <s v="ID0109"/>
    <n v="35000"/>
    <s v="EUR"/>
    <n v="44463.980364706273"/>
    <n v="38522.851009301827"/>
    <n v="38522.851009301827"/>
    <s v="Project manager"/>
    <s v="Manager"/>
    <x v="60"/>
    <s v="4 to 6 hours a day"/>
    <s v="Data Not Avaliable"/>
  </r>
  <r>
    <s v="ID1238"/>
    <n v="35000"/>
    <s v="EUR"/>
    <n v="44463.980364706273"/>
    <n v="38522.851009301827"/>
    <n v="38522.851009301827"/>
    <s v="Business Analyst"/>
    <s v="Analyst"/>
    <x v="42"/>
    <s v="All the 8 hours baby, all the 8!"/>
    <n v="12"/>
  </r>
  <r>
    <s v="ID1368"/>
    <n v="4000000"/>
    <s v="JPY"/>
    <n v="50694.322109187968"/>
    <n v="38351.30137450336"/>
    <n v="38351.30137450336"/>
    <s v="System Analyst (Configuration Mgmt)"/>
    <s v="Analyst"/>
    <x v="22"/>
    <s v="4 to 6 hours a day"/>
    <n v="8"/>
  </r>
  <r>
    <s v="ID1055"/>
    <n v="26000"/>
    <s v="GBP"/>
    <n v="40980.635073749385"/>
    <n v="38323.251329491111"/>
    <n v="38323.251329491111"/>
    <s v="Consultant"/>
    <s v="Consultant"/>
    <x v="9"/>
    <s v="All the 8 hours baby, all the 8!"/>
    <n v="8"/>
  </r>
  <r>
    <s v="ID1232"/>
    <n v="26000"/>
    <s v="GBP"/>
    <n v="40980.635073749385"/>
    <n v="38323.251329491111"/>
    <n v="38323.251329491111"/>
    <s v="Business Analyst"/>
    <s v="Analyst"/>
    <x v="9"/>
    <s v="4 to 6 hours a day"/>
    <n v="2"/>
  </r>
  <r>
    <s v="ID1340"/>
    <n v="26000"/>
    <s v="GBP"/>
    <n v="40980.635073749385"/>
    <n v="38323.251329491111"/>
    <n v="38323.251329491111"/>
    <s v="Web Analyst"/>
    <s v="Analyst"/>
    <x v="9"/>
    <s v="4 to 6 hours a day"/>
    <n v="2"/>
  </r>
  <r>
    <s v="ID0059"/>
    <n v="38000"/>
    <s v="USD"/>
    <n v="38000"/>
    <n v="38000"/>
    <n v="38000"/>
    <s v="Senior Analyst"/>
    <s v="Analyst"/>
    <x v="8"/>
    <s v="4 to 6 hours a day"/>
    <s v="Data Not Avaliable"/>
  </r>
  <r>
    <s v="ID0572"/>
    <n v="38000"/>
    <s v="USD"/>
    <n v="38000"/>
    <n v="38000"/>
    <n v="38000"/>
    <s v="Costing Analysis"/>
    <s v="Analyst"/>
    <x v="8"/>
    <s v="All the 8 hours baby, all the 8!"/>
    <n v="11"/>
  </r>
  <r>
    <s v="ID1530"/>
    <n v="38000"/>
    <s v="USD"/>
    <n v="38000"/>
    <n v="38000"/>
    <n v="38000"/>
    <s v="Accountant"/>
    <s v="Accountant"/>
    <x v="8"/>
    <s v="4 to 6 hours a day"/>
    <n v="11"/>
  </r>
  <r>
    <s v="ID1611"/>
    <n v="38000"/>
    <s v="USD"/>
    <n v="38000"/>
    <n v="38000"/>
    <n v="38000"/>
    <s v="Business Analyst"/>
    <s v="Analyst"/>
    <x v="8"/>
    <s v="All the 8 hours baby, all the 8!"/>
    <n v="1"/>
  </r>
  <r>
    <s v="ID1351"/>
    <n v="34500"/>
    <s v="EUR"/>
    <n v="43828.780645210471"/>
    <n v="37972.524566311804"/>
    <n v="37972.524566311804"/>
    <s v="Analyst"/>
    <s v="Analyst"/>
    <x v="11"/>
    <s v="4 to 6 hours a day"/>
    <n v="15"/>
  </r>
  <r>
    <s v="ID1252"/>
    <n v="25750"/>
    <s v="GBP"/>
    <n v="40586.590505732565"/>
    <n v="37954.758528246006"/>
    <n v="37954.758528246006"/>
    <s v="Energy Analyst"/>
    <s v="Analyst"/>
    <x v="9"/>
    <s v="4 to 6 hours a day"/>
    <n v="1"/>
  </r>
  <r>
    <s v="ID0114"/>
    <n v="37900"/>
    <s v="USD"/>
    <n v="37900"/>
    <n v="37900"/>
    <n v="37900"/>
    <s v="Accounting Coordinator"/>
    <s v="Accountant"/>
    <x v="8"/>
    <s v="All the 8 hours baby, all the 8!"/>
    <s v="Data Not Avaliable"/>
  </r>
  <r>
    <s v="ID0046"/>
    <n v="800000"/>
    <s v="INR"/>
    <n v="14246.333349954055"/>
    <n v="37888.817878958762"/>
    <n v="37888.817878958762"/>
    <s v="Team Lead"/>
    <s v="Manager"/>
    <x v="7"/>
    <s v="2 to 3 hours per day"/>
    <s v="Data Not Avaliable"/>
  </r>
  <r>
    <s v="ID0136"/>
    <n v="800000"/>
    <s v="INR"/>
    <n v="14246.333349954055"/>
    <n v="37888.817878958762"/>
    <n v="37888.817878958762"/>
    <s v="Manager : Accounts"/>
    <s v="Manager"/>
    <x v="7"/>
    <s v="2 to 3 hours per day"/>
    <s v="Data Not Avaliable"/>
  </r>
  <r>
    <s v="ID0457"/>
    <n v="800000"/>
    <s v="INR"/>
    <n v="14246.333349954055"/>
    <n v="37888.817878958762"/>
    <n v="37888.817878958762"/>
    <s v="Partner"/>
    <s v="CXO or Top Mgmt."/>
    <x v="7"/>
    <s v="All the 8 hours baby, all the 8!"/>
    <s v="Data Not Avaliable"/>
  </r>
  <r>
    <s v="ID0650"/>
    <n v="800000"/>
    <s v="INR"/>
    <n v="14246.333349954055"/>
    <n v="37888.817878958762"/>
    <n v="37888.817878958762"/>
    <s v="Engineer"/>
    <s v="Engineer"/>
    <x v="7"/>
    <s v="2 to 3 hours per day"/>
    <n v="3"/>
  </r>
  <r>
    <s v="ID0700"/>
    <n v="800000"/>
    <s v="INR"/>
    <n v="14246.333349954055"/>
    <n v="37888.817878958762"/>
    <n v="37888.817878958762"/>
    <s v="Manager"/>
    <s v="Manager"/>
    <x v="7"/>
    <s v="4 to 6 hours a day"/>
    <n v="7"/>
  </r>
  <r>
    <s v="ID0735"/>
    <n v="800000"/>
    <s v="INR"/>
    <n v="14246.333349954055"/>
    <n v="37888.817878958762"/>
    <n v="37888.817878958762"/>
    <s v="Manager"/>
    <s v="Manager"/>
    <x v="7"/>
    <s v="2 to 3 hours per day"/>
    <n v="13"/>
  </r>
  <r>
    <s v="ID1756"/>
    <n v="800000"/>
    <s v="INR"/>
    <n v="14246.333349954055"/>
    <n v="37888.817878958762"/>
    <n v="37888.817878958762"/>
    <s v="MANAGER"/>
    <s v="Manager"/>
    <x v="7"/>
    <s v="2 to 3 hours per day"/>
    <n v="0"/>
  </r>
  <r>
    <s v="ID1757"/>
    <n v="800000"/>
    <s v="INR"/>
    <n v="14246.333349954055"/>
    <n v="37888.817878958762"/>
    <n v="37888.817878958762"/>
    <s v="MANAGER"/>
    <s v="Manager"/>
    <x v="7"/>
    <s v="2 to 3 hours per day"/>
    <n v="0"/>
  </r>
  <r>
    <s v="ID0534"/>
    <n v="60000"/>
    <s v="AUD"/>
    <n v="61194.579384158147"/>
    <n v="37602.843491916661"/>
    <n v="37602.843491916661"/>
    <s v="Analyst"/>
    <s v="Analyst"/>
    <x v="19"/>
    <s v="2 to 3 hours per day"/>
    <s v="Data Not Avaliable"/>
  </r>
  <r>
    <s v="ID1738"/>
    <n v="60000"/>
    <s v="AUD"/>
    <n v="61194.579384158147"/>
    <n v="37602.843491916661"/>
    <n v="37602.843491916661"/>
    <s v="business analyst"/>
    <s v="Analyst"/>
    <x v="19"/>
    <s v="2 to 3 hours per day"/>
    <n v="3"/>
  </r>
  <r>
    <s v="ID1850"/>
    <n v="37500"/>
    <s v="USD"/>
    <n v="37500"/>
    <n v="37500"/>
    <n v="37500"/>
    <s v="consultant"/>
    <s v="Consultant"/>
    <x v="7"/>
    <s v="All the 8 hours baby, all the 8!"/>
    <n v="0"/>
  </r>
  <r>
    <s v="ID0154"/>
    <n v="37440"/>
    <s v="USD"/>
    <n v="37440"/>
    <n v="37440"/>
    <n v="37440"/>
    <s v="sales analyst"/>
    <s v="Analyst"/>
    <x v="8"/>
    <s v="All the 8 hours baby, all the 8!"/>
    <s v="Data Not Avaliable"/>
  </r>
  <r>
    <s v="ID1693"/>
    <n v="400000"/>
    <s v="NOK"/>
    <n v="67700.452577525488"/>
    <n v="37221.741022107679"/>
    <n v="37221.741022107679"/>
    <s v="Economic analyst"/>
    <s v="Analyst"/>
    <x v="20"/>
    <s v="All the 8 hours baby, all the 8!"/>
    <n v="5"/>
  </r>
  <r>
    <s v="ID0663"/>
    <n v="37000"/>
    <s v="USD"/>
    <n v="37000"/>
    <n v="37000"/>
    <n v="37000"/>
    <s v="Cad Engineer"/>
    <s v="Engineer"/>
    <x v="7"/>
    <s v="4 to 6 hours a day"/>
    <n v="10"/>
  </r>
  <r>
    <s v="ID1404"/>
    <n v="37000"/>
    <s v="USD"/>
    <n v="37000"/>
    <n v="37000"/>
    <n v="37000"/>
    <s v="Credentialing Coordinator &amp; Productivity Reports &quot;Guru&quot;"/>
    <s v="Reporting"/>
    <x v="8"/>
    <s v="2 to 3 hours per day"/>
    <n v="30"/>
  </r>
  <r>
    <s v="ID1500"/>
    <n v="33500"/>
    <s v="EUR"/>
    <n v="42558.381206218859"/>
    <n v="36871.871680331744"/>
    <n v="36871.871680331744"/>
    <s v="Controller / VBA Developet"/>
    <s v="Controller"/>
    <x v="15"/>
    <s v="All the 8 hours baby, all the 8!"/>
    <n v="8"/>
  </r>
  <r>
    <s v="ID0464"/>
    <n v="25000"/>
    <s v="GBP"/>
    <n v="39404.456801682099"/>
    <n v="36849.280124510682"/>
    <n v="36849.280124510682"/>
    <s v="Analyst"/>
    <s v="Analyst"/>
    <x v="9"/>
    <s v="4 to 6 hours a day"/>
    <s v="Data Not Avaliable"/>
  </r>
  <r>
    <s v="ID1118"/>
    <n v="25000"/>
    <s v="GBP"/>
    <n v="39404.456801682099"/>
    <n v="36849.280124510682"/>
    <n v="36849.280124510682"/>
    <s v="Developer"/>
    <s v="Analyst"/>
    <x v="9"/>
    <s v="4 to 6 hours a day"/>
    <n v="3"/>
  </r>
  <r>
    <s v="ID1241"/>
    <n v="25000"/>
    <s v="GBP"/>
    <n v="39404.456801682099"/>
    <n v="36849.280124510682"/>
    <n v="36849.280124510682"/>
    <s v="Senior Accounts Clerk"/>
    <s v="Accountant"/>
    <x v="9"/>
    <s v="2 to 3 hours per day"/>
    <n v="10"/>
  </r>
  <r>
    <s v="ID1472"/>
    <n v="25000"/>
    <s v="GBP"/>
    <n v="39404.456801682099"/>
    <n v="36849.280124510682"/>
    <n v="36849.280124510682"/>
    <s v="Assistant Financial Accountant"/>
    <s v="Accountant"/>
    <x v="9"/>
    <s v="4 to 6 hours a day"/>
    <n v="35"/>
  </r>
  <r>
    <s v="ID1562"/>
    <n v="25000"/>
    <s v="GBP"/>
    <n v="39404.456801682099"/>
    <n v="36849.280124510682"/>
    <n v="36849.280124510682"/>
    <s v="Reporting Team Lead"/>
    <s v="Reporting"/>
    <x v="9"/>
    <s v="4 to 6 hours a day"/>
    <n v="2"/>
  </r>
  <r>
    <s v="ID1905"/>
    <n v="25000"/>
    <s v="GBP"/>
    <n v="39404.456801682099"/>
    <n v="36849.280124510682"/>
    <n v="36849.280124510682"/>
    <s v="Data Analyst"/>
    <s v="Analyst"/>
    <x v="9"/>
    <s v="4 to 6 hours a day"/>
    <n v="3"/>
  </r>
  <r>
    <s v="ID0912"/>
    <n v="775000"/>
    <s v="INR"/>
    <n v="13801.135432767991"/>
    <n v="36704.792320241308"/>
    <n v="36704.792320241308"/>
    <s v="Analyst"/>
    <s v="Analyst"/>
    <x v="7"/>
    <s v="4 to 6 hours a day"/>
    <n v="2"/>
  </r>
  <r>
    <s v="ID0892"/>
    <n v="36500"/>
    <s v="USD"/>
    <n v="36500"/>
    <n v="36500"/>
    <n v="36500"/>
    <s v="Accountant"/>
    <s v="Accountant"/>
    <x v="25"/>
    <s v="4 to 6 hours a day"/>
    <n v="15"/>
  </r>
  <r>
    <s v="ID0917"/>
    <n v="36400"/>
    <s v="USD"/>
    <n v="36400"/>
    <n v="36400"/>
    <n v="36400"/>
    <s v="Analyst"/>
    <s v="Analyst"/>
    <x v="61"/>
    <s v="4 to 6 hours a day"/>
    <n v="20"/>
  </r>
  <r>
    <s v="ID0489"/>
    <n v="46000"/>
    <s v="CAD"/>
    <n v="45234.630059395036"/>
    <n v="36360.525347307856"/>
    <n v="36360.525347307856"/>
    <s v="Sr. Marketing Solutions Analyst"/>
    <s v="Analyst"/>
    <x v="6"/>
    <s v="All the 8 hours baby, all the 8!"/>
    <s v="Data Not Avaliable"/>
  </r>
  <r>
    <s v="ID1691"/>
    <n v="33000"/>
    <s v="EUR"/>
    <n v="41923.181486723057"/>
    <n v="36321.545237341721"/>
    <n v="36321.545237341721"/>
    <s v="assistant"/>
    <s v="Analyst"/>
    <x v="43"/>
    <s v="4 to 6 hours a day"/>
    <n v="6"/>
  </r>
  <r>
    <s v="ID0092"/>
    <n v="36000"/>
    <s v="USD"/>
    <n v="36000"/>
    <n v="36000"/>
    <n v="36000"/>
    <s v="Graphic Design Manager"/>
    <s v="Manager"/>
    <x v="8"/>
    <s v="2 to 3 hours per day"/>
    <s v="Data Not Avaliable"/>
  </r>
  <r>
    <s v="ID0106"/>
    <n v="36000"/>
    <s v="USD"/>
    <n v="36000"/>
    <n v="36000"/>
    <n v="36000"/>
    <s v="Analyst"/>
    <s v="Analyst"/>
    <x v="8"/>
    <s v="4 to 6 hours a day"/>
    <s v="Data Not Avaliable"/>
  </r>
  <r>
    <s v="ID0129"/>
    <n v="36000"/>
    <s v="USD"/>
    <n v="36000"/>
    <n v="36000"/>
    <n v="36000"/>
    <s v="senior accountant"/>
    <s v="Accountant"/>
    <x v="47"/>
    <s v="4 to 6 hours a day"/>
    <s v="Data Not Avaliable"/>
  </r>
  <r>
    <s v="ID0284"/>
    <n v="36000"/>
    <s v="USD"/>
    <n v="36000"/>
    <n v="36000"/>
    <n v="36000"/>
    <s v="Senior Specialist"/>
    <s v="Specialist"/>
    <x v="30"/>
    <s v="4 to 6 hours a day"/>
    <s v="Data Not Avaliable"/>
  </r>
  <r>
    <s v="ID0302"/>
    <n v="36000"/>
    <s v="USD"/>
    <n v="36000"/>
    <n v="36000"/>
    <n v="36000"/>
    <s v="PRODUCTION ASSISTANT"/>
    <s v="Analyst"/>
    <x v="8"/>
    <s v="All the 8 hours baby, all the 8!"/>
    <s v="Data Not Avaliable"/>
  </r>
  <r>
    <s v="ID0594"/>
    <n v="36000"/>
    <s v="USD"/>
    <n v="36000"/>
    <n v="36000"/>
    <n v="36000"/>
    <s v="Consulting"/>
    <s v="Consultant"/>
    <x v="30"/>
    <s v="All the 8 hours baby, all the 8!"/>
    <n v="10"/>
  </r>
  <r>
    <s v="ID0752"/>
    <n v="36000"/>
    <s v="USD"/>
    <n v="36000"/>
    <n v="36000"/>
    <n v="36000"/>
    <s v="ENGINEER"/>
    <s v="Engineer"/>
    <x v="31"/>
    <s v="1 or 2 hours a day"/>
    <n v="7"/>
  </r>
  <r>
    <s v="ID0784"/>
    <n v="36000"/>
    <s v="USD"/>
    <n v="36000"/>
    <n v="36000"/>
    <n v="36000"/>
    <s v="Key Expert User"/>
    <s v="Manager"/>
    <x v="19"/>
    <s v="2 to 3 hours per day"/>
    <n v="12"/>
  </r>
  <r>
    <s v="ID0914"/>
    <n v="36000"/>
    <s v="USD"/>
    <n v="36000"/>
    <n v="36000"/>
    <n v="36000"/>
    <s v="QA Supervisor"/>
    <s v="Controller"/>
    <x v="62"/>
    <s v="2 to 3 hours per day"/>
    <n v="9"/>
  </r>
  <r>
    <s v="ID0952"/>
    <n v="36000"/>
    <s v="USD"/>
    <n v="36000"/>
    <n v="36000"/>
    <n v="36000"/>
    <s v="Accountant"/>
    <s v="Accountant"/>
    <x v="31"/>
    <s v="4 to 6 hours a day"/>
    <n v="4.5"/>
  </r>
  <r>
    <s v="ID0988"/>
    <n v="36000"/>
    <s v="USD"/>
    <n v="36000"/>
    <n v="36000"/>
    <n v="36000"/>
    <s v="Project manager"/>
    <s v="Manager"/>
    <x v="53"/>
    <s v="1 or 2 hours a day"/>
    <n v="3"/>
  </r>
  <r>
    <s v="ID1310"/>
    <n v="36000"/>
    <s v="USD"/>
    <n v="36000"/>
    <n v="36000"/>
    <n v="36000"/>
    <s v="Administrative Assistant"/>
    <s v="Analyst"/>
    <x v="51"/>
    <s v="2 to 3 hours per day"/>
    <n v="10"/>
  </r>
  <r>
    <s v="ID1380"/>
    <n v="36000"/>
    <s v="USD"/>
    <n v="36000"/>
    <n v="36000"/>
    <n v="36000"/>
    <s v="Data Specialist"/>
    <s v="Specialist"/>
    <x v="8"/>
    <s v="All the 8 hours baby, all the 8!"/>
    <n v="8"/>
  </r>
  <r>
    <s v="ID1635"/>
    <n v="36000"/>
    <s v="USD"/>
    <n v="36000"/>
    <n v="36000"/>
    <n v="36000"/>
    <s v="Environmental Adviser"/>
    <s v="Consultant"/>
    <x v="63"/>
    <s v="4 to 6 hours a day"/>
    <n v="5"/>
  </r>
  <r>
    <s v="ID1741"/>
    <n v="36000"/>
    <s v="USD"/>
    <n v="36000"/>
    <n v="36000"/>
    <n v="36000"/>
    <s v="clerk"/>
    <s v="Analyst"/>
    <x v="8"/>
    <s v="4 to 6 hours a day"/>
    <n v="4"/>
  </r>
  <r>
    <s v="ID0028"/>
    <n v="32400"/>
    <s v="EUR"/>
    <n v="41160.941823328096"/>
    <n v="35661.153505753697"/>
    <n v="35661.153505753697"/>
    <s v="Project Leader"/>
    <s v="Manager"/>
    <x v="56"/>
    <s v="4 to 6 hours a day"/>
    <s v="Data Not Avaliable"/>
  </r>
  <r>
    <s v="ID0228"/>
    <n v="45000"/>
    <s v="CAD"/>
    <n v="44251.268536364711"/>
    <n v="35570.079144105512"/>
    <n v="35570.079144105512"/>
    <s v="Technical support specialist"/>
    <s v="Specialist"/>
    <x v="6"/>
    <s v="1 or 2 hours a day"/>
    <s v="Data Not Avaliable"/>
  </r>
  <r>
    <s v="ID0393"/>
    <n v="750000"/>
    <s v="INR"/>
    <n v="13355.937515581925"/>
    <n v="35520.766761523839"/>
    <n v="35520.766761523839"/>
    <s v="Business Analyst"/>
    <s v="Analyst"/>
    <x v="7"/>
    <s v="1 or 2 hours a day"/>
    <s v="Data Not Avaliable"/>
  </r>
  <r>
    <s v="ID1217"/>
    <n v="750000"/>
    <s v="INR"/>
    <n v="13355.937515581925"/>
    <n v="35520.766761523839"/>
    <n v="35520.766761523839"/>
    <s v="Assistant Manager"/>
    <s v="Manager"/>
    <x v="7"/>
    <s v="2 to 3 hours per day"/>
    <n v="3"/>
  </r>
  <r>
    <s v="ID1423"/>
    <n v="750000"/>
    <s v="INR"/>
    <n v="13355.937515581925"/>
    <n v="35520.766761523839"/>
    <n v="35520.766761523839"/>
    <s v="Associate - Indirect Tax"/>
    <s v="CXO or Top Mgmt."/>
    <x v="7"/>
    <s v="1 or 2 hours a day"/>
    <n v="1"/>
  </r>
  <r>
    <s v="ID1907"/>
    <n v="750000"/>
    <s v="INR"/>
    <n v="13355.937515581925"/>
    <n v="35520.766761523839"/>
    <n v="35520.766761523839"/>
    <s v="Analyst"/>
    <s v="Analyst"/>
    <x v="7"/>
    <s v="4 to 6 hours a day"/>
    <n v="5"/>
  </r>
  <r>
    <s v="ID1613"/>
    <n v="35500"/>
    <s v="USD"/>
    <n v="35500"/>
    <n v="35500"/>
    <n v="35500"/>
    <s v="SAS Adminstrator"/>
    <s v="Analyst"/>
    <x v="8"/>
    <s v="4 to 6 hours a day"/>
    <n v="20"/>
  </r>
  <r>
    <s v="ID0013"/>
    <n v="749000"/>
    <s v="INR"/>
    <n v="13338.129598894484"/>
    <n v="35473.405739175141"/>
    <n v="35473.405739175141"/>
    <s v="Senion Analyst"/>
    <s v="Analyst"/>
    <x v="7"/>
    <s v="All the 8 hours baby, all the 8!"/>
    <s v="Data Not Avaliable"/>
  </r>
  <r>
    <s v="ID0974"/>
    <n v="56600"/>
    <s v="AUD"/>
    <n v="57726.886552389187"/>
    <n v="35472.015694041387"/>
    <n v="35472.015694041387"/>
    <s v="Operations Coordinator"/>
    <s v="Manager"/>
    <x v="19"/>
    <s v="2 to 3 hours per day"/>
    <n v="2"/>
  </r>
  <r>
    <s v="ID0755"/>
    <n v="24000"/>
    <s v="GBP"/>
    <n v="37828.278529614821"/>
    <n v="35375.30891953026"/>
    <n v="35375.30891953026"/>
    <s v="Business Support Specialist"/>
    <s v="Specialist"/>
    <x v="9"/>
    <s v="All the 8 hours baby, all the 8!"/>
    <n v="8"/>
  </r>
  <r>
    <s v="ID0151"/>
    <n v="35000"/>
    <s v="USD"/>
    <n v="35000"/>
    <n v="35000"/>
    <n v="35000"/>
    <s v="Program Services Coordinator"/>
    <s v="Manager"/>
    <x v="8"/>
    <s v="2 to 3 hours per day"/>
    <s v="Data Not Avaliable"/>
  </r>
  <r>
    <s v="ID0368"/>
    <n v="35000"/>
    <s v="USD"/>
    <n v="35000"/>
    <n v="35000"/>
    <n v="35000"/>
    <s v="Senior Treasury Analyst"/>
    <s v="Analyst"/>
    <x v="46"/>
    <s v="All the 8 hours baby, all the 8!"/>
    <s v="Data Not Avaliable"/>
  </r>
  <r>
    <s v="ID0416"/>
    <n v="35000"/>
    <s v="USD"/>
    <n v="35000"/>
    <n v="35000"/>
    <n v="35000"/>
    <s v="Credit Analyst"/>
    <s v="Analyst"/>
    <x v="30"/>
    <s v="4 to 6 hours a day"/>
    <s v="Data Not Avaliable"/>
  </r>
  <r>
    <s v="ID0558"/>
    <n v="35000"/>
    <s v="USD"/>
    <n v="35000"/>
    <n v="35000"/>
    <n v="35000"/>
    <s v="Analyst"/>
    <s v="Analyst"/>
    <x v="8"/>
    <s v="2 to 3 hours per day"/>
    <s v="Data Not Avaliable"/>
  </r>
  <r>
    <s v="ID0562"/>
    <n v="35000"/>
    <s v="USD"/>
    <n v="35000"/>
    <n v="35000"/>
    <n v="35000"/>
    <s v="Technical Support Technician"/>
    <s v="Analyst"/>
    <x v="8"/>
    <s v="1 or 2 hours a day"/>
    <n v="7"/>
  </r>
  <r>
    <s v="ID0704"/>
    <n v="35000"/>
    <s v="USD"/>
    <n v="35000"/>
    <n v="35000"/>
    <n v="35000"/>
    <s v="IT Specialist"/>
    <s v="Specialist"/>
    <x v="8"/>
    <s v="4 to 6 hours a day"/>
    <n v="10"/>
  </r>
  <r>
    <s v="ID0731"/>
    <n v="35000"/>
    <s v="USD"/>
    <n v="35000"/>
    <n v="35000"/>
    <n v="35000"/>
    <s v="Associate"/>
    <s v="Analyst"/>
    <x v="7"/>
    <s v="4 to 6 hours a day"/>
    <n v="10"/>
  </r>
  <r>
    <s v="ID0862"/>
    <n v="35000"/>
    <s v="USD"/>
    <n v="35000"/>
    <n v="35000"/>
    <n v="35000"/>
    <s v="Purchasing Manager"/>
    <s v="Manager"/>
    <x v="64"/>
    <s v="All the 8 hours baby, all the 8!"/>
    <n v="10"/>
  </r>
  <r>
    <s v="ID1152"/>
    <n v="35000"/>
    <s v="USD"/>
    <n v="35000"/>
    <n v="35000"/>
    <n v="35000"/>
    <s v="BI Analyst"/>
    <s v="Analyst"/>
    <x v="8"/>
    <s v="All the 8 hours baby, all the 8!"/>
    <n v="20"/>
  </r>
  <r>
    <s v="ID1277"/>
    <n v="35000"/>
    <s v="USD"/>
    <n v="35000"/>
    <n v="35000"/>
    <n v="35000"/>
    <s v="AVP Securitisation"/>
    <s v="CXO or Top Mgmt."/>
    <x v="53"/>
    <s v="All the 8 hours baby, all the 8!"/>
    <n v="12"/>
  </r>
  <r>
    <s v="ID1440"/>
    <n v="55000"/>
    <s v="AUD"/>
    <n v="56095.031102144967"/>
    <n v="34469.273200923606"/>
    <n v="34469.273200923606"/>
    <s v="PA"/>
    <s v="Analyst"/>
    <x v="19"/>
    <s v="2 to 3 hours per day"/>
    <n v="11"/>
  </r>
  <r>
    <s v="ID0500"/>
    <n v="720000"/>
    <s v="INR"/>
    <n v="12821.700014958649"/>
    <n v="34099.936091062889"/>
    <n v="34099.936091062889"/>
    <s v="Manager Finance"/>
    <s v="Manager"/>
    <x v="7"/>
    <s v="2 to 3 hours per day"/>
    <s v="Data Not Avaliable"/>
  </r>
  <r>
    <s v="ID0630"/>
    <n v="720000"/>
    <s v="INR"/>
    <n v="12821.700014958649"/>
    <n v="34099.936091062889"/>
    <n v="34099.936091062889"/>
    <s v="Quantity Surveyor"/>
    <s v="Manager"/>
    <x v="7"/>
    <s v="4 to 6 hours a day"/>
    <n v="12"/>
  </r>
  <r>
    <s v="ID0705"/>
    <n v="720000"/>
    <s v="INR"/>
    <n v="12821.700014958649"/>
    <n v="34099.936091062889"/>
    <n v="34099.936091062889"/>
    <s v="Cost Accountant"/>
    <s v="Accountant"/>
    <x v="7"/>
    <s v="4 to 6 hours a day"/>
    <n v="4"/>
  </r>
  <r>
    <s v="ID0718"/>
    <n v="720000"/>
    <s v="INR"/>
    <n v="12821.700014958649"/>
    <n v="34099.936091062889"/>
    <n v="34099.936091062889"/>
    <s v="Asstt manager"/>
    <s v="Manager"/>
    <x v="7"/>
    <s v="All the 8 hours baby, all the 8!"/>
    <n v="10"/>
  </r>
  <r>
    <s v="ID0884"/>
    <n v="720000"/>
    <s v="INR"/>
    <n v="12821.700014958649"/>
    <n v="34099.936091062889"/>
    <n v="34099.936091062889"/>
    <s v="Article (Internship) - CA"/>
    <s v="Accountant"/>
    <x v="7"/>
    <s v="4 to 6 hours a day"/>
    <n v="3"/>
  </r>
  <r>
    <s v="ID1478"/>
    <n v="720000"/>
    <s v="INR"/>
    <n v="12821.700014958649"/>
    <n v="34099.936091062889"/>
    <n v="34099.936091062889"/>
    <s v="DEO"/>
    <s v="Analyst"/>
    <x v="7"/>
    <s v="4 to 6 hours a day"/>
    <n v="3"/>
  </r>
  <r>
    <s v="ID0404"/>
    <n v="34000"/>
    <s v="USD"/>
    <n v="34000"/>
    <n v="34000"/>
    <n v="34000"/>
    <s v="Information Research Technician II"/>
    <s v="Analyst"/>
    <x v="8"/>
    <s v="4 to 6 hours a day"/>
    <s v="Data Not Avaliable"/>
  </r>
  <r>
    <s v="ID1546"/>
    <n v="34000"/>
    <s v="USD"/>
    <n v="34000"/>
    <n v="34000"/>
    <n v="34000"/>
    <s v="Sr Analyst"/>
    <s v="Analyst"/>
    <x v="7"/>
    <s v="All the 8 hours baby, all the 8!"/>
    <n v="4"/>
  </r>
  <r>
    <s v="ID1093"/>
    <n v="23000"/>
    <s v="GBP"/>
    <n v="36252.100257547536"/>
    <n v="33901.337714549831"/>
    <n v="33901.337714549831"/>
    <s v="Data Analyst"/>
    <s v="Analyst"/>
    <x v="9"/>
    <s v="All the 8 hours baby, all the 8!"/>
    <n v="5"/>
  </r>
  <r>
    <s v="ID1148"/>
    <n v="23000"/>
    <s v="GBP"/>
    <n v="36252.100257547536"/>
    <n v="33901.337714549831"/>
    <n v="33901.337714549831"/>
    <s v="Data Management Officer"/>
    <s v="Manager"/>
    <x v="9"/>
    <s v="4 to 6 hours a day"/>
    <n v="10"/>
  </r>
  <r>
    <s v="ID0803"/>
    <n v="33900"/>
    <s v="USD"/>
    <n v="33900"/>
    <n v="33900"/>
    <n v="33900"/>
    <s v="Administrative Assistant"/>
    <s v="Analyst"/>
    <x v="8"/>
    <s v="2 to 3 hours per day"/>
    <n v="10"/>
  </r>
  <r>
    <s v="ID1797"/>
    <n v="33600"/>
    <s v="USD"/>
    <n v="33600"/>
    <n v="33600"/>
    <n v="33600"/>
    <s v="Executive"/>
    <s v="Analyst"/>
    <x v="3"/>
    <s v="All the 8 hours baby, all the 8!"/>
    <n v="2"/>
  </r>
  <r>
    <s v="ID1798"/>
    <n v="33600"/>
    <s v="USD"/>
    <n v="33600"/>
    <n v="33600"/>
    <n v="33600"/>
    <s v="Executive"/>
    <s v="Analyst"/>
    <x v="3"/>
    <s v="All the 8 hours baby, all the 8!"/>
    <n v="2"/>
  </r>
  <r>
    <s v="ID1157"/>
    <n v="708000"/>
    <s v="INR"/>
    <n v="12608.005014709339"/>
    <n v="33531.603822878511"/>
    <n v="33531.603822878511"/>
    <s v="Manager-Operation"/>
    <s v="Manager"/>
    <x v="7"/>
    <s v="4 to 6 hours a day"/>
    <n v="5"/>
  </r>
  <r>
    <s v="ID0689"/>
    <n v="33500"/>
    <s v="USD"/>
    <n v="33500"/>
    <n v="33500"/>
    <n v="33500"/>
    <s v="Sr. Executive Finance &amp; Accounts"/>
    <s v="Accountant"/>
    <x v="57"/>
    <s v="1 or 2 hours a day"/>
    <n v="10"/>
  </r>
  <r>
    <s v="ID0074"/>
    <n v="33420"/>
    <s v="USD"/>
    <n v="33420"/>
    <n v="33420"/>
    <n v="33420"/>
    <s v="Process Flow Coordinator"/>
    <s v="Manager"/>
    <x v="31"/>
    <s v="All the 8 hours baby, all the 8!"/>
    <s v="Data Not Avaliable"/>
  </r>
  <r>
    <s v="ID1828"/>
    <n v="33250"/>
    <s v="USD"/>
    <n v="33250"/>
    <n v="33250"/>
    <n v="33250"/>
    <s v="Planning and Logistics Coordinator"/>
    <s v="Manager"/>
    <x v="8"/>
    <s v="All the 8 hours baby, all the 8!"/>
    <n v="20"/>
  </r>
  <r>
    <s v="ID0090"/>
    <n v="42000"/>
    <s v="CAD"/>
    <n v="41301.183967273726"/>
    <n v="33198.740534498473"/>
    <n v="33198.740534498473"/>
    <s v="IT Asset Administrator"/>
    <s v="Analyst"/>
    <x v="6"/>
    <s v="4 to 6 hours a day"/>
    <s v="Data Not Avaliable"/>
  </r>
  <r>
    <s v="ID0303"/>
    <n v="42000"/>
    <s v="CAD"/>
    <n v="41301.183967273726"/>
    <n v="33198.740534498473"/>
    <n v="33198.740534498473"/>
    <s v="Financial Analyst"/>
    <s v="Analyst"/>
    <x v="6"/>
    <s v="All the 8 hours baby, all the 8!"/>
    <s v="Data Not Avaliable"/>
  </r>
  <r>
    <s v="ID0761"/>
    <n v="700000"/>
    <s v="INR"/>
    <n v="12465.541681209797"/>
    <n v="33152.715644088916"/>
    <n v="33152.715644088916"/>
    <s v="Sales Management Analyst"/>
    <s v="Analyst"/>
    <x v="7"/>
    <s v="All the 8 hours baby, all the 8!"/>
    <n v="5"/>
  </r>
  <r>
    <s v="ID0928"/>
    <n v="700000"/>
    <s v="INR"/>
    <n v="12465.541681209797"/>
    <n v="33152.715644088916"/>
    <n v="33152.715644088916"/>
    <s v="Business Support Executive"/>
    <s v="Manager"/>
    <x v="7"/>
    <s v="4 to 6 hours a day"/>
    <n v="3"/>
  </r>
  <r>
    <s v="ID0937"/>
    <n v="700000"/>
    <s v="INR"/>
    <n v="12465.541681209797"/>
    <n v="33152.715644088916"/>
    <n v="33152.715644088916"/>
    <s v="Business Analyst"/>
    <s v="Analyst"/>
    <x v="7"/>
    <s v="All the 8 hours baby, all the 8!"/>
    <n v="1"/>
  </r>
  <r>
    <s v="ID1007"/>
    <n v="700000"/>
    <s v="INR"/>
    <n v="12465.541681209797"/>
    <n v="33152.715644088916"/>
    <n v="33152.715644088916"/>
    <s v="Asst Manager - Quality"/>
    <s v="Manager"/>
    <x v="7"/>
    <s v="2 to 3 hours per day"/>
    <n v="7"/>
  </r>
  <r>
    <s v="ID1049"/>
    <n v="700000"/>
    <s v="INR"/>
    <n v="12465.541681209797"/>
    <n v="33152.715644088916"/>
    <n v="33152.715644088916"/>
    <s v="Credit Analyst"/>
    <s v="Analyst"/>
    <x v="7"/>
    <s v="4 to 6 hours a day"/>
    <n v="5"/>
  </r>
  <r>
    <s v="ID1225"/>
    <n v="700000"/>
    <s v="INR"/>
    <n v="12465.541681209797"/>
    <n v="33152.715644088916"/>
    <n v="33152.715644088916"/>
    <s v="Lead Executive MIS"/>
    <s v="Reporting"/>
    <x v="7"/>
    <s v="4 to 6 hours a day"/>
    <n v="6"/>
  </r>
  <r>
    <s v="ID1565"/>
    <n v="700000"/>
    <s v="INR"/>
    <n v="12465.541681209797"/>
    <n v="33152.715644088916"/>
    <n v="33152.715644088916"/>
    <s v="Manager - Business Development"/>
    <s v="Manager"/>
    <x v="7"/>
    <s v="All the 8 hours baby, all the 8!"/>
    <n v="30"/>
  </r>
  <r>
    <s v="ID1862"/>
    <n v="700000"/>
    <s v="INR"/>
    <n v="12465.541681209797"/>
    <n v="33152.715644088916"/>
    <n v="33152.715644088916"/>
    <s v="Sr. System Analyst"/>
    <s v="Analyst"/>
    <x v="7"/>
    <s v="2 to 3 hours per day"/>
    <n v="4"/>
  </r>
  <r>
    <s v="ID1881"/>
    <n v="700000"/>
    <s v="INR"/>
    <n v="12465.541681209797"/>
    <n v="33152.715644088916"/>
    <n v="33152.715644088916"/>
    <s v="Revenue Focus Manager"/>
    <s v="Manager"/>
    <x v="7"/>
    <s v="2 to 3 hours per day"/>
    <n v="9"/>
  </r>
  <r>
    <s v="ID1040"/>
    <n v="55000"/>
    <s v="NZD"/>
    <n v="43867.345148271634"/>
    <n v="33118.624572617751"/>
    <n v="33118.624572617751"/>
    <s v="Financial Analyst"/>
    <s v="Analyst"/>
    <x v="21"/>
    <s v="All the 8 hours baby, all the 8!"/>
    <n v="10"/>
  </r>
  <r>
    <s v="ID0849"/>
    <n v="30000"/>
    <s v="EUR"/>
    <n v="38111.983169748237"/>
    <n v="33019.58657940157"/>
    <n v="33019.58657940157"/>
    <s v="financialcotroller"/>
    <s v="Accountant"/>
    <x v="49"/>
    <s v="All the 8 hours baby, all the 8!"/>
    <n v="8"/>
  </r>
  <r>
    <s v="ID1143"/>
    <n v="30000"/>
    <s v="EUR"/>
    <n v="38111.983169748237"/>
    <n v="33019.58657940157"/>
    <n v="33019.58657940157"/>
    <s v="Translator"/>
    <s v="Analyst"/>
    <x v="56"/>
    <s v="1 or 2 hours a day"/>
    <n v="15"/>
  </r>
  <r>
    <s v="ID1239"/>
    <n v="30000"/>
    <s v="EUR"/>
    <n v="38111.983169748237"/>
    <n v="33019.58657940157"/>
    <n v="33019.58657940157"/>
    <s v="education advisor"/>
    <s v="Consultant"/>
    <x v="11"/>
    <s v="1 or 2 hours a day"/>
    <n v="8"/>
  </r>
  <r>
    <s v="ID1298"/>
    <n v="30000"/>
    <s v="EUR"/>
    <n v="38111.983169748237"/>
    <n v="33019.58657940157"/>
    <n v="33019.58657940157"/>
    <s v="Employee"/>
    <s v="Analyst"/>
    <x v="56"/>
    <s v="2 to 3 hours per day"/>
    <n v="15"/>
  </r>
  <r>
    <s v="ID1671"/>
    <n v="30000"/>
    <s v="EUR"/>
    <n v="38111.983169748237"/>
    <n v="33019.58657940157"/>
    <n v="33019.58657940157"/>
    <s v="Safety technician"/>
    <s v="Analyst"/>
    <x v="23"/>
    <s v="1 or 2 hours a day"/>
    <n v="12"/>
  </r>
  <r>
    <s v="ID1373"/>
    <n v="33000"/>
    <s v="USD"/>
    <n v="33000"/>
    <n v="33000"/>
    <n v="33000"/>
    <s v="Quality Control Supervisor"/>
    <s v="Controller"/>
    <x v="8"/>
    <s v="4 to 6 hours a day"/>
    <n v="3"/>
  </r>
  <r>
    <s v="ID1617"/>
    <n v="32884"/>
    <s v="USD"/>
    <n v="32884"/>
    <n v="32884"/>
    <n v="32884"/>
    <s v="Administrative Assistant"/>
    <s v="Analyst"/>
    <x v="8"/>
    <s v="All the 8 hours baby, all the 8!"/>
    <n v="10"/>
  </r>
  <r>
    <s v="ID1783"/>
    <n v="22300"/>
    <s v="GBP"/>
    <n v="35148.775467100437"/>
    <n v="32869.557871063531"/>
    <n v="32869.557871063531"/>
    <s v="Analysis &amp; insight consultant"/>
    <s v="Analyst"/>
    <x v="9"/>
    <s v="All the 8 hours baby, all the 8!"/>
    <n v="4"/>
  </r>
  <r>
    <s v="ID0990"/>
    <n v="52000"/>
    <s v="AUD"/>
    <n v="53035.30213293706"/>
    <n v="32589.131026327774"/>
    <n v="32589.131026327774"/>
    <s v="Shipping Administrator"/>
    <s v="Analyst"/>
    <x v="19"/>
    <s v="4 to 6 hours a day"/>
    <n v="4"/>
  </r>
  <r>
    <s v="ID1664"/>
    <n v="22000"/>
    <s v="GBP"/>
    <n v="34675.92198548025"/>
    <n v="32427.366509569405"/>
    <n v="32427.366509569405"/>
    <s v="Supply/Demand Planner"/>
    <s v="Manager"/>
    <x v="9"/>
    <s v="4 to 6 hours a day"/>
    <n v="17"/>
  </r>
  <r>
    <s v="ID1629"/>
    <n v="680000"/>
    <s v="INR"/>
    <n v="12109.383347460946"/>
    <n v="32205.495197114946"/>
    <n v="32205.495197114946"/>
    <s v="Deputy Manager"/>
    <s v="Manager"/>
    <x v="7"/>
    <s v="1 or 2 hours a day"/>
    <n v="2"/>
  </r>
  <r>
    <s v="ID0747"/>
    <n v="21798"/>
    <s v="GBP"/>
    <n v="34357.533974522659"/>
    <n v="32129.624326163357"/>
    <n v="32129.624326163357"/>
    <s v="Data Analyst"/>
    <s v="Analyst"/>
    <x v="9"/>
    <s v="All the 8 hours baby, all the 8!"/>
    <n v="1.5"/>
  </r>
  <r>
    <s v="ID0856"/>
    <n v="32000"/>
    <s v="USD"/>
    <n v="32000"/>
    <n v="32000"/>
    <n v="32000"/>
    <s v="Reporting Manager"/>
    <s v="Manager"/>
    <x v="8"/>
    <s v="4 to 6 hours a day"/>
    <n v="1"/>
  </r>
  <r>
    <s v="ID1505"/>
    <n v="32000"/>
    <s v="USD"/>
    <n v="32000"/>
    <n v="32000"/>
    <n v="32000"/>
    <s v="Reports Writer"/>
    <s v="Reporting"/>
    <x v="8"/>
    <s v="4 to 6 hours a day"/>
    <n v="10"/>
  </r>
  <r>
    <s v="ID1615"/>
    <n v="21500"/>
    <s v="GBP"/>
    <n v="33887.832849446611"/>
    <n v="31690.380907079194"/>
    <n v="31690.380907079194"/>
    <s v="Data Analyst"/>
    <s v="Analyst"/>
    <x v="9"/>
    <s v="All the 8 hours baby, all the 8!"/>
    <n v="1"/>
  </r>
  <r>
    <s v="ID1800"/>
    <n v="40000"/>
    <s v="CAD"/>
    <n v="39334.460921213074"/>
    <n v="31617.848128093785"/>
    <n v="31617.848128093785"/>
    <s v="Machine Scheduler"/>
    <s v="Analyst"/>
    <x v="6"/>
    <s v="1 or 2 hours a day"/>
    <n v="1"/>
  </r>
  <r>
    <s v="ID1815"/>
    <n v="1281600"/>
    <s v="PKR"/>
    <n v="13603.016099449767"/>
    <n v="31563.317942446392"/>
    <n v="31563.317942446392"/>
    <s v="Manager MIS &amp; Analytics"/>
    <s v="Manager"/>
    <x v="52"/>
    <s v="All the 8 hours baby, all the 8!"/>
    <n v="8"/>
  </r>
  <r>
    <s v="ID1315"/>
    <n v="28500"/>
    <s v="EUR"/>
    <n v="36206.384011260823"/>
    <n v="31368.607250431487"/>
    <n v="31368.607250431487"/>
    <s v="Salary Professsional"/>
    <s v="Analyst"/>
    <x v="11"/>
    <s v="1 or 2 hours a day"/>
    <n v="5"/>
  </r>
  <r>
    <s v="ID0977"/>
    <n v="50000"/>
    <s v="AUD"/>
    <n v="50995.482820131787"/>
    <n v="31335.702909930551"/>
    <n v="31335.702909930551"/>
    <s v="Operations"/>
    <s v="Controller"/>
    <x v="19"/>
    <s v="1 or 2 hours a day"/>
    <n v="5"/>
  </r>
  <r>
    <s v="ID1056"/>
    <n v="50000"/>
    <s v="AUD"/>
    <n v="50995.482820131787"/>
    <n v="31335.702909930551"/>
    <n v="31335.702909930551"/>
    <s v="BA"/>
    <s v="Analyst"/>
    <x v="19"/>
    <s v="4 to 6 hours a day"/>
    <n v="4"/>
  </r>
  <r>
    <s v="ID0086"/>
    <n v="31330"/>
    <s v="USD"/>
    <n v="31330"/>
    <n v="31330"/>
    <n v="31330"/>
    <s v="VBA Analyst"/>
    <s v="Analyst"/>
    <x v="10"/>
    <s v="All the 8 hours baby, all the 8!"/>
    <s v="Data Not Avaliable"/>
  </r>
  <r>
    <s v="ID0680"/>
    <n v="720000"/>
    <s v="PHP"/>
    <n v="17067.637625607145"/>
    <n v="31264.362288276276"/>
    <n v="31264.362288276276"/>
    <s v="System Manager"/>
    <s v="Manager"/>
    <x v="36"/>
    <s v="4 to 6 hours a day"/>
    <n v="9"/>
  </r>
  <r>
    <s v="ID1329"/>
    <n v="660000"/>
    <s v="INR"/>
    <n v="11753.225013712095"/>
    <n v="31258.274750140983"/>
    <n v="31258.274750140983"/>
    <s v="AM business Intelligence"/>
    <s v="Manager"/>
    <x v="7"/>
    <s v="All the 8 hours baby, all the 8!"/>
    <n v="7"/>
  </r>
  <r>
    <s v="ID0722"/>
    <n v="31250"/>
    <s v="USD"/>
    <n v="31250"/>
    <n v="31250"/>
    <n v="31250"/>
    <s v="Program management"/>
    <s v="Manager"/>
    <x v="7"/>
    <s v="2 to 3 hours per day"/>
    <n v="6"/>
  </r>
  <r>
    <s v="ID1571"/>
    <n v="31200"/>
    <s v="USD"/>
    <n v="31200"/>
    <n v="31200"/>
    <n v="31200"/>
    <s v="Data Analyst"/>
    <s v="Analyst"/>
    <x v="8"/>
    <s v="4 to 6 hours a day"/>
    <n v="15"/>
  </r>
  <r>
    <s v="ID1665"/>
    <n v="31200"/>
    <s v="USD"/>
    <n v="31200"/>
    <n v="31200"/>
    <n v="31200"/>
    <s v="Economist"/>
    <s v="Reporting"/>
    <x v="16"/>
    <s v="All the 8 hours baby, all the 8!"/>
    <n v="11"/>
  </r>
  <r>
    <s v="ID1750"/>
    <n v="31200"/>
    <s v="USD"/>
    <n v="31200"/>
    <n v="31200"/>
    <n v="31200"/>
    <s v="Risk analyst"/>
    <s v="Analyst"/>
    <x v="10"/>
    <s v="4 to 6 hours a day"/>
    <n v="4"/>
  </r>
  <r>
    <s v="ID0255"/>
    <n v="31000"/>
    <s v="USD"/>
    <n v="31000"/>
    <n v="31000"/>
    <n v="31000"/>
    <s v="Site Technician"/>
    <s v="Analyst"/>
    <x v="8"/>
    <s v="4 to 6 hours a day"/>
    <s v="Data Not Avaliable"/>
  </r>
  <r>
    <s v="ID0299"/>
    <n v="31000"/>
    <s v="USD"/>
    <n v="31000"/>
    <n v="31000"/>
    <n v="31000"/>
    <s v="Support Specialist "/>
    <s v="Specialist"/>
    <x v="8"/>
    <s v="2 to 3 hours per day"/>
    <s v="Data Not Avaliable"/>
  </r>
  <r>
    <s v="ID0575"/>
    <n v="21000"/>
    <s v="GBP"/>
    <n v="33099.743713412965"/>
    <n v="30953.395304588976"/>
    <n v="30953.395304588976"/>
    <s v="Sales Analyst"/>
    <s v="Analyst"/>
    <x v="9"/>
    <s v="All the 8 hours baby, all the 8!"/>
    <n v="10"/>
  </r>
  <r>
    <s v="ID1899"/>
    <n v="28000"/>
    <s v="EUR"/>
    <n v="35571.184291765021"/>
    <n v="30818.280807441464"/>
    <n v="30818.280807441464"/>
    <s v="controller"/>
    <s v="Controller"/>
    <x v="23"/>
    <s v="4 to 6 hours a day"/>
    <n v="8"/>
  </r>
  <r>
    <s v="ID0814"/>
    <n v="650000"/>
    <s v="INR"/>
    <n v="11575.14584683767"/>
    <n v="30784.664526653996"/>
    <n v="30784.664526653996"/>
    <s v="Deputy Manager"/>
    <s v="Manager"/>
    <x v="7"/>
    <s v="2 to 3 hours per day"/>
    <n v="5"/>
  </r>
  <r>
    <s v="ID0851"/>
    <n v="650000"/>
    <s v="INR"/>
    <n v="11575.14584683767"/>
    <n v="30784.664526653996"/>
    <n v="30784.664526653996"/>
    <s v="Financial Analyist"/>
    <s v="Analyst"/>
    <x v="7"/>
    <s v="All the 8 hours baby, all the 8!"/>
    <n v="3.5"/>
  </r>
  <r>
    <s v="ID1010"/>
    <n v="650000"/>
    <s v="INR"/>
    <n v="11575.14584683767"/>
    <n v="30784.664526653996"/>
    <n v="30784.664526653996"/>
    <s v="Ass Research  Manager"/>
    <s v="Manager"/>
    <x v="7"/>
    <s v="2 to 3 hours per day"/>
    <n v="1"/>
  </r>
  <r>
    <s v="ID1507"/>
    <n v="650000"/>
    <s v="INR"/>
    <n v="11575.14584683767"/>
    <n v="30784.664526653996"/>
    <n v="30784.664526653996"/>
    <s v="HR/ADMINISTRATION"/>
    <s v="Analyst"/>
    <x v="7"/>
    <s v="4 to 6 hours a day"/>
    <n v="21"/>
  </r>
  <r>
    <s v="ID1597"/>
    <n v="650000"/>
    <s v="INR"/>
    <n v="11575.14584683767"/>
    <n v="30784.664526653996"/>
    <n v="30784.664526653996"/>
    <s v="Associate"/>
    <s v="Analyst"/>
    <x v="7"/>
    <s v="4 to 6 hours a day"/>
    <n v="5"/>
  </r>
  <r>
    <s v="ID1307"/>
    <n v="49000"/>
    <s v="AUD"/>
    <n v="49975.573163729154"/>
    <n v="30708.988851731941"/>
    <n v="30708.988851731941"/>
    <s v="Document Control"/>
    <s v="Controller"/>
    <x v="19"/>
    <s v="4 to 6 hours a day"/>
    <n v="30"/>
  </r>
  <r>
    <s v="ID0692"/>
    <n v="648000"/>
    <s v="INR"/>
    <n v="11539.530013462785"/>
    <n v="30689.942481956601"/>
    <n v="30689.942481956601"/>
    <s v="COMPUTER OPERATOR"/>
    <s v="Analyst"/>
    <x v="7"/>
    <s v="All the 8 hours baby, all the 8!"/>
    <n v="2"/>
  </r>
  <r>
    <s v="ID1446"/>
    <n v="60000"/>
    <s v="MYR"/>
    <n v="19008.034062397041"/>
    <n v="30507.73097242316"/>
    <n v="30507.73097242316"/>
    <s v="Liquidity Management Executive"/>
    <s v="Manager"/>
    <x v="53"/>
    <s v="4 to 6 hours a day"/>
    <n v="3"/>
  </r>
  <r>
    <s v="ID1678"/>
    <n v="30500"/>
    <s v="USD"/>
    <n v="30500"/>
    <n v="30500"/>
    <n v="30500"/>
    <s v="Financial Analyst"/>
    <s v="Analyst"/>
    <x v="10"/>
    <s v="All the 8 hours baby, all the 8!"/>
    <n v="8"/>
  </r>
  <r>
    <s v="ID1609"/>
    <n v="27600"/>
    <s v="EUR"/>
    <n v="35063.024516168378"/>
    <n v="30378.019653049443"/>
    <n v="30378.019653049443"/>
    <s v="controller"/>
    <s v="Controller"/>
    <x v="59"/>
    <s v="All the 8 hours baby, all the 8!"/>
    <n v="15"/>
  </r>
  <r>
    <s v="ID1015"/>
    <n v="640000"/>
    <s v="INR"/>
    <n v="11397.066679963244"/>
    <n v="30311.054303167009"/>
    <n v="30311.054303167009"/>
    <s v="Sr.Analyst - Process Excellence"/>
    <s v="Analyst"/>
    <x v="7"/>
    <s v="All the 8 hours baby, all the 8!"/>
    <n v="6"/>
  </r>
  <r>
    <s v="ID0767"/>
    <n v="30232"/>
    <s v="USD"/>
    <n v="30232"/>
    <n v="30232"/>
    <n v="30232"/>
    <s v="Accounts Supervisor"/>
    <s v="Accountant"/>
    <x v="8"/>
    <s v="2 to 3 hours per day"/>
    <n v="5"/>
  </r>
  <r>
    <s v="ID1882"/>
    <n v="20500"/>
    <s v="GBP"/>
    <n v="32311.654577379326"/>
    <n v="30216.409702098765"/>
    <n v="30216.409702098765"/>
    <s v="analyst"/>
    <s v="Analyst"/>
    <x v="9"/>
    <s v="4 to 6 hours a day"/>
    <n v="20"/>
  </r>
  <r>
    <s v="ID0713"/>
    <n v="636000"/>
    <s v="INR"/>
    <n v="11325.835013213473"/>
    <n v="30121.610213772216"/>
    <n v="30121.610213772216"/>
    <s v="Audit Manager"/>
    <s v="Manager"/>
    <x v="7"/>
    <s v="4 to 6 hours a day"/>
    <n v="2"/>
  </r>
  <r>
    <s v="ID0782"/>
    <n v="636000"/>
    <s v="INR"/>
    <n v="11325.835013213473"/>
    <n v="30121.610213772216"/>
    <n v="30121.610213772216"/>
    <s v="Program Manager"/>
    <s v="Manager"/>
    <x v="7"/>
    <s v="4 to 6 hours a day"/>
    <n v="7"/>
  </r>
  <r>
    <s v="ID1461"/>
    <n v="50000"/>
    <s v="NZD"/>
    <n v="39879.404680246938"/>
    <n v="30107.840520561589"/>
    <n v="30107.840520561589"/>
    <s v="stress engineer"/>
    <s v="Engineer"/>
    <x v="21"/>
    <s v="4 to 6 hours a day"/>
    <n v="5"/>
  </r>
  <r>
    <s v="ID1274"/>
    <n v="48000"/>
    <s v="AUD"/>
    <n v="48955.663507326513"/>
    <n v="30082.274793533328"/>
    <n v="30082.274793533328"/>
    <s v="Research Assistant"/>
    <s v="Analyst"/>
    <x v="19"/>
    <s v="1 or 2 hours a day"/>
    <n v="2"/>
  </r>
  <r>
    <s v="ID0039"/>
    <n v="30000"/>
    <s v="USD"/>
    <n v="30000"/>
    <n v="30000"/>
    <n v="30000"/>
    <s v="Academic Advisor"/>
    <s v="Consultant"/>
    <x v="8"/>
    <s v="2 to 3 hours per day"/>
    <s v="Data Not Avaliable"/>
  </r>
  <r>
    <s v="ID0402"/>
    <n v="30000"/>
    <s v="USD"/>
    <n v="30000"/>
    <n v="30000"/>
    <n v="30000"/>
    <s v="ceo"/>
    <s v="CXO or Top Mgmt."/>
    <x v="7"/>
    <s v="2 to 3 hours per day"/>
    <s v="Data Not Avaliable"/>
  </r>
  <r>
    <s v="ID0428"/>
    <n v="30000"/>
    <s v="USD"/>
    <n v="30000"/>
    <n v="30000"/>
    <n v="30000"/>
    <s v="Supervisor"/>
    <s v="Manager"/>
    <x v="8"/>
    <s v="2 to 3 hours per day"/>
    <s v="Data Not Avaliable"/>
  </r>
  <r>
    <s v="ID0429"/>
    <n v="30000"/>
    <s v="USD"/>
    <n v="30000"/>
    <n v="30000"/>
    <n v="30000"/>
    <s v="BI Developer"/>
    <s v="Reporting"/>
    <x v="65"/>
    <s v="1 or 2 hours a day"/>
    <s v="Data Not Avaliable"/>
  </r>
  <r>
    <s v="ID0478"/>
    <n v="30000"/>
    <s v="USD"/>
    <n v="30000"/>
    <n v="30000"/>
    <n v="30000"/>
    <s v="video production"/>
    <s v="Analyst"/>
    <x v="8"/>
    <s v="Excel ?!? What Excel?"/>
    <s v="Data Not Avaliable"/>
  </r>
  <r>
    <s v="ID0612"/>
    <n v="30000"/>
    <s v="USD"/>
    <n v="30000"/>
    <n v="30000"/>
    <n v="30000"/>
    <s v="Sales Assistant"/>
    <s v="Analyst"/>
    <x v="8"/>
    <s v="2 to 3 hours per day"/>
    <n v="8"/>
  </r>
  <r>
    <s v="ID0827"/>
    <n v="30000"/>
    <s v="USD"/>
    <n v="30000"/>
    <n v="30000"/>
    <n v="30000"/>
    <s v="Financial Control Section Headm"/>
    <s v="Controller"/>
    <x v="33"/>
    <s v="4 to 6 hours a day"/>
    <n v="7"/>
  </r>
  <r>
    <s v="ID0842"/>
    <n v="30000"/>
    <s v="USD"/>
    <n v="30000"/>
    <n v="30000"/>
    <n v="30000"/>
    <s v="MIS Executive"/>
    <s v="Reporting"/>
    <x v="7"/>
    <s v="4 to 6 hours a day"/>
    <n v="2"/>
  </r>
  <r>
    <s v="ID0941"/>
    <n v="30000"/>
    <s v="USD"/>
    <n v="30000"/>
    <n v="30000"/>
    <n v="30000"/>
    <s v="Financial Expert"/>
    <s v="Accountant"/>
    <x v="66"/>
    <s v="2 to 3 hours per day"/>
    <n v="30"/>
  </r>
  <r>
    <s v="ID1162"/>
    <n v="30000"/>
    <s v="USD"/>
    <n v="30000"/>
    <n v="30000"/>
    <n v="30000"/>
    <s v="pricing and cost manager"/>
    <s v="Manager"/>
    <x v="27"/>
    <s v="All the 8 hours baby, all the 8!"/>
    <n v="17"/>
  </r>
  <r>
    <s v="ID1273"/>
    <n v="30000"/>
    <s v="USD"/>
    <n v="30000"/>
    <n v="30000"/>
    <n v="30000"/>
    <s v="Practice Manager - Business Operations"/>
    <s v="Manager"/>
    <x v="7"/>
    <s v="2 to 3 hours per day"/>
    <n v="3"/>
  </r>
  <r>
    <s v="ID1453"/>
    <n v="30000"/>
    <s v="USD"/>
    <n v="30000"/>
    <n v="30000"/>
    <n v="30000"/>
    <s v="Accounting Specialist"/>
    <s v="Accountant"/>
    <x v="31"/>
    <s v="4 to 6 hours a day"/>
    <n v="8"/>
  </r>
  <r>
    <s v="ID1545"/>
    <n v="30000"/>
    <s v="USD"/>
    <n v="30000"/>
    <n v="30000"/>
    <n v="30000"/>
    <s v="Marketing Services Manager"/>
    <s v="Manager"/>
    <x v="52"/>
    <s v="4 to 6 hours a day"/>
    <n v="5"/>
  </r>
  <r>
    <s v="ID1567"/>
    <n v="30000"/>
    <s v="USD"/>
    <n v="30000"/>
    <n v="30000"/>
    <n v="30000"/>
    <s v="SME"/>
    <s v="Analyst"/>
    <x v="7"/>
    <s v="All the 8 hours baby, all the 8!"/>
    <n v="4"/>
  </r>
  <r>
    <s v="ID1747"/>
    <n v="30000"/>
    <s v="USD"/>
    <n v="30000"/>
    <n v="30000"/>
    <n v="30000"/>
    <s v="Inventory Manager"/>
    <s v="Manager"/>
    <x v="8"/>
    <s v="4 to 6 hours a day"/>
    <n v="1"/>
  </r>
  <r>
    <s v="ID1763"/>
    <n v="30000"/>
    <s v="USD"/>
    <n v="30000"/>
    <n v="30000"/>
    <n v="30000"/>
    <s v="Customer Service"/>
    <s v="Analyst"/>
    <x v="8"/>
    <s v="2 to 3 hours per day"/>
    <n v="4"/>
  </r>
  <r>
    <s v="ID1781"/>
    <n v="30000"/>
    <s v="USD"/>
    <n v="30000"/>
    <n v="30000"/>
    <n v="30000"/>
    <s v="Teacher"/>
    <s v="Analyst"/>
    <x v="53"/>
    <s v="1 or 2 hours a day"/>
    <n v="12"/>
  </r>
  <r>
    <s v="ID1853"/>
    <n v="30000"/>
    <s v="USD"/>
    <n v="30000"/>
    <n v="30000"/>
    <n v="30000"/>
    <s v="Trainee"/>
    <s v="Analyst"/>
    <x v="10"/>
    <s v="2 to 3 hours per day"/>
    <n v="1"/>
  </r>
  <r>
    <s v="ID0311"/>
    <n v="20000"/>
    <s v="GBP"/>
    <n v="31523.565441345683"/>
    <n v="29479.42409960855"/>
    <n v="29479.42409960855"/>
    <s v="Graduate Structural Engineer"/>
    <s v="Engineer"/>
    <x v="9"/>
    <s v="1 or 2 hours a day"/>
    <s v="Data Not Avaliable"/>
  </r>
  <r>
    <s v="ID0555"/>
    <n v="20000"/>
    <s v="GBP"/>
    <n v="31523.565441345683"/>
    <n v="29479.42409960855"/>
    <n v="29479.42409960855"/>
    <s v="IT Consultant"/>
    <s v="Consultant"/>
    <x v="9"/>
    <s v="4 to 6 hours a day"/>
    <s v="Data Not Avaliable"/>
  </r>
  <r>
    <s v="ID1083"/>
    <n v="20000"/>
    <s v="GBP"/>
    <n v="31523.565441345683"/>
    <n v="29479.42409960855"/>
    <n v="29479.42409960855"/>
    <s v="finance assistant"/>
    <s v="Analyst"/>
    <x v="9"/>
    <s v="4 to 6 hours a day"/>
    <n v="1"/>
  </r>
  <r>
    <s v="ID1257"/>
    <n v="20000"/>
    <s v="GBP"/>
    <n v="31523.565441345683"/>
    <n v="29479.42409960855"/>
    <n v="29479.42409960855"/>
    <s v="Environmental Information Analyst"/>
    <s v="Analyst"/>
    <x v="9"/>
    <s v="4 to 6 hours a day"/>
    <n v="1"/>
  </r>
  <r>
    <s v="ID1607"/>
    <n v="20000"/>
    <s v="GBP"/>
    <n v="31523.565441345683"/>
    <n v="29479.42409960855"/>
    <n v="29479.42409960855"/>
    <s v="Operations Analyst"/>
    <s v="Analyst"/>
    <x v="9"/>
    <s v="All the 8 hours baby, all the 8!"/>
    <n v="3"/>
  </r>
  <r>
    <s v="ID1863"/>
    <n v="20000"/>
    <s v="GBP"/>
    <n v="31523.565441345683"/>
    <n v="29479.42409960855"/>
    <n v="29479.42409960855"/>
    <s v="Accountant"/>
    <s v="Accountant"/>
    <x v="9"/>
    <s v="2 to 3 hours per day"/>
    <n v="10"/>
  </r>
  <r>
    <s v="ID0386"/>
    <n v="620000"/>
    <s v="INR"/>
    <n v="11040.908346214392"/>
    <n v="29363.83385619304"/>
    <n v="29363.83385619304"/>
    <s v="assistant manager (finance)"/>
    <s v="Manager"/>
    <x v="7"/>
    <s v="1 or 2 hours a day"/>
    <s v="Data Not Avaliable"/>
  </r>
  <r>
    <s v="ID1467"/>
    <n v="620000"/>
    <s v="INR"/>
    <n v="11040.908346214392"/>
    <n v="29363.83385619304"/>
    <n v="29363.83385619304"/>
    <s v="Catalog Auditor"/>
    <s v="Analyst"/>
    <x v="7"/>
    <s v="1 or 2 hours a day"/>
    <n v="5"/>
  </r>
  <r>
    <s v="ID0341"/>
    <n v="29000"/>
    <s v="USD"/>
    <n v="29000"/>
    <n v="29000"/>
    <n v="29000"/>
    <s v="Assistant Outside Plant Project Manager"/>
    <s v="Manager"/>
    <x v="8"/>
    <s v="4 to 6 hours a day"/>
    <s v="Data Not Avaliable"/>
  </r>
  <r>
    <s v="ID1855"/>
    <n v="29000"/>
    <s v="USD"/>
    <n v="29000"/>
    <n v="29000"/>
    <n v="29000"/>
    <s v="Customer Experence Engineer"/>
    <s v="Engineer"/>
    <x v="8"/>
    <s v="All the 8 hours baby, all the 8!"/>
    <n v="1"/>
  </r>
  <r>
    <s v="ID1758"/>
    <n v="28995"/>
    <s v="USD"/>
    <n v="28995"/>
    <n v="28995"/>
    <n v="28995"/>
    <s v="Senior Executive"/>
    <s v="Manager"/>
    <x v="7"/>
    <s v="4 to 6 hours a day"/>
    <n v="6"/>
  </r>
  <r>
    <s v="ID1027"/>
    <n v="612000"/>
    <s v="INR"/>
    <n v="10898.445012714852"/>
    <n v="28984.945677403455"/>
    <n v="28984.945677403455"/>
    <s v="Asst. Manager "/>
    <s v="Manager"/>
    <x v="7"/>
    <s v="2 to 3 hours per day"/>
    <n v="13"/>
  </r>
  <r>
    <s v="ID1714"/>
    <n v="36000"/>
    <s v="CAD"/>
    <n v="35401.014829091764"/>
    <n v="28456.063315284406"/>
    <n v="28456.063315284406"/>
    <s v="data organizer"/>
    <s v="Analyst"/>
    <x v="6"/>
    <s v="All the 8 hours baby, all the 8!"/>
    <n v="2"/>
  </r>
  <r>
    <s v="ID0030"/>
    <n v="600000"/>
    <s v="INR"/>
    <n v="10684.750012465542"/>
    <n v="28416.613409219077"/>
    <n v="28416.613409219077"/>
    <s v="strategy manager"/>
    <s v="Manager"/>
    <x v="7"/>
    <s v="4 to 6 hours a day"/>
    <s v="Data Not Avaliable"/>
  </r>
  <r>
    <s v="ID0508"/>
    <n v="600000"/>
    <s v="INR"/>
    <n v="10684.750012465542"/>
    <n v="28416.613409219077"/>
    <n v="28416.613409219077"/>
    <s v="Business Co ordinator"/>
    <s v="Manager"/>
    <x v="7"/>
    <s v="4 to 6 hours a day"/>
    <s v="Data Not Avaliable"/>
  </r>
  <r>
    <s v="ID0526"/>
    <n v="600000"/>
    <s v="INR"/>
    <n v="10684.750012465542"/>
    <n v="28416.613409219077"/>
    <n v="28416.613409219077"/>
    <s v="Project Manager"/>
    <s v="Manager"/>
    <x v="7"/>
    <s v="4 to 6 hours a day"/>
    <s v="Data Not Avaliable"/>
  </r>
  <r>
    <s v="ID0638"/>
    <n v="600000"/>
    <s v="INR"/>
    <n v="10684.750012465542"/>
    <n v="28416.613409219077"/>
    <n v="28416.613409219077"/>
    <s v="Financial Analyst"/>
    <s v="Analyst"/>
    <x v="7"/>
    <s v="2 to 3 hours per day"/>
    <n v="3"/>
  </r>
  <r>
    <s v="ID0646"/>
    <n v="600000"/>
    <s v="INR"/>
    <n v="10684.750012465542"/>
    <n v="28416.613409219077"/>
    <n v="28416.613409219077"/>
    <s v="Organiser"/>
    <s v="Manager"/>
    <x v="7"/>
    <s v="4 to 6 hours a day"/>
    <n v="11"/>
  </r>
  <r>
    <s v="ID0706"/>
    <n v="600000"/>
    <s v="INR"/>
    <n v="10684.750012465542"/>
    <n v="28416.613409219077"/>
    <n v="28416.613409219077"/>
    <s v="senior executive"/>
    <s v="Manager"/>
    <x v="7"/>
    <s v="1 or 2 hours a day"/>
    <n v="2"/>
  </r>
  <r>
    <s v="ID0729"/>
    <n v="600000"/>
    <s v="INR"/>
    <n v="10684.750012465542"/>
    <n v="28416.613409219077"/>
    <n v="28416.613409219077"/>
    <s v="Sr Financial Execative"/>
    <s v="Accountant"/>
    <x v="7"/>
    <s v="All the 8 hours baby, all the 8!"/>
    <n v="7"/>
  </r>
  <r>
    <s v="ID0736"/>
    <n v="600000"/>
    <s v="INR"/>
    <n v="10684.750012465542"/>
    <n v="28416.613409219077"/>
    <n v="28416.613409219077"/>
    <s v="ERP Co-Ordinator"/>
    <s v="Manager"/>
    <x v="7"/>
    <s v="2 to 3 hours per day"/>
    <n v="8"/>
  </r>
  <r>
    <s v="ID0741"/>
    <n v="600000"/>
    <s v="INR"/>
    <n v="10684.750012465542"/>
    <n v="28416.613409219077"/>
    <n v="28416.613409219077"/>
    <s v="Finance Manager"/>
    <s v="Manager"/>
    <x v="7"/>
    <s v="4 to 6 hours a day"/>
    <n v="5"/>
  </r>
  <r>
    <s v="ID0802"/>
    <n v="600000"/>
    <s v="INR"/>
    <n v="10684.750012465542"/>
    <n v="28416.613409219077"/>
    <n v="28416.613409219077"/>
    <s v="MIS Analyst"/>
    <s v="Analyst"/>
    <x v="7"/>
    <s v="All the 8 hours baby, all the 8!"/>
    <n v="4"/>
  </r>
  <r>
    <s v="ID0823"/>
    <n v="600000"/>
    <s v="INR"/>
    <n v="10684.750012465542"/>
    <n v="28416.613409219077"/>
    <n v="28416.613409219077"/>
    <s v="Reporting Analyst"/>
    <s v="Analyst"/>
    <x v="7"/>
    <s v="All the 8 hours baby, all the 8!"/>
    <n v="5"/>
  </r>
  <r>
    <s v="ID0835"/>
    <n v="600000"/>
    <s v="INR"/>
    <n v="10684.750012465542"/>
    <n v="28416.613409219077"/>
    <n v="28416.613409219077"/>
    <s v="AO"/>
    <s v="Manager"/>
    <x v="7"/>
    <s v="All the 8 hours baby, all the 8!"/>
    <n v="20"/>
  </r>
  <r>
    <s v="ID0836"/>
    <n v="600000"/>
    <s v="INR"/>
    <n v="10684.750012465542"/>
    <n v="28416.613409219077"/>
    <n v="28416.613409219077"/>
    <s v="Project Manager"/>
    <s v="Manager"/>
    <x v="7"/>
    <s v="2 to 3 hours per day"/>
    <n v="18"/>
  </r>
  <r>
    <s v="ID0885"/>
    <n v="600000"/>
    <s v="INR"/>
    <n v="10684.750012465542"/>
    <n v="28416.613409219077"/>
    <n v="28416.613409219077"/>
    <s v="Asst Manager"/>
    <s v="Manager"/>
    <x v="7"/>
    <s v="All the 8 hours baby, all the 8!"/>
    <n v="5"/>
  </r>
  <r>
    <s v="ID0907"/>
    <n v="600000"/>
    <s v="INR"/>
    <n v="10684.750012465542"/>
    <n v="28416.613409219077"/>
    <n v="28416.613409219077"/>
    <s v="Manager"/>
    <s v="Manager"/>
    <x v="7"/>
    <s v="All the 8 hours baby, all the 8!"/>
    <n v="9"/>
  </r>
  <r>
    <s v="ID0925"/>
    <n v="600000"/>
    <s v="INR"/>
    <n v="10684.750012465542"/>
    <n v="28416.613409219077"/>
    <n v="28416.613409219077"/>
    <s v="Sales Analyst"/>
    <s v="Analyst"/>
    <x v="7"/>
    <s v="All the 8 hours baby, all the 8!"/>
    <n v="8"/>
  </r>
  <r>
    <s v="ID0948"/>
    <n v="600000"/>
    <s v="INR"/>
    <n v="10684.750012465542"/>
    <n v="28416.613409219077"/>
    <n v="28416.613409219077"/>
    <s v="Asst. Mgr. Finance"/>
    <s v="Analyst"/>
    <x v="7"/>
    <s v="4 to 6 hours a day"/>
    <n v="11"/>
  </r>
  <r>
    <s v="ID0949"/>
    <n v="600000"/>
    <s v="INR"/>
    <n v="10684.750012465542"/>
    <n v="28416.613409219077"/>
    <n v="28416.613409219077"/>
    <s v="Executive"/>
    <s v="Analyst"/>
    <x v="7"/>
    <s v="2 to 3 hours per day"/>
    <n v="4"/>
  </r>
  <r>
    <s v="ID1042"/>
    <n v="600000"/>
    <s v="INR"/>
    <n v="10684.750012465542"/>
    <n v="28416.613409219077"/>
    <n v="28416.613409219077"/>
    <s v="Business Analyst"/>
    <s v="Analyst"/>
    <x v="7"/>
    <s v="All the 8 hours baby, all the 8!"/>
    <n v="12"/>
  </r>
  <r>
    <s v="ID1091"/>
    <n v="600000"/>
    <s v="INR"/>
    <n v="10684.750012465542"/>
    <n v="28416.613409219077"/>
    <n v="28416.613409219077"/>
    <s v="Sr.Supervisor"/>
    <s v="Analyst"/>
    <x v="7"/>
    <s v="4 to 6 hours a day"/>
    <n v="10"/>
  </r>
  <r>
    <s v="ID1113"/>
    <n v="600000"/>
    <s v="INR"/>
    <n v="10684.750012465542"/>
    <n v="28416.613409219077"/>
    <n v="28416.613409219077"/>
    <s v="Company Secretary"/>
    <s v="Accountant"/>
    <x v="7"/>
    <s v="2 to 3 hours per day"/>
    <n v="8"/>
  </r>
  <r>
    <s v="ID1299"/>
    <n v="600000"/>
    <s v="INR"/>
    <n v="10684.750012465542"/>
    <n v="28416.613409219077"/>
    <n v="28416.613409219077"/>
    <s v="Senior Business Executive"/>
    <s v="Manager"/>
    <x v="7"/>
    <s v="2 to 3 hours per day"/>
    <n v="2"/>
  </r>
  <r>
    <s v="ID1319"/>
    <n v="600000"/>
    <s v="INR"/>
    <n v="10684.750012465542"/>
    <n v="28416.613409219077"/>
    <n v="28416.613409219077"/>
    <s v="General Manager"/>
    <s v="Manager"/>
    <x v="7"/>
    <s v="2 to 3 hours per day"/>
    <n v="28"/>
  </r>
  <r>
    <s v="ID1341"/>
    <n v="600000"/>
    <s v="INR"/>
    <n v="10684.750012465542"/>
    <n v="28416.613409219077"/>
    <n v="28416.613409219077"/>
    <s v="Assistant Manager"/>
    <s v="Manager"/>
    <x v="7"/>
    <s v="1 or 2 hours a day"/>
    <n v="7"/>
  </r>
  <r>
    <s v="ID1452"/>
    <n v="600000"/>
    <s v="INR"/>
    <n v="10684.750012465542"/>
    <n v="28416.613409219077"/>
    <n v="28416.613409219077"/>
    <s v="consultant"/>
    <s v="Consultant"/>
    <x v="7"/>
    <s v="2 to 3 hours per day"/>
    <n v="36"/>
  </r>
  <r>
    <s v="ID1717"/>
    <n v="600000"/>
    <s v="INR"/>
    <n v="10684.750012465542"/>
    <n v="28416.613409219077"/>
    <n v="28416.613409219077"/>
    <s v="admin"/>
    <s v="Analyst"/>
    <x v="7"/>
    <s v="All the 8 hours baby, all the 8!"/>
    <n v="5"/>
  </r>
  <r>
    <s v="ID1877"/>
    <n v="600000"/>
    <s v="INR"/>
    <n v="10684.750012465542"/>
    <n v="28416.613409219077"/>
    <n v="28416.613409219077"/>
    <s v="Manager- Customer Support"/>
    <s v="Manager"/>
    <x v="7"/>
    <s v="4 to 6 hours a day"/>
    <n v="12"/>
  </r>
  <r>
    <s v="ID0010"/>
    <n v="1152000"/>
    <s v="PKR"/>
    <n v="12227.430201752599"/>
    <n v="28371.521746019225"/>
    <n v="28371.521746019225"/>
    <s v="Audit Trainee "/>
    <s v="Accountant"/>
    <x v="52"/>
    <s v="All the 8 hours baby, all the 8!"/>
    <s v="Data Not Avaliable"/>
  </r>
  <r>
    <s v="ID0192"/>
    <n v="28000"/>
    <s v="USD"/>
    <n v="28000"/>
    <n v="28000"/>
    <n v="28000"/>
    <s v="Administrative Assistant"/>
    <s v="Analyst"/>
    <x v="8"/>
    <s v="4 to 6 hours a day"/>
    <s v="Data Not Avaliable"/>
  </r>
  <r>
    <s v="ID1038"/>
    <n v="28000"/>
    <s v="USD"/>
    <n v="28000"/>
    <n v="28000"/>
    <n v="28000"/>
    <s v="BI"/>
    <s v="Reporting"/>
    <x v="7"/>
    <s v="2 to 3 hours per day"/>
    <n v="3"/>
  </r>
  <r>
    <s v="ID1180"/>
    <n v="28000"/>
    <s v="USD"/>
    <n v="28000"/>
    <n v="28000"/>
    <n v="28000"/>
    <s v="Business Intelligence Manager"/>
    <s v="Manager"/>
    <x v="34"/>
    <s v="4 to 6 hours a day"/>
    <n v="5"/>
  </r>
  <r>
    <s v="ID1183"/>
    <n v="27840"/>
    <s v="USD"/>
    <n v="27840"/>
    <n v="27840"/>
    <n v="27840"/>
    <s v="Data Entry Clerk III"/>
    <s v="Analyst"/>
    <x v="8"/>
    <s v="2 to 3 hours per day"/>
    <n v="1"/>
  </r>
  <r>
    <s v="ID0996"/>
    <n v="35000"/>
    <s v="CAD"/>
    <n v="34417.653306061438"/>
    <n v="27665.617112082062"/>
    <n v="27665.617112082062"/>
    <s v="Reporting Analyst"/>
    <s v="Analyst"/>
    <x v="6"/>
    <s v="All the 8 hours baby, all the 8!"/>
    <n v="4"/>
  </r>
  <r>
    <s v="ID0265"/>
    <n v="27600"/>
    <s v="USD"/>
    <n v="27600"/>
    <n v="27600"/>
    <n v="27600"/>
    <s v="Software Consultant"/>
    <s v="Consultant"/>
    <x v="3"/>
    <s v="All the 8 hours baby, all the 8!"/>
    <s v="Data Not Avaliable"/>
  </r>
  <r>
    <s v="ID0564"/>
    <n v="27500"/>
    <s v="USD"/>
    <n v="27500"/>
    <n v="27500"/>
    <n v="27500"/>
    <s v="Associate"/>
    <s v="Analyst"/>
    <x v="8"/>
    <s v="All the 8 hours baby, all the 8!"/>
    <n v="1"/>
  </r>
  <r>
    <s v="ID0179"/>
    <n v="18500"/>
    <s v="GBP"/>
    <n v="29159.298033244755"/>
    <n v="27268.467292137906"/>
    <n v="27268.467292137906"/>
    <s v="Trainee Management Accountant"/>
    <s v="Manager"/>
    <x v="9"/>
    <s v="All the 8 hours baby, all the 8!"/>
    <s v="Data Not Avaliable"/>
  </r>
  <r>
    <s v="ID1308"/>
    <n v="575000"/>
    <s v="INR"/>
    <n v="10239.552095279476"/>
    <n v="27232.587850501608"/>
    <n v="27232.587850501608"/>
    <s v="Asst Manager HR"/>
    <s v="Manager"/>
    <x v="7"/>
    <s v="2 to 3 hours per day"/>
    <n v="5"/>
  </r>
  <r>
    <s v="ID1192"/>
    <n v="60000"/>
    <s v="PLN"/>
    <n v="18018.883790212141"/>
    <n v="27060.816564109915"/>
    <n v="27060.816564109915"/>
    <s v="Sales Analyst"/>
    <s v="Analyst"/>
    <x v="34"/>
    <s v="All the 8 hours baby, all the 8!"/>
    <n v="10"/>
  </r>
  <r>
    <s v="ID0213"/>
    <n v="27000"/>
    <s v="USD"/>
    <n v="27000"/>
    <n v="27000"/>
    <n v="27000"/>
    <s v="Innovation Analyst"/>
    <s v="Analyst"/>
    <x v="3"/>
    <s v="All the 8 hours baby, all the 8!"/>
    <s v="Data Not Avaliable"/>
  </r>
  <r>
    <s v="ID0781"/>
    <n v="570000"/>
    <s v="INR"/>
    <n v="10150.512511842264"/>
    <n v="26995.78273875812"/>
    <n v="26995.78273875812"/>
    <s v="Analyst"/>
    <s v="Analyst"/>
    <x v="7"/>
    <s v="All the 8 hours baby, all the 8!"/>
    <n v="2.4"/>
  </r>
  <r>
    <s v="ID1024"/>
    <n v="570000"/>
    <s v="INR"/>
    <n v="10150.512511842264"/>
    <n v="26995.78273875812"/>
    <n v="26995.78273875812"/>
    <s v="MIS &amp; Analysis"/>
    <s v="Analyst"/>
    <x v="7"/>
    <s v="4 to 6 hours a day"/>
    <n v="5"/>
  </r>
  <r>
    <s v="ID0971"/>
    <n v="43000"/>
    <s v="AUD"/>
    <n v="43856.11522531334"/>
    <n v="26948.704502540277"/>
    <n v="26948.704502540277"/>
    <s v="Finance Officer"/>
    <s v="Manager"/>
    <x v="19"/>
    <s v="All the 8 hours baby, all the 8!"/>
    <n v="1"/>
  </r>
  <r>
    <s v="ID0057"/>
    <n v="18000"/>
    <s v="GBP"/>
    <n v="28371.208897211112"/>
    <n v="26531.481689647691"/>
    <n v="26531.481689647691"/>
    <s v="Building Design and Performance Researcher"/>
    <s v="Manager"/>
    <x v="9"/>
    <s v="1 or 2 hours a day"/>
    <s v="Data Not Avaliable"/>
  </r>
  <r>
    <s v="ID1811"/>
    <n v="560000"/>
    <s v="INR"/>
    <n v="9972.4333449678379"/>
    <n v="26522.172515271133"/>
    <n v="26522.172515271133"/>
    <s v="Associate Manager"/>
    <s v="Manager"/>
    <x v="7"/>
    <s v="2 to 3 hours per day"/>
    <n v="4"/>
  </r>
  <r>
    <s v="ID0053"/>
    <n v="24000"/>
    <s v="EUR"/>
    <n v="30489.586535798586"/>
    <n v="26415.669263521253"/>
    <n v="26415.669263521253"/>
    <s v="PPC Manager"/>
    <s v="Manager"/>
    <x v="15"/>
    <s v="All the 8 hours baby, all the 8!"/>
    <s v="Data Not Avaliable"/>
  </r>
  <r>
    <s v="ID1323"/>
    <n v="24000"/>
    <s v="EUR"/>
    <n v="30489.586535798586"/>
    <n v="26415.669263521253"/>
    <n v="26415.669263521253"/>
    <s v="Controller"/>
    <s v="Controller"/>
    <x v="44"/>
    <s v="4 to 6 hours a day"/>
    <n v="10"/>
  </r>
  <r>
    <s v="ID0877"/>
    <n v="26400"/>
    <s v="USD"/>
    <n v="26400"/>
    <n v="26400"/>
    <n v="26400"/>
    <s v="Supply Chain Administrator"/>
    <s v="Analyst"/>
    <x v="31"/>
    <s v="All the 8 hours baby, all the 8!"/>
    <n v="6"/>
  </r>
  <r>
    <s v="ID0019"/>
    <n v="550000"/>
    <s v="INR"/>
    <n v="9794.354178093412"/>
    <n v="26048.56229178415"/>
    <n v="26048.56229178415"/>
    <s v="AGM"/>
    <s v="Manager"/>
    <x v="7"/>
    <s v="2 to 3 hours per day"/>
    <s v="Data Not Avaliable"/>
  </r>
  <r>
    <s v="ID0832"/>
    <n v="550000"/>
    <s v="INR"/>
    <n v="9794.354178093412"/>
    <n v="26048.56229178415"/>
    <n v="26048.56229178415"/>
    <s v="web analyst"/>
    <s v="Analyst"/>
    <x v="7"/>
    <s v="4 to 6 hours a day"/>
    <n v="1"/>
  </r>
  <r>
    <s v="ID0855"/>
    <n v="550000"/>
    <s v="INR"/>
    <n v="9794.354178093412"/>
    <n v="26048.56229178415"/>
    <n v="26048.56229178415"/>
    <s v="Analyst"/>
    <s v="Analyst"/>
    <x v="7"/>
    <s v="4 to 6 hours a day"/>
    <n v="1"/>
  </r>
  <r>
    <s v="ID1719"/>
    <n v="550000"/>
    <s v="INR"/>
    <n v="9794.354178093412"/>
    <n v="26048.56229178415"/>
    <n v="26048.56229178415"/>
    <s v="Accounts manager"/>
    <s v="Manager"/>
    <x v="7"/>
    <s v="4 to 6 hours a day"/>
    <n v="13"/>
  </r>
  <r>
    <s v="ID0833"/>
    <n v="65000"/>
    <s v="RON"/>
    <n v="18499.860539512854"/>
    <n v="26042.577791667012"/>
    <n v="26042.577791667012"/>
    <s v="HR Planning Specialist"/>
    <s v="Specialist"/>
    <x v="65"/>
    <s v="4 to 6 hours a day"/>
    <n v="6"/>
  </r>
  <r>
    <s v="ID0081"/>
    <n v="26000"/>
    <s v="USD"/>
    <n v="26000"/>
    <n v="26000"/>
    <n v="26000"/>
    <s v="Marketing Analyst"/>
    <s v="Analyst"/>
    <x v="48"/>
    <s v="All the 8 hours baby, all the 8!"/>
    <s v="Data Not Avaliable"/>
  </r>
  <r>
    <s v="ID1003"/>
    <n v="545000"/>
    <s v="INR"/>
    <n v="9705.3145946561999"/>
    <n v="25811.757180040659"/>
    <n v="25811.757180040659"/>
    <s v="Assistant Manager"/>
    <s v="Manager"/>
    <x v="7"/>
    <s v="2 to 3 hours per day"/>
    <n v="6"/>
  </r>
  <r>
    <s v="ID0382"/>
    <n v="540000"/>
    <s v="INR"/>
    <n v="9616.275011218986"/>
    <n v="25574.952068297163"/>
    <n v="25574.952068297163"/>
    <s v="Senior Billing Engineer"/>
    <s v="Engineer"/>
    <x v="7"/>
    <s v="4 to 6 hours a day"/>
    <s v="Data Not Avaliable"/>
  </r>
  <r>
    <s v="ID0861"/>
    <n v="540000"/>
    <s v="INR"/>
    <n v="9616.275011218986"/>
    <n v="25574.952068297163"/>
    <n v="25574.952068297163"/>
    <s v="Senior analyst"/>
    <s v="Analyst"/>
    <x v="7"/>
    <s v="All the 8 hours baby, all the 8!"/>
    <n v="8"/>
  </r>
  <r>
    <s v="ID1195"/>
    <n v="540000"/>
    <s v="INR"/>
    <n v="9616.275011218986"/>
    <n v="25574.952068297163"/>
    <n v="25574.952068297163"/>
    <s v="Business Analyst - Solutions"/>
    <s v="Analyst"/>
    <x v="7"/>
    <s v="4 to 6 hours a day"/>
    <n v="7.9"/>
  </r>
  <r>
    <s v="ID0883"/>
    <n v="25560"/>
    <s v="USD"/>
    <n v="25560"/>
    <n v="25560"/>
    <n v="25560"/>
    <s v="Training Coordinator"/>
    <s v="Manager"/>
    <x v="25"/>
    <s v="4 to 6 hours a day"/>
    <n v="3"/>
  </r>
  <r>
    <s v="ID1513"/>
    <n v="536000"/>
    <s v="INR"/>
    <n v="9545.0433444692171"/>
    <n v="25385.507978902373"/>
    <n v="25385.507978902373"/>
    <s v="Team Lead"/>
    <s v="Manager"/>
    <x v="7"/>
    <s v="4 to 6 hours a day"/>
    <n v="4"/>
  </r>
  <r>
    <s v="ID1165"/>
    <n v="600000"/>
    <s v="DOP"/>
    <n v="15404.364569961488"/>
    <n v="25370.472251088424"/>
    <n v="25370.472251088424"/>
    <s v="Analista de Produccion"/>
    <s v="Analyst"/>
    <x v="67"/>
    <s v="All the 8 hours baby, all the 8!"/>
    <n v="3"/>
  </r>
  <r>
    <s v="ID1063"/>
    <n v="530000"/>
    <s v="INR"/>
    <n v="9438.1958443445619"/>
    <n v="25101.341844810184"/>
    <n v="25101.341844810184"/>
    <s v="Project Administrator"/>
    <s v="Analyst"/>
    <x v="7"/>
    <s v="2 to 3 hours per day"/>
    <n v="7"/>
  </r>
  <r>
    <s v="ID1470"/>
    <n v="17000"/>
    <s v="GBP"/>
    <n v="26795.030625143831"/>
    <n v="25057.510484667266"/>
    <n v="25057.510484667266"/>
    <s v="Verification Agent"/>
    <s v="Analyst"/>
    <x v="9"/>
    <s v="2 to 3 hours per day"/>
    <n v="5"/>
  </r>
  <r>
    <s v="ID0252"/>
    <n v="25000"/>
    <s v="USD"/>
    <n v="25000"/>
    <n v="25000"/>
    <n v="25000"/>
    <s v="Team Lead"/>
    <s v="Manager"/>
    <x v="7"/>
    <s v="1 or 2 hours a day"/>
    <s v="Data Not Avaliable"/>
  </r>
  <r>
    <s v="ID0362"/>
    <n v="25000"/>
    <s v="USD"/>
    <n v="25000"/>
    <n v="25000"/>
    <n v="25000"/>
    <s v="Manager"/>
    <s v="Manager"/>
    <x v="7"/>
    <s v="4 to 6 hours a day"/>
    <s v="Data Not Avaliable"/>
  </r>
  <r>
    <s v="ID1437"/>
    <n v="25000"/>
    <s v="USD"/>
    <n v="25000"/>
    <n v="25000"/>
    <n v="25000"/>
    <s v="Accountant"/>
    <s v="Accountant"/>
    <x v="7"/>
    <s v="2 to 3 hours per day"/>
    <n v="8"/>
  </r>
  <r>
    <s v="ID1487"/>
    <n v="25000"/>
    <s v="USD"/>
    <n v="25000"/>
    <n v="25000"/>
    <n v="25000"/>
    <s v="data analyst"/>
    <s v="Analyst"/>
    <x v="7"/>
    <s v="All the 8 hours baby, all the 8!"/>
    <n v="4"/>
  </r>
  <r>
    <s v="ID1726"/>
    <n v="25000"/>
    <s v="USD"/>
    <n v="25000"/>
    <n v="25000"/>
    <n v="25000"/>
    <s v="exe"/>
    <s v="Analyst"/>
    <x v="7"/>
    <s v="All the 8 hours baby, all the 8!"/>
    <n v="8"/>
  </r>
  <r>
    <s v="ID1886"/>
    <n v="25000"/>
    <s v="USD"/>
    <n v="25000"/>
    <n v="25000"/>
    <n v="25000"/>
    <s v="Data Analyst"/>
    <s v="Analyst"/>
    <x v="7"/>
    <s v="All the 8 hours baby, all the 8!"/>
    <n v="1.5"/>
  </r>
  <r>
    <s v="ID1908"/>
    <n v="25000"/>
    <s v="USD"/>
    <n v="25000"/>
    <n v="25000"/>
    <n v="25000"/>
    <s v="Team Lead"/>
    <s v="Manager"/>
    <x v="7"/>
    <s v="4 to 6 hours a day"/>
    <n v="10"/>
  </r>
  <r>
    <s v="ID1549"/>
    <n v="24864"/>
    <s v="USD"/>
    <n v="24864"/>
    <n v="24864"/>
    <n v="24864"/>
    <s v="Brand manager"/>
    <s v="Manager"/>
    <x v="68"/>
    <s v="All the 8 hours baby, all the 8!"/>
    <n v="8"/>
  </r>
  <r>
    <s v="ID1171"/>
    <n v="54000"/>
    <s v="BRL"/>
    <n v="26691.183012544854"/>
    <n v="24561.013096495866"/>
    <n v="24561.013096495866"/>
    <s v="Logistics Coordinator"/>
    <s v="Manager"/>
    <x v="10"/>
    <s v="1 or 2 hours a day"/>
    <n v="7"/>
  </r>
  <r>
    <s v="ID0816"/>
    <n v="516000"/>
    <s v="INR"/>
    <n v="9188.8850107203652"/>
    <n v="24438.287531928403"/>
    <n v="24438.287531928403"/>
    <s v="Management Trainee"/>
    <s v="Manager"/>
    <x v="7"/>
    <s v="4 to 6 hours a day"/>
    <n v="0"/>
  </r>
  <r>
    <s v="ID1001"/>
    <n v="48000"/>
    <s v="MYR"/>
    <n v="15206.427249917633"/>
    <n v="24406.184777938528"/>
    <n v="24406.184777938528"/>
    <s v="Credit Risk Manager"/>
    <s v="Manager"/>
    <x v="53"/>
    <s v="4 to 6 hours a day"/>
    <n v="2"/>
  </r>
  <r>
    <s v="ID0513"/>
    <n v="16400"/>
    <s v="GBP"/>
    <n v="25849.323661903458"/>
    <n v="24173.127761679007"/>
    <n v="24173.127761679007"/>
    <s v="Job Build analyst"/>
    <s v="Analyst"/>
    <x v="9"/>
    <s v="4 to 6 hours a day"/>
    <s v="Data Not Avaliable"/>
  </r>
  <r>
    <s v="ID0096"/>
    <n v="24000"/>
    <s v="USD"/>
    <n v="24000"/>
    <n v="24000"/>
    <n v="24000"/>
    <s v="Paraeducator"/>
    <s v="Manager"/>
    <x v="8"/>
    <s v="2 to 3 hours per day"/>
    <s v="Data Not Avaliable"/>
  </r>
  <r>
    <s v="ID0119"/>
    <n v="24000"/>
    <s v="USD"/>
    <n v="24000"/>
    <n v="24000"/>
    <n v="24000"/>
    <s v="Researcher"/>
    <s v="Manager"/>
    <x v="69"/>
    <s v="All the 8 hours baby, all the 8!"/>
    <s v="Data Not Avaliable"/>
  </r>
  <r>
    <s v="ID0430"/>
    <n v="24000"/>
    <s v="USD"/>
    <n v="24000"/>
    <n v="24000"/>
    <n v="24000"/>
    <s v="engineer"/>
    <s v="Engineer"/>
    <x v="8"/>
    <s v="1 or 2 hours a day"/>
    <s v="Data Not Avaliable"/>
  </r>
  <r>
    <s v="ID0479"/>
    <n v="24000"/>
    <s v="USD"/>
    <n v="24000"/>
    <n v="24000"/>
    <n v="24000"/>
    <s v="engineer"/>
    <s v="Engineer"/>
    <x v="70"/>
    <s v="2 to 3 hours per day"/>
    <s v="Data Not Avaliable"/>
  </r>
  <r>
    <s v="ID0670"/>
    <n v="24000"/>
    <s v="USD"/>
    <n v="24000"/>
    <n v="24000"/>
    <n v="24000"/>
    <s v="Management Accountant"/>
    <s v="Manager"/>
    <x v="25"/>
    <s v="4 to 6 hours a day"/>
    <n v="12"/>
  </r>
  <r>
    <s v="ID0671"/>
    <n v="24000"/>
    <s v="USD"/>
    <n v="24000"/>
    <n v="24000"/>
    <n v="24000"/>
    <s v="Accountant"/>
    <s v="Accountant"/>
    <x v="31"/>
    <s v="2 to 3 hours per day"/>
    <n v="15"/>
  </r>
  <r>
    <s v="ID0762"/>
    <n v="24000"/>
    <s v="USD"/>
    <n v="24000"/>
    <n v="24000"/>
    <n v="24000"/>
    <s v="Asst Production Planner"/>
    <s v="Analyst"/>
    <x v="7"/>
    <s v="2 to 3 hours per day"/>
    <n v="1"/>
  </r>
  <r>
    <s v="ID0812"/>
    <n v="24000"/>
    <s v="USD"/>
    <n v="24000"/>
    <n v="24000"/>
    <n v="24000"/>
    <s v="Logistic KA Manager"/>
    <s v="Manager"/>
    <x v="38"/>
    <s v="2 to 3 hours per day"/>
    <n v="5"/>
  </r>
  <r>
    <s v="ID0931"/>
    <n v="24000"/>
    <s v="USD"/>
    <n v="24000"/>
    <n v="24000"/>
    <n v="24000"/>
    <s v="business analyst"/>
    <s v="Analyst"/>
    <x v="7"/>
    <s v="4 to 6 hours a day"/>
    <n v="3"/>
  </r>
  <r>
    <s v="ID0943"/>
    <n v="24000"/>
    <s v="USD"/>
    <n v="24000"/>
    <n v="24000"/>
    <n v="24000"/>
    <s v="sr manager"/>
    <s v="Manager"/>
    <x v="7"/>
    <s v="4 to 6 hours a day"/>
    <n v="10"/>
  </r>
  <r>
    <s v="ID1187"/>
    <n v="24000"/>
    <s v="USD"/>
    <n v="24000"/>
    <n v="24000"/>
    <n v="24000"/>
    <s v="Administration Manager"/>
    <s v="Manager"/>
    <x v="71"/>
    <s v="4 to 6 hours a day"/>
    <n v="21"/>
  </r>
  <r>
    <s v="ID1336"/>
    <n v="24000"/>
    <s v="USD"/>
    <n v="24000"/>
    <n v="24000"/>
    <n v="24000"/>
    <s v="Dir. Revenue Mgt"/>
    <s v="Manager"/>
    <x v="25"/>
    <s v="4 to 6 hours a day"/>
    <n v="5"/>
  </r>
  <r>
    <s v="ID1377"/>
    <n v="24000"/>
    <s v="USD"/>
    <n v="24000"/>
    <n v="24000"/>
    <n v="24000"/>
    <s v="clerk 24 hrs per week"/>
    <s v="Analyst"/>
    <x v="8"/>
    <s v="1 or 2 hours a day"/>
    <n v="33"/>
  </r>
  <r>
    <s v="ID1438"/>
    <n v="24000"/>
    <s v="USD"/>
    <n v="24000"/>
    <n v="24000"/>
    <n v="24000"/>
    <s v="inventory controller"/>
    <s v="Controller"/>
    <x v="8"/>
    <s v="1 or 2 hours a day"/>
    <n v="2"/>
  </r>
  <r>
    <s v="ID1848"/>
    <n v="24000"/>
    <s v="USD"/>
    <n v="24000"/>
    <n v="24000"/>
    <n v="24000"/>
    <s v="Plant Controller"/>
    <s v="Controller"/>
    <x v="30"/>
    <s v="All the 8 hours baby, all the 8!"/>
    <n v="23"/>
  </r>
  <r>
    <s v="ID0817"/>
    <n v="504000"/>
    <s v="INR"/>
    <n v="8975.1900104710548"/>
    <n v="23869.955263744021"/>
    <n v="23869.955263744021"/>
    <s v="MNR"/>
    <s v="Manager"/>
    <x v="7"/>
    <s v="All the 8 hours baby, all the 8!"/>
    <n v="3"/>
  </r>
  <r>
    <s v="ID0036"/>
    <n v="500000"/>
    <s v="INR"/>
    <n v="8903.9583437212841"/>
    <n v="23680.511174349227"/>
    <n v="23680.511174349227"/>
    <s v="Senior Consultant"/>
    <s v="Consultant"/>
    <x v="7"/>
    <s v="All the 8 hours baby, all the 8!"/>
    <s v="Data Not Avaliable"/>
  </r>
  <r>
    <s v="ID0085"/>
    <n v="500000"/>
    <s v="INR"/>
    <n v="8903.9583437212841"/>
    <n v="23680.511174349227"/>
    <n v="23680.511174349227"/>
    <s v="Senior Consultant"/>
    <s v="Consultant"/>
    <x v="7"/>
    <s v="All the 8 hours baby, all the 8!"/>
    <s v="Data Not Avaliable"/>
  </r>
  <r>
    <s v="ID0170"/>
    <n v="500000"/>
    <s v="INR"/>
    <n v="8903.9583437212841"/>
    <n v="23680.511174349227"/>
    <n v="23680.511174349227"/>
    <s v="QA Executive"/>
    <s v="Analyst"/>
    <x v="7"/>
    <s v="2 to 3 hours per day"/>
    <s v="Data Not Avaliable"/>
  </r>
  <r>
    <s v="ID0221"/>
    <n v="500000"/>
    <s v="INR"/>
    <n v="8903.9583437212841"/>
    <n v="23680.511174349227"/>
    <n v="23680.511174349227"/>
    <s v="Project Manager"/>
    <s v="Manager"/>
    <x v="7"/>
    <s v="4 to 6 hours a day"/>
    <s v="Data Not Avaliable"/>
  </r>
  <r>
    <s v="ID0377"/>
    <n v="500000"/>
    <s v="INR"/>
    <n v="8903.9583437212841"/>
    <n v="23680.511174349227"/>
    <n v="23680.511174349227"/>
    <s v="Owner"/>
    <s v="Manager"/>
    <x v="7"/>
    <s v="2 to 3 hours per day"/>
    <s v="Data Not Avaliable"/>
  </r>
  <r>
    <s v="ID0452"/>
    <n v="500000"/>
    <s v="INR"/>
    <n v="8903.9583437212841"/>
    <n v="23680.511174349227"/>
    <n v="23680.511174349227"/>
    <s v="Business Analyst"/>
    <s v="Analyst"/>
    <x v="7"/>
    <s v="4 to 6 hours a day"/>
    <s v="Data Not Avaliable"/>
  </r>
  <r>
    <s v="ID0510"/>
    <n v="500000"/>
    <s v="INR"/>
    <n v="8903.9583437212841"/>
    <n v="23680.511174349227"/>
    <n v="23680.511174349227"/>
    <s v="duty manager"/>
    <s v="Manager"/>
    <x v="7"/>
    <s v="2 to 3 hours per day"/>
    <s v="Data Not Avaliable"/>
  </r>
  <r>
    <s v="ID0548"/>
    <n v="500000"/>
    <s v="INR"/>
    <n v="8903.9583437212841"/>
    <n v="23680.511174349227"/>
    <n v="23680.511174349227"/>
    <s v="Research Associate"/>
    <s v="Analyst"/>
    <x v="7"/>
    <s v="All the 8 hours baby, all the 8!"/>
    <s v="Data Not Avaliable"/>
  </r>
  <r>
    <s v="ID0716"/>
    <n v="500000"/>
    <s v="INR"/>
    <n v="8903.9583437212841"/>
    <n v="23680.511174349227"/>
    <n v="23680.511174349227"/>
    <s v="mis "/>
    <s v="Reporting"/>
    <x v="7"/>
    <s v="2 to 3 hours per day"/>
    <n v="1"/>
  </r>
  <r>
    <s v="ID0717"/>
    <n v="500000"/>
    <s v="INR"/>
    <n v="8903.9583437212841"/>
    <n v="23680.511174349227"/>
    <n v="23680.511174349227"/>
    <s v="Engineer"/>
    <s v="Engineer"/>
    <x v="7"/>
    <s v="All the 8 hours baby, all the 8!"/>
    <n v="2"/>
  </r>
  <r>
    <s v="ID0891"/>
    <n v="500000"/>
    <s v="INR"/>
    <n v="8903.9583437212841"/>
    <n v="23680.511174349227"/>
    <n v="23680.511174349227"/>
    <s v="team coach"/>
    <s v="Manager"/>
    <x v="7"/>
    <s v="1 or 2 hours a day"/>
    <n v="5"/>
  </r>
  <r>
    <s v="ID0898"/>
    <n v="500000"/>
    <s v="INR"/>
    <n v="8903.9583437212841"/>
    <n v="23680.511174349227"/>
    <n v="23680.511174349227"/>
    <s v="Planning Engineer"/>
    <s v="Engineer"/>
    <x v="7"/>
    <s v="2 to 3 hours per day"/>
    <n v="3"/>
  </r>
  <r>
    <s v="ID1000"/>
    <n v="500000"/>
    <s v="INR"/>
    <n v="8903.9583437212841"/>
    <n v="23680.511174349227"/>
    <n v="23680.511174349227"/>
    <s v="Business Analyst"/>
    <s v="Analyst"/>
    <x v="7"/>
    <s v="4 to 6 hours a day"/>
    <n v="7"/>
  </r>
  <r>
    <s v="ID1095"/>
    <n v="500000"/>
    <s v="INR"/>
    <n v="8903.9583437212841"/>
    <n v="23680.511174349227"/>
    <n v="23680.511174349227"/>
    <s v="Executive"/>
    <s v="Analyst"/>
    <x v="7"/>
    <s v="2 to 3 hours per day"/>
    <n v="23"/>
  </r>
  <r>
    <s v="ID1161"/>
    <n v="500000"/>
    <s v="INR"/>
    <n v="8903.9583437212841"/>
    <n v="23680.511174349227"/>
    <n v="23680.511174349227"/>
    <s v="Deputy Manager"/>
    <s v="Manager"/>
    <x v="7"/>
    <s v="1 or 2 hours a day"/>
    <n v="25"/>
  </r>
  <r>
    <s v="ID1172"/>
    <n v="500000"/>
    <s v="INR"/>
    <n v="8903.9583437212841"/>
    <n v="23680.511174349227"/>
    <n v="23680.511174349227"/>
    <s v="Business Analyst"/>
    <s v="Analyst"/>
    <x v="7"/>
    <s v="4 to 6 hours a day"/>
    <n v="0.8"/>
  </r>
  <r>
    <s v="ID1214"/>
    <n v="500000"/>
    <s v="INR"/>
    <n v="8903.9583437212841"/>
    <n v="23680.511174349227"/>
    <n v="23680.511174349227"/>
    <s v="Consultant"/>
    <s v="Consultant"/>
    <x v="7"/>
    <s v="2 to 3 hours per day"/>
    <n v="3"/>
  </r>
  <r>
    <s v="ID1278"/>
    <n v="500000"/>
    <s v="INR"/>
    <n v="8903.9583437212841"/>
    <n v="23680.511174349227"/>
    <n v="23680.511174349227"/>
    <s v="Asstt. Manager"/>
    <s v="Manager"/>
    <x v="7"/>
    <s v="2 to 3 hours per day"/>
    <n v="29"/>
  </r>
  <r>
    <s v="ID1309"/>
    <n v="500000"/>
    <s v="INR"/>
    <n v="8903.9583437212841"/>
    <n v="23680.511174349227"/>
    <n v="23680.511174349227"/>
    <s v="Senior software engineer"/>
    <s v="Engineer"/>
    <x v="7"/>
    <s v="4 to 6 hours a day"/>
    <n v="2"/>
  </r>
  <r>
    <s v="ID1339"/>
    <n v="500000"/>
    <s v="INR"/>
    <n v="8903.9583437212841"/>
    <n v="23680.511174349227"/>
    <n v="23680.511174349227"/>
    <s v="support manager"/>
    <s v="Manager"/>
    <x v="7"/>
    <s v="2 to 3 hours per day"/>
    <n v="5"/>
  </r>
  <r>
    <s v="ID1454"/>
    <n v="500000"/>
    <s v="INR"/>
    <n v="8903.9583437212841"/>
    <n v="23680.511174349227"/>
    <n v="23680.511174349227"/>
    <s v="Project Management"/>
    <s v="Manager"/>
    <x v="7"/>
    <s v="2 to 3 hours per day"/>
    <n v="0"/>
  </r>
  <r>
    <s v="ID1532"/>
    <n v="500000"/>
    <s v="INR"/>
    <n v="8903.9583437212841"/>
    <n v="23680.511174349227"/>
    <n v="23680.511174349227"/>
    <s v="Developer"/>
    <s v="Analyst"/>
    <x v="7"/>
    <s v="4 to 6 hours a day"/>
    <n v="8"/>
  </r>
  <r>
    <s v="ID1572"/>
    <n v="500000"/>
    <s v="INR"/>
    <n v="8903.9583437212841"/>
    <n v="23680.511174349227"/>
    <n v="23680.511174349227"/>
    <s v="Sr. Associate"/>
    <s v="Analyst"/>
    <x v="7"/>
    <s v="4 to 6 hours a day"/>
    <n v="9"/>
  </r>
  <r>
    <s v="ID1661"/>
    <n v="500000"/>
    <s v="INR"/>
    <n v="8903.9583437212841"/>
    <n v="23680.511174349227"/>
    <n v="23680.511174349227"/>
    <s v="Team Leader"/>
    <s v="Manager"/>
    <x v="7"/>
    <s v="All the 8 hours baby, all the 8!"/>
    <n v="20"/>
  </r>
  <r>
    <s v="ID1716"/>
    <n v="500000"/>
    <s v="INR"/>
    <n v="8903.9583437212841"/>
    <n v="23680.511174349227"/>
    <n v="23680.511174349227"/>
    <s v="Sr. Associate"/>
    <s v="Analyst"/>
    <x v="7"/>
    <s v="4 to 6 hours a day"/>
    <n v="4"/>
  </r>
  <r>
    <s v="ID1727"/>
    <n v="500000"/>
    <s v="INR"/>
    <n v="8903.9583437212841"/>
    <n v="23680.511174349227"/>
    <n v="23680.511174349227"/>
    <s v="Business Analyst"/>
    <s v="Analyst"/>
    <x v="7"/>
    <s v="4 to 6 hours a day"/>
    <n v="2"/>
  </r>
  <r>
    <s v="ID1777"/>
    <n v="500000"/>
    <s v="INR"/>
    <n v="8903.9583437212841"/>
    <n v="23680.511174349227"/>
    <n v="23680.511174349227"/>
    <s v="equity research trainee"/>
    <s v="Analyst"/>
    <x v="7"/>
    <s v="All the 8 hours baby, all the 8!"/>
    <n v="0"/>
  </r>
  <r>
    <s v="ID1127"/>
    <n v="120000"/>
    <s v="AED"/>
    <n v="32666.305522511171"/>
    <n v="23476.843544838488"/>
    <n v="23476.843544838488"/>
    <s v="Finance Manager"/>
    <s v="Manager"/>
    <x v="31"/>
    <s v="2 to 3 hours per day"/>
    <n v="12"/>
  </r>
  <r>
    <s v="ID1598"/>
    <n v="21000"/>
    <s v="EUR"/>
    <n v="26678.388218823762"/>
    <n v="23113.710605581095"/>
    <n v="23113.710605581095"/>
    <s v="Coordenador PeÃ§as Grupo"/>
    <s v="Manager"/>
    <x v="49"/>
    <s v="4 to 6 hours a day"/>
    <n v="10"/>
  </r>
  <r>
    <s v="ID1689"/>
    <n v="21000"/>
    <s v="EUR"/>
    <n v="26678.388218823762"/>
    <n v="23113.710605581095"/>
    <n v="23113.710605581095"/>
    <s v="Sales Planning"/>
    <s v="Analyst"/>
    <x v="49"/>
    <s v="4 to 6 hours a day"/>
    <n v="5"/>
  </r>
  <r>
    <s v="ID0915"/>
    <n v="486000"/>
    <s v="INR"/>
    <n v="8654.6475100970874"/>
    <n v="23017.456861467446"/>
    <n v="23017.456861467446"/>
    <s v="Assistant manager"/>
    <s v="Manager"/>
    <x v="7"/>
    <s v="All the 8 hours baby, all the 8!"/>
    <n v="6"/>
  </r>
  <r>
    <s v="ID0502"/>
    <n v="23000"/>
    <s v="USD"/>
    <n v="23000"/>
    <n v="23000"/>
    <n v="23000"/>
    <s v="IT solutions coordinator"/>
    <s v="Manager"/>
    <x v="59"/>
    <s v="4 to 6 hours a day"/>
    <s v="Data Not Avaliable"/>
  </r>
  <r>
    <s v="ID1209"/>
    <n v="23000"/>
    <s v="USD"/>
    <n v="23000"/>
    <n v="23000"/>
    <n v="23000"/>
    <s v="Chief Accountant"/>
    <s v="Accountant"/>
    <x v="25"/>
    <s v="All the 8 hours baby, all the 8!"/>
    <n v="14"/>
  </r>
  <r>
    <s v="ID1072"/>
    <n v="15600"/>
    <s v="GBP"/>
    <n v="24588.381044249632"/>
    <n v="22993.95079769467"/>
    <n v="22993.95079769467"/>
    <s v="business data analyst"/>
    <s v="Analyst"/>
    <x v="9"/>
    <s v="All the 8 hours baby, all the 8!"/>
    <n v="0"/>
  </r>
  <r>
    <s v="ID0168"/>
    <n v="22880"/>
    <s v="USD"/>
    <n v="22880"/>
    <n v="22880"/>
    <n v="22880"/>
    <s v="Accounting "/>
    <s v="Accountant"/>
    <x v="8"/>
    <s v="4 to 6 hours a day"/>
    <s v="Data Not Avaliable"/>
  </r>
  <r>
    <s v="ID0225"/>
    <n v="480000"/>
    <s v="INR"/>
    <n v="8547.8000099724322"/>
    <n v="22733.290727375257"/>
    <n v="22733.290727375257"/>
    <s v="Cash Officer"/>
    <s v="Manager"/>
    <x v="7"/>
    <s v="4 to 6 hours a day"/>
    <s v="Data Not Avaliable"/>
  </r>
  <r>
    <s v="ID0372"/>
    <n v="480000"/>
    <s v="INR"/>
    <n v="8547.8000099724322"/>
    <n v="22733.290727375257"/>
    <n v="22733.290727375257"/>
    <s v="System Manager"/>
    <s v="Manager"/>
    <x v="7"/>
    <s v="1 or 2 hours a day"/>
    <s v="Data Not Avaliable"/>
  </r>
  <r>
    <s v="ID0651"/>
    <n v="480000"/>
    <s v="INR"/>
    <n v="8547.8000099724322"/>
    <n v="22733.290727375257"/>
    <n v="22733.290727375257"/>
    <s v="BI Consultant"/>
    <s v="Reporting"/>
    <x v="7"/>
    <s v="1 or 2 hours a day"/>
    <n v="3"/>
  </r>
  <r>
    <s v="ID0666"/>
    <n v="480000"/>
    <s v="INR"/>
    <n v="8547.8000099724322"/>
    <n v="22733.290727375257"/>
    <n v="22733.290727375257"/>
    <s v="PMO"/>
    <s v="Manager"/>
    <x v="7"/>
    <s v="2 to 3 hours per day"/>
    <n v="8"/>
  </r>
  <r>
    <s v="ID0709"/>
    <n v="480000"/>
    <s v="INR"/>
    <n v="8547.8000099724322"/>
    <n v="22733.290727375257"/>
    <n v="22733.290727375257"/>
    <s v="Business Analyst"/>
    <s v="Analyst"/>
    <x v="7"/>
    <s v="4 to 6 hours a day"/>
    <n v="4"/>
  </r>
  <r>
    <s v="ID0730"/>
    <n v="480000"/>
    <s v="INR"/>
    <n v="8547.8000099724322"/>
    <n v="22733.290727375257"/>
    <n v="22733.290727375257"/>
    <s v="Asst Mngr"/>
    <s v="Analyst"/>
    <x v="7"/>
    <s v="2 to 3 hours per day"/>
    <n v="3.5"/>
  </r>
  <r>
    <s v="ID0779"/>
    <n v="480000"/>
    <s v="INR"/>
    <n v="8547.8000099724322"/>
    <n v="22733.290727375257"/>
    <n v="22733.290727375257"/>
    <s v="Banker"/>
    <s v="Manager"/>
    <x v="7"/>
    <s v="4 to 6 hours a day"/>
    <n v="11"/>
  </r>
  <r>
    <s v="ID0946"/>
    <n v="480000"/>
    <s v="INR"/>
    <n v="8547.8000099724322"/>
    <n v="22733.290727375257"/>
    <n v="22733.290727375257"/>
    <s v="Manager"/>
    <s v="Manager"/>
    <x v="7"/>
    <s v="2 to 3 hours per day"/>
    <n v="2"/>
  </r>
  <r>
    <s v="ID1202"/>
    <n v="480000"/>
    <s v="INR"/>
    <n v="8547.8000099724322"/>
    <n v="22733.290727375257"/>
    <n v="22733.290727375257"/>
    <s v="Documentation Consultant"/>
    <s v="Consultant"/>
    <x v="7"/>
    <s v="All the 8 hours baby, all the 8!"/>
    <n v="15"/>
  </r>
  <r>
    <s v="ID1450"/>
    <n v="480000"/>
    <s v="INR"/>
    <n v="8547.8000099724322"/>
    <n v="22733.290727375257"/>
    <n v="22733.290727375257"/>
    <s v="Performance Analyst"/>
    <s v="Analyst"/>
    <x v="7"/>
    <s v="4 to 6 hours a day"/>
    <n v="7"/>
  </r>
  <r>
    <s v="ID1790"/>
    <n v="480000"/>
    <s v="INR"/>
    <n v="8547.8000099724322"/>
    <n v="22733.290727375257"/>
    <n v="22733.290727375257"/>
    <s v="Development Analyst"/>
    <s v="Analyst"/>
    <x v="7"/>
    <s v="4 to 6 hours a day"/>
    <n v="1"/>
  </r>
  <r>
    <s v="ID0921"/>
    <n v="20500"/>
    <s v="EUR"/>
    <n v="26043.18849932796"/>
    <n v="22563.384162591068"/>
    <n v="22563.384162591068"/>
    <s v="C&amp;B Manager"/>
    <s v="Manager"/>
    <x v="34"/>
    <s v="4 to 6 hours a day"/>
    <n v="8"/>
  </r>
  <r>
    <s v="ID1044"/>
    <n v="476000"/>
    <s v="INR"/>
    <n v="8476.5683432226633"/>
    <n v="22543.846637980467"/>
    <n v="22543.846637980467"/>
    <s v="Report Specialist"/>
    <s v="Reporting"/>
    <x v="7"/>
    <s v="4 to 6 hours a day"/>
    <n v="8"/>
  </r>
  <r>
    <s v="ID1580"/>
    <n v="120000"/>
    <s v="MAD"/>
    <n v="13745.704467353951"/>
    <n v="22523.807935910536"/>
    <n v="22523.807935910536"/>
    <s v="Supply chain Controller"/>
    <s v="Controller"/>
    <x v="72"/>
    <s v="All the 8 hours baby, all the 8!"/>
    <n v="8"/>
  </r>
  <r>
    <s v="ID0258"/>
    <n v="470000"/>
    <s v="INR"/>
    <n v="8369.7208430980063"/>
    <n v="22259.68050388827"/>
    <n v="22259.68050388827"/>
    <s v="Web Statistics Analyst"/>
    <s v="Analyst"/>
    <x v="7"/>
    <s v="All the 8 hours baby, all the 8!"/>
    <s v="Data Not Avaliable"/>
  </r>
  <r>
    <s v="ID0679"/>
    <n v="470000"/>
    <s v="INR"/>
    <n v="8369.7208430980063"/>
    <n v="22259.68050388827"/>
    <n v="22259.68050388827"/>
    <s v="Consultant"/>
    <s v="Consultant"/>
    <x v="7"/>
    <s v="All the 8 hours baby, all the 8!"/>
    <n v="4"/>
  </r>
  <r>
    <s v="ID0865"/>
    <n v="134000"/>
    <s v="ZAR"/>
    <n v="16337.518501630093"/>
    <n v="22225.165033508434"/>
    <n v="22225.165033508434"/>
    <s v="Data Analyst"/>
    <s v="Analyst"/>
    <x v="13"/>
    <s v="4 to 6 hours a day"/>
    <n v="2"/>
  </r>
  <r>
    <s v="ID1133"/>
    <n v="15000"/>
    <s v="GBP"/>
    <n v="23642.674081009263"/>
    <n v="22109.568074706414"/>
    <n v="22109.568074706414"/>
    <s v="MI Specialist"/>
    <s v="Reporting"/>
    <x v="9"/>
    <s v="All the 8 hours baby, all the 8!"/>
    <n v="2"/>
  </r>
  <r>
    <s v="ID1208"/>
    <n v="20000"/>
    <s v="EUR"/>
    <n v="25407.988779832154"/>
    <n v="22013.057719601042"/>
    <n v="22013.057719601042"/>
    <s v="warehouse management"/>
    <s v="Manager"/>
    <x v="60"/>
    <s v="1 or 2 hours a day"/>
    <n v="12"/>
  </r>
  <r>
    <s v="ID0288"/>
    <n v="22000"/>
    <s v="USD"/>
    <n v="22000"/>
    <n v="22000"/>
    <n v="22000"/>
    <s v="MIS"/>
    <s v="Reporting"/>
    <x v="7"/>
    <s v="All the 8 hours baby, all the 8!"/>
    <s v="Data Not Avaliable"/>
  </r>
  <r>
    <s v="ID0330"/>
    <n v="22000"/>
    <s v="USD"/>
    <n v="22000"/>
    <n v="22000"/>
    <n v="22000"/>
    <s v="Product Manager Sr"/>
    <s v="Manager"/>
    <x v="27"/>
    <s v="4 to 6 hours a day"/>
    <s v="Data Not Avaliable"/>
  </r>
  <r>
    <s v="ID1526"/>
    <n v="22000"/>
    <s v="USD"/>
    <n v="22000"/>
    <n v="22000"/>
    <n v="22000"/>
    <s v="Data Manager"/>
    <s v="Manager"/>
    <x v="8"/>
    <s v="4 to 6 hours a day"/>
    <n v="3"/>
  </r>
  <r>
    <s v="ID1722"/>
    <n v="22000"/>
    <s v="USD"/>
    <n v="22000"/>
    <n v="22000"/>
    <n v="22000"/>
    <s v="Manager (MIS)"/>
    <s v="Manager"/>
    <x v="7"/>
    <s v="All the 8 hours baby, all the 8!"/>
    <n v="6"/>
  </r>
  <r>
    <s v="ID0657"/>
    <n v="21500"/>
    <s v="USD"/>
    <n v="21500"/>
    <n v="21500"/>
    <n v="21500"/>
    <s v="Asst Mgr"/>
    <s v="Analyst"/>
    <x v="7"/>
    <s v="4 to 6 hours a day"/>
    <n v="9"/>
  </r>
  <r>
    <s v="ID0294"/>
    <n v="450000"/>
    <s v="INR"/>
    <n v="8013.5625093491553"/>
    <n v="21312.460056914304"/>
    <n v="21312.460056914304"/>
    <s v="Business Analyst"/>
    <s v="Analyst"/>
    <x v="7"/>
    <s v="4 to 6 hours a day"/>
    <s v="Data Not Avaliable"/>
  </r>
  <r>
    <s v="ID0544"/>
    <n v="450000"/>
    <s v="INR"/>
    <n v="8013.5625093491553"/>
    <n v="21312.460056914304"/>
    <n v="21312.460056914304"/>
    <s v="deputy manager"/>
    <s v="Manager"/>
    <x v="7"/>
    <s v="All the 8 hours baby, all the 8!"/>
    <s v="Data Not Avaliable"/>
  </r>
  <r>
    <s v="ID0710"/>
    <n v="450000"/>
    <s v="INR"/>
    <n v="8013.5625093491553"/>
    <n v="21312.460056914304"/>
    <n v="21312.460056914304"/>
    <s v="Data Analyst"/>
    <s v="Analyst"/>
    <x v="7"/>
    <s v="All the 8 hours baby, all the 8!"/>
    <n v="8"/>
  </r>
  <r>
    <s v="ID0792"/>
    <n v="450000"/>
    <s v="INR"/>
    <n v="8013.5625093491553"/>
    <n v="21312.460056914304"/>
    <n v="21312.460056914304"/>
    <s v="Material Planner"/>
    <s v="Manager"/>
    <x v="7"/>
    <s v="All the 8 hours baby, all the 8!"/>
    <n v="1.5"/>
  </r>
  <r>
    <s v="ID0807"/>
    <n v="450000"/>
    <s v="INR"/>
    <n v="8013.5625093491553"/>
    <n v="21312.460056914304"/>
    <n v="21312.460056914304"/>
    <s v="Sr. Executive"/>
    <s v="Manager"/>
    <x v="7"/>
    <s v="4 to 6 hours a day"/>
    <n v="6"/>
  </r>
  <r>
    <s v="ID1023"/>
    <n v="450000"/>
    <s v="INR"/>
    <n v="8013.5625093491553"/>
    <n v="21312.460056914304"/>
    <n v="21312.460056914304"/>
    <s v="Asst. Manager"/>
    <s v="Manager"/>
    <x v="7"/>
    <s v="All the 8 hours baby, all the 8!"/>
    <n v="15"/>
  </r>
  <r>
    <s v="ID1179"/>
    <n v="450000"/>
    <s v="INR"/>
    <n v="8013.5625093491553"/>
    <n v="21312.460056914304"/>
    <n v="21312.460056914304"/>
    <s v="Production Manager"/>
    <s v="Manager"/>
    <x v="7"/>
    <s v="4 to 6 hours a day"/>
    <n v="21"/>
  </r>
  <r>
    <s v="ID1223"/>
    <n v="450000"/>
    <s v="INR"/>
    <n v="8013.5625093491553"/>
    <n v="21312.460056914304"/>
    <n v="21312.460056914304"/>
    <s v="ASSISTANT MANAGER"/>
    <s v="Manager"/>
    <x v="7"/>
    <s v="All the 8 hours baby, all the 8!"/>
    <n v="2"/>
  </r>
  <r>
    <s v="ID1363"/>
    <n v="450000"/>
    <s v="INR"/>
    <n v="8013.5625093491553"/>
    <n v="21312.460056914304"/>
    <n v="21312.460056914304"/>
    <s v="Mechanical Design engineer"/>
    <s v="Engineer"/>
    <x v="7"/>
    <s v="1 or 2 hours a day"/>
    <n v="7"/>
  </r>
  <r>
    <s v="ID1686"/>
    <n v="450000"/>
    <s v="INR"/>
    <n v="8013.5625093491553"/>
    <n v="21312.460056914304"/>
    <n v="21312.460056914304"/>
    <s v="Sr Executive - MIS"/>
    <s v="Reporting"/>
    <x v="7"/>
    <s v="All the 8 hours baby, all the 8!"/>
    <n v="4"/>
  </r>
  <r>
    <s v="ID1820"/>
    <n v="450000"/>
    <s v="INR"/>
    <n v="8013.5625093491553"/>
    <n v="21312.460056914304"/>
    <n v="21312.460056914304"/>
    <s v="MIS Executive"/>
    <s v="Reporting"/>
    <x v="7"/>
    <s v="4 to 6 hours a day"/>
    <n v="4"/>
  </r>
  <r>
    <s v="ID1829"/>
    <n v="19200"/>
    <s v="EUR"/>
    <n v="24391.669228638868"/>
    <n v="21132.535410817"/>
    <n v="21132.535410817"/>
    <s v="bank clerk"/>
    <s v="Analyst"/>
    <x v="44"/>
    <s v="4 to 6 hours a day"/>
    <n v="10"/>
  </r>
  <r>
    <s v="ID0103"/>
    <n v="21000"/>
    <s v="USD"/>
    <n v="21000"/>
    <n v="21000"/>
    <n v="21000"/>
    <s v="IT support"/>
    <s v="Analyst"/>
    <x v="73"/>
    <s v="1 or 2 hours a day"/>
    <s v="Data Not Avaliable"/>
  </r>
  <r>
    <s v="ID0619"/>
    <n v="21000"/>
    <s v="USD"/>
    <n v="21000"/>
    <n v="21000"/>
    <n v="21000"/>
    <s v="Manager"/>
    <s v="Manager"/>
    <x v="7"/>
    <s v="All the 8 hours baby, all the 8!"/>
    <n v="23"/>
  </r>
  <r>
    <s v="ID1929"/>
    <n v="21000"/>
    <s v="USD"/>
    <n v="21000"/>
    <n v="21000"/>
    <n v="21000"/>
    <s v="eorl"/>
    <s v="Misc."/>
    <x v="7"/>
    <s v="All the 8 hours baby, all the 8!"/>
    <n v="5"/>
  </r>
  <r>
    <s v="ID1075"/>
    <n v="438000"/>
    <s v="INR"/>
    <n v="7799.8675090998449"/>
    <n v="20744.127788729922"/>
    <n v="20744.127788729922"/>
    <s v="Assistant Professor"/>
    <s v="Analyst"/>
    <x v="7"/>
    <s v="1 or 2 hours a day"/>
    <n v="10"/>
  </r>
  <r>
    <s v="ID1846"/>
    <n v="20640"/>
    <s v="USD"/>
    <n v="20640"/>
    <n v="20640"/>
    <n v="20640"/>
    <s v="Programme Officer"/>
    <s v="Manager"/>
    <x v="3"/>
    <s v="4 to 6 hours a day"/>
    <n v="3"/>
  </r>
  <r>
    <s v="ID0938"/>
    <n v="20571"/>
    <s v="USD"/>
    <n v="20571"/>
    <n v="20571"/>
    <n v="20571"/>
    <s v="CFO"/>
    <s v="CXO or Top Mgmt."/>
    <x v="74"/>
    <s v="4 to 6 hours a day"/>
    <n v="8"/>
  </r>
  <r>
    <s v="ID0652"/>
    <n v="432000"/>
    <s v="INR"/>
    <n v="7693.0200089751897"/>
    <n v="20459.961654637733"/>
    <n v="20459.961654637733"/>
    <s v="Assistant Manager - IT"/>
    <s v="Manager"/>
    <x v="7"/>
    <s v="2 to 3 hours per day"/>
    <n v="5"/>
  </r>
  <r>
    <s v="ID1471"/>
    <n v="20400"/>
    <s v="USD"/>
    <n v="20400"/>
    <n v="20400"/>
    <n v="20400"/>
    <s v="M &amp; E Officer"/>
    <s v="Manager"/>
    <x v="75"/>
    <s v="1 or 2 hours a day"/>
    <n v="10"/>
  </r>
  <r>
    <s v="ID0920"/>
    <n v="104000"/>
    <s v="AED"/>
    <n v="28310.79811950968"/>
    <n v="20346.597738860022"/>
    <n v="20346.597738860022"/>
    <s v="Financial Analyst"/>
    <s v="Analyst"/>
    <x v="31"/>
    <s v="4 to 6 hours a day"/>
    <n v="11"/>
  </r>
  <r>
    <s v="ID1837"/>
    <n v="425000"/>
    <s v="INR"/>
    <n v="7568.3645921630914"/>
    <n v="20128.434498196842"/>
    <n v="20128.434498196842"/>
    <s v="accountant"/>
    <s v="Accountant"/>
    <x v="7"/>
    <s v="2 to 3 hours per day"/>
    <n v="6"/>
  </r>
  <r>
    <s v="ID0250"/>
    <n v="20000"/>
    <s v="USD"/>
    <n v="20000"/>
    <n v="20000"/>
    <n v="20000"/>
    <s v="category manager"/>
    <s v="Manager"/>
    <x v="7"/>
    <s v="4 to 6 hours a day"/>
    <s v="Data Not Avaliable"/>
  </r>
  <r>
    <s v="ID0279"/>
    <n v="20000"/>
    <s v="USD"/>
    <n v="20000"/>
    <n v="20000"/>
    <n v="20000"/>
    <s v="Analyst"/>
    <s v="Analyst"/>
    <x v="7"/>
    <s v="All the 8 hours baby, all the 8!"/>
    <s v="Data Not Avaliable"/>
  </r>
  <r>
    <s v="ID0474"/>
    <n v="20000"/>
    <s v="USD"/>
    <n v="20000"/>
    <n v="20000"/>
    <n v="20000"/>
    <s v="Specialist"/>
    <s v="Specialist"/>
    <x v="7"/>
    <s v="4 to 6 hours a day"/>
    <s v="Data Not Avaliable"/>
  </r>
  <r>
    <s v="ID0491"/>
    <n v="20000"/>
    <s v="USD"/>
    <n v="20000"/>
    <n v="20000"/>
    <n v="20000"/>
    <s v="Consultant"/>
    <s v="Consultant"/>
    <x v="7"/>
    <s v="2 to 3 hours per day"/>
    <s v="Data Not Avaliable"/>
  </r>
  <r>
    <s v="ID0753"/>
    <n v="20000"/>
    <s v="USD"/>
    <n v="20000"/>
    <n v="20000"/>
    <n v="20000"/>
    <s v="engineer"/>
    <s v="Engineer"/>
    <x v="7"/>
    <s v="1 or 2 hours a day"/>
    <n v="7"/>
  </r>
  <r>
    <s v="ID0763"/>
    <n v="20000"/>
    <s v="USD"/>
    <n v="20000"/>
    <n v="20000"/>
    <n v="20000"/>
    <s v="Consultat"/>
    <s v="Consultant"/>
    <x v="24"/>
    <s v="2 to 3 hours per day"/>
    <n v="15"/>
  </r>
  <r>
    <s v="ID0950"/>
    <n v="20000"/>
    <s v="USD"/>
    <n v="20000"/>
    <n v="20000"/>
    <n v="20000"/>
    <s v="Financial Modeller"/>
    <s v="Accountant"/>
    <x v="76"/>
    <s v="All the 8 hours baby, all the 8!"/>
    <n v="2"/>
  </r>
  <r>
    <s v="ID0975"/>
    <n v="20000"/>
    <s v="USD"/>
    <n v="20000"/>
    <n v="20000"/>
    <n v="20000"/>
    <s v="data analyst"/>
    <s v="Analyst"/>
    <x v="19"/>
    <s v="2 to 3 hours per day"/>
    <n v="2"/>
  </r>
  <r>
    <s v="ID1019"/>
    <n v="20000"/>
    <s v="USD"/>
    <n v="20000"/>
    <n v="20000"/>
    <n v="20000"/>
    <s v="Head of Financial Reporting"/>
    <s v="Reporting"/>
    <x v="77"/>
    <s v="All the 8 hours baby, all the 8!"/>
    <n v="6"/>
  </r>
  <r>
    <s v="ID1399"/>
    <n v="20000"/>
    <s v="USD"/>
    <n v="20000"/>
    <n v="20000"/>
    <n v="20000"/>
    <s v="Business Operation Specialist"/>
    <s v="Specialist"/>
    <x v="7"/>
    <s v="4 to 6 hours a day"/>
    <n v="6"/>
  </r>
  <r>
    <s v="ID1455"/>
    <n v="20000"/>
    <s v="USD"/>
    <n v="20000"/>
    <n v="20000"/>
    <n v="20000"/>
    <s v="manager"/>
    <s v="Manager"/>
    <x v="7"/>
    <s v="Excel ?!? What Excel?"/>
    <n v="10"/>
  </r>
  <r>
    <s v="ID1606"/>
    <n v="20000"/>
    <s v="USD"/>
    <n v="20000"/>
    <n v="20000"/>
    <n v="20000"/>
    <s v="Manager"/>
    <s v="Manager"/>
    <x v="7"/>
    <s v="4 to 6 hours a day"/>
    <n v="1"/>
  </r>
  <r>
    <s v="ID1823"/>
    <n v="20000"/>
    <s v="USD"/>
    <n v="20000"/>
    <n v="20000"/>
    <n v="20000"/>
    <s v="administrator"/>
    <s v="Analyst"/>
    <x v="6"/>
    <s v="2 to 3 hours per day"/>
    <n v="2"/>
  </r>
  <r>
    <s v="ID1831"/>
    <n v="20000"/>
    <s v="USD"/>
    <n v="20000"/>
    <n v="20000"/>
    <n v="20000"/>
    <s v="Personal Assistant"/>
    <s v="Analyst"/>
    <x v="78"/>
    <s v="1 or 2 hours a day"/>
    <n v="1"/>
  </r>
  <r>
    <s v="ID1918"/>
    <n v="20000"/>
    <s v="USD"/>
    <n v="20000"/>
    <n v="20000"/>
    <n v="20000"/>
    <s v="Monitoring and Evaluation Officer"/>
    <s v="Manager"/>
    <x v="7"/>
    <s v="2 to 3 hours per day"/>
    <n v="5"/>
  </r>
  <r>
    <s v="ID1734"/>
    <n v="421000"/>
    <s v="INR"/>
    <n v="7497.1329254133216"/>
    <n v="19938.990408802052"/>
    <n v="19938.990408802052"/>
    <s v="PMO Analyst"/>
    <s v="Analyst"/>
    <x v="7"/>
    <s v="4 to 6 hours a day"/>
    <n v="4"/>
  </r>
  <r>
    <s v="ID1060"/>
    <n v="120000"/>
    <s v="ZAR"/>
    <n v="14630.613583549337"/>
    <n v="19903.132865828447"/>
    <n v="19903.132865828447"/>
    <s v="VP"/>
    <s v="CXO or Top Mgmt."/>
    <x v="13"/>
    <s v="4 to 6 hours a day"/>
    <n v="10"/>
  </r>
  <r>
    <s v="ID0160"/>
    <n v="420000"/>
    <s v="INR"/>
    <n v="7479.3250087258784"/>
    <n v="19891.629386453351"/>
    <n v="19891.629386453351"/>
    <s v="managerial"/>
    <s v="Manager"/>
    <x v="7"/>
    <s v="1 or 2 hours a day"/>
    <s v="Data Not Avaliable"/>
  </r>
  <r>
    <s v="ID0613"/>
    <n v="420000"/>
    <s v="INR"/>
    <n v="7479.3250087258784"/>
    <n v="19891.629386453351"/>
    <n v="19891.629386453351"/>
    <s v="Assistant EDP"/>
    <s v="Analyst"/>
    <x v="7"/>
    <s v="4 to 6 hours a day"/>
    <n v="3"/>
  </r>
  <r>
    <s v="ID1035"/>
    <n v="420000"/>
    <s v="INR"/>
    <n v="7479.3250087258784"/>
    <n v="19891.629386453351"/>
    <n v="19891.629386453351"/>
    <s v="Analyst"/>
    <s v="Analyst"/>
    <x v="7"/>
    <s v="2 to 3 hours per day"/>
    <n v="10"/>
  </r>
  <r>
    <s v="ID1909"/>
    <n v="420000"/>
    <s v="INR"/>
    <n v="7479.3250087258784"/>
    <n v="19891.629386453351"/>
    <n v="19891.629386453351"/>
    <s v="Analyst"/>
    <s v="Analyst"/>
    <x v="7"/>
    <s v="4 to 6 hours a day"/>
    <n v="2"/>
  </r>
  <r>
    <s v="ID0379"/>
    <n v="18000"/>
    <s v="EUR"/>
    <n v="22867.189901848938"/>
    <n v="19811.751947640936"/>
    <n v="19811.751947640936"/>
    <s v="marketing and sales "/>
    <s v="Manager"/>
    <x v="49"/>
    <s v="2 to 3 hours per day"/>
    <s v="Data Not Avaliable"/>
  </r>
  <r>
    <s v="ID0328"/>
    <n v="456000"/>
    <s v="PHP"/>
    <n v="10809.503829551191"/>
    <n v="19800.762782574973"/>
    <n v="19800.762782574973"/>
    <s v="Reporting Shared Services Oferring Lead"/>
    <s v="Reporting"/>
    <x v="36"/>
    <s v="4 to 6 hours a day"/>
    <s v="Data Not Avaliable"/>
  </r>
  <r>
    <s v="ID0287"/>
    <n v="100000"/>
    <s v="AED"/>
    <n v="27221.92126875931"/>
    <n v="19564.036287365405"/>
    <n v="19564.036287365405"/>
    <s v="Accountant"/>
    <s v="Accountant"/>
    <x v="57"/>
    <s v="4 to 6 hours a day"/>
    <s v="Data Not Avaliable"/>
  </r>
  <r>
    <s v="ID0739"/>
    <n v="410000"/>
    <s v="INR"/>
    <n v="7301.2458418514525"/>
    <n v="19418.019162966364"/>
    <n v="19418.019162966364"/>
    <s v="MIS Analyst"/>
    <s v="Analyst"/>
    <x v="7"/>
    <s v="All the 8 hours baby, all the 8!"/>
    <n v="5"/>
  </r>
  <r>
    <s v="ID1061"/>
    <n v="408000"/>
    <s v="INR"/>
    <n v="7265.630008476568"/>
    <n v="19323.297118268969"/>
    <n v="19323.297118268969"/>
    <s v="Sr Exec - Finance"/>
    <s v="Accountant"/>
    <x v="7"/>
    <s v="All the 8 hours baby, all the 8!"/>
    <n v="5"/>
  </r>
  <r>
    <s v="ID0035"/>
    <n v="19200"/>
    <s v="USD"/>
    <n v="19200"/>
    <n v="19200"/>
    <n v="19200"/>
    <s v="Analyst"/>
    <s v="Analyst"/>
    <x v="34"/>
    <s v="2 to 3 hours per day"/>
    <s v="Data Not Avaliable"/>
  </r>
  <r>
    <s v="ID0105"/>
    <n v="19200"/>
    <s v="USD"/>
    <n v="19200"/>
    <n v="19200"/>
    <n v="19200"/>
    <s v="Sr Administrative Assistant"/>
    <s v="Analyst"/>
    <x v="27"/>
    <s v="4 to 6 hours a day"/>
    <s v="Data Not Avaliable"/>
  </r>
  <r>
    <s v="ID0411"/>
    <n v="19200"/>
    <s v="USD"/>
    <n v="19200"/>
    <n v="19200"/>
    <n v="19200"/>
    <s v="Department Manager"/>
    <s v="Manager"/>
    <x v="65"/>
    <s v="All the 8 hours baby, all the 8!"/>
    <s v="Data Not Avaliable"/>
  </r>
  <r>
    <s v="ID0772"/>
    <n v="19068"/>
    <s v="USD"/>
    <n v="19068"/>
    <n v="19068"/>
    <n v="19068"/>
    <s v="Accounting Head"/>
    <s v="Accountant"/>
    <x v="36"/>
    <s v="All the 8 hours baby, all the 8!"/>
    <n v="20"/>
  </r>
  <r>
    <s v="ID0992"/>
    <n v="19000"/>
    <s v="USD"/>
    <n v="19000"/>
    <n v="19000"/>
    <n v="19000"/>
    <s v="Finance analyst"/>
    <s v="Analyst"/>
    <x v="79"/>
    <s v="4 to 6 hours a day"/>
    <n v="6"/>
  </r>
  <r>
    <s v="ID1128"/>
    <n v="19000"/>
    <s v="USD"/>
    <n v="19000"/>
    <n v="19000"/>
    <n v="19000"/>
    <s v="MI Specialist"/>
    <s v="Reporting"/>
    <x v="9"/>
    <s v="All the 8 hours baby, all the 8!"/>
    <n v="8"/>
  </r>
  <r>
    <s v="ID1200"/>
    <n v="19000"/>
    <s v="USD"/>
    <n v="19000"/>
    <n v="19000"/>
    <n v="19000"/>
    <s v="Accountant"/>
    <s v="Accountant"/>
    <x v="9"/>
    <s v="4 to 6 hours a day"/>
    <n v="20"/>
  </r>
  <r>
    <s v="ID1119"/>
    <n v="18987"/>
    <s v="USD"/>
    <n v="18987"/>
    <n v="18987"/>
    <n v="18987"/>
    <s v="Business Analyst"/>
    <s v="Analyst"/>
    <x v="2"/>
    <s v="All the 8 hours baby, all the 8!"/>
    <n v="7"/>
  </r>
  <r>
    <s v="ID0040"/>
    <n v="400000"/>
    <s v="INR"/>
    <n v="7123.1666749770275"/>
    <n v="18944.408939479381"/>
    <n v="18944.408939479381"/>
    <s v="Coordination"/>
    <s v="Manager"/>
    <x v="7"/>
    <s v="4 to 6 hours a day"/>
    <s v="Data Not Avaliable"/>
  </r>
  <r>
    <s v="ID0336"/>
    <n v="400000"/>
    <s v="INR"/>
    <n v="7123.1666749770275"/>
    <n v="18944.408939479381"/>
    <n v="18944.408939479381"/>
    <s v="Test Analyst"/>
    <s v="Analyst"/>
    <x v="7"/>
    <s v="4 to 6 hours a day"/>
    <s v="Data Not Avaliable"/>
  </r>
  <r>
    <s v="ID0407"/>
    <n v="400000"/>
    <s v="INR"/>
    <n v="7123.1666749770275"/>
    <n v="18944.408939479381"/>
    <n v="18944.408939479381"/>
    <s v="Analyst"/>
    <s v="Analyst"/>
    <x v="7"/>
    <s v="4 to 6 hours a day"/>
    <s v="Data Not Avaliable"/>
  </r>
  <r>
    <s v="ID0598"/>
    <n v="400000"/>
    <s v="INR"/>
    <n v="7123.1666749770275"/>
    <n v="18944.408939479381"/>
    <n v="18944.408939479381"/>
    <s v="BPO"/>
    <s v="Manager"/>
    <x v="7"/>
    <s v="1 or 2 hours a day"/>
    <n v="3"/>
  </r>
  <r>
    <s v="ID0645"/>
    <n v="400000"/>
    <s v="INR"/>
    <n v="7123.1666749770275"/>
    <n v="18944.408939479381"/>
    <n v="18944.408939479381"/>
    <s v="Sr Processor"/>
    <s v="Manager"/>
    <x v="7"/>
    <s v="1 or 2 hours a day"/>
    <n v="5"/>
  </r>
  <r>
    <s v="ID0711"/>
    <n v="400000"/>
    <s v="INR"/>
    <n v="7123.1666749770275"/>
    <n v="18944.408939479381"/>
    <n v="18944.408939479381"/>
    <s v="Consultant"/>
    <s v="Consultant"/>
    <x v="7"/>
    <s v="4 to 6 hours a day"/>
    <n v="0"/>
  </r>
  <r>
    <s v="ID0724"/>
    <n v="400000"/>
    <s v="INR"/>
    <n v="7123.1666749770275"/>
    <n v="18944.408939479381"/>
    <n v="18944.408939479381"/>
    <s v="sr. mis executive"/>
    <s v="Reporting"/>
    <x v="7"/>
    <s v="All the 8 hours baby, all the 8!"/>
    <n v="4"/>
  </r>
  <r>
    <s v="ID0788"/>
    <n v="400000"/>
    <s v="INR"/>
    <n v="7123.1666749770275"/>
    <n v="18944.408939479381"/>
    <n v="18944.408939479381"/>
    <s v="Asst.Manager"/>
    <s v="Manager"/>
    <x v="7"/>
    <s v="4 to 6 hours a day"/>
    <n v="7"/>
  </r>
  <r>
    <s v="ID0889"/>
    <n v="400000"/>
    <s v="INR"/>
    <n v="7123.1666749770275"/>
    <n v="18944.408939479381"/>
    <n v="18944.408939479381"/>
    <s v="engineer"/>
    <s v="Engineer"/>
    <x v="7"/>
    <s v="2 to 3 hours per day"/>
    <n v="6"/>
  </r>
  <r>
    <s v="ID0894"/>
    <n v="400000"/>
    <s v="INR"/>
    <n v="7123.1666749770275"/>
    <n v="18944.408939479381"/>
    <n v="18944.408939479381"/>
    <s v="Accountancy"/>
    <s v="Accountant"/>
    <x v="7"/>
    <s v="2 to 3 hours per day"/>
    <n v="8"/>
  </r>
  <r>
    <s v="ID1031"/>
    <n v="400000"/>
    <s v="INR"/>
    <n v="7123.1666749770275"/>
    <n v="18944.408939479381"/>
    <n v="18944.408939479381"/>
    <s v="Sr. Executive"/>
    <s v="Manager"/>
    <x v="7"/>
    <s v="2 to 3 hours per day"/>
    <n v="5"/>
  </r>
  <r>
    <s v="ID1131"/>
    <n v="400000"/>
    <s v="INR"/>
    <n v="7123.1666749770275"/>
    <n v="18944.408939479381"/>
    <n v="18944.408939479381"/>
    <s v="Sr. Team Lead - MIS"/>
    <s v="Reporting"/>
    <x v="7"/>
    <s v="4 to 6 hours a day"/>
    <n v="9"/>
  </r>
  <r>
    <s v="ID1139"/>
    <n v="400000"/>
    <s v="INR"/>
    <n v="7123.1666749770275"/>
    <n v="18944.408939479381"/>
    <n v="18944.408939479381"/>
    <s v="software engineer"/>
    <s v="Engineer"/>
    <x v="7"/>
    <s v="1 or 2 hours a day"/>
    <n v="2"/>
  </r>
  <r>
    <s v="ID1234"/>
    <n v="400000"/>
    <s v="INR"/>
    <n v="7123.1666749770275"/>
    <n v="18944.408939479381"/>
    <n v="18944.408939479381"/>
    <s v="Pmo"/>
    <s v="Manager"/>
    <x v="7"/>
    <s v="4 to 6 hours a day"/>
    <n v="1"/>
  </r>
  <r>
    <s v="ID1290"/>
    <n v="400000"/>
    <s v="INR"/>
    <n v="7123.1666749770275"/>
    <n v="18944.408939479381"/>
    <n v="18944.408939479381"/>
    <s v="PMO"/>
    <s v="Manager"/>
    <x v="7"/>
    <s v="All the 8 hours baby, all the 8!"/>
    <n v="3"/>
  </r>
  <r>
    <s v="ID1463"/>
    <n v="400000"/>
    <s v="INR"/>
    <n v="7123.1666749770275"/>
    <n v="18944.408939479381"/>
    <n v="18944.408939479381"/>
    <s v="Reporting Manager"/>
    <s v="Manager"/>
    <x v="7"/>
    <s v="4 to 6 hours a day"/>
    <n v="6"/>
  </r>
  <r>
    <s v="ID1627"/>
    <n v="400000"/>
    <s v="INR"/>
    <n v="7123.1666749770275"/>
    <n v="18944.408939479381"/>
    <n v="18944.408939479381"/>
    <s v="application dev"/>
    <s v="Analyst"/>
    <x v="7"/>
    <s v="1 or 2 hours a day"/>
    <n v="2.5"/>
  </r>
  <r>
    <s v="ID1702"/>
    <n v="400000"/>
    <s v="INR"/>
    <n v="7123.1666749770275"/>
    <n v="18944.408939479381"/>
    <n v="18944.408939479381"/>
    <s v="Analyst"/>
    <s v="Analyst"/>
    <x v="7"/>
    <s v="4 to 6 hours a day"/>
    <n v="4"/>
  </r>
  <r>
    <s v="ID1801"/>
    <n v="400000"/>
    <s v="INR"/>
    <n v="7123.1666749770275"/>
    <n v="18944.408939479381"/>
    <n v="18944.408939479381"/>
    <s v="business analyst"/>
    <s v="Analyst"/>
    <x v="7"/>
    <s v="2 to 3 hours per day"/>
    <n v="3"/>
  </r>
  <r>
    <s v="ID1883"/>
    <n v="400000"/>
    <s v="INR"/>
    <n v="7123.1666749770275"/>
    <n v="18944.408939479381"/>
    <n v="18944.408939479381"/>
    <s v="technical analyst"/>
    <s v="Analyst"/>
    <x v="7"/>
    <s v="1 or 2 hours a day"/>
    <n v="2"/>
  </r>
  <r>
    <s v="ID1774"/>
    <n v="16800"/>
    <s v="EUR"/>
    <n v="21342.710575059013"/>
    <n v="18490.968484464876"/>
    <n v="18490.968484464876"/>
    <s v="account"/>
    <s v="Accountant"/>
    <x v="49"/>
    <s v="4 to 6 hours a day"/>
    <n v="15"/>
  </r>
  <r>
    <s v="ID0728"/>
    <n v="390000"/>
    <s v="INR"/>
    <n v="6945.0875081026015"/>
    <n v="18470.798715992398"/>
    <n v="18470.798715992398"/>
    <s v="Business Analyst"/>
    <s v="Analyst"/>
    <x v="7"/>
    <s v="4 to 6 hours a day"/>
    <n v="1"/>
  </r>
  <r>
    <s v="ID1261"/>
    <n v="36000"/>
    <s v="MYR"/>
    <n v="11404.820437438224"/>
    <n v="18304.638583453896"/>
    <n v="18304.638583453896"/>
    <s v="Process Engineering"/>
    <s v="Engineer"/>
    <x v="53"/>
    <s v="4 to 6 hours a day"/>
    <n v="2"/>
  </r>
  <r>
    <s v="ID0276"/>
    <n v="420000"/>
    <s v="PHP"/>
    <n v="9956.1219482708348"/>
    <n v="18237.544668161161"/>
    <n v="18237.544668161161"/>
    <s v="Global Problem Management - IT"/>
    <s v="Manager"/>
    <x v="36"/>
    <s v="4 to 6 hours a day"/>
    <s v="Data Not Avaliable"/>
  </r>
  <r>
    <s v="ID0940"/>
    <n v="18060"/>
    <s v="USD"/>
    <n v="18060"/>
    <n v="18060"/>
    <n v="18060"/>
    <s v="Reporting Supervisor"/>
    <s v="Reporting"/>
    <x v="36"/>
    <s v="4 to 6 hours a day"/>
    <n v="12"/>
  </r>
  <r>
    <s v="ID0079"/>
    <n v="18000"/>
    <s v="USD"/>
    <n v="18000"/>
    <n v="18000"/>
    <n v="18000"/>
    <s v="Operational Analyst"/>
    <s v="Analyst"/>
    <x v="25"/>
    <s v="All the 8 hours baby, all the 8!"/>
    <s v="Data Not Avaliable"/>
  </r>
  <r>
    <s v="ID0371"/>
    <n v="18000"/>
    <s v="USD"/>
    <n v="18000"/>
    <n v="18000"/>
    <n v="18000"/>
    <s v="ceo"/>
    <s v="CXO or Top Mgmt."/>
    <x v="7"/>
    <s v="2 to 3 hours per day"/>
    <s v="Data Not Avaliable"/>
  </r>
  <r>
    <s v="ID0546"/>
    <n v="18000"/>
    <s v="USD"/>
    <n v="18000"/>
    <n v="18000"/>
    <n v="18000"/>
    <s v="Engineer"/>
    <s v="Engineer"/>
    <x v="10"/>
    <s v="4 to 6 hours a day"/>
    <s v="Data Not Avaliable"/>
  </r>
  <r>
    <s v="ID1011"/>
    <n v="18000"/>
    <s v="USD"/>
    <n v="18000"/>
    <n v="18000"/>
    <n v="18000"/>
    <s v="Data Specialist"/>
    <s v="Specialist"/>
    <x v="7"/>
    <s v="All the 8 hours baby, all the 8!"/>
    <n v="8"/>
  </r>
  <r>
    <s v="ID1033"/>
    <n v="18000"/>
    <s v="USD"/>
    <n v="18000"/>
    <n v="18000"/>
    <n v="18000"/>
    <s v="Area Sales Manager"/>
    <s v="Manager"/>
    <x v="7"/>
    <s v="2 to 3 hours per day"/>
    <n v="4.5999999999999996"/>
  </r>
  <r>
    <s v="ID1064"/>
    <n v="18000"/>
    <s v="USD"/>
    <n v="18000"/>
    <n v="18000"/>
    <n v="18000"/>
    <s v="Analyst"/>
    <s v="Analyst"/>
    <x v="34"/>
    <s v="4 to 6 hours a day"/>
    <n v="7"/>
  </r>
  <r>
    <s v="ID1288"/>
    <n v="18000"/>
    <s v="USD"/>
    <n v="18000"/>
    <n v="18000"/>
    <n v="18000"/>
    <s v="Manager"/>
    <s v="Manager"/>
    <x v="7"/>
    <s v="4 to 6 hours a day"/>
    <n v="12"/>
  </r>
  <r>
    <s v="ID1343"/>
    <n v="18000"/>
    <s v="USD"/>
    <n v="18000"/>
    <n v="18000"/>
    <n v="18000"/>
    <s v="liquidity manager"/>
    <s v="Manager"/>
    <x v="80"/>
    <s v="4 to 6 hours a day"/>
    <n v="12"/>
  </r>
  <r>
    <s v="ID1506"/>
    <n v="18000"/>
    <s v="USD"/>
    <n v="18000"/>
    <n v="18000"/>
    <n v="18000"/>
    <s v="Process Associate"/>
    <s v="Analyst"/>
    <x v="7"/>
    <s v="All the 8 hours baby, all the 8!"/>
    <n v="6"/>
  </r>
  <r>
    <s v="ID1772"/>
    <n v="18000"/>
    <s v="USD"/>
    <n v="18000"/>
    <n v="18000"/>
    <n v="18000"/>
    <s v="accountant"/>
    <s v="Accountant"/>
    <x v="31"/>
    <s v="All the 8 hours baby, all the 8!"/>
    <n v="3"/>
  </r>
  <r>
    <s v="ID0611"/>
    <n v="380000"/>
    <s v="INR"/>
    <n v="6767.0083412281756"/>
    <n v="17997.188492505411"/>
    <n v="17997.188492505411"/>
    <s v="Incharge"/>
    <s v="Manager"/>
    <x v="7"/>
    <s v="4 to 6 hours a day"/>
    <n v="10"/>
  </r>
  <r>
    <s v="ID0694"/>
    <n v="380000"/>
    <s v="INR"/>
    <n v="6767.0083412281756"/>
    <n v="17997.188492505411"/>
    <n v="17997.188492505411"/>
    <s v="Team Lead Mis"/>
    <s v="Reporting"/>
    <x v="7"/>
    <s v="2 to 3 hours per day"/>
    <n v="6"/>
  </r>
  <r>
    <s v="ID1540"/>
    <n v="380000"/>
    <s v="INR"/>
    <n v="6767.0083412281756"/>
    <n v="17997.188492505411"/>
    <n v="17997.188492505411"/>
    <s v="reporting analyst"/>
    <s v="Analyst"/>
    <x v="7"/>
    <s v="2 to 3 hours per day"/>
    <n v="6"/>
  </r>
  <r>
    <s v="ID0799"/>
    <n v="377000"/>
    <s v="INR"/>
    <n v="6713.584591165848"/>
    <n v="17855.105425459318"/>
    <n v="17855.105425459318"/>
    <s v="Team Developer"/>
    <s v="Analyst"/>
    <x v="7"/>
    <s v="1 or 2 hours a day"/>
    <n v="7"/>
  </r>
  <r>
    <s v="ID0720"/>
    <n v="375000"/>
    <s v="INR"/>
    <n v="6677.9687577909626"/>
    <n v="17760.383380761919"/>
    <n v="17760.383380761919"/>
    <s v="Team Lead"/>
    <s v="Manager"/>
    <x v="7"/>
    <s v="2 to 3 hours per day"/>
    <n v="6"/>
  </r>
  <r>
    <s v="ID1579"/>
    <n v="17728"/>
    <s v="USD"/>
    <n v="17728"/>
    <n v="17728"/>
    <n v="17728"/>
    <s v="Financial analyst"/>
    <s v="Analyst"/>
    <x v="27"/>
    <s v="4 to 6 hours a day"/>
    <n v="3"/>
  </r>
  <r>
    <s v="ID1057"/>
    <n v="16000"/>
    <s v="EUR"/>
    <n v="20326.391023865726"/>
    <n v="17610.446175680838"/>
    <n v="17610.446175680838"/>
    <s v="Management Information Systems"/>
    <s v="Manager"/>
    <x v="60"/>
    <s v="All the 8 hours baby, all the 8!"/>
    <n v="16"/>
  </r>
  <r>
    <s v="ID0352"/>
    <n v="370000"/>
    <s v="INR"/>
    <n v="6588.9291743537506"/>
    <n v="17523.578269018428"/>
    <n v="17523.578269018428"/>
    <s v="Senior Design Associate"/>
    <s v="Analyst"/>
    <x v="7"/>
    <s v="All the 8 hours baby, all the 8!"/>
    <s v="Data Not Avaliable"/>
  </r>
  <r>
    <s v="ID0702"/>
    <n v="370000"/>
    <s v="INR"/>
    <n v="6588.9291743537506"/>
    <n v="17523.578269018428"/>
    <n v="17523.578269018428"/>
    <s v="Operations Analyst"/>
    <s v="Analyst"/>
    <x v="7"/>
    <s v="All the 8 hours baby, all the 8!"/>
    <n v="2"/>
  </r>
  <r>
    <s v="ID0703"/>
    <n v="370000"/>
    <s v="INR"/>
    <n v="6588.9291743537506"/>
    <n v="17523.578269018428"/>
    <n v="17523.578269018428"/>
    <s v="Operations Analyst"/>
    <s v="Analyst"/>
    <x v="7"/>
    <s v="All the 8 hours baby, all the 8!"/>
    <n v="2"/>
  </r>
  <r>
    <s v="ID1018"/>
    <n v="365000"/>
    <s v="INR"/>
    <n v="6499.8895909165376"/>
    <n v="17286.773157274936"/>
    <n v="17286.773157274936"/>
    <s v="associate analyst"/>
    <s v="Analyst"/>
    <x v="7"/>
    <s v="4 to 6 hours a day"/>
    <n v="3"/>
  </r>
  <r>
    <s v="ID0834"/>
    <n v="15600"/>
    <s v="EUR"/>
    <n v="19818.231248269083"/>
    <n v="17170.185021288817"/>
    <n v="17170.185021288817"/>
    <s v="Managment controller"/>
    <s v="Controller"/>
    <x v="49"/>
    <s v="4 to 6 hours a day"/>
    <n v="5"/>
  </r>
  <r>
    <s v="ID0032"/>
    <n v="360000"/>
    <s v="INR"/>
    <n v="6410.8500074793246"/>
    <n v="17049.968045531445"/>
    <n v="17049.968045531445"/>
    <s v="Specialist"/>
    <s v="Specialist"/>
    <x v="7"/>
    <s v="4 to 6 hours a day"/>
    <s v="Data Not Avaliable"/>
  </r>
  <r>
    <s v="ID0340"/>
    <n v="360000"/>
    <s v="INR"/>
    <n v="6410.8500074793246"/>
    <n v="17049.968045531445"/>
    <n v="17049.968045531445"/>
    <s v="Business Analysit"/>
    <s v="Analyst"/>
    <x v="7"/>
    <s v="2 to 3 hours per day"/>
    <s v="Data Not Avaliable"/>
  </r>
  <r>
    <s v="ID0751"/>
    <n v="360000"/>
    <s v="INR"/>
    <n v="6410.8500074793246"/>
    <n v="17049.968045531445"/>
    <n v="17049.968045531445"/>
    <s v="Project Lead"/>
    <s v="Manager"/>
    <x v="7"/>
    <s v="All the 8 hours baby, all the 8!"/>
    <n v="6"/>
  </r>
  <r>
    <s v="ID0828"/>
    <n v="360000"/>
    <s v="INR"/>
    <n v="6410.8500074793246"/>
    <n v="17049.968045531445"/>
    <n v="17049.968045531445"/>
    <s v="Application Developer"/>
    <s v="Analyst"/>
    <x v="7"/>
    <s v="All the 8 hours baby, all the 8!"/>
    <n v="4"/>
  </r>
  <r>
    <s v="ID1281"/>
    <n v="360000"/>
    <s v="INR"/>
    <n v="6410.8500074793246"/>
    <n v="17049.968045531445"/>
    <n v="17049.968045531445"/>
    <s v="Team Leader WFM"/>
    <s v="Manager"/>
    <x v="7"/>
    <s v="All the 8 hours baby, all the 8!"/>
    <n v="6"/>
  </r>
  <r>
    <s v="ID1314"/>
    <n v="360000"/>
    <s v="INR"/>
    <n v="6410.8500074793246"/>
    <n v="17049.968045531445"/>
    <n v="17049.968045531445"/>
    <s v="Sr. Executive -HR"/>
    <s v="Analyst"/>
    <x v="7"/>
    <s v="All the 8 hours baby, all the 8!"/>
    <n v="6"/>
  </r>
  <r>
    <s v="ID1465"/>
    <n v="360000"/>
    <s v="INR"/>
    <n v="6410.8500074793246"/>
    <n v="17049.968045531445"/>
    <n v="17049.968045531445"/>
    <s v="analyst"/>
    <s v="Analyst"/>
    <x v="7"/>
    <s v="2 to 3 hours per day"/>
    <n v="6"/>
  </r>
  <r>
    <s v="ID1588"/>
    <n v="360000"/>
    <s v="INR"/>
    <n v="6410.8500074793246"/>
    <n v="17049.968045531445"/>
    <n v="17049.968045531445"/>
    <s v="team leader "/>
    <s v="Manager"/>
    <x v="7"/>
    <s v="2 to 3 hours per day"/>
    <n v="8"/>
  </r>
  <r>
    <s v="ID1736"/>
    <n v="360000"/>
    <s v="INR"/>
    <n v="6410.8500074793246"/>
    <n v="17049.968045531445"/>
    <n v="17049.968045531445"/>
    <s v="Baan ERP Functional Consultant"/>
    <s v="Consultant"/>
    <x v="7"/>
    <s v="1 or 2 hours a day"/>
    <n v="2"/>
  </r>
  <r>
    <s v="ID1876"/>
    <n v="360000"/>
    <s v="INR"/>
    <n v="6410.8500074793246"/>
    <n v="17049.968045531445"/>
    <n v="17049.968045531445"/>
    <s v="Analyst"/>
    <s v="Analyst"/>
    <x v="7"/>
    <s v="All the 8 hours baby, all the 8!"/>
    <n v="2"/>
  </r>
  <r>
    <s v="ID0662"/>
    <n v="16800"/>
    <s v="USD"/>
    <n v="16800"/>
    <n v="16800"/>
    <n v="16800"/>
    <s v="Assistant"/>
    <s v="Analyst"/>
    <x v="52"/>
    <s v="4 to 6 hours a day"/>
    <n v="12"/>
  </r>
  <r>
    <s v="ID1116"/>
    <n v="100000"/>
    <s v="ZAR"/>
    <n v="12192.177986291113"/>
    <n v="16585.944054857038"/>
    <n v="16585.944054857038"/>
    <s v="Q.A.Officer"/>
    <s v="Manager"/>
    <x v="13"/>
    <s v="All the 8 hours baby, all the 8!"/>
    <n v="15"/>
  </r>
  <r>
    <s v="ID0222"/>
    <n v="350000"/>
    <s v="INR"/>
    <n v="6232.7708406048987"/>
    <n v="16576.357822044458"/>
    <n v="16576.357822044458"/>
    <s v="Jr. Executive Finance"/>
    <s v="Accountant"/>
    <x v="7"/>
    <s v="4 to 6 hours a day"/>
    <s v="Data Not Avaliable"/>
  </r>
  <r>
    <s v="ID1013"/>
    <n v="350000"/>
    <s v="INR"/>
    <n v="6232.7708406048987"/>
    <n v="16576.357822044458"/>
    <n v="16576.357822044458"/>
    <s v="Data Analyst"/>
    <s v="Analyst"/>
    <x v="7"/>
    <s v="4 to 6 hours a day"/>
    <n v="2.5"/>
  </r>
  <r>
    <s v="ID1184"/>
    <n v="350000"/>
    <s v="INR"/>
    <n v="6232.7708406048987"/>
    <n v="16576.357822044458"/>
    <n v="16576.357822044458"/>
    <s v="officer accounts"/>
    <s v="Accountant"/>
    <x v="7"/>
    <s v="2 to 3 hours per day"/>
    <n v="1.5"/>
  </r>
  <r>
    <s v="ID1301"/>
    <n v="350000"/>
    <s v="INR"/>
    <n v="6232.7708406048987"/>
    <n v="16576.357822044458"/>
    <n v="16576.357822044458"/>
    <s v="I dont know"/>
    <s v="Analyst"/>
    <x v="7"/>
    <s v="4 to 6 hours a day"/>
    <n v="1.5"/>
  </r>
  <r>
    <s v="ID1879"/>
    <n v="350000"/>
    <s v="INR"/>
    <n v="6232.7708406048987"/>
    <n v="16576.357822044458"/>
    <n v="16576.357822044458"/>
    <s v="Analyst"/>
    <s v="Analyst"/>
    <x v="7"/>
    <s v="4 to 6 hours a day"/>
    <n v="6"/>
  </r>
  <r>
    <s v="ID1894"/>
    <n v="350000"/>
    <s v="INR"/>
    <n v="6232.7708406048987"/>
    <n v="16576.357822044458"/>
    <n v="16576.357822044458"/>
    <s v="manager purchase"/>
    <s v="Manager"/>
    <x v="7"/>
    <s v="2 to 3 hours per day"/>
    <n v="27"/>
  </r>
  <r>
    <s v="ID0507"/>
    <n v="15000"/>
    <s v="EUR"/>
    <n v="19055.991584874118"/>
    <n v="16509.793289700785"/>
    <n v="16509.793289700785"/>
    <s v="Report Analyst"/>
    <s v="Analyst"/>
    <x v="23"/>
    <s v="All the 8 hours baby, all the 8!"/>
    <s v="Data Not Avaliable"/>
  </r>
  <r>
    <s v="ID0797"/>
    <n v="15000"/>
    <s v="EUR"/>
    <n v="19055.991584874118"/>
    <n v="16509.793289700785"/>
    <n v="16509.793289700785"/>
    <s v="Technician"/>
    <s v="Analyst"/>
    <x v="23"/>
    <s v="2 to 3 hours per day"/>
    <n v="10"/>
  </r>
  <r>
    <s v="ID0929"/>
    <n v="15000"/>
    <s v="EUR"/>
    <n v="19055.991584874118"/>
    <n v="16509.793289700785"/>
    <n v="16509.793289700785"/>
    <s v="analytic"/>
    <s v="Analyst"/>
    <x v="81"/>
    <s v="4 to 6 hours a day"/>
    <n v="4"/>
  </r>
  <r>
    <s v="ID1201"/>
    <n v="15000"/>
    <s v="EUR"/>
    <n v="19055.991584874118"/>
    <n v="16509.793289700785"/>
    <n v="16509.793289700785"/>
    <s v="business consultant"/>
    <s v="Consultant"/>
    <x v="44"/>
    <s v="4 to 6 hours a day"/>
    <n v="3"/>
  </r>
  <r>
    <s v="ID0908"/>
    <n v="16350"/>
    <s v="USD"/>
    <n v="16350"/>
    <n v="16350"/>
    <n v="16350"/>
    <s v="Estimator"/>
    <s v="Manager"/>
    <x v="7"/>
    <s v="4 to 6 hours a day"/>
    <n v="5"/>
  </r>
  <r>
    <s v="ID1868"/>
    <n v="16110"/>
    <s v="USD"/>
    <n v="16110"/>
    <n v="16110"/>
    <n v="16110"/>
    <s v="INFORMATION ANALIST"/>
    <s v="Analyst"/>
    <x v="69"/>
    <s v="All the 8 hours baby, all the 8!"/>
    <n v="10"/>
  </r>
  <r>
    <s v="ID1651"/>
    <n v="340000"/>
    <s v="INR"/>
    <n v="6054.6916737304728"/>
    <n v="16102.747598557473"/>
    <n v="16102.747598557473"/>
    <s v="Assistant Manager"/>
    <s v="Manager"/>
    <x v="7"/>
    <s v="4 to 6 hours a day"/>
    <n v="5"/>
  </r>
  <r>
    <s v="ID0301"/>
    <n v="16000"/>
    <s v="USD"/>
    <n v="16000"/>
    <n v="16000"/>
    <n v="16000"/>
    <s v="VP of Finance"/>
    <s v="CXO or Top Mgmt."/>
    <x v="8"/>
    <s v="1 or 2 hours a day"/>
    <s v="Data Not Avaliable"/>
  </r>
  <r>
    <s v="ID0749"/>
    <n v="16000"/>
    <s v="USD"/>
    <n v="16000"/>
    <n v="16000"/>
    <n v="16000"/>
    <s v="Engineer"/>
    <s v="Engineer"/>
    <x v="7"/>
    <s v="2 to 3 hours per day"/>
    <n v="5"/>
  </r>
  <r>
    <s v="ID0786"/>
    <n v="16000"/>
    <s v="USD"/>
    <n v="16000"/>
    <n v="16000"/>
    <n v="16000"/>
    <s v="Mis executiv"/>
    <s v="Reporting"/>
    <x v="7"/>
    <s v="All the 8 hours baby, all the 8!"/>
    <n v="1"/>
  </r>
  <r>
    <s v="ID1633"/>
    <n v="288000"/>
    <s v="MUR"/>
    <n v="9376.2513877177607"/>
    <n v="15976.011822650717"/>
    <n v="15976.011822650717"/>
    <s v="IT Support Engineer"/>
    <s v="Engineer"/>
    <x v="82"/>
    <s v="4 to 6 hours a day"/>
    <n v="7"/>
  </r>
  <r>
    <s v="ID0141"/>
    <n v="336000"/>
    <s v="INR"/>
    <n v="5983.4600069807029"/>
    <n v="15913.303509162681"/>
    <n v="15913.303509162681"/>
    <s v="MIS Team Leader"/>
    <s v="Reporting"/>
    <x v="7"/>
    <s v="4 to 6 hours a day"/>
    <s v="Data Not Avaliable"/>
  </r>
  <r>
    <s v="ID1573"/>
    <n v="15840"/>
    <s v="USD"/>
    <n v="15840"/>
    <n v="15840"/>
    <n v="15840"/>
    <s v="Asistente"/>
    <s v="Analyst"/>
    <x v="83"/>
    <s v="All the 8 hours baby, all the 8!"/>
    <n v="8"/>
  </r>
  <r>
    <s v="ID0316"/>
    <n v="150000"/>
    <s v="MXN"/>
    <n v="10956.982885192734"/>
    <n v="15766.204797911692"/>
    <n v="15766.204797911692"/>
    <s v="Information Analyst"/>
    <s v="Analyst"/>
    <x v="27"/>
    <s v="All the 8 hours baby, all the 8!"/>
    <s v="Data Not Avaliable"/>
  </r>
  <r>
    <s v="ID0561"/>
    <n v="15600"/>
    <s v="USD"/>
    <n v="15600"/>
    <n v="15600"/>
    <n v="15600"/>
    <s v="CONTROLLER"/>
    <s v="Controller"/>
    <x v="10"/>
    <s v="4 to 6 hours a day"/>
    <n v="20"/>
  </r>
  <r>
    <s v="ID0903"/>
    <n v="15600"/>
    <s v="USD"/>
    <n v="15600"/>
    <n v="15600"/>
    <n v="15600"/>
    <s v="Document controller "/>
    <s v="Controller"/>
    <x v="84"/>
    <s v="4 to 6 hours a day"/>
    <n v="13"/>
  </r>
  <r>
    <s v="ID0155"/>
    <n v="15500"/>
    <s v="USD"/>
    <n v="15500"/>
    <n v="15500"/>
    <n v="15500"/>
    <s v="Proces auditor"/>
    <s v="Accountant"/>
    <x v="27"/>
    <s v="All the 8 hours baby, all the 8!"/>
    <s v="Data Not Avaliable"/>
  </r>
  <r>
    <s v="ID0821"/>
    <n v="15500"/>
    <s v="USD"/>
    <n v="15500"/>
    <n v="15500"/>
    <n v="15500"/>
    <s v="Engineer"/>
    <s v="Engineer"/>
    <x v="7"/>
    <s v="1 or 2 hours a day"/>
    <n v="3"/>
  </r>
  <r>
    <s v="ID0676"/>
    <n v="325000"/>
    <s v="INR"/>
    <n v="5787.5729234188348"/>
    <n v="15392.332263326998"/>
    <n v="15392.332263326998"/>
    <s v="MIS Executive"/>
    <s v="Reporting"/>
    <x v="7"/>
    <s v="All the 8 hours baby, all the 8!"/>
    <n v="4.5"/>
  </r>
  <r>
    <s v="ID1462"/>
    <n v="320000"/>
    <s v="INR"/>
    <n v="5698.5333399816218"/>
    <n v="15155.527151583505"/>
    <n v="15155.527151583505"/>
    <s v="Analyst"/>
    <s v="Analyst"/>
    <x v="7"/>
    <s v="2 to 3 hours per day"/>
    <n v="2"/>
  </r>
  <r>
    <s v="ID1632"/>
    <n v="320000"/>
    <s v="INR"/>
    <n v="5698.5333399816218"/>
    <n v="15155.527151583505"/>
    <n v="15155.527151583505"/>
    <s v="senior executive"/>
    <s v="Manager"/>
    <x v="7"/>
    <s v="4 to 6 hours a day"/>
    <n v="5"/>
  </r>
  <r>
    <s v="ID1663"/>
    <n v="320000"/>
    <s v="INR"/>
    <n v="5698.5333399816218"/>
    <n v="15155.527151583505"/>
    <n v="15155.527151583505"/>
    <s v="Research Associate"/>
    <s v="Analyst"/>
    <x v="7"/>
    <s v="4 to 6 hours a day"/>
    <n v="2.5"/>
  </r>
  <r>
    <s v="ID0002"/>
    <n v="15000"/>
    <s v="USD"/>
    <n v="15000"/>
    <n v="15000"/>
    <n v="15000"/>
    <s v="cost control"/>
    <s v="Controller"/>
    <x v="38"/>
    <s v="All the 8 hours baby, all the 8!"/>
    <s v="Data Not Avaliable"/>
  </r>
  <r>
    <s v="ID0076"/>
    <n v="15000"/>
    <s v="USD"/>
    <n v="15000"/>
    <n v="15000"/>
    <n v="15000"/>
    <s v="Excel Programmer Consultant"/>
    <s v="Consultant"/>
    <x v="8"/>
    <s v="All the 8 hours baby, all the 8!"/>
    <s v="Data Not Avaliable"/>
  </r>
  <r>
    <s v="ID0285"/>
    <n v="15000"/>
    <s v="USD"/>
    <n v="15000"/>
    <n v="15000"/>
    <n v="15000"/>
    <s v="moneymaker"/>
    <s v="Manager"/>
    <x v="8"/>
    <s v="2 to 3 hours per day"/>
    <s v="Data Not Avaliable"/>
  </r>
  <r>
    <s v="ID0385"/>
    <n v="15000"/>
    <s v="USD"/>
    <n v="15000"/>
    <n v="15000"/>
    <n v="15000"/>
    <s v="Economist"/>
    <s v="Reporting"/>
    <x v="85"/>
    <s v="2 to 3 hours per day"/>
    <s v="Data Not Avaliable"/>
  </r>
  <r>
    <s v="ID0521"/>
    <n v="15000"/>
    <s v="USD"/>
    <n v="15000"/>
    <n v="15000"/>
    <n v="15000"/>
    <s v="Asst.Manager"/>
    <s v="Manager"/>
    <x v="7"/>
    <s v="4 to 6 hours a day"/>
    <s v="Data Not Avaliable"/>
  </r>
  <r>
    <s v="ID0658"/>
    <n v="15000"/>
    <s v="USD"/>
    <n v="15000"/>
    <n v="15000"/>
    <n v="15000"/>
    <s v="MIS Executive"/>
    <s v="Reporting"/>
    <x v="7"/>
    <s v="All the 8 hours baby, all the 8!"/>
    <n v="2"/>
  </r>
  <r>
    <s v="ID0673"/>
    <n v="15000"/>
    <s v="USD"/>
    <n v="15000"/>
    <n v="15000"/>
    <n v="15000"/>
    <s v="TA"/>
    <s v="Analyst"/>
    <x v="33"/>
    <s v="4 to 6 hours a day"/>
    <n v="1"/>
  </r>
  <r>
    <s v="ID0714"/>
    <n v="15000"/>
    <s v="USD"/>
    <n v="15000"/>
    <n v="15000"/>
    <n v="15000"/>
    <s v="Audit - senior assistant"/>
    <s v="Accountant"/>
    <x v="86"/>
    <s v="4 to 6 hours a day"/>
    <n v="2"/>
  </r>
  <r>
    <s v="ID0744"/>
    <n v="15000"/>
    <s v="USD"/>
    <n v="15000"/>
    <n v="15000"/>
    <n v="15000"/>
    <s v="PROCSS ASOCIATE"/>
    <s v="Controller"/>
    <x v="7"/>
    <s v="2 to 3 hours per day"/>
    <n v="2"/>
  </r>
  <r>
    <s v="ID0967"/>
    <n v="15000"/>
    <s v="USD"/>
    <n v="15000"/>
    <n v="15000"/>
    <n v="15000"/>
    <s v="Quality Executive"/>
    <s v="Analyst"/>
    <x v="7"/>
    <s v="2 to 3 hours per day"/>
    <n v="2"/>
  </r>
  <r>
    <s v="ID1016"/>
    <n v="15000"/>
    <s v="USD"/>
    <n v="15000"/>
    <n v="15000"/>
    <n v="15000"/>
    <s v="Operations Management"/>
    <s v="Manager"/>
    <x v="7"/>
    <s v="4 to 6 hours a day"/>
    <n v="4"/>
  </r>
  <r>
    <s v="ID1291"/>
    <n v="15000"/>
    <s v="USD"/>
    <n v="15000"/>
    <n v="15000"/>
    <n v="15000"/>
    <s v="Monitoring &amp; Evaluation officer"/>
    <s v="Manager"/>
    <x v="75"/>
    <s v="4 to 6 hours a day"/>
    <n v="10"/>
  </r>
  <r>
    <s v="ID1499"/>
    <n v="15000"/>
    <s v="USD"/>
    <n v="15000"/>
    <n v="15000"/>
    <n v="15000"/>
    <s v="Manager"/>
    <s v="Manager"/>
    <x v="65"/>
    <s v="2 to 3 hours per day"/>
    <n v="5"/>
  </r>
  <r>
    <s v="ID1570"/>
    <n v="15000"/>
    <s v="USD"/>
    <n v="15000"/>
    <n v="15000"/>
    <n v="15000"/>
    <s v="Application Developer"/>
    <s v="Analyst"/>
    <x v="8"/>
    <s v="All the 8 hours baby, all the 8!"/>
    <n v="8"/>
  </r>
  <r>
    <s v="ID1623"/>
    <n v="15000"/>
    <s v="USD"/>
    <n v="15000"/>
    <n v="15000"/>
    <n v="15000"/>
    <s v="Business Analysis &amp; MIS "/>
    <s v="Analyst"/>
    <x v="7"/>
    <s v="4 to 6 hours a day"/>
    <n v="5"/>
  </r>
  <r>
    <s v="ID1646"/>
    <n v="15000"/>
    <s v="USD"/>
    <n v="15000"/>
    <n v="15000"/>
    <n v="15000"/>
    <s v="Marketing services"/>
    <s v="Analyst"/>
    <x v="52"/>
    <s v="4 to 6 hours a day"/>
    <n v="5"/>
  </r>
  <r>
    <s v="ID1832"/>
    <n v="15000"/>
    <s v="USD"/>
    <n v="15000"/>
    <n v="15000"/>
    <n v="15000"/>
    <s v="senior associate"/>
    <s v="Analyst"/>
    <x v="7"/>
    <s v="2 to 3 hours per day"/>
    <n v="0.3"/>
  </r>
  <r>
    <s v="ID0765"/>
    <n v="14960"/>
    <s v="USD"/>
    <n v="14960"/>
    <n v="14960"/>
    <n v="14960"/>
    <s v="Stock Controller"/>
    <s v="Controller"/>
    <x v="25"/>
    <s v="All the 8 hours baby, all the 8!"/>
    <n v="2"/>
  </r>
  <r>
    <s v="ID1324"/>
    <n v="314000"/>
    <s v="INR"/>
    <n v="5591.6858398569666"/>
    <n v="14871.361017491316"/>
    <n v="14871.361017491316"/>
    <s v="relationship manager"/>
    <s v="Manager"/>
    <x v="7"/>
    <s v="1 or 2 hours a day"/>
    <n v="0.1"/>
  </r>
  <r>
    <s v="ID0541"/>
    <n v="600000"/>
    <s v="PKR"/>
    <n v="6368.453230079479"/>
    <n v="14776.834242718347"/>
    <n v="14776.834242718347"/>
    <s v="Trainer"/>
    <s v="Consultant"/>
    <x v="52"/>
    <s v="4 to 6 hours a day"/>
    <s v="Data Not Avaliable"/>
  </r>
  <r>
    <s v="ID1491"/>
    <n v="10000"/>
    <s v="GBP"/>
    <n v="15761.782720672842"/>
    <n v="14739.712049804275"/>
    <n v="14739.712049804275"/>
    <s v="Analyst"/>
    <s v="Analyst"/>
    <x v="9"/>
    <s v="2 to 3 hours per day"/>
    <n v="8"/>
  </r>
  <r>
    <s v="ID0042"/>
    <n v="14500"/>
    <s v="USD"/>
    <n v="14500"/>
    <n v="14500"/>
    <n v="14500"/>
    <s v="Business Analsyt"/>
    <s v="Analyst"/>
    <x v="7"/>
    <s v="4 to 6 hours a day"/>
    <s v="Data Not Avaliable"/>
  </r>
  <r>
    <s v="ID1557"/>
    <n v="14400"/>
    <s v="USD"/>
    <n v="14400"/>
    <n v="14400"/>
    <n v="14400"/>
    <s v="FA /financial Analyst"/>
    <s v="Analyst"/>
    <x v="87"/>
    <s v="All the 8 hours baby, all the 8!"/>
    <n v="15"/>
  </r>
  <r>
    <s v="ID1720"/>
    <n v="14400"/>
    <s v="USD"/>
    <n v="14400"/>
    <n v="14400"/>
    <n v="14400"/>
    <s v="Engineer"/>
    <s v="Engineer"/>
    <x v="7"/>
    <s v="1 or 2 hours a day"/>
    <n v="8"/>
  </r>
  <r>
    <s v="ID0406"/>
    <n v="300000"/>
    <s v="INR"/>
    <n v="5342.3750062327708"/>
    <n v="14208.306704609538"/>
    <n v="14208.306704609538"/>
    <s v="Sr. Systems Engineer"/>
    <s v="Engineer"/>
    <x v="7"/>
    <s v="1 or 2 hours a day"/>
    <s v="Data Not Avaliable"/>
  </r>
  <r>
    <s v="ID0442"/>
    <n v="300000"/>
    <s v="INR"/>
    <n v="5342.3750062327708"/>
    <n v="14208.306704609538"/>
    <n v="14208.306704609538"/>
    <s v="Web Portal Manager"/>
    <s v="Manager"/>
    <x v="7"/>
    <s v="4 to 6 hours a day"/>
    <s v="Data Not Avaliable"/>
  </r>
  <r>
    <s v="ID0639"/>
    <n v="300000"/>
    <s v="INR"/>
    <n v="5342.3750062327708"/>
    <n v="14208.306704609538"/>
    <n v="14208.306704609538"/>
    <s v="Planning Engineer"/>
    <s v="Engineer"/>
    <x v="7"/>
    <s v="All the 8 hours baby, all the 8!"/>
    <n v="2"/>
  </r>
  <r>
    <s v="ID0644"/>
    <n v="300000"/>
    <s v="INR"/>
    <n v="5342.3750062327708"/>
    <n v="14208.306704609538"/>
    <n v="14208.306704609538"/>
    <s v="MIS"/>
    <s v="Reporting"/>
    <x v="7"/>
    <s v="4 to 6 hours a day"/>
    <n v="1"/>
  </r>
  <r>
    <s v="ID0664"/>
    <n v="300000"/>
    <s v="INR"/>
    <n v="5342.3750062327708"/>
    <n v="14208.306704609538"/>
    <n v="14208.306704609538"/>
    <s v="Mis Analyst"/>
    <s v="Analyst"/>
    <x v="7"/>
    <s v="4 to 6 hours a day"/>
    <n v="4.5"/>
  </r>
  <r>
    <s v="ID0691"/>
    <n v="300000"/>
    <s v="INR"/>
    <n v="5342.3750062327708"/>
    <n v="14208.306704609538"/>
    <n v="14208.306704609538"/>
    <s v="govt"/>
    <s v="Manager"/>
    <x v="7"/>
    <s v="2 to 3 hours per day"/>
    <n v="3"/>
  </r>
  <r>
    <s v="ID0701"/>
    <n v="300000"/>
    <s v="INR"/>
    <n v="5342.3750062327708"/>
    <n v="14208.306704609538"/>
    <n v="14208.306704609538"/>
    <s v="Analyst"/>
    <s v="Analyst"/>
    <x v="7"/>
    <s v="All the 8 hours baby, all the 8!"/>
    <n v="7"/>
  </r>
  <r>
    <s v="ID0773"/>
    <n v="300000"/>
    <s v="INR"/>
    <n v="5342.3750062327708"/>
    <n v="14208.306704609538"/>
    <n v="14208.306704609538"/>
    <s v="OPEX CONTROL"/>
    <s v="Controller"/>
    <x v="7"/>
    <s v="All the 8 hours baby, all the 8!"/>
    <n v="4"/>
  </r>
  <r>
    <s v="ID0881"/>
    <n v="300000"/>
    <s v="INR"/>
    <n v="5342.3750062327708"/>
    <n v="14208.306704609538"/>
    <n v="14208.306704609538"/>
    <s v="Sales"/>
    <s v="Analyst"/>
    <x v="7"/>
    <s v="1 or 2 hours a day"/>
    <n v="10"/>
  </r>
  <r>
    <s v="ID0919"/>
    <n v="300000"/>
    <s v="INR"/>
    <n v="5342.3750062327708"/>
    <n v="14208.306704609538"/>
    <n v="14208.306704609538"/>
    <s v="ANALYST"/>
    <s v="Analyst"/>
    <x v="7"/>
    <s v="4 to 6 hours a day"/>
    <n v="0.5"/>
  </r>
  <r>
    <s v="ID1032"/>
    <n v="300000"/>
    <s v="INR"/>
    <n v="5342.3750062327708"/>
    <n v="14208.306704609538"/>
    <n v="14208.306704609538"/>
    <s v="ACCOUNTS"/>
    <s v="Accountant"/>
    <x v="7"/>
    <s v="2 to 3 hours per day"/>
    <n v="5"/>
  </r>
  <r>
    <s v="ID1069"/>
    <n v="300000"/>
    <s v="INR"/>
    <n v="5342.3750062327708"/>
    <n v="14208.306704609538"/>
    <n v="14208.306704609538"/>
    <s v="Professional consultant-Finance"/>
    <s v="Consultant"/>
    <x v="7"/>
    <s v="2 to 3 hours per day"/>
    <n v="1"/>
  </r>
  <r>
    <s v="ID1114"/>
    <n v="300000"/>
    <s v="INR"/>
    <n v="5342.3750062327708"/>
    <n v="14208.306704609538"/>
    <n v="14208.306704609538"/>
    <s v="Analyst"/>
    <s v="Analyst"/>
    <x v="7"/>
    <s v="4 to 6 hours a day"/>
    <n v="5"/>
  </r>
  <r>
    <s v="ID1230"/>
    <n v="300000"/>
    <s v="INR"/>
    <n v="5342.3750062327708"/>
    <n v="14208.306704609538"/>
    <n v="14208.306704609538"/>
    <s v="Finance Analyst"/>
    <s v="Analyst"/>
    <x v="7"/>
    <s v="4 to 6 hours a day"/>
    <n v="6"/>
  </r>
  <r>
    <s v="ID1289"/>
    <n v="300000"/>
    <s v="INR"/>
    <n v="5342.3750062327708"/>
    <n v="14208.306704609538"/>
    <n v="14208.306704609538"/>
    <s v="MIS OFFICER"/>
    <s v="Reporting"/>
    <x v="7"/>
    <s v="2 to 3 hours per day"/>
    <n v="5"/>
  </r>
  <r>
    <s v="ID1338"/>
    <n v="300000"/>
    <s v="INR"/>
    <n v="5342.3750062327708"/>
    <n v="14208.306704609538"/>
    <n v="14208.306704609538"/>
    <s v="Financial Modelling Analyst"/>
    <s v="Analyst"/>
    <x v="7"/>
    <s v="All the 8 hours baby, all the 8!"/>
    <n v="3"/>
  </r>
  <r>
    <s v="ID1448"/>
    <n v="300000"/>
    <s v="INR"/>
    <n v="5342.3750062327708"/>
    <n v="14208.306704609538"/>
    <n v="14208.306704609538"/>
    <s v="accountant"/>
    <s v="Accountant"/>
    <x v="7"/>
    <s v="4 to 6 hours a day"/>
    <n v="4"/>
  </r>
  <r>
    <s v="ID1658"/>
    <n v="300000"/>
    <s v="INR"/>
    <n v="5342.3750062327708"/>
    <n v="14208.306704609538"/>
    <n v="14208.306704609538"/>
    <s v="Store Inventory"/>
    <s v="Analyst"/>
    <x v="7"/>
    <s v="4 to 6 hours a day"/>
    <n v="8"/>
  </r>
  <r>
    <s v="ID0012"/>
    <n v="14000"/>
    <s v="USD"/>
    <n v="14000"/>
    <n v="14000"/>
    <n v="14000"/>
    <s v="quality engineer"/>
    <s v="Engineer"/>
    <x v="59"/>
    <s v="4 to 6 hours a day"/>
    <s v="Data Not Avaliable"/>
  </r>
  <r>
    <s v="ID0282"/>
    <n v="14000"/>
    <s v="USD"/>
    <n v="14000"/>
    <n v="14000"/>
    <n v="14000"/>
    <s v="Auxiliar Administrativo"/>
    <s v="Analyst"/>
    <x v="10"/>
    <s v="1 or 2 hours a day"/>
    <s v="Data Not Avaliable"/>
  </r>
  <r>
    <s v="ID1292"/>
    <n v="14000"/>
    <s v="USD"/>
    <n v="14000"/>
    <n v="14000"/>
    <n v="14000"/>
    <s v="Pricing Analyst"/>
    <s v="Analyst"/>
    <x v="7"/>
    <s v="4 to 6 hours a day"/>
    <n v="12"/>
  </r>
  <r>
    <s v="ID1433"/>
    <n v="14000"/>
    <s v="USD"/>
    <n v="14000"/>
    <n v="14000"/>
    <n v="14000"/>
    <s v="Consultant"/>
    <s v="Consultant"/>
    <x v="7"/>
    <s v="4 to 6 hours a day"/>
    <n v="3"/>
  </r>
  <r>
    <s v="ID1812"/>
    <n v="14000"/>
    <s v="USD"/>
    <n v="14000"/>
    <n v="14000"/>
    <n v="14000"/>
    <s v="Manager"/>
    <s v="Manager"/>
    <x v="7"/>
    <s v="4 to 6 hours a day"/>
    <n v="5"/>
  </r>
  <r>
    <s v="ID0615"/>
    <n v="13800"/>
    <s v="USD"/>
    <n v="13800"/>
    <n v="13800"/>
    <n v="13800"/>
    <s v="QS"/>
    <s v="Controller"/>
    <x v="37"/>
    <s v="4 to 6 hours a day"/>
    <n v="20"/>
  </r>
  <r>
    <s v="ID0578"/>
    <n v="22000"/>
    <s v="AUD"/>
    <n v="22438.012440857987"/>
    <n v="13787.709280369443"/>
    <n v="13787.709280369443"/>
    <s v="Sales Analyst"/>
    <s v="Analyst"/>
    <x v="19"/>
    <s v="4 to 6 hours a day"/>
    <n v="8"/>
  </r>
  <r>
    <s v="ID0188"/>
    <n v="13636"/>
    <s v="USD"/>
    <n v="13636"/>
    <n v="13636"/>
    <n v="13636"/>
    <s v="Process Manager"/>
    <s v="Manager"/>
    <x v="7"/>
    <s v="All the 8 hours baby, all the 8!"/>
    <s v="Data Not Avaliable"/>
  </r>
  <r>
    <s v="ID0021"/>
    <n v="13500"/>
    <s v="USD"/>
    <n v="13500"/>
    <n v="13500"/>
    <n v="13500"/>
    <s v="DSE Co-ordinator"/>
    <s v="Manager"/>
    <x v="7"/>
    <s v="4 to 6 hours a day"/>
    <s v="Data Not Avaliable"/>
  </r>
  <r>
    <s v="ID0776"/>
    <n v="13500"/>
    <s v="USD"/>
    <n v="13500"/>
    <n v="13500"/>
    <n v="13500"/>
    <s v="MIS"/>
    <s v="Reporting"/>
    <x v="7"/>
    <s v="All the 8 hours baby, all the 8!"/>
    <n v="2.5"/>
  </r>
  <r>
    <s v="ID1155"/>
    <n v="13500"/>
    <s v="USD"/>
    <n v="13500"/>
    <n v="13500"/>
    <n v="13500"/>
    <s v="Project manager"/>
    <s v="Manager"/>
    <x v="88"/>
    <s v="4 to 6 hours a day"/>
    <n v="13"/>
  </r>
  <r>
    <s v="ID1316"/>
    <n v="13500"/>
    <s v="USD"/>
    <n v="13500"/>
    <n v="13500"/>
    <n v="13500"/>
    <s v="Asst. Manager"/>
    <s v="Manager"/>
    <x v="7"/>
    <s v="2 to 3 hours per day"/>
    <n v="20"/>
  </r>
  <r>
    <s v="ID1818"/>
    <n v="280000"/>
    <s v="INR"/>
    <n v="4986.216672483919"/>
    <n v="13261.086257635567"/>
    <n v="13261.086257635567"/>
    <s v="Sales Cordinator"/>
    <s v="Analyst"/>
    <x v="7"/>
    <s v="All the 8 hours baby, all the 8!"/>
    <n v="8"/>
  </r>
  <r>
    <s v="ID0240"/>
    <n v="12000"/>
    <s v="EUR"/>
    <n v="15244.793267899293"/>
    <n v="13207.834631760627"/>
    <n v="13207.834631760627"/>
    <s v="HR Specialist"/>
    <s v="Specialist"/>
    <x v="49"/>
    <s v="All the 8 hours baby, all the 8!"/>
    <s v="Data Not Avaliable"/>
  </r>
  <r>
    <s v="ID0698"/>
    <n v="278400"/>
    <s v="INR"/>
    <n v="4957.7240057840108"/>
    <n v="13185.30862187765"/>
    <n v="13185.30862187765"/>
    <s v="Asst. Manager"/>
    <s v="Manager"/>
    <x v="7"/>
    <s v="4 to 6 hours a day"/>
    <n v="5"/>
  </r>
  <r>
    <s v="ID1503"/>
    <n v="278000"/>
    <s v="INR"/>
    <n v="4950.6008391090336"/>
    <n v="13166.36421293817"/>
    <n v="13166.36421293817"/>
    <s v="MIS Executive"/>
    <s v="Reporting"/>
    <x v="7"/>
    <s v="All the 8 hours baby, all the 8!"/>
    <n v="8"/>
  </r>
  <r>
    <s v="ID0810"/>
    <n v="13100"/>
    <s v="USD"/>
    <n v="13100"/>
    <n v="13100"/>
    <n v="13100"/>
    <s v="accountant"/>
    <s v="Accountant"/>
    <x v="7"/>
    <s v="2 to 3 hours per day"/>
    <n v="5"/>
  </r>
  <r>
    <s v="ID0267"/>
    <n v="276000"/>
    <s v="INR"/>
    <n v="4914.9850057341491"/>
    <n v="13071.642168240774"/>
    <n v="13071.642168240774"/>
    <s v="analyst"/>
    <s v="Analyst"/>
    <x v="7"/>
    <s v="All the 8 hours baby, all the 8!"/>
    <s v="Data Not Avaliable"/>
  </r>
  <r>
    <s v="ID0669"/>
    <n v="276000"/>
    <s v="INR"/>
    <n v="4914.9850057341491"/>
    <n v="13071.642168240774"/>
    <n v="13071.642168240774"/>
    <s v="Education Officer"/>
    <s v="Manager"/>
    <x v="52"/>
    <s v="1 or 2 hours a day"/>
    <n v="3"/>
  </r>
  <r>
    <s v="ID1914"/>
    <n v="276000"/>
    <s v="INR"/>
    <n v="4914.9850057341491"/>
    <n v="13071.642168240774"/>
    <n v="13071.642168240774"/>
    <s v="MIS specialist"/>
    <s v="Reporting"/>
    <x v="7"/>
    <s v="All the 8 hours baby, all the 8!"/>
    <n v="6"/>
  </r>
  <r>
    <s v="ID0201"/>
    <n v="275000"/>
    <s v="INR"/>
    <n v="4897.177089046706"/>
    <n v="13024.281145892075"/>
    <n v="13024.281145892075"/>
    <s v="low level monitoring"/>
    <s v="Analyst"/>
    <x v="7"/>
    <s v="2 to 3 hours per day"/>
    <s v="Data Not Avaliable"/>
  </r>
  <r>
    <s v="ID1334"/>
    <n v="275000"/>
    <s v="INR"/>
    <n v="4897.177089046706"/>
    <n v="13024.281145892075"/>
    <n v="13024.281145892075"/>
    <s v="TL WFM"/>
    <s v="Manager"/>
    <x v="7"/>
    <s v="All the 8 hours baby, all the 8!"/>
    <n v="4"/>
  </r>
  <r>
    <s v="ID0342"/>
    <n v="13000"/>
    <s v="USD"/>
    <n v="13000"/>
    <n v="13000"/>
    <n v="13000"/>
    <s v="operation-manager"/>
    <s v="Manager"/>
    <x v="7"/>
    <s v="All the 8 hours baby, all the 8!"/>
    <s v="Data Not Avaliable"/>
  </r>
  <r>
    <s v="ID0686"/>
    <n v="13000"/>
    <s v="USD"/>
    <n v="13000"/>
    <n v="13000"/>
    <n v="13000"/>
    <s v="Analyst"/>
    <s v="Analyst"/>
    <x v="7"/>
    <s v="1 or 2 hours a day"/>
    <n v="4"/>
  </r>
  <r>
    <s v="ID0838"/>
    <n v="13000"/>
    <s v="USD"/>
    <n v="13000"/>
    <n v="13000"/>
    <n v="13000"/>
    <s v="Business Analyst"/>
    <s v="Analyst"/>
    <x v="7"/>
    <s v="All the 8 hours baby, all the 8!"/>
    <n v="6"/>
  </r>
  <r>
    <s v="ID1621"/>
    <n v="13000"/>
    <s v="USD"/>
    <n v="13000"/>
    <n v="13000"/>
    <n v="13000"/>
    <s v="Dss Analyst"/>
    <s v="Analyst"/>
    <x v="10"/>
    <s v="All the 8 hours baby, all the 8!"/>
    <n v="4"/>
  </r>
  <r>
    <s v="ID1667"/>
    <n v="13000"/>
    <s v="USD"/>
    <n v="13000"/>
    <n v="13000"/>
    <n v="13000"/>
    <s v="logistics analyst"/>
    <s v="Analyst"/>
    <x v="89"/>
    <s v="All the 8 hours baby, all the 8!"/>
    <n v="6"/>
  </r>
  <r>
    <s v="ID1477"/>
    <n v="78000"/>
    <s v="ZAR"/>
    <n v="9509.8988293070688"/>
    <n v="12937.036362788491"/>
    <n v="12937.036362788491"/>
    <s v="Online Stats Controller"/>
    <s v="Controller"/>
    <x v="13"/>
    <s v="4 to 6 hours a day"/>
    <n v="2"/>
  </r>
  <r>
    <s v="ID1860"/>
    <n v="270000"/>
    <s v="INR"/>
    <n v="4808.137505609493"/>
    <n v="12787.476034148582"/>
    <n v="12787.476034148582"/>
    <s v="Team Lead"/>
    <s v="Manager"/>
    <x v="7"/>
    <s v="2 to 3 hours per day"/>
    <n v="5"/>
  </r>
  <r>
    <s v="ID1295"/>
    <n v="12500"/>
    <s v="USD"/>
    <n v="12500"/>
    <n v="12500"/>
    <n v="12500"/>
    <s v="Specialist"/>
    <s v="Specialist"/>
    <x v="36"/>
    <s v="2 to 3 hours per day"/>
    <n v="7"/>
  </r>
  <r>
    <s v="ID0684"/>
    <n v="260000"/>
    <s v="INR"/>
    <n v="4630.058338735068"/>
    <n v="12313.865810661599"/>
    <n v="12313.865810661599"/>
    <s v="Analyst"/>
    <s v="Analyst"/>
    <x v="7"/>
    <s v="4 to 6 hours a day"/>
    <n v="2"/>
  </r>
  <r>
    <s v="ID1745"/>
    <n v="258000"/>
    <s v="INR"/>
    <n v="4594.4425053601826"/>
    <n v="12219.143765964202"/>
    <n v="12219.143765964202"/>
    <s v="Senior Data Associate"/>
    <s v="Analyst"/>
    <x v="7"/>
    <s v="4 to 6 hours a day"/>
    <n v="4"/>
  </r>
  <r>
    <s v="ID0008"/>
    <n v="12000"/>
    <s v="USD"/>
    <n v="12000"/>
    <n v="12000"/>
    <n v="12000"/>
    <s v="Assistant SP&amp;A"/>
    <s v="Analyst"/>
    <x v="85"/>
    <s v="All the 8 hours baby, all the 8!"/>
    <s v="Data Not Avaliable"/>
  </r>
  <r>
    <s v="ID0048"/>
    <n v="12000"/>
    <s v="USD"/>
    <n v="12000"/>
    <n v="12000"/>
    <n v="12000"/>
    <s v="Freelance consultant"/>
    <s v="Consultant"/>
    <x v="8"/>
    <s v="1 or 2 hours a day"/>
    <s v="Data Not Avaliable"/>
  </r>
  <r>
    <s v="ID0130"/>
    <n v="12000"/>
    <s v="USD"/>
    <n v="12000"/>
    <n v="12000"/>
    <n v="12000"/>
    <s v="Freelance"/>
    <s v="Consultant"/>
    <x v="52"/>
    <s v="1 or 2 hours a day"/>
    <s v="Data Not Avaliable"/>
  </r>
  <r>
    <s v="ID0307"/>
    <n v="12000"/>
    <s v="USD"/>
    <n v="12000"/>
    <n v="12000"/>
    <n v="12000"/>
    <s v="Analyst"/>
    <s v="Analyst"/>
    <x v="7"/>
    <s v="All the 8 hours baby, all the 8!"/>
    <s v="Data Not Avaliable"/>
  </r>
  <r>
    <s v="ID0391"/>
    <n v="12000"/>
    <s v="USD"/>
    <n v="12000"/>
    <n v="12000"/>
    <n v="12000"/>
    <s v="MIS Officer"/>
    <s v="Reporting"/>
    <x v="13"/>
    <s v="4 to 6 hours a day"/>
    <s v="Data Not Avaliable"/>
  </r>
  <r>
    <s v="ID0424"/>
    <n v="12000"/>
    <s v="USD"/>
    <n v="12000"/>
    <n v="12000"/>
    <n v="12000"/>
    <s v="teacher"/>
    <s v="Analyst"/>
    <x v="66"/>
    <s v="2 to 3 hours per day"/>
    <s v="Data Not Avaliable"/>
  </r>
  <r>
    <s v="ID0476"/>
    <n v="12000"/>
    <s v="USD"/>
    <n v="12000"/>
    <n v="12000"/>
    <n v="12000"/>
    <s v="Resource managment Analyst"/>
    <s v="Analyst"/>
    <x v="90"/>
    <s v="All the 8 hours baby, all the 8!"/>
    <s v="Data Not Avaliable"/>
  </r>
  <r>
    <s v="ID0511"/>
    <n v="12000"/>
    <s v="USD"/>
    <n v="12000"/>
    <n v="12000"/>
    <n v="12000"/>
    <s v="Report Analyst"/>
    <s v="Analyst"/>
    <x v="10"/>
    <s v="All the 8 hours baby, all the 8!"/>
    <s v="Data Not Avaliable"/>
  </r>
  <r>
    <s v="ID0715"/>
    <n v="12000"/>
    <s v="USD"/>
    <n v="12000"/>
    <n v="12000"/>
    <n v="12000"/>
    <s v="tech operator (oil)"/>
    <s v="Analyst"/>
    <x v="31"/>
    <s v="4 to 6 hours a day"/>
    <n v="12"/>
  </r>
  <r>
    <s v="ID0825"/>
    <n v="12000"/>
    <s v="USD"/>
    <n v="12000"/>
    <n v="12000"/>
    <n v="12000"/>
    <s v="Investment manager"/>
    <s v="Manager"/>
    <x v="85"/>
    <s v="4 to 6 hours a day"/>
    <n v="5"/>
  </r>
  <r>
    <s v="ID0863"/>
    <n v="12000"/>
    <s v="USD"/>
    <n v="12000"/>
    <n v="12000"/>
    <n v="12000"/>
    <s v="Guide for About.com"/>
    <s v="Consultant"/>
    <x v="23"/>
    <s v="2 to 3 hours per day"/>
    <n v="15"/>
  </r>
  <r>
    <s v="ID0878"/>
    <n v="12000"/>
    <s v="USD"/>
    <n v="12000"/>
    <n v="12000"/>
    <n v="12000"/>
    <s v="sup"/>
    <s v="Manager"/>
    <x v="31"/>
    <s v="All the 8 hours baby, all the 8!"/>
    <n v="18"/>
  </r>
  <r>
    <s v="ID0997"/>
    <n v="12000"/>
    <s v="USD"/>
    <n v="12000"/>
    <n v="12000"/>
    <n v="12000"/>
    <s v="Manager"/>
    <s v="Manager"/>
    <x v="91"/>
    <s v="All the 8 hours baby, all the 8!"/>
    <n v="3"/>
  </r>
  <r>
    <s v="ID1052"/>
    <n v="12000"/>
    <s v="USD"/>
    <n v="12000"/>
    <n v="12000"/>
    <n v="12000"/>
    <s v="planning &amp; Sales Control emploee"/>
    <s v="Controller"/>
    <x v="66"/>
    <s v="4 to 6 hours a day"/>
    <n v="3"/>
  </r>
  <r>
    <s v="ID1058"/>
    <n v="12000"/>
    <s v="USD"/>
    <n v="12000"/>
    <n v="12000"/>
    <n v="12000"/>
    <s v="consultant"/>
    <s v="Consultant"/>
    <x v="7"/>
    <s v="2 to 3 hours per day"/>
    <n v="8"/>
  </r>
  <r>
    <s v="ID1297"/>
    <n v="12000"/>
    <s v="USD"/>
    <n v="12000"/>
    <n v="12000"/>
    <n v="12000"/>
    <s v="excel prof"/>
    <s v="Consultant"/>
    <x v="52"/>
    <s v="4 to 6 hours a day"/>
    <n v="1"/>
  </r>
  <r>
    <s v="ID1535"/>
    <n v="12000"/>
    <s v="USD"/>
    <n v="12000"/>
    <n v="12000"/>
    <n v="12000"/>
    <s v="Associate Analyst"/>
    <s v="Analyst"/>
    <x v="92"/>
    <s v="2 to 3 hours per day"/>
    <n v="0"/>
  </r>
  <r>
    <s v="ID1648"/>
    <n v="12000"/>
    <s v="USD"/>
    <n v="12000"/>
    <n v="12000"/>
    <n v="12000"/>
    <s v="MIS "/>
    <s v="Reporting"/>
    <x v="7"/>
    <s v="All the 8 hours baby, all the 8!"/>
    <n v="3"/>
  </r>
  <r>
    <s v="ID1680"/>
    <n v="12000"/>
    <s v="USD"/>
    <n v="12000"/>
    <n v="12000"/>
    <n v="12000"/>
    <s v="Waiter"/>
    <s v="Analyst"/>
    <x v="8"/>
    <s v="2 to 3 hours per day"/>
    <n v="1"/>
  </r>
  <r>
    <s v="ID1780"/>
    <n v="12000"/>
    <s v="USD"/>
    <n v="12000"/>
    <n v="12000"/>
    <n v="12000"/>
    <s v="project engineer "/>
    <s v="Engineer"/>
    <x v="7"/>
    <s v="2 to 3 hours per day"/>
    <n v="7"/>
  </r>
  <r>
    <s v="ID1048"/>
    <n v="252000"/>
    <s v="INR"/>
    <n v="4487.5950052355274"/>
    <n v="11934.977631872011"/>
    <n v="11934.977631872011"/>
    <s v="Accounts Exec"/>
    <s v="Accountant"/>
    <x v="7"/>
    <s v="1 or 2 hours a day"/>
    <n v="5"/>
  </r>
  <r>
    <s v="ID1123"/>
    <n v="252000"/>
    <s v="INR"/>
    <n v="4487.5950052355274"/>
    <n v="11934.977631872011"/>
    <n v="11934.977631872011"/>
    <s v="Inventory Manager"/>
    <s v="Manager"/>
    <x v="7"/>
    <s v="1 or 2 hours a day"/>
    <n v="16"/>
  </r>
  <r>
    <s v="ID0678"/>
    <n v="250000"/>
    <s v="INR"/>
    <n v="4451.9791718606421"/>
    <n v="11840.255587174614"/>
    <n v="11840.255587174614"/>
    <s v="ASM"/>
    <s v="Manager"/>
    <x v="7"/>
    <s v="2 to 3 hours per day"/>
    <n v="5"/>
  </r>
  <r>
    <s v="ID0696"/>
    <n v="250000"/>
    <s v="INR"/>
    <n v="4451.9791718606421"/>
    <n v="11840.255587174614"/>
    <n v="11840.255587174614"/>
    <s v="MIS executive"/>
    <s v="Reporting"/>
    <x v="7"/>
    <s v="All the 8 hours baby, all the 8!"/>
    <n v="4"/>
  </r>
  <r>
    <s v="ID0726"/>
    <n v="250000"/>
    <s v="INR"/>
    <n v="4451.9791718606421"/>
    <n v="11840.255587174614"/>
    <n v="11840.255587174614"/>
    <s v="Asst. Manager"/>
    <s v="Manager"/>
    <x v="7"/>
    <s v="4 to 6 hours a day"/>
    <n v="6"/>
  </r>
  <r>
    <s v="ID1078"/>
    <n v="250000"/>
    <s v="INR"/>
    <n v="4451.9791718606421"/>
    <n v="11840.255587174614"/>
    <n v="11840.255587174614"/>
    <s v="SR. MIS "/>
    <s v="Reporting"/>
    <x v="7"/>
    <s v="All the 8 hours baby, all the 8!"/>
    <n v="3.5"/>
  </r>
  <r>
    <s v="ID1090"/>
    <n v="250000"/>
    <s v="INR"/>
    <n v="4451.9791718606421"/>
    <n v="11840.255587174614"/>
    <n v="11840.255587174614"/>
    <s v="MIS Executive"/>
    <s v="Reporting"/>
    <x v="7"/>
    <s v="2 to 3 hours per day"/>
    <n v="3"/>
  </r>
  <r>
    <s v="ID1207"/>
    <n v="250000"/>
    <s v="INR"/>
    <n v="4451.9791718606421"/>
    <n v="11840.255587174614"/>
    <n v="11840.255587174614"/>
    <s v="Officer Production"/>
    <s v="Manager"/>
    <x v="7"/>
    <s v="4 to 6 hours a day"/>
    <n v="1"/>
  </r>
  <r>
    <s v="ID1360"/>
    <n v="250000"/>
    <s v="INR"/>
    <n v="4451.9791718606421"/>
    <n v="11840.255587174614"/>
    <n v="11840.255587174614"/>
    <s v="Credit Executive"/>
    <s v="Analyst"/>
    <x v="7"/>
    <s v="All the 8 hours baby, all the 8!"/>
    <n v="8"/>
  </r>
  <r>
    <s v="ID1390"/>
    <n v="250000"/>
    <s v="INR"/>
    <n v="4451.9791718606421"/>
    <n v="11840.255587174614"/>
    <n v="11840.255587174614"/>
    <s v="Manager"/>
    <s v="Manager"/>
    <x v="7"/>
    <s v="1 or 2 hours a day"/>
    <n v="15"/>
  </r>
  <r>
    <s v="ID1464"/>
    <n v="250000"/>
    <s v="INR"/>
    <n v="4451.9791718606421"/>
    <n v="11840.255587174614"/>
    <n v="11840.255587174614"/>
    <s v="Manager Commercial"/>
    <s v="Manager"/>
    <x v="7"/>
    <s v="2 to 3 hours per day"/>
    <n v="15"/>
  </r>
  <r>
    <s v="ID1590"/>
    <n v="250000"/>
    <s v="INR"/>
    <n v="4451.9791718606421"/>
    <n v="11840.255587174614"/>
    <n v="11840.255587174614"/>
    <s v="Analytics engineer"/>
    <s v="Engineer"/>
    <x v="7"/>
    <s v="4 to 6 hours a day"/>
    <n v="2.5"/>
  </r>
  <r>
    <s v="ID1903"/>
    <n v="250000"/>
    <s v="INR"/>
    <n v="4451.9791718606421"/>
    <n v="11840.255587174614"/>
    <n v="11840.255587174614"/>
    <s v="MIS EXECUTIVE"/>
    <s v="Reporting"/>
    <x v="7"/>
    <s v="4 to 6 hours a day"/>
    <n v="3"/>
  </r>
  <r>
    <s v="ID1916"/>
    <n v="250000"/>
    <s v="INR"/>
    <n v="4451.9791718606421"/>
    <n v="11840.255587174614"/>
    <n v="11840.255587174614"/>
    <s v="research associate"/>
    <s v="Analyst"/>
    <x v="7"/>
    <s v="Excel ?!? What Excel?"/>
    <n v="1.6"/>
  </r>
  <r>
    <s v="ID1280"/>
    <n v="11800"/>
    <s v="USD"/>
    <n v="11800"/>
    <n v="11800"/>
    <n v="11800"/>
    <s v="Assistant Data Analyst"/>
    <s v="Analyst"/>
    <x v="7"/>
    <s v="4 to 6 hours a day"/>
    <n v="10"/>
  </r>
  <r>
    <s v="ID1124"/>
    <n v="242304"/>
    <s v="INR"/>
    <n v="4314.929445034084"/>
    <n v="11475.765159179031"/>
    <n v="11475.765159179031"/>
    <s v="accountant"/>
    <s v="Accountant"/>
    <x v="7"/>
    <s v="4 to 6 hours a day"/>
    <n v="7"/>
  </r>
  <r>
    <s v="ID0348"/>
    <n v="11400"/>
    <s v="USD"/>
    <n v="11400"/>
    <n v="11400"/>
    <n v="11400"/>
    <s v="Advisor"/>
    <s v="Consultant"/>
    <x v="10"/>
    <s v="4 to 6 hours a day"/>
    <s v="Data Not Avaliable"/>
  </r>
  <r>
    <s v="ID0427"/>
    <n v="240000"/>
    <s v="INR"/>
    <n v="4273.9000049862161"/>
    <n v="11366.645363687629"/>
    <n v="11366.645363687629"/>
    <s v="WFM Team Lead"/>
    <s v="Manager"/>
    <x v="7"/>
    <s v="All the 8 hours baby, all the 8!"/>
    <s v="Data Not Avaliable"/>
  </r>
  <r>
    <s v="ID0603"/>
    <n v="240000"/>
    <s v="INR"/>
    <n v="4273.9000049862161"/>
    <n v="11366.645363687629"/>
    <n v="11366.645363687629"/>
    <s v="Talati"/>
    <s v="Analyst"/>
    <x v="7"/>
    <s v="2 to 3 hours per day"/>
    <n v="5"/>
  </r>
  <r>
    <s v="ID0754"/>
    <n v="240000"/>
    <s v="INR"/>
    <n v="4273.9000049862161"/>
    <n v="11366.645363687629"/>
    <n v="11366.645363687629"/>
    <s v="SR. ACCOUNTS EXECUTIVE"/>
    <s v="Accountant"/>
    <x v="7"/>
    <s v="4 to 6 hours a day"/>
    <n v="8"/>
  </r>
  <r>
    <s v="ID0760"/>
    <n v="240000"/>
    <s v="INR"/>
    <n v="4273.9000049862161"/>
    <n v="11366.645363687629"/>
    <n v="11366.645363687629"/>
    <s v="EXECUTIVE"/>
    <s v="Analyst"/>
    <x v="7"/>
    <s v="2 to 3 hours per day"/>
    <n v="20"/>
  </r>
  <r>
    <s v="ID0787"/>
    <n v="240000"/>
    <s v="INR"/>
    <n v="4273.9000049862161"/>
    <n v="11366.645363687629"/>
    <n v="11366.645363687629"/>
    <s v="Analyst"/>
    <s v="Analyst"/>
    <x v="7"/>
    <s v="All the 8 hours baby, all the 8!"/>
    <n v="4"/>
  </r>
  <r>
    <s v="ID0813"/>
    <n v="240000"/>
    <s v="INR"/>
    <n v="4273.9000049862161"/>
    <n v="11366.645363687629"/>
    <n v="11366.645363687629"/>
    <s v="MANAGER"/>
    <s v="Manager"/>
    <x v="7"/>
    <s v="2 to 3 hours per day"/>
    <n v="3"/>
  </r>
  <r>
    <s v="ID1089"/>
    <n v="240000"/>
    <s v="INR"/>
    <n v="4273.9000049862161"/>
    <n v="11366.645363687629"/>
    <n v="11366.645363687629"/>
    <s v="Executive"/>
    <s v="Analyst"/>
    <x v="7"/>
    <s v="2 to 3 hours per day"/>
    <n v="3"/>
  </r>
  <r>
    <s v="ID1099"/>
    <n v="240000"/>
    <s v="INR"/>
    <n v="4273.9000049862161"/>
    <n v="11366.645363687629"/>
    <n v="11366.645363687629"/>
    <s v="Accountant"/>
    <s v="Accountant"/>
    <x v="7"/>
    <s v="All the 8 hours baby, all the 8!"/>
    <n v="20"/>
  </r>
  <r>
    <s v="ID1660"/>
    <n v="240000"/>
    <s v="INR"/>
    <n v="4273.9000049862161"/>
    <n v="11366.645363687629"/>
    <n v="11366.645363687629"/>
    <s v="Exicutive TQM"/>
    <s v="Controller"/>
    <x v="7"/>
    <s v="2 to 3 hours per day"/>
    <n v="15"/>
  </r>
  <r>
    <s v="ID1034"/>
    <n v="456000"/>
    <s v="PKR"/>
    <n v="4840.0244548604041"/>
    <n v="11230.394024465944"/>
    <n v="11230.394024465944"/>
    <s v="Strategic Planning Executive"/>
    <s v="Manager"/>
    <x v="52"/>
    <s v="4 to 6 hours a day"/>
    <n v="2"/>
  </r>
  <r>
    <s v="ID0197"/>
    <n v="233000"/>
    <s v="INR"/>
    <n v="4149.2445881741187"/>
    <n v="11035.11820724674"/>
    <n v="11035.11820724674"/>
    <s v="Asst. Manager (MIS)"/>
    <s v="Manager"/>
    <x v="7"/>
    <s v="All the 8 hours baby, all the 8!"/>
    <s v="Data Not Avaliable"/>
  </r>
  <r>
    <s v="ID0756"/>
    <n v="11000"/>
    <s v="USD"/>
    <n v="11000"/>
    <n v="11000"/>
    <n v="11000"/>
    <s v="Assistant Manager - Group MIS"/>
    <s v="Manager"/>
    <x v="37"/>
    <s v="All the 8 hours baby, all the 8!"/>
    <n v="4.5"/>
  </r>
  <r>
    <s v="ID1576"/>
    <n v="11000"/>
    <s v="USD"/>
    <n v="11000"/>
    <n v="11000"/>
    <n v="11000"/>
    <s v="Coordinator"/>
    <s v="Manager"/>
    <x v="27"/>
    <s v="4 to 6 hours a day"/>
    <n v="2"/>
  </r>
  <r>
    <s v="ID1670"/>
    <n v="11000"/>
    <s v="USD"/>
    <n v="11000"/>
    <n v="11000"/>
    <n v="11000"/>
    <s v="Dataminer"/>
    <s v="Analyst"/>
    <x v="93"/>
    <s v="4 to 6 hours a day"/>
    <n v="8"/>
  </r>
  <r>
    <s v="ID1793"/>
    <n v="11000"/>
    <s v="USD"/>
    <n v="11000"/>
    <n v="11000"/>
    <n v="11000"/>
    <s v="Web Analyst"/>
    <s v="Analyst"/>
    <x v="7"/>
    <s v="4 to 6 hours a day"/>
    <n v="2"/>
  </r>
  <r>
    <s v="ID1866"/>
    <n v="11000"/>
    <s v="USD"/>
    <n v="11000"/>
    <n v="11000"/>
    <n v="11000"/>
    <s v="AM"/>
    <s v="Manager"/>
    <x v="7"/>
    <s v="All the 8 hours baby, all the 8!"/>
    <n v="8"/>
  </r>
  <r>
    <s v="ID0668"/>
    <n v="230000"/>
    <s v="INR"/>
    <n v="4095.8208381117906"/>
    <n v="10893.035140200645"/>
    <n v="10893.035140200645"/>
    <s v="MIS Executive"/>
    <s v="Reporting"/>
    <x v="7"/>
    <s v="All the 8 hours baby, all the 8!"/>
    <n v="3"/>
  </r>
  <r>
    <s v="ID1474"/>
    <n v="230000"/>
    <s v="INR"/>
    <n v="4095.8208381117906"/>
    <n v="10893.035140200645"/>
    <n v="10893.035140200645"/>
    <s v="Process Assocaite"/>
    <s v="Analyst"/>
    <x v="7"/>
    <s v="4 to 6 hours a day"/>
    <n v="1.6"/>
  </r>
  <r>
    <s v="ID1028"/>
    <n v="10800"/>
    <s v="USD"/>
    <n v="10800"/>
    <n v="10800"/>
    <n v="10800"/>
    <s v="Project Managment Office"/>
    <s v="Manager"/>
    <x v="52"/>
    <s v="All the 8 hours baby, all the 8!"/>
    <n v="5"/>
  </r>
  <r>
    <s v="ID0758"/>
    <n v="225000"/>
    <s v="INR"/>
    <n v="4006.7812546745777"/>
    <n v="10656.230028457152"/>
    <n v="10656.230028457152"/>
    <s v="MIS Executive"/>
    <s v="Reporting"/>
    <x v="7"/>
    <s v="All the 8 hours baby, all the 8!"/>
    <n v="5.5"/>
  </r>
  <r>
    <s v="ID1578"/>
    <n v="240000"/>
    <s v="PHP"/>
    <n v="5689.2125418690484"/>
    <n v="10421.454096092093"/>
    <n v="10421.454096092093"/>
    <s v="IT Coordinator"/>
    <s v="Manager"/>
    <x v="36"/>
    <s v="4 to 6 hours a day"/>
    <n v="15"/>
  </r>
  <r>
    <s v="ID0682"/>
    <n v="220000"/>
    <s v="INR"/>
    <n v="3917.7416712373652"/>
    <n v="10419.42491671366"/>
    <n v="10419.42491671366"/>
    <s v="Accounts Payable Analyst"/>
    <s v="Analyst"/>
    <x v="7"/>
    <s v="2 to 3 hours per day"/>
    <n v="3"/>
  </r>
  <r>
    <s v="ID0775"/>
    <n v="220000"/>
    <s v="INR"/>
    <n v="3917.7416712373652"/>
    <n v="10419.42491671366"/>
    <n v="10419.42491671366"/>
    <s v="Associate Software Engineer"/>
    <s v="Engineer"/>
    <x v="7"/>
    <s v="4 to 6 hours a day"/>
    <n v="2"/>
  </r>
  <r>
    <s v="ID0886"/>
    <n v="420000"/>
    <s v="PKR"/>
    <n v="4457.9172610556352"/>
    <n v="10343.783969902843"/>
    <n v="10343.783969902843"/>
    <s v="Assistant Manager"/>
    <s v="Manager"/>
    <x v="52"/>
    <s v="All the 8 hours baby, all the 8!"/>
    <n v="4"/>
  </r>
  <r>
    <s v="ID0675"/>
    <n v="10200"/>
    <s v="USD"/>
    <n v="10200"/>
    <n v="10200"/>
    <n v="10200"/>
    <s v="business analyst"/>
    <s v="Analyst"/>
    <x v="7"/>
    <s v="4 to 6 hours a day"/>
    <n v="4.5"/>
  </r>
  <r>
    <s v="ID0628"/>
    <n v="10000"/>
    <s v="USD"/>
    <n v="10000"/>
    <n v="10000"/>
    <n v="10000"/>
    <s v="executive"/>
    <s v="Manager"/>
    <x v="33"/>
    <s v="2 to 3 hours per day"/>
    <n v="5"/>
  </r>
  <r>
    <s v="ID0707"/>
    <n v="10000"/>
    <s v="USD"/>
    <n v="10000"/>
    <n v="10000"/>
    <n v="10000"/>
    <s v="Executive"/>
    <s v="Manager"/>
    <x v="7"/>
    <s v="4 to 6 hours a day"/>
    <n v="2"/>
  </r>
  <r>
    <s v="ID0745"/>
    <n v="10000"/>
    <s v="USD"/>
    <n v="10000"/>
    <n v="10000"/>
    <n v="10000"/>
    <s v="Reporting Analyst"/>
    <s v="Analyst"/>
    <x v="7"/>
    <s v="4 to 6 hours a day"/>
    <n v="12"/>
  </r>
  <r>
    <s v="ID0789"/>
    <n v="10000"/>
    <s v="USD"/>
    <n v="10000"/>
    <n v="10000"/>
    <n v="10000"/>
    <s v="BDM"/>
    <s v="Manager"/>
    <x v="7"/>
    <s v="1 or 2 hours a day"/>
    <n v="12"/>
  </r>
  <r>
    <s v="ID0890"/>
    <n v="10000"/>
    <s v="USD"/>
    <n v="10000"/>
    <n v="10000"/>
    <n v="10000"/>
    <s v="Finance Staff"/>
    <s v="Accountant"/>
    <x v="94"/>
    <s v="4 to 6 hours a day"/>
    <n v="4"/>
  </r>
  <r>
    <s v="ID0905"/>
    <n v="10000"/>
    <s v="USD"/>
    <n v="10000"/>
    <n v="10000"/>
    <n v="10000"/>
    <s v="Planner"/>
    <s v="Manager"/>
    <x v="7"/>
    <s v="4 to 6 hours a day"/>
    <n v="6"/>
  </r>
  <r>
    <s v="ID1140"/>
    <n v="10000"/>
    <s v="USD"/>
    <n v="10000"/>
    <n v="10000"/>
    <n v="10000"/>
    <s v="Business analyst"/>
    <s v="Analyst"/>
    <x v="7"/>
    <s v="2 to 3 hours per day"/>
    <n v="5"/>
  </r>
  <r>
    <s v="ID1326"/>
    <n v="10000"/>
    <s v="USD"/>
    <n v="10000"/>
    <n v="10000"/>
    <n v="10000"/>
    <s v="MIS"/>
    <s v="Reporting"/>
    <x v="7"/>
    <s v="1 or 2 hours a day"/>
    <n v="0.5"/>
  </r>
  <r>
    <s v="ID1510"/>
    <n v="10000"/>
    <s v="USD"/>
    <n v="10000"/>
    <n v="10000"/>
    <n v="10000"/>
    <s v="Trainee"/>
    <s v="Analyst"/>
    <x v="10"/>
    <s v="4 to 6 hours a day"/>
    <n v="1"/>
  </r>
  <r>
    <s v="ID1533"/>
    <n v="10000"/>
    <s v="USD"/>
    <n v="10000"/>
    <n v="10000"/>
    <n v="10000"/>
    <s v="Project management"/>
    <s v="Manager"/>
    <x v="95"/>
    <s v="2 to 3 hours per day"/>
    <n v="8"/>
  </r>
  <r>
    <s v="ID1602"/>
    <n v="10000"/>
    <s v="USD"/>
    <n v="10000"/>
    <n v="10000"/>
    <n v="10000"/>
    <s v="MIS"/>
    <s v="Reporting"/>
    <x v="7"/>
    <s v="All the 8 hours baby, all the 8!"/>
    <n v="6"/>
  </r>
  <r>
    <s v="ID1604"/>
    <n v="10000"/>
    <s v="USD"/>
    <n v="10000"/>
    <n v="10000"/>
    <n v="10000"/>
    <s v="dgm"/>
    <s v="Manager"/>
    <x v="7"/>
    <s v="All the 8 hours baby, all the 8!"/>
    <n v="12"/>
  </r>
  <r>
    <s v="ID1653"/>
    <n v="10000"/>
    <s v="USD"/>
    <n v="10000"/>
    <n v="10000"/>
    <n v="10000"/>
    <s v="ceo"/>
    <s v="CXO or Top Mgmt."/>
    <x v="7"/>
    <s v="All the 8 hours baby, all the 8!"/>
    <n v="1"/>
  </r>
  <r>
    <s v="ID1657"/>
    <n v="10000"/>
    <s v="USD"/>
    <n v="10000"/>
    <n v="10000"/>
    <n v="10000"/>
    <s v="MIS Executive"/>
    <s v="Reporting"/>
    <x v="7"/>
    <s v="All the 8 hours baby, all the 8!"/>
    <n v="2"/>
  </r>
  <r>
    <s v="ID1711"/>
    <n v="10000"/>
    <s v="USD"/>
    <n v="10000"/>
    <n v="10000"/>
    <n v="10000"/>
    <s v="Student assistant"/>
    <s v="Analyst"/>
    <x v="8"/>
    <s v="4 to 6 hours a day"/>
    <n v="2"/>
  </r>
  <r>
    <s v="ID1735"/>
    <n v="10000"/>
    <s v="USD"/>
    <n v="10000"/>
    <n v="10000"/>
    <n v="10000"/>
    <s v="AGM - Operations &amp; Customer Support"/>
    <s v="Manager"/>
    <x v="7"/>
    <s v="4 to 6 hours a day"/>
    <n v="11"/>
  </r>
  <r>
    <s v="ID1353"/>
    <n v="9067"/>
    <s v="EUR"/>
    <n v="11518.711713336908"/>
    <n v="9979.6197171811327"/>
    <n v="9979.6197171811327"/>
    <s v="assistant"/>
    <s v="Analyst"/>
    <x v="59"/>
    <s v="2 to 3 hours per day"/>
    <n v="3"/>
  </r>
  <r>
    <s v="ID1036"/>
    <n v="210000"/>
    <s v="INR"/>
    <n v="3739.6625043629392"/>
    <n v="9945.8146932266754"/>
    <n v="9945.8146932266754"/>
    <s v="MIS executive"/>
    <s v="Reporting"/>
    <x v="7"/>
    <s v="All the 8 hours baby, all the 8!"/>
    <n v="3.5"/>
  </r>
  <r>
    <s v="ID1125"/>
    <n v="210000"/>
    <s v="INR"/>
    <n v="3739.6625043629392"/>
    <n v="9945.8146932266754"/>
    <n v="9945.8146932266754"/>
    <s v="information Analyst"/>
    <s v="Analyst"/>
    <x v="7"/>
    <s v="All the 8 hours baby, all the 8!"/>
    <n v="1"/>
  </r>
  <r>
    <s v="ID1311"/>
    <n v="210000"/>
    <s v="INR"/>
    <n v="3739.6625043629392"/>
    <n v="9945.8146932266754"/>
    <n v="9945.8146932266754"/>
    <s v="MIS cum Purchase Executive"/>
    <s v="Reporting"/>
    <x v="7"/>
    <s v="1 or 2 hours a day"/>
    <n v="4.5"/>
  </r>
  <r>
    <s v="ID0771"/>
    <n v="205000"/>
    <s v="INR"/>
    <n v="3650.6229209257262"/>
    <n v="9709.009581483182"/>
    <n v="9709.009581483182"/>
    <s v="BRANCH ACCOUNTANT"/>
    <s v="Accountant"/>
    <x v="7"/>
    <s v="All the 8 hours baby, all the 8!"/>
    <n v="10"/>
  </r>
  <r>
    <s v="ID0998"/>
    <n v="204000"/>
    <s v="INR"/>
    <n v="3632.815004238284"/>
    <n v="9661.6485591344845"/>
    <n v="9661.6485591344845"/>
    <s v="Retired Government Officer, having knowledge in excel."/>
    <s v="Manager"/>
    <x v="7"/>
    <s v="4 to 6 hours a day"/>
    <n v="0"/>
  </r>
  <r>
    <s v="ID1330"/>
    <n v="204000"/>
    <s v="INR"/>
    <n v="3632.815004238284"/>
    <n v="9661.6485591344845"/>
    <n v="9661.6485591344845"/>
    <s v="MIS Associate"/>
    <s v="Reporting"/>
    <x v="7"/>
    <s v="All the 8 hours baby, all the 8!"/>
    <n v="2"/>
  </r>
  <r>
    <s v="ID0727"/>
    <n v="9600"/>
    <s v="USD"/>
    <n v="9600"/>
    <n v="9600"/>
    <n v="9600"/>
    <s v="Admin"/>
    <s v="Analyst"/>
    <x v="13"/>
    <s v="4 to 6 hours a day"/>
    <n v="2"/>
  </r>
  <r>
    <s v="ID1524"/>
    <n v="9600"/>
    <s v="USD"/>
    <n v="9600"/>
    <n v="9600"/>
    <n v="9600"/>
    <s v="Reporting Analyst"/>
    <s v="Analyst"/>
    <x v="96"/>
    <s v="All the 8 hours baby, all the 8!"/>
    <n v="2"/>
  </r>
  <r>
    <s v="ID0230"/>
    <n v="200000"/>
    <s v="INR"/>
    <n v="3561.5833374885137"/>
    <n v="9472.2044697396905"/>
    <n v="9472.2044697396905"/>
    <s v="medical biller"/>
    <s v="Analyst"/>
    <x v="7"/>
    <s v="1 or 2 hours a day"/>
    <s v="Data Not Avaliable"/>
  </r>
  <r>
    <s v="ID0420"/>
    <n v="200000"/>
    <s v="INR"/>
    <n v="3561.5833374885137"/>
    <n v="9472.2044697396905"/>
    <n v="9472.2044697396905"/>
    <s v="Consultant"/>
    <s v="Consultant"/>
    <x v="7"/>
    <s v="1 or 2 hours a day"/>
    <s v="Data Not Avaliable"/>
  </r>
  <r>
    <s v="ID0497"/>
    <n v="200000"/>
    <s v="INR"/>
    <n v="3561.5833374885137"/>
    <n v="9472.2044697396905"/>
    <n v="9472.2044697396905"/>
    <s v="chemist"/>
    <s v="Analyst"/>
    <x v="7"/>
    <s v="2 to 3 hours per day"/>
    <s v="Data Not Avaliable"/>
  </r>
  <r>
    <s v="ID0636"/>
    <n v="200000"/>
    <s v="INR"/>
    <n v="3561.5833374885137"/>
    <n v="9472.2044697396905"/>
    <n v="9472.2044697396905"/>
    <s v="Auditor"/>
    <s v="Accountant"/>
    <x v="7"/>
    <s v="4 to 6 hours a day"/>
    <n v="3"/>
  </r>
  <r>
    <s v="ID0665"/>
    <n v="200000"/>
    <s v="INR"/>
    <n v="3561.5833374885137"/>
    <n v="9472.2044697396905"/>
    <n v="9472.2044697396905"/>
    <s v="MIS EXECUTIVE"/>
    <s v="Reporting"/>
    <x v="7"/>
    <s v="All the 8 hours baby, all the 8!"/>
    <n v="3"/>
  </r>
  <r>
    <s v="ID0846"/>
    <n v="200000"/>
    <s v="INR"/>
    <n v="3561.5833374885137"/>
    <n v="9472.2044697396905"/>
    <n v="9472.2044697396905"/>
    <s v="Bio-Statiscian"/>
    <s v="Reporting"/>
    <x v="7"/>
    <s v="4 to 6 hours a day"/>
    <n v="1"/>
  </r>
  <r>
    <s v="ID0848"/>
    <n v="200000"/>
    <s v="INR"/>
    <n v="3561.5833374885137"/>
    <n v="9472.2044697396905"/>
    <n v="9472.2044697396905"/>
    <s v="Sales Analyst"/>
    <s v="Analyst"/>
    <x v="7"/>
    <s v="4 to 6 hours a day"/>
    <n v="2"/>
  </r>
  <r>
    <s v="ID1046"/>
    <n v="200000"/>
    <s v="INR"/>
    <n v="3561.5833374885137"/>
    <n v="9472.2044697396905"/>
    <n v="9472.2044697396905"/>
    <s v="Monitoring &amp; evaluation officer"/>
    <s v="Manager"/>
    <x v="7"/>
    <s v="All the 8 hours baby, all the 8!"/>
    <n v="8"/>
  </r>
  <r>
    <s v="ID1065"/>
    <n v="200000"/>
    <s v="INR"/>
    <n v="3561.5833374885137"/>
    <n v="9472.2044697396905"/>
    <n v="9472.2044697396905"/>
    <s v="Business Development Executive"/>
    <s v="Manager"/>
    <x v="7"/>
    <s v="2 to 3 hours per day"/>
    <n v="5"/>
  </r>
  <r>
    <s v="ID1066"/>
    <n v="200000"/>
    <s v="INR"/>
    <n v="3561.5833374885137"/>
    <n v="9472.2044697396905"/>
    <n v="9472.2044697396905"/>
    <s v="MIS Executive"/>
    <s v="Reporting"/>
    <x v="7"/>
    <s v="4 to 6 hours a day"/>
    <n v="3"/>
  </r>
  <r>
    <s v="ID1142"/>
    <n v="200000"/>
    <s v="INR"/>
    <n v="3561.5833374885137"/>
    <n v="9472.2044697396905"/>
    <n v="9472.2044697396905"/>
    <s v="MIS Sr. Executive"/>
    <s v="Reporting"/>
    <x v="7"/>
    <s v="All the 8 hours baby, all the 8!"/>
    <n v="5"/>
  </r>
  <r>
    <s v="ID1178"/>
    <n v="200000"/>
    <s v="INR"/>
    <n v="3561.5833374885137"/>
    <n v="9472.2044697396905"/>
    <n v="9472.2044697396905"/>
    <s v="Associate"/>
    <s v="Analyst"/>
    <x v="7"/>
    <s v="1 or 2 hours a day"/>
    <n v="6"/>
  </r>
  <r>
    <s v="ID1313"/>
    <n v="200000"/>
    <s v="INR"/>
    <n v="3561.5833374885137"/>
    <n v="9472.2044697396905"/>
    <n v="9472.2044697396905"/>
    <s v="MIS"/>
    <s v="Reporting"/>
    <x v="7"/>
    <s v="2 to 3 hours per day"/>
    <n v="3"/>
  </r>
  <r>
    <s v="ID1469"/>
    <n v="200000"/>
    <s v="INR"/>
    <n v="3561.5833374885137"/>
    <n v="9472.2044697396905"/>
    <n v="9472.2044697396905"/>
    <s v="Executive"/>
    <s v="Analyst"/>
    <x v="7"/>
    <s v="4 to 6 hours a day"/>
    <n v="11"/>
  </r>
  <r>
    <s v="ID1536"/>
    <n v="200000"/>
    <s v="INR"/>
    <n v="3561.5833374885137"/>
    <n v="9472.2044697396905"/>
    <n v="9472.2044697396905"/>
    <s v="Accounts Executive"/>
    <s v="Accountant"/>
    <x v="7"/>
    <s v="All the 8 hours baby, all the 8!"/>
    <n v="3"/>
  </r>
  <r>
    <s v="ID1687"/>
    <n v="200000"/>
    <s v="INR"/>
    <n v="3561.5833374885137"/>
    <n v="9472.2044697396905"/>
    <n v="9472.2044697396905"/>
    <s v="Executive"/>
    <s v="Analyst"/>
    <x v="7"/>
    <s v="1 or 2 hours a day"/>
    <n v="16"/>
  </r>
  <r>
    <s v="ID1136"/>
    <n v="216000"/>
    <s v="PHP"/>
    <n v="5120.2912876821438"/>
    <n v="9379.3086864828838"/>
    <n v="9379.3086864828838"/>
    <s v="Planner"/>
    <s v="Manager"/>
    <x v="36"/>
    <s v="4 to 6 hours a day"/>
    <n v="2"/>
  </r>
  <r>
    <s v="ID0202"/>
    <n v="192000"/>
    <s v="INR"/>
    <n v="3419.1200039889732"/>
    <n v="9093.3162909501043"/>
    <n v="9093.3162909501043"/>
    <s v="Administrative"/>
    <s v="Analyst"/>
    <x v="7"/>
    <s v="All the 8 hours baby, all the 8!"/>
    <s v="Data Not Avaliable"/>
  </r>
  <r>
    <s v="ID1683"/>
    <n v="192000"/>
    <s v="INR"/>
    <n v="3419.1200039889732"/>
    <n v="9093.3162909501043"/>
    <n v="9093.3162909501043"/>
    <s v="Sr Associate"/>
    <s v="Analyst"/>
    <x v="7"/>
    <s v="4 to 6 hours a day"/>
    <n v="5"/>
  </r>
  <r>
    <s v="ID1229"/>
    <n v="9000"/>
    <s v="USD"/>
    <n v="9000"/>
    <n v="9000"/>
    <n v="9000"/>
    <s v="assurance manager"/>
    <s v="Manager"/>
    <x v="7"/>
    <s v="4 to 6 hours a day"/>
    <n v="1"/>
  </r>
  <r>
    <s v="ID1327"/>
    <n v="9000"/>
    <s v="USD"/>
    <n v="9000"/>
    <n v="9000"/>
    <n v="9000"/>
    <s v="Data Analyst"/>
    <s v="Analyst"/>
    <x v="7"/>
    <s v="All the 8 hours baby, all the 8!"/>
    <n v="0.6"/>
  </r>
  <r>
    <s v="ID1328"/>
    <n v="9000"/>
    <s v="USD"/>
    <n v="9000"/>
    <n v="9000"/>
    <n v="9000"/>
    <s v="Data Analyst"/>
    <s v="Analyst"/>
    <x v="7"/>
    <s v="4 to 6 hours a day"/>
    <n v="1"/>
  </r>
  <r>
    <s v="ID1904"/>
    <n v="52224"/>
    <s v="ETB"/>
    <n v="2953.8461538461538"/>
    <n v="8966.4389360319747"/>
    <n v="8966.4389360319747"/>
    <s v="Project Costing &amp;Dashboard reporting"/>
    <s v="Reporting"/>
    <x v="97"/>
    <s v="4 to 6 hours a day"/>
    <n v="3"/>
  </r>
  <r>
    <s v="ID0672"/>
    <n v="8738"/>
    <s v="USD"/>
    <n v="8738"/>
    <n v="8738"/>
    <n v="8738"/>
    <s v="Sales Coordinator"/>
    <s v="Manager"/>
    <x v="7"/>
    <s v="All the 8 hours baby, all the 8!"/>
    <n v="7.3"/>
  </r>
  <r>
    <s v="ID0934"/>
    <n v="19200"/>
    <s v="BRL"/>
    <n v="9490.1984044603923"/>
    <n v="8732.8046565318637"/>
    <n v="8732.8046565318637"/>
    <s v="Programmer"/>
    <s v="Analyst"/>
    <x v="10"/>
    <s v="All the 8 hours baby, all the 8!"/>
    <n v="8"/>
  </r>
  <r>
    <s v="ID1173"/>
    <n v="8725"/>
    <s v="USD"/>
    <n v="8725"/>
    <n v="8725"/>
    <n v="8725"/>
    <s v="Administration Officer"/>
    <s v="Manager"/>
    <x v="52"/>
    <s v="2 to 3 hours per day"/>
    <n v="18"/>
  </r>
  <r>
    <s v="ID1045"/>
    <n v="8700"/>
    <s v="USD"/>
    <n v="8700"/>
    <n v="8700"/>
    <n v="8700"/>
    <s v="Project Controlling (MIS Reports)"/>
    <s v="Controller"/>
    <x v="7"/>
    <s v="2 to 3 hours per day"/>
    <n v="7"/>
  </r>
  <r>
    <s v="ID1163"/>
    <n v="8600"/>
    <s v="USD"/>
    <n v="8600"/>
    <n v="8600"/>
    <n v="8600"/>
    <s v="Catlog associates"/>
    <s v="Analyst"/>
    <x v="7"/>
    <s v="4 to 6 hours a day"/>
    <n v="2"/>
  </r>
  <r>
    <s v="ID0172"/>
    <n v="180000"/>
    <s v="INR"/>
    <n v="3205.4250037396623"/>
    <n v="8524.9840227657223"/>
    <n v="8524.9840227657223"/>
    <s v="Sr. Associate"/>
    <s v="Analyst"/>
    <x v="7"/>
    <s v="4 to 6 hours a day"/>
    <s v="Data Not Avaliable"/>
  </r>
  <r>
    <s v="ID0178"/>
    <n v="180000"/>
    <s v="INR"/>
    <n v="3205.4250037396623"/>
    <n v="8524.9840227657223"/>
    <n v="8524.9840227657223"/>
    <s v="Sr. Associate"/>
    <s v="Analyst"/>
    <x v="7"/>
    <s v="4 to 6 hours a day"/>
    <s v="Data Not Avaliable"/>
  </r>
  <r>
    <s v="ID0297"/>
    <n v="180000"/>
    <s v="INR"/>
    <n v="3205.4250037396623"/>
    <n v="8524.9840227657223"/>
    <n v="8524.9840227657223"/>
    <s v="Administrative Officer"/>
    <s v="Manager"/>
    <x v="7"/>
    <s v="4 to 6 hours a day"/>
    <s v="Data Not Avaliable"/>
  </r>
  <r>
    <s v="ID0699"/>
    <n v="180000"/>
    <s v="INR"/>
    <n v="3205.4250037396623"/>
    <n v="8524.9840227657223"/>
    <n v="8524.9840227657223"/>
    <s v="accounts"/>
    <s v="Accountant"/>
    <x v="7"/>
    <s v="2 to 3 hours per day"/>
    <n v="14"/>
  </r>
  <r>
    <s v="ID0719"/>
    <n v="180000"/>
    <s v="INR"/>
    <n v="3205.4250037396623"/>
    <n v="8524.9840227657223"/>
    <n v="8524.9840227657223"/>
    <s v="Import &amp; Export Documentation Executive"/>
    <s v="Manager"/>
    <x v="7"/>
    <s v="All the 8 hours baby, all the 8!"/>
    <n v="7"/>
  </r>
  <r>
    <s v="ID0733"/>
    <n v="180000"/>
    <s v="INR"/>
    <n v="3205.4250037396623"/>
    <n v="8524.9840227657223"/>
    <n v="8524.9840227657223"/>
    <s v="Accountant"/>
    <s v="Accountant"/>
    <x v="7"/>
    <s v="All the 8 hours baby, all the 8!"/>
    <n v="4"/>
  </r>
  <r>
    <s v="ID0904"/>
    <n v="180000"/>
    <s v="INR"/>
    <n v="3205.4250037396623"/>
    <n v="8524.9840227657223"/>
    <n v="8524.9840227657223"/>
    <s v="Executive"/>
    <s v="Analyst"/>
    <x v="7"/>
    <s v="2 to 3 hours per day"/>
    <n v="3.5"/>
  </r>
  <r>
    <s v="ID0924"/>
    <n v="180000"/>
    <s v="INR"/>
    <n v="3205.4250037396623"/>
    <n v="8524.9840227657223"/>
    <n v="8524.9840227657223"/>
    <s v="MIS TEAM MEMBER"/>
    <s v="Reporting"/>
    <x v="7"/>
    <s v="All the 8 hours baby, all the 8!"/>
    <n v="8"/>
  </r>
  <r>
    <s v="ID1005"/>
    <n v="180000"/>
    <s v="INR"/>
    <n v="3205.4250037396623"/>
    <n v="8524.9840227657223"/>
    <n v="8524.9840227657223"/>
    <s v="Audit executive"/>
    <s v="Analyst"/>
    <x v="7"/>
    <s v="4 to 6 hours a day"/>
    <n v="10"/>
  </r>
  <r>
    <s v="ID1047"/>
    <n v="180000"/>
    <s v="INR"/>
    <n v="3205.4250037396623"/>
    <n v="8524.9840227657223"/>
    <n v="8524.9840227657223"/>
    <s v="MIS EXCUTIVE"/>
    <s v="Reporting"/>
    <x v="7"/>
    <s v="All the 8 hours baby, all the 8!"/>
    <n v="4"/>
  </r>
  <r>
    <s v="ID1112"/>
    <n v="180000"/>
    <s v="INR"/>
    <n v="3205.4250037396623"/>
    <n v="8524.9840227657223"/>
    <n v="8524.9840227657223"/>
    <s v="Logistics Operation Analyst"/>
    <s v="Analyst"/>
    <x v="7"/>
    <s v="All the 8 hours baby, all the 8!"/>
    <n v="3"/>
  </r>
  <r>
    <s v="ID1547"/>
    <n v="180000"/>
    <s v="INR"/>
    <n v="3205.4250037396623"/>
    <n v="8524.9840227657223"/>
    <n v="8524.9840227657223"/>
    <s v="Asst Store Manager"/>
    <s v="Manager"/>
    <x v="7"/>
    <s v="4 to 6 hours a day"/>
    <n v="5"/>
  </r>
  <r>
    <s v="ID1753"/>
    <n v="180000"/>
    <s v="INR"/>
    <n v="3205.4250037396623"/>
    <n v="8524.9840227657223"/>
    <n v="8524.9840227657223"/>
    <s v="mis"/>
    <s v="Reporting"/>
    <x v="7"/>
    <s v="4 to 6 hours a day"/>
    <n v="2"/>
  </r>
  <r>
    <s v="ID1924"/>
    <n v="180000"/>
    <s v="INR"/>
    <n v="3205.4250037396623"/>
    <n v="8524.9840227657223"/>
    <n v="8524.9840227657223"/>
    <s v="Customer Resolution"/>
    <s v="Analyst"/>
    <x v="7"/>
    <s v="4 to 6 hours a day"/>
    <n v="3"/>
  </r>
  <r>
    <s v="ID0423"/>
    <n v="8500"/>
    <s v="USD"/>
    <n v="8500"/>
    <n v="8500"/>
    <n v="8500"/>
    <s v="Accounting Coordinator"/>
    <s v="Accountant"/>
    <x v="65"/>
    <s v="2 to 3 hours per day"/>
    <s v="Data Not Avaliable"/>
  </r>
  <r>
    <s v="ID0436"/>
    <n v="8500"/>
    <s v="USD"/>
    <n v="8500"/>
    <n v="8500"/>
    <n v="8500"/>
    <s v="Assesor"/>
    <s v="Analyst"/>
    <x v="69"/>
    <s v="1 or 2 hours a day"/>
    <s v="Data Not Avaliable"/>
  </r>
  <r>
    <s v="ID0509"/>
    <n v="8400"/>
    <s v="USD"/>
    <n v="8400"/>
    <n v="8400"/>
    <n v="8400"/>
    <s v="Manager"/>
    <s v="Manager"/>
    <x v="7"/>
    <s v="4 to 6 hours a day"/>
    <s v="Data Not Avaliable"/>
  </r>
  <r>
    <s v="ID0622"/>
    <n v="8400"/>
    <s v="USD"/>
    <n v="8400"/>
    <n v="8400"/>
    <n v="8400"/>
    <s v="SYSTEM MANAGER"/>
    <s v="Manager"/>
    <x v="7"/>
    <s v="All the 8 hours baby, all the 8!"/>
    <n v="26"/>
  </r>
  <r>
    <s v="ID1718"/>
    <n v="8400"/>
    <s v="USD"/>
    <n v="8400"/>
    <n v="8400"/>
    <n v="8400"/>
    <s v="gov employee"/>
    <s v="Analyst"/>
    <x v="33"/>
    <s v="4 to 6 hours a day"/>
    <n v="14"/>
  </r>
  <r>
    <s v="ID1859"/>
    <n v="8400"/>
    <s v="USD"/>
    <n v="8400"/>
    <n v="8400"/>
    <n v="8400"/>
    <s v="Analyst"/>
    <s v="Analyst"/>
    <x v="98"/>
    <s v="All the 8 hours baby, all the 8!"/>
    <n v="0.3"/>
  </r>
  <r>
    <s v="ID1917"/>
    <n v="8400"/>
    <s v="USD"/>
    <n v="8400"/>
    <n v="8400"/>
    <n v="8400"/>
    <s v="Sr. Executive MIS"/>
    <s v="Reporting"/>
    <x v="7"/>
    <s v="All the 8 hours baby, all the 8!"/>
    <n v="6"/>
  </r>
  <r>
    <s v="ID0809"/>
    <n v="170000"/>
    <s v="INR"/>
    <n v="3027.3458368652364"/>
    <n v="8051.3737992787364"/>
    <n v="8051.3737992787364"/>
    <s v="Sr. Executive MIS"/>
    <s v="Reporting"/>
    <x v="7"/>
    <s v="4 to 6 hours a day"/>
    <n v="2"/>
  </r>
  <r>
    <s v="ID0648"/>
    <n v="8000"/>
    <s v="USD"/>
    <n v="8000"/>
    <n v="8000"/>
    <n v="8000"/>
    <s v="Quality officer"/>
    <s v="Manager"/>
    <x v="18"/>
    <s v="All the 8 hours baby, all the 8!"/>
    <n v="1"/>
  </r>
  <r>
    <s v="ID0757"/>
    <n v="8000"/>
    <s v="USD"/>
    <n v="8000"/>
    <n v="8000"/>
    <n v="8000"/>
    <s v="Business Analyst"/>
    <s v="Analyst"/>
    <x v="7"/>
    <s v="2 to 3 hours per day"/>
    <n v="6"/>
  </r>
  <r>
    <s v="ID0959"/>
    <n v="8000"/>
    <s v="USD"/>
    <n v="8000"/>
    <n v="8000"/>
    <n v="8000"/>
    <s v="IT Analyst"/>
    <s v="Analyst"/>
    <x v="7"/>
    <s v="1 or 2 hours a day"/>
    <n v="5"/>
  </r>
  <r>
    <s v="ID1294"/>
    <n v="8000"/>
    <s v="USD"/>
    <n v="8000"/>
    <n v="8000"/>
    <n v="8000"/>
    <s v="Data Analyst"/>
    <s v="Analyst"/>
    <x v="7"/>
    <s v="All the 8 hours baby, all the 8!"/>
    <n v="4"/>
  </r>
  <r>
    <s v="ID1539"/>
    <n v="8000"/>
    <s v="USD"/>
    <n v="8000"/>
    <n v="8000"/>
    <n v="8000"/>
    <s v="Owner"/>
    <s v="CXO or Top Mgmt."/>
    <x v="7"/>
    <s v="4 to 6 hours a day"/>
    <n v="18"/>
  </r>
  <r>
    <s v="ID1094"/>
    <n v="7960"/>
    <s v="USD"/>
    <n v="7960"/>
    <n v="7960"/>
    <n v="7960"/>
    <s v="Team Leader"/>
    <s v="Manager"/>
    <x v="7"/>
    <s v="4 to 6 hours a day"/>
    <n v="7"/>
  </r>
  <r>
    <s v="ID0661"/>
    <n v="165000"/>
    <s v="INR"/>
    <n v="2938.3062534280239"/>
    <n v="7814.5686875352458"/>
    <n v="7814.5686875352458"/>
    <s v="Co-operative bank"/>
    <s v="Manager"/>
    <x v="7"/>
    <s v="All the 8 hours baby, all the 8!"/>
    <n v="11"/>
  </r>
  <r>
    <s v="ID0271"/>
    <n v="7600"/>
    <s v="USD"/>
    <n v="7600"/>
    <n v="7600"/>
    <n v="7600"/>
    <s v="DP specialist"/>
    <s v="Specialist"/>
    <x v="85"/>
    <s v="1 or 2 hours a day"/>
    <s v="Data Not Avaliable"/>
  </r>
  <r>
    <s v="ID0621"/>
    <n v="160000"/>
    <s v="INR"/>
    <n v="2849.2666699908109"/>
    <n v="7577.7635757917524"/>
    <n v="7577.7635757917524"/>
    <s v="MIS Executive"/>
    <s v="Reporting"/>
    <x v="7"/>
    <s v="All the 8 hours baby, all the 8!"/>
    <n v="3"/>
  </r>
  <r>
    <s v="ID0056"/>
    <n v="7500"/>
    <s v="USD"/>
    <n v="7500"/>
    <n v="7500"/>
    <n v="7500"/>
    <s v="Analyst"/>
    <s v="Analyst"/>
    <x v="7"/>
    <s v="4 to 6 hours a day"/>
    <s v="Data Not Avaliable"/>
  </r>
  <r>
    <s v="ID0455"/>
    <n v="7500"/>
    <s v="USD"/>
    <n v="7500"/>
    <n v="7500"/>
    <n v="7500"/>
    <s v="HR reporting analyst"/>
    <s v="Analyst"/>
    <x v="65"/>
    <s v="All the 8 hours baby, all the 8!"/>
    <s v="Data Not Avaliable"/>
  </r>
  <r>
    <s v="ID1026"/>
    <n v="300000"/>
    <s v="PKR"/>
    <n v="3184.2266150397395"/>
    <n v="7388.4171213591735"/>
    <n v="7388.4171213591735"/>
    <s v="Banker"/>
    <s v="Manager"/>
    <x v="52"/>
    <s v="4 to 6 hours a day"/>
    <n v="4"/>
  </r>
  <r>
    <s v="ID0901"/>
    <n v="168000"/>
    <s v="PHP"/>
    <n v="3982.448779308334"/>
    <n v="7295.0178672644652"/>
    <n v="7295.0178672644652"/>
    <s v="Clerk"/>
    <s v="Analyst"/>
    <x v="36"/>
    <s v="4 to 6 hours a day"/>
    <n v="10"/>
  </r>
  <r>
    <s v="ID1020"/>
    <n v="7265"/>
    <s v="USD"/>
    <n v="7265"/>
    <n v="7265"/>
    <n v="7265"/>
    <s v="Softwar Engineer"/>
    <s v="Engineer"/>
    <x v="7"/>
    <s v="4 to 6 hours a day"/>
    <n v="6"/>
  </r>
  <r>
    <s v="ID1080"/>
    <n v="7200"/>
    <s v="USD"/>
    <n v="7200"/>
    <n v="7200"/>
    <n v="7200"/>
    <s v="Data Entry Operator"/>
    <s v="Analyst"/>
    <x v="7"/>
    <s v="All the 8 hours baby, all the 8!"/>
    <n v="10"/>
  </r>
  <r>
    <s v="ID1193"/>
    <n v="7200"/>
    <s v="USD"/>
    <n v="7200"/>
    <n v="7200"/>
    <n v="7200"/>
    <s v="Supervisor MIS"/>
    <s v="Reporting"/>
    <x v="7"/>
    <s v="4 to 6 hours a day"/>
    <n v="7"/>
  </r>
  <r>
    <s v="ID1494"/>
    <n v="7200"/>
    <s v="USD"/>
    <n v="7200"/>
    <n v="7200"/>
    <n v="7200"/>
    <s v="control process auxiliary"/>
    <s v="Controller"/>
    <x v="69"/>
    <s v="4 to 6 hours a day"/>
    <n v="8"/>
  </r>
  <r>
    <s v="ID1132"/>
    <n v="150252"/>
    <s v="INR"/>
    <n v="2675.675098121621"/>
    <n v="7116.0883299366405"/>
    <n v="7116.0883299366405"/>
    <s v="KEY"/>
    <s v="Manager"/>
    <x v="7"/>
    <s v="2 to 3 hours per day"/>
    <n v="5"/>
  </r>
  <r>
    <s v="ID0649"/>
    <n v="150000"/>
    <s v="INR"/>
    <n v="2671.1875031163854"/>
    <n v="7104.1533523047692"/>
    <n v="7104.1533523047692"/>
    <s v="Executive"/>
    <s v="Manager"/>
    <x v="7"/>
    <s v="2 to 3 hours per day"/>
    <n v="5"/>
  </r>
  <r>
    <s v="ID0697"/>
    <n v="150000"/>
    <s v="INR"/>
    <n v="2671.1875031163854"/>
    <n v="7104.1533523047692"/>
    <n v="7104.1533523047692"/>
    <s v="Oprations head"/>
    <s v="CXO or Top Mgmt."/>
    <x v="7"/>
    <s v="4 to 6 hours a day"/>
    <n v="4.5"/>
  </r>
  <r>
    <s v="ID0794"/>
    <n v="150000"/>
    <s v="INR"/>
    <n v="2671.1875031163854"/>
    <n v="7104.1533523047692"/>
    <n v="7104.1533523047692"/>
    <s v="WORKING WITH PRODUCT TEAM OF MAKEMYTRIP.COM"/>
    <s v="Analyst"/>
    <x v="7"/>
    <s v="4 to 6 hours a day"/>
    <n v="2"/>
  </r>
  <r>
    <s v="ID1721"/>
    <n v="150000"/>
    <s v="INR"/>
    <n v="2671.1875031163854"/>
    <n v="7104.1533523047692"/>
    <n v="7104.1533523047692"/>
    <s v="MIS Executive"/>
    <s v="Reporting"/>
    <x v="7"/>
    <s v="All the 8 hours baby, all the 8!"/>
    <n v="3"/>
  </r>
  <r>
    <s v="ID1785"/>
    <n v="150000"/>
    <s v="INR"/>
    <n v="2671.1875031163854"/>
    <n v="7104.1533523047692"/>
    <n v="7104.1533523047692"/>
    <s v="ENGINEER"/>
    <s v="Engineer"/>
    <x v="7"/>
    <s v="2 to 3 hours per day"/>
    <n v="1"/>
  </r>
  <r>
    <s v="ID0693"/>
    <n v="7000"/>
    <s v="USD"/>
    <n v="7000"/>
    <n v="7000"/>
    <n v="7000"/>
    <s v="Business Executive"/>
    <s v="Manager"/>
    <x v="7"/>
    <s v="4 to 6 hours a day"/>
    <n v="23"/>
  </r>
  <r>
    <s v="ID1074"/>
    <n v="7000"/>
    <s v="USD"/>
    <n v="7000"/>
    <n v="7000"/>
    <n v="7000"/>
    <s v="MIS Executive"/>
    <s v="Reporting"/>
    <x v="7"/>
    <s v="All the 8 hours baby, all the 8!"/>
    <n v="5"/>
  </r>
  <r>
    <s v="ID1625"/>
    <n v="7000"/>
    <s v="USD"/>
    <n v="7000"/>
    <n v="7000"/>
    <n v="7000"/>
    <s v="M.I.S"/>
    <s v="Reporting"/>
    <x v="7"/>
    <s v="4 to 6 hours a day"/>
    <n v="1"/>
  </r>
  <r>
    <s v="ID0093"/>
    <n v="144000"/>
    <s v="INR"/>
    <n v="2564.3400029917298"/>
    <n v="6819.9872182125773"/>
    <n v="6819.9872182125773"/>
    <s v="Financial Consultant"/>
    <s v="Consultant"/>
    <x v="7"/>
    <s v="1 or 2 hours a day"/>
    <s v="Data Not Avaliable"/>
  </r>
  <r>
    <s v="ID0687"/>
    <n v="144000"/>
    <s v="INR"/>
    <n v="2564.3400029917298"/>
    <n v="6819.9872182125773"/>
    <n v="6819.9872182125773"/>
    <s v="Team Leader"/>
    <s v="Manager"/>
    <x v="7"/>
    <s v="2 to 3 hours per day"/>
    <n v="7"/>
  </r>
  <r>
    <s v="ID0818"/>
    <n v="144000"/>
    <s v="INR"/>
    <n v="2564.3400029917298"/>
    <n v="6819.9872182125773"/>
    <n v="6819.9872182125773"/>
    <s v="BPO information process enabler"/>
    <s v="Analyst"/>
    <x v="7"/>
    <s v="All the 8 hours baby, all the 8!"/>
    <n v="1"/>
  </r>
  <r>
    <s v="ID0879"/>
    <n v="144000"/>
    <s v="INR"/>
    <n v="2564.3400029917298"/>
    <n v="6819.9872182125773"/>
    <n v="6819.9872182125773"/>
    <s v="Cost Trainee"/>
    <s v="Analyst"/>
    <x v="7"/>
    <s v="4 to 6 hours a day"/>
    <n v="1"/>
  </r>
  <r>
    <s v="ID0923"/>
    <n v="144000"/>
    <s v="INR"/>
    <n v="2564.3400029917298"/>
    <n v="6819.9872182125773"/>
    <n v="6819.9872182125773"/>
    <s v="operation supervisor"/>
    <s v="Controller"/>
    <x v="7"/>
    <s v="4 to 6 hours a day"/>
    <n v="4"/>
  </r>
  <r>
    <s v="ID1245"/>
    <n v="48000000"/>
    <s v="IDR"/>
    <n v="5082.6943786459069"/>
    <n v="6759.3500499594884"/>
    <n v="6759.3500499594884"/>
    <s v="Office Instructor"/>
    <s v="Analyst"/>
    <x v="33"/>
    <s v="1 or 2 hours a day"/>
    <n v="2"/>
  </r>
  <r>
    <s v="ID1077"/>
    <n v="6720"/>
    <s v="USD"/>
    <n v="6720"/>
    <n v="6720"/>
    <n v="6720"/>
    <s v="MIS Executive"/>
    <s v="Reporting"/>
    <x v="7"/>
    <s v="4 to 6 hours a day"/>
    <n v="6"/>
  </r>
  <r>
    <s v="ID1845"/>
    <n v="6720"/>
    <s v="USD"/>
    <n v="6720"/>
    <n v="6720"/>
    <n v="6720"/>
    <s v="accoutant"/>
    <s v="Accountant"/>
    <x v="7"/>
    <s v="4 to 6 hours a day"/>
    <n v="5"/>
  </r>
  <r>
    <s v="ID1082"/>
    <n v="140000"/>
    <s v="INR"/>
    <n v="2493.1083362419595"/>
    <n v="6630.5431288177833"/>
    <n v="6630.5431288177833"/>
    <s v="Accountant"/>
    <s v="Accountant"/>
    <x v="7"/>
    <s v="4 to 6 hours a day"/>
    <n v="4"/>
  </r>
  <r>
    <s v="ID1773"/>
    <n v="140000"/>
    <s v="INR"/>
    <n v="2493.1083362419595"/>
    <n v="6630.5431288177833"/>
    <n v="6630.5431288177833"/>
    <s v="magic"/>
    <s v="Misc."/>
    <x v="7"/>
    <s v="4 to 6 hours a day"/>
    <n v="5"/>
  </r>
  <r>
    <s v="ID0434"/>
    <n v="6629"/>
    <s v="USD"/>
    <n v="6629"/>
    <n v="6629"/>
    <n v="6629"/>
    <s v="Engineer"/>
    <s v="Engineer"/>
    <x v="99"/>
    <s v="All the 8 hours baby, all the 8!"/>
    <s v="Data Not Avaliable"/>
  </r>
  <r>
    <s v="ID1347"/>
    <n v="6600"/>
    <s v="USD"/>
    <n v="6600"/>
    <n v="6600"/>
    <n v="6600"/>
    <s v="MIS HR,HRIS"/>
    <s v="Reporting"/>
    <x v="7"/>
    <s v="2 to 3 hours per day"/>
    <n v="6.4"/>
  </r>
  <r>
    <s v="ID0780"/>
    <n v="33600"/>
    <s v="AED"/>
    <n v="9146.5655463031271"/>
    <n v="6573.5161925547754"/>
    <n v="6573.5161925547754"/>
    <s v="Accountant"/>
    <s v="Accountant"/>
    <x v="57"/>
    <s v="1 or 2 hours a day"/>
    <n v="7"/>
  </r>
  <r>
    <s v="ID1640"/>
    <n v="6545"/>
    <s v="USD"/>
    <n v="6545"/>
    <n v="6545"/>
    <n v="6545"/>
    <s v="Operations"/>
    <s v="Manager"/>
    <x v="7"/>
    <s v="All the 8 hours baby, all the 8!"/>
    <n v="9"/>
  </r>
  <r>
    <s v="ID0492"/>
    <n v="6000"/>
    <s v="USD"/>
    <n v="6000"/>
    <n v="6000"/>
    <n v="6000"/>
    <s v="MIS"/>
    <s v="Reporting"/>
    <x v="7"/>
    <s v="All the 8 hours baby, all the 8!"/>
    <s v="Data Not Avaliable"/>
  </r>
  <r>
    <s v="ID0577"/>
    <n v="6000"/>
    <s v="USD"/>
    <n v="6000"/>
    <n v="6000"/>
    <n v="6000"/>
    <s v="In Charge"/>
    <s v="Manager"/>
    <x v="100"/>
    <s v="1 or 2 hours a day"/>
    <n v="20"/>
  </r>
  <r>
    <s v="ID0750"/>
    <n v="6000"/>
    <s v="USD"/>
    <n v="6000"/>
    <n v="6000"/>
    <n v="6000"/>
    <s v="Merchandiser"/>
    <s v="Manager"/>
    <x v="7"/>
    <s v="2 to 3 hours per day"/>
    <n v="6"/>
  </r>
  <r>
    <s v="ID0841"/>
    <n v="6000"/>
    <s v="USD"/>
    <n v="6000"/>
    <n v="6000"/>
    <n v="6000"/>
    <s v="Analysis Quality"/>
    <s v="Analyst"/>
    <x v="69"/>
    <s v="1 or 2 hours a day"/>
    <n v="10"/>
  </r>
  <r>
    <s v="ID1039"/>
    <n v="6000"/>
    <s v="USD"/>
    <n v="6000"/>
    <n v="6000"/>
    <n v="6000"/>
    <s v="Manager"/>
    <s v="Manager"/>
    <x v="7"/>
    <s v="4 to 6 hours a day"/>
    <n v="5"/>
  </r>
  <r>
    <s v="ID1151"/>
    <n v="6000"/>
    <s v="USD"/>
    <n v="6000"/>
    <n v="6000"/>
    <n v="6000"/>
    <s v="Assistant Accountant"/>
    <s v="Accountant"/>
    <x v="76"/>
    <s v="All the 8 hours baby, all the 8!"/>
    <n v="5"/>
  </r>
  <r>
    <s v="ID1160"/>
    <n v="6000"/>
    <s v="USD"/>
    <n v="6000"/>
    <n v="6000"/>
    <n v="6000"/>
    <s v="AM Ops"/>
    <s v="Manager"/>
    <x v="7"/>
    <s v="4 to 6 hours a day"/>
    <n v="6"/>
  </r>
  <r>
    <s v="ID1601"/>
    <n v="6000"/>
    <s v="USD"/>
    <n v="6000"/>
    <n v="6000"/>
    <n v="6000"/>
    <s v="Business Analyst"/>
    <s v="Analyst"/>
    <x v="7"/>
    <s v="4 to 6 hours a day"/>
    <n v="2"/>
  </r>
  <r>
    <s v="ID1732"/>
    <n v="6000"/>
    <s v="USD"/>
    <n v="6000"/>
    <n v="6000"/>
    <n v="6000"/>
    <s v="Reporting Coordinator"/>
    <s v="Reporting"/>
    <x v="101"/>
    <s v="All the 8 hours baby, all the 8!"/>
    <n v="5"/>
  </r>
  <r>
    <s v="ID0469"/>
    <n v="125000"/>
    <s v="INR"/>
    <n v="2225.989585930321"/>
    <n v="5920.1277935873068"/>
    <n v="5920.1277935873068"/>
    <s v="clerk"/>
    <s v="Analyst"/>
    <x v="7"/>
    <s v="4 to 6 hours a day"/>
    <s v="Data Not Avaliable"/>
  </r>
  <r>
    <s v="ID1649"/>
    <n v="125000"/>
    <s v="INR"/>
    <n v="2225.989585930321"/>
    <n v="5920.1277935873068"/>
    <n v="5920.1277935873068"/>
    <s v="No"/>
    <s v="Analyst"/>
    <x v="7"/>
    <s v="2 to 3 hours per day"/>
    <n v="4"/>
  </r>
  <r>
    <s v="ID0001"/>
    <n v="5846"/>
    <s v="USD"/>
    <n v="5846"/>
    <n v="5846"/>
    <n v="5846"/>
    <s v="MIS Analyst"/>
    <s v="Analyst"/>
    <x v="7"/>
    <s v="4 to 6 hours a day"/>
    <s v="Data Not Avaliable"/>
  </r>
  <r>
    <s v="ID0667"/>
    <n v="5800"/>
    <s v="USD"/>
    <n v="5800"/>
    <n v="5800"/>
    <n v="5800"/>
    <s v="Asst. Manager(Commercial)"/>
    <s v="Manager"/>
    <x v="7"/>
    <s v="All the 8 hours baby, all the 8!"/>
    <n v="8"/>
  </r>
  <r>
    <s v="ID0685"/>
    <n v="120000"/>
    <s v="INR"/>
    <n v="2136.9500024931081"/>
    <n v="5683.3226818438143"/>
    <n v="5683.3226818438143"/>
    <s v="Data Analyst"/>
    <s v="Analyst"/>
    <x v="7"/>
    <s v="2 to 3 hours per day"/>
    <n v="3"/>
  </r>
  <r>
    <s v="ID0708"/>
    <n v="120000"/>
    <s v="INR"/>
    <n v="2136.9500024931081"/>
    <n v="5683.3226818438143"/>
    <n v="5683.3226818438143"/>
    <s v="Intern"/>
    <s v="Analyst"/>
    <x v="7"/>
    <s v="1 or 2 hours a day"/>
    <n v="0"/>
  </r>
  <r>
    <s v="ID0766"/>
    <n v="120000"/>
    <s v="INR"/>
    <n v="2136.9500024931081"/>
    <n v="5683.3226818438143"/>
    <n v="5683.3226818438143"/>
    <s v="ACCOUNTANT"/>
    <s v="Accountant"/>
    <x v="7"/>
    <s v="2 to 3 hours per day"/>
    <n v="2"/>
  </r>
  <r>
    <s v="ID0897"/>
    <n v="120000"/>
    <s v="INR"/>
    <n v="2136.9500024931081"/>
    <n v="5683.3226818438143"/>
    <n v="5683.3226818438143"/>
    <s v="co ordinator"/>
    <s v="Manager"/>
    <x v="7"/>
    <s v="4 to 6 hours a day"/>
    <n v="5"/>
  </r>
  <r>
    <s v="ID1029"/>
    <n v="120000"/>
    <s v="INR"/>
    <n v="2136.9500024931081"/>
    <n v="5683.3226818438143"/>
    <n v="5683.3226818438143"/>
    <s v="Audit Assistant"/>
    <s v="Analyst"/>
    <x v="7"/>
    <s v="2 to 3 hours per day"/>
    <n v="3.5"/>
  </r>
  <r>
    <s v="ID0654"/>
    <n v="5400"/>
    <s v="USD"/>
    <n v="5400"/>
    <n v="5400"/>
    <n v="5400"/>
    <s v="manager"/>
    <s v="Manager"/>
    <x v="7"/>
    <s v="All the 8 hours baby, all the 8!"/>
    <n v="3"/>
  </r>
  <r>
    <s v="ID1771"/>
    <n v="5320"/>
    <s v="USD"/>
    <n v="5320"/>
    <n v="5320"/>
    <n v="5320"/>
    <s v="Officer"/>
    <s v="Manager"/>
    <x v="7"/>
    <s v="2 to 3 hours per day"/>
    <n v="5"/>
  </r>
  <r>
    <s v="ID1350"/>
    <n v="5300"/>
    <s v="USD"/>
    <n v="5300"/>
    <n v="5300"/>
    <n v="5300"/>
    <s v="Asst. Production Manager"/>
    <s v="Manager"/>
    <x v="52"/>
    <s v="4 to 6 hours a day"/>
    <n v="5"/>
  </r>
  <r>
    <s v="ID0467"/>
    <n v="5250"/>
    <s v="USD"/>
    <n v="5250"/>
    <n v="5250"/>
    <n v="5250"/>
    <s v="Treasure Specialist"/>
    <s v="Specialist"/>
    <x v="102"/>
    <s v="4 to 6 hours a day"/>
    <s v="Data Not Avaliable"/>
  </r>
  <r>
    <s v="ID1067"/>
    <n v="5100"/>
    <s v="USD"/>
    <n v="5100"/>
    <n v="5100"/>
    <n v="5100"/>
    <s v="MIS Executive"/>
    <s v="Reporting"/>
    <x v="7"/>
    <s v="All the 8 hours baby, all the 8!"/>
    <n v="8"/>
  </r>
  <r>
    <s v="ID0723"/>
    <n v="204000"/>
    <s v="PKR"/>
    <n v="2165.2740982270229"/>
    <n v="5024.1236425242387"/>
    <n v="5024.1236425242387"/>
    <s v="Accounts Manager"/>
    <s v="Manager"/>
    <x v="52"/>
    <s v="All the 8 hours baby, all the 8!"/>
    <n v="2"/>
  </r>
  <r>
    <s v="ID0738"/>
    <n v="5022"/>
    <s v="USD"/>
    <n v="5022"/>
    <n v="5022"/>
    <n v="5022"/>
    <s v="Accounts analyst"/>
    <s v="Analyst"/>
    <x v="52"/>
    <s v="4 to 6 hours a day"/>
    <n v="15"/>
  </r>
  <r>
    <s v="ID0448"/>
    <n v="5000"/>
    <s v="USD"/>
    <n v="5000"/>
    <n v="5000"/>
    <n v="5000"/>
    <s v="mis"/>
    <s v="Reporting"/>
    <x v="7"/>
    <s v="4 to 6 hours a day"/>
    <s v="Data Not Avaliable"/>
  </r>
  <r>
    <s v="ID0847"/>
    <n v="5000"/>
    <s v="USD"/>
    <n v="5000"/>
    <n v="5000"/>
    <n v="5000"/>
    <s v="Management Intern"/>
    <s v="Manager"/>
    <x v="7"/>
    <s v="4 to 6 hours a day"/>
    <n v="1"/>
  </r>
  <r>
    <s v="ID0864"/>
    <n v="5000"/>
    <s v="USD"/>
    <n v="5000"/>
    <n v="5000"/>
    <n v="5000"/>
    <s v="Policy advisor"/>
    <s v="Consultant"/>
    <x v="103"/>
    <s v="1 or 2 hours a day"/>
    <n v="13"/>
  </r>
  <r>
    <s v="ID1497"/>
    <n v="5000"/>
    <s v="USD"/>
    <n v="5000"/>
    <n v="5000"/>
    <n v="5000"/>
    <s v="Officer MIS"/>
    <s v="Manager"/>
    <x v="7"/>
    <s v="All the 8 hours baby, all the 8!"/>
    <n v="4"/>
  </r>
  <r>
    <s v="ID1887"/>
    <n v="5000"/>
    <s v="USD"/>
    <n v="5000"/>
    <n v="5000"/>
    <n v="5000"/>
    <s v="admin"/>
    <s v="Analyst"/>
    <x v="7"/>
    <s v="2 to 3 hours per day"/>
    <n v="10"/>
  </r>
  <r>
    <s v="ID1892"/>
    <n v="5000"/>
    <s v="USD"/>
    <n v="5000"/>
    <n v="5000"/>
    <n v="5000"/>
    <s v="analyst "/>
    <s v="Analyst"/>
    <x v="7"/>
    <s v="All the 8 hours baby, all the 8!"/>
    <n v="2"/>
  </r>
  <r>
    <s v="ID1912"/>
    <n v="5000"/>
    <s v="USD"/>
    <n v="5000"/>
    <n v="5000"/>
    <n v="5000"/>
    <s v="abc"/>
    <s v="Misc."/>
    <x v="7"/>
    <s v="4 to 6 hours a day"/>
    <n v="3"/>
  </r>
  <r>
    <s v="ID0659"/>
    <n v="200000"/>
    <s v="PKR"/>
    <n v="2122.8177433598262"/>
    <n v="4925.611414239449"/>
    <n v="4925.611414239449"/>
    <s v="Accounts Officer"/>
    <s v="Accountant"/>
    <x v="52"/>
    <s v="2 to 3 hours per day"/>
    <n v="2"/>
  </r>
  <r>
    <s v="ID0742"/>
    <n v="4800"/>
    <s v="USD"/>
    <n v="4800"/>
    <n v="4800"/>
    <n v="4800"/>
    <s v="Data Analysis"/>
    <s v="Analyst"/>
    <x v="104"/>
    <s v="4 to 6 hours a day"/>
    <n v="2"/>
  </r>
  <r>
    <s v="ID1212"/>
    <n v="4800"/>
    <s v="USD"/>
    <n v="4800"/>
    <n v="4800"/>
    <n v="4800"/>
    <s v="Financial Analyst"/>
    <s v="Analyst"/>
    <x v="7"/>
    <s v="4 to 6 hours a day"/>
    <n v="5"/>
  </r>
  <r>
    <s v="ID1819"/>
    <n v="4800"/>
    <s v="USD"/>
    <n v="4800"/>
    <n v="4800"/>
    <n v="4800"/>
    <s v="Sr Executive"/>
    <s v="Manager"/>
    <x v="7"/>
    <s v="All the 8 hours baby, all the 8!"/>
    <n v="3"/>
  </r>
  <r>
    <s v="ID0324"/>
    <n v="4545"/>
    <s v="USD"/>
    <n v="4545"/>
    <n v="4545"/>
    <n v="4545"/>
    <s v="Supply Processes Analyst"/>
    <s v="Analyst"/>
    <x v="46"/>
    <s v="All the 8 hours baby, all the 8!"/>
    <s v="Data Not Avaliable"/>
  </r>
  <r>
    <s v="ID0872"/>
    <n v="4500"/>
    <s v="USD"/>
    <n v="4500"/>
    <n v="4500"/>
    <n v="4500"/>
    <s v="senior associate"/>
    <s v="Analyst"/>
    <x v="33"/>
    <s v="2 to 3 hours per day"/>
    <n v="4"/>
  </r>
  <r>
    <s v="ID1591"/>
    <n v="4500"/>
    <s v="USD"/>
    <n v="4500"/>
    <n v="4500"/>
    <n v="4500"/>
    <s v="Assistant Manger Service Quality Assurance"/>
    <s v="Analyst"/>
    <x v="52"/>
    <s v="4 to 6 hours a day"/>
    <n v="6"/>
  </r>
  <r>
    <s v="ID0783"/>
    <n v="180000"/>
    <s v="PKR"/>
    <n v="1910.5359690238436"/>
    <n v="4433.0502728155043"/>
    <n v="4433.0502728155043"/>
    <s v="S&amp;D Reporting &amp; Analysis Team Leader"/>
    <s v="Reporting"/>
    <x v="52"/>
    <s v="All the 8 hours baby, all the 8!"/>
    <n v="7"/>
  </r>
  <r>
    <s v="ID1221"/>
    <n v="4400"/>
    <s v="USD"/>
    <n v="4400"/>
    <n v="4400"/>
    <n v="4400"/>
    <s v="Manager Corporate Finance"/>
    <s v="Manager"/>
    <x v="105"/>
    <s v="2 to 3 hours per day"/>
    <n v="5"/>
  </r>
  <r>
    <s v="ID1447"/>
    <n v="4356"/>
    <s v="USD"/>
    <n v="4356"/>
    <n v="4356"/>
    <n v="4356"/>
    <s v="Business Analyst"/>
    <s v="Analyst"/>
    <x v="7"/>
    <s v="4 to 6 hours a day"/>
    <n v="5"/>
  </r>
  <r>
    <s v="ID0054"/>
    <n v="4320"/>
    <s v="USD"/>
    <n v="4320"/>
    <n v="4320"/>
    <n v="4320"/>
    <s v="Financial Planner"/>
    <s v="Accountant"/>
    <x v="7"/>
    <s v="2 to 3 hours per day"/>
    <s v="Data Not Avaliable"/>
  </r>
  <r>
    <s v="ID0576"/>
    <n v="4285"/>
    <s v="USD"/>
    <n v="4285"/>
    <n v="4285"/>
    <n v="4285"/>
    <s v="Assistant"/>
    <s v="Analyst"/>
    <x v="7"/>
    <s v="All the 8 hours baby, all the 8!"/>
    <n v="6"/>
  </r>
  <r>
    <s v="ID0629"/>
    <n v="4200"/>
    <s v="USD"/>
    <n v="4200"/>
    <n v="4200"/>
    <n v="4200"/>
    <s v="MIS Executive"/>
    <s v="Reporting"/>
    <x v="7"/>
    <s v="All the 8 hours baby, all the 8!"/>
    <n v="4"/>
  </r>
  <r>
    <s v="ID1154"/>
    <n v="168000"/>
    <s v="PKR"/>
    <n v="1783.166904422254"/>
    <n v="4137.5135879611371"/>
    <n v="4137.5135879611371"/>
    <s v="Accounts Assistant"/>
    <s v="Accountant"/>
    <x v="52"/>
    <s v="4 to 6 hours a day"/>
    <n v="10"/>
  </r>
  <r>
    <s v="ID1645"/>
    <n v="4019"/>
    <s v="USD"/>
    <n v="4019"/>
    <n v="4019"/>
    <n v="4019"/>
    <s v="Clinical Intake Specialist"/>
    <s v="Specialist"/>
    <x v="36"/>
    <s v="2 to 3 hours per day"/>
    <n v="3"/>
  </r>
  <r>
    <s v="ID0625"/>
    <n v="4000"/>
    <s v="USD"/>
    <n v="4000"/>
    <n v="4000"/>
    <n v="4000"/>
    <s v="MIS Executive"/>
    <s v="Reporting"/>
    <x v="7"/>
    <s v="All the 8 hours baby, all the 8!"/>
    <n v="6"/>
  </r>
  <r>
    <s v="ID0647"/>
    <n v="4000"/>
    <s v="USD"/>
    <n v="4000"/>
    <n v="4000"/>
    <n v="4000"/>
    <s v="MIS Executive"/>
    <s v="Reporting"/>
    <x v="7"/>
    <s v="All the 8 hours baby, all the 8!"/>
    <n v="4"/>
  </r>
  <r>
    <s v="ID0653"/>
    <n v="4000"/>
    <s v="USD"/>
    <n v="4000"/>
    <n v="4000"/>
    <n v="4000"/>
    <s v="Coordinator"/>
    <s v="Manager"/>
    <x v="7"/>
    <s v="All the 8 hours baby, all the 8!"/>
    <n v="8"/>
  </r>
  <r>
    <s v="ID1479"/>
    <n v="4000"/>
    <s v="USD"/>
    <n v="4000"/>
    <n v="4000"/>
    <n v="4000"/>
    <s v="M I S Executive"/>
    <s v="Analyst"/>
    <x v="7"/>
    <s v="All the 8 hours baby, all the 8!"/>
    <n v="6"/>
  </r>
  <r>
    <s v="ID1902"/>
    <n v="4000"/>
    <s v="USD"/>
    <n v="4000"/>
    <n v="4000"/>
    <n v="4000"/>
    <s v="operator"/>
    <s v="Analyst"/>
    <x v="7"/>
    <s v="2 to 3 hours per day"/>
    <n v="4"/>
  </r>
  <r>
    <s v="ID0347"/>
    <n v="3800"/>
    <s v="USD"/>
    <n v="3800"/>
    <n v="3800"/>
    <n v="3800"/>
    <s v="MIS EXCUTIVE"/>
    <s v="Reporting"/>
    <x v="7"/>
    <s v="4 to 6 hours a day"/>
    <s v="Data Not Avaliable"/>
  </r>
  <r>
    <s v="ID1795"/>
    <n v="3600"/>
    <s v="USD"/>
    <n v="3600"/>
    <n v="3600"/>
    <n v="3600"/>
    <s v="Analyst"/>
    <s v="Analyst"/>
    <x v="7"/>
    <s v="4 to 6 hours a day"/>
    <n v="1"/>
  </r>
  <r>
    <s v="ID1014"/>
    <n v="240000"/>
    <s v="LKR"/>
    <n v="1805.7739622442759"/>
    <n v="3561.159206936461"/>
    <n v="3561.159206936461"/>
    <s v="Management Trainee"/>
    <s v="Manager"/>
    <x v="37"/>
    <s v="4 to 6 hours a day"/>
    <n v="3"/>
  </r>
  <r>
    <s v="ID1105"/>
    <n v="3500"/>
    <s v="USD"/>
    <n v="3500"/>
    <n v="3500"/>
    <n v="3500"/>
    <s v="OFFICER"/>
    <s v="Manager"/>
    <x v="52"/>
    <s v="4 to 6 hours a day"/>
    <n v="4"/>
  </r>
  <r>
    <s v="ID0939"/>
    <n v="3480"/>
    <s v="USD"/>
    <n v="3480"/>
    <n v="3480"/>
    <n v="3480"/>
    <s v="Reconciliation Manager in Textile Mill"/>
    <s v="Manager"/>
    <x v="52"/>
    <s v="All the 8 hours baby, all the 8!"/>
    <n v="6"/>
  </r>
  <r>
    <s v="ID1652"/>
    <n v="3360"/>
    <s v="USD"/>
    <n v="3360"/>
    <n v="3360"/>
    <n v="3360"/>
    <s v="service executive"/>
    <s v="Analyst"/>
    <x v="7"/>
    <s v="1 or 2 hours a day"/>
    <n v="3"/>
  </r>
  <r>
    <s v="ID1481"/>
    <n v="3200"/>
    <s v="USD"/>
    <n v="3200"/>
    <n v="3200"/>
    <n v="3200"/>
    <s v="Regional Business Manager "/>
    <s v="Manager"/>
    <x v="7"/>
    <s v="All the 8 hours baby, all the 8!"/>
    <n v="19"/>
  </r>
  <r>
    <s v="ID0695"/>
    <n v="3000"/>
    <s v="USD"/>
    <n v="3000"/>
    <n v="3000"/>
    <n v="3000"/>
    <s v="Call Centre Consultant"/>
    <s v="Consultant"/>
    <x v="106"/>
    <s v="2 to 3 hours per day"/>
    <n v="2"/>
  </r>
  <r>
    <s v="ID0859"/>
    <n v="3000"/>
    <s v="USD"/>
    <n v="3000"/>
    <n v="3000"/>
    <n v="3000"/>
    <s v="Statistical Analyst"/>
    <s v="Analyst"/>
    <x v="52"/>
    <s v="2 to 3 hours per day"/>
    <n v="2"/>
  </r>
  <r>
    <s v="ID1317"/>
    <n v="3000"/>
    <s v="USD"/>
    <n v="3000"/>
    <n v="3000"/>
    <n v="3000"/>
    <s v="FANANCE"/>
    <s v="Accountant"/>
    <x v="37"/>
    <s v="4 to 6 hours a day"/>
    <n v="2"/>
  </r>
  <r>
    <s v="ID1792"/>
    <n v="3000"/>
    <s v="USD"/>
    <n v="3000"/>
    <n v="3000"/>
    <n v="3000"/>
    <s v="executive"/>
    <s v="Analyst"/>
    <x v="55"/>
    <s v="1 or 2 hours a day"/>
    <n v="12"/>
  </r>
  <r>
    <s v="ID1050"/>
    <n v="2400"/>
    <s v="USD"/>
    <n v="2400"/>
    <n v="2400"/>
    <n v="2400"/>
    <s v="Accounts Officer"/>
    <s v="Accountant"/>
    <x v="52"/>
    <s v="2 to 3 hours per day"/>
    <n v="15"/>
  </r>
  <r>
    <s v="ID1791"/>
    <n v="2400"/>
    <s v="USD"/>
    <n v="2400"/>
    <n v="2400"/>
    <n v="2400"/>
    <s v="computer operator"/>
    <s v="Analyst"/>
    <x v="7"/>
    <s v="2 to 3 hours per day"/>
    <n v="3"/>
  </r>
  <r>
    <s v="ID0593"/>
    <n v="96000"/>
    <s v="CNY"/>
    <n v="15092.18020692008"/>
    <n v="2336.773068872194"/>
    <n v="2336.773068872194"/>
    <s v="finance"/>
    <s v="Accountant"/>
    <x v="79"/>
    <s v="4 to 6 hours a day"/>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3" minRefreshableVersion="3" showCalcMbrs="0" useAutoFormatting="1" itemPrintTitles="1" createdVersion="3" indent="0" compact="0" compactData="0" gridDropZones="1" multipleFieldFilters="0">
  <location ref="A3:G112" firstHeaderRow="2" firstDataRow="2" firstDataCol="1"/>
  <pivotFields count="12">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8">
        <item x="74"/>
        <item x="73"/>
        <item x="71"/>
        <item x="101"/>
        <item x="103"/>
        <item x="91"/>
        <item x="19"/>
        <item x="54"/>
        <item x="63"/>
        <item x="98"/>
        <item x="55"/>
        <item x="56"/>
        <item x="39"/>
        <item x="104"/>
        <item x="96"/>
        <item x="46"/>
        <item x="10"/>
        <item x="87"/>
        <item x="106"/>
        <item x="6"/>
        <item x="32"/>
        <item x="35"/>
        <item x="79"/>
        <item x="69"/>
        <item x="0"/>
        <item x="38"/>
        <item x="62"/>
        <item x="24"/>
        <item x="99"/>
        <item x="57"/>
        <item x="1"/>
        <item x="90"/>
        <item x="97"/>
        <item x="12"/>
        <item x="41"/>
        <item x="43"/>
        <item x="15"/>
        <item x="80"/>
        <item x="60"/>
        <item x="100"/>
        <item x="78"/>
        <item x="59"/>
        <item x="58"/>
        <item x="7"/>
        <item x="33"/>
        <item x="66"/>
        <item x="42"/>
        <item x="16"/>
        <item x="44"/>
        <item x="22"/>
        <item x="4"/>
        <item x="51"/>
        <item x="84"/>
        <item x="105"/>
        <item x="14"/>
        <item x="68"/>
        <item x="86"/>
        <item x="53"/>
        <item x="82"/>
        <item x="27"/>
        <item x="5"/>
        <item x="88"/>
        <item x="72"/>
        <item x="70"/>
        <item x="75"/>
        <item x="92"/>
        <item x="11"/>
        <item x="21"/>
        <item x="2"/>
        <item x="20"/>
        <item x="26"/>
        <item x="52"/>
        <item x="48"/>
        <item x="77"/>
        <item x="83"/>
        <item x="36"/>
        <item x="34"/>
        <item x="49"/>
        <item x="45"/>
        <item x="102"/>
        <item x="67"/>
        <item x="65"/>
        <item x="30"/>
        <item x="25"/>
        <item x="50"/>
        <item x="3"/>
        <item x="89"/>
        <item x="81"/>
        <item x="40"/>
        <item x="13"/>
        <item x="23"/>
        <item x="37"/>
        <item x="29"/>
        <item x="17"/>
        <item x="18"/>
        <item x="93"/>
        <item x="47"/>
        <item x="31"/>
        <item x="28"/>
        <item x="9"/>
        <item x="85"/>
        <item x="64"/>
        <item x="8"/>
        <item x="94"/>
        <item x="95"/>
        <item x="76"/>
        <item x="61"/>
        <item t="default"/>
      </items>
    </pivotField>
    <pivotField compact="0" outline="0" showAll="0"/>
    <pivotField compact="0" outline="0" showAll="0"/>
    <pivotField compact="0" outline="0" dragToRow="0" dragToCol="0" dragToPage="0" showAll="0" defaultSubtotal="0"/>
  </pivotFields>
  <rowFields count="1">
    <field x="8"/>
  </rowFields>
  <rowItems count="10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2" name="Table2" displayName="Table2" ref="B13:G19" totalsRowShown="0" headerRowDxfId="26" dataDxfId="25" tableBorderDxfId="24">
  <autoFilter ref="B13:G19"/>
  <tableColumns count="6">
    <tableColumn id="1" name="Salary" dataDxfId="23"/>
    <tableColumn id="2" name="Currency" dataDxfId="22">
      <calculatedColumnFormula>INDEX(Sheet3!$A$2:$A$31,MATCH(Dashboard!$J$5,Sheet3!$B$2:$B$31,0))</calculatedColumnFormula>
    </tableColumn>
    <tableColumn id="3" name="Job Title" dataDxfId="21">
      <calculatedColumnFormula>VLOOKUP(B14,Data!$G$13:$L$1888,3,FALSE)</calculatedColumnFormula>
    </tableColumn>
    <tableColumn id="4" name="Resides in" dataDxfId="20">
      <calculatedColumnFormula>VLOOKUP(B14,Data!$G$13:$L$1888,4,FALSE)</calculatedColumnFormula>
    </tableColumn>
    <tableColumn id="5" name="Uses Excel" dataDxfId="19"/>
    <tableColumn id="6" name="No of years" dataDxfId="18"/>
  </tableColumns>
  <tableStyleInfo name="TableStyleMedium2" showFirstColumn="0" showLastColumn="0" showRowStripes="1" showColumnStripes="0"/>
</table>
</file>

<file path=xl/tables/table2.xml><?xml version="1.0" encoding="utf-8"?>
<table xmlns="http://schemas.openxmlformats.org/spreadsheetml/2006/main" id="1" name="tblSalaries" displayName="tblSalaries" ref="B5:L1888" totalsRowShown="0">
  <autoFilter ref="B5:L1888">
    <filterColumn colId="4"/>
    <filterColumn colId="5">
      <filters>
        <filter val="100000.00"/>
        <filter val="100362.14"/>
        <filter val="10065.71"/>
        <filter val="100755.71"/>
        <filter val="10183.44"/>
        <filter val="10233.00"/>
        <filter val="102330.02"/>
        <filter val="10252.12"/>
        <filter val="10289.40"/>
        <filter val="10311.72"/>
        <filter val="10363.96"/>
        <filter val="10378.87"/>
        <filter val="10438.52"/>
        <filter val="10626.58"/>
        <filter val="106265.79"/>
        <filter val="107052.94"/>
        <filter val="10733.63"/>
        <filter val="107407.22"/>
        <filter val="108233.68"/>
        <filter val="10853.05"/>
        <filter val="10862.73"/>
        <filter val="108627.25"/>
        <filter val="11020.16"/>
        <filter val="110201.56"/>
        <filter val="11184.13"/>
        <filter val="111841.25"/>
        <filter val="11335.02"/>
        <filter val="11413.73"/>
        <filter val="114137.33"/>
        <filter val="11602.42"/>
        <filter val="116024.23"/>
        <filter val="11631.64"/>
        <filter val="11706.05"/>
        <filter val="117501.23"/>
        <filter val="11775.82"/>
        <filter val="118000.00"/>
        <filter val="11807.31"/>
        <filter val="118073.10"/>
        <filter val="11929.73"/>
        <filter val="12000.00"/>
        <filter val="12116.14"/>
        <filter val="121161.36"/>
        <filter val="12200.89"/>
        <filter val="122008.87"/>
        <filter val="12279.60"/>
        <filter val="12410.43"/>
        <filter val="12468.52"/>
        <filter val="12526.22"/>
        <filter val="12575.58"/>
        <filter val="12594.46"/>
        <filter val="125944.64"/>
        <filter val="12675.34"/>
        <filter val="12681.05"/>
        <filter val="12869.97"/>
        <filter val="13048.15"/>
        <filter val="13055.69"/>
        <filter val="13224.19"/>
        <filter val="133029.03"/>
        <filter val="133816.18"/>
        <filter val="13420.95"/>
        <filter val="13607.35"/>
        <filter val="13793.75"/>
        <filter val="137937.55"/>
        <filter val="139000.00"/>
        <filter val="13954.67"/>
        <filter val="139798.55"/>
        <filter val="13980.16"/>
        <filter val="14054.72"/>
        <filter val="141001.48"/>
        <filter val="14166.56"/>
        <filter val="14168.77"/>
        <filter val="14216.00"/>
        <filter val="14355.76"/>
        <filter val="14408.57"/>
        <filter val="145000.00"/>
        <filter val="14539.36"/>
        <filter val="147984.95"/>
        <filter val="14912.17"/>
        <filter val="149121.67"/>
        <filter val="14945.69"/>
        <filter val="14955.93"/>
        <filter val="15000.00"/>
        <filter val="15009.45"/>
        <filter val="15113.36"/>
        <filter val="151133.57"/>
        <filter val="15210.41"/>
        <filter val="152707.88"/>
        <filter val="15284.97"/>
        <filter val="15399.91"/>
        <filter val="155550.72"/>
        <filter val="15586.25"/>
        <filter val="15600.00"/>
        <filter val="15657.78"/>
        <filter val="15666.83"/>
        <filter val="15695.06"/>
        <filter val="15743.08"/>
        <filter val="157430.80"/>
        <filter val="15844.18"/>
        <filter val="16000.00"/>
        <filter val="16015.91"/>
        <filter val="16057.94"/>
        <filter val="16105.14"/>
        <filter val="16192.54"/>
        <filter val="162433.93"/>
        <filter val="16246.86"/>
        <filter val="16328.82"/>
        <filter val="16530.23"/>
        <filter val="16776.19"/>
        <filter val="167761.88"/>
        <filter val="16800.00"/>
        <filter val="168450.96"/>
        <filter val="16923.81"/>
        <filter val="170129.81"/>
        <filter val="17317.39"/>
        <filter val="173724.89"/>
        <filter val="17403.63"/>
        <filter val="17494.63"/>
        <filter val="17521.80"/>
        <filter val="177109.65"/>
        <filter val="17729.71"/>
        <filter val="17745.48"/>
        <filter val="17894.60"/>
        <filter val="18000.00"/>
        <filter val="180000.00"/>
        <filter val="18010.08"/>
        <filter val="18099.78"/>
        <filter val="18104.54"/>
        <filter val="18118.28"/>
        <filter val="1839.40"/>
        <filter val="18479.89"/>
        <filter val="18640.21"/>
        <filter val="18789.33"/>
        <filter val="1889.17"/>
        <filter val="18891.70"/>
        <filter val="19027.97"/>
        <filter val="19200.00"/>
        <filter val="19211.43"/>
        <filter val="19236.70"/>
        <filter val="19333.30"/>
        <filter val="19571.80"/>
        <filter val="19678.85"/>
        <filter val="196788.50"/>
        <filter val="19724.12"/>
        <filter val="19758.62"/>
        <filter val="19970.47"/>
        <filter val="19982.30"/>
        <filter val="20000.00"/>
        <filter val="200000.00"/>
        <filter val="20119.66"/>
        <filter val="20131.43"/>
        <filter val="20317.83"/>
        <filter val="20466.00"/>
        <filter val="204660.04"/>
        <filter val="20499.52"/>
        <filter val="20500.00"/>
        <filter val="20504.23"/>
        <filter val="20780.87"/>
        <filter val="20877.03"/>
        <filter val="20884.36"/>
        <filter val="21000.00"/>
        <filter val="210634.36"/>
        <filter val="21212.78"/>
        <filter val="21249.84"/>
        <filter val="21253.16"/>
        <filter val="21301.03"/>
        <filter val="21436.24"/>
        <filter val="21464.48"/>
        <filter val="21646.74"/>
        <filter val="21725.45"/>
        <filter val="21777.10"/>
        <filter val="21914.37"/>
        <filter val="22040.31"/>
        <filter val="220446.04"/>
        <filter val="22332.76"/>
        <filter val="22368.25"/>
        <filter val="22399.30"/>
        <filter val="22815.62"/>
        <filter val="22823.53"/>
        <filter val="22827.47"/>
        <filter val="23113.86"/>
        <filter val="23204.85"/>
        <filter val="2361.46"/>
        <filter val="23614.62"/>
        <filter val="236146.20"/>
        <filter val="23679.38"/>
        <filter val="23699.51"/>
        <filter val="23710.35"/>
        <filter val="23784.97"/>
        <filter val="23797.24"/>
        <filter val="23859.47"/>
        <filter val="24000.00"/>
        <filter val="24008.20"/>
        <filter val="24014.28"/>
        <filter val="24157.71"/>
        <filter val="24172.70"/>
        <filter val="24232.27"/>
        <filter val="24365.09"/>
        <filter val="24401.77"/>
        <filter val="24559.20"/>
        <filter val="24598.56"/>
        <filter val="24605.08"/>
        <filter val="24609.87"/>
        <filter val="24661.53"/>
        <filter val="24666.02"/>
        <filter val="24845.19"/>
        <filter val="24888.12"/>
        <filter val="24945.21"/>
        <filter val="2518.89"/>
        <filter val="25188.93"/>
        <filter val="25290.96"/>
        <filter val="25350.68"/>
        <filter val="25525.33"/>
        <filter val="25652.66"/>
        <filter val="25873.40"/>
        <filter val="25884.77"/>
        <filter val="25976.08"/>
        <filter val="26069.46"/>
        <filter val="26096.29"/>
        <filter val="26132.52"/>
        <filter val="26172.87"/>
        <filter val="26306.69"/>
        <filter val="26369.66"/>
        <filter val="26394.54"/>
        <filter val="2644.84"/>
        <filter val="26448.37"/>
        <filter val="26684.52"/>
        <filter val="26685.57"/>
        <filter val="26763.24"/>
        <filter val="26841.90"/>
        <filter val="27132.63"/>
        <filter val="2739.30"/>
        <filter val="2755.04"/>
        <filter val="27550.39"/>
        <filter val="27600.00"/>
        <filter val="27845.82"/>
        <filter val="27921.94"/>
        <filter val="27923.03"/>
        <filter val="27943.97"/>
        <filter val="27960.31"/>
        <filter val="27999.13"/>
        <filter val="28000.00"/>
        <filter val="2803.18"/>
        <filter val="2833.75"/>
        <filter val="28337.54"/>
        <filter val="28500.00"/>
        <filter val="28621.33"/>
        <filter val="28652.41"/>
        <filter val="28731.12"/>
        <filter val="28892.32"/>
        <filter val="29006.06"/>
        <filter val="29124.70"/>
        <filter val="29299.24"/>
        <filter val="29471.05"/>
        <filter val="29518.28"/>
        <filter val="29599.23"/>
        <filter val="29824.33"/>
        <filter val="29833.14"/>
        <filter val="29876.24"/>
        <filter val="2991.19"/>
        <filter val="29911.85"/>
        <filter val="30000.00"/>
        <filter val="30166.30"/>
        <filter val="30188.38"/>
        <filter val="30436.10"/>
        <filter val="30585.87"/>
        <filter val="30699.01"/>
        <filter val="30746.42"/>
        <filter val="31079.19"/>
        <filter val="31110.14"/>
        <filter val="31326.54"/>
        <filter val="31333.66"/>
        <filter val="3148.62"/>
        <filter val="31486.16"/>
        <filter val="314861.60"/>
        <filter val="3163.57"/>
        <filter val="31688.36"/>
        <filter val="31800.20"/>
        <filter val="31812.04"/>
        <filter val="32037.17"/>
        <filter val="32065.83"/>
        <filter val="32273.31"/>
        <filter val="32354.55"/>
        <filter val="32400.00"/>
        <filter val="32486.79"/>
        <filter val="3256.86"/>
        <filter val="32592.90"/>
        <filter val="32671.26"/>
        <filter val="32677.06"/>
        <filter val="32745.61"/>
        <filter val="32848.72"/>
        <filter val="32976.75"/>
        <filter val="33000.00"/>
        <filter val="33006.94"/>
        <filter val="3306.05"/>
        <filter val="33060.47"/>
        <filter val="33066.91"/>
        <filter val="33170.67"/>
        <filter val="33263.80"/>
        <filter val="33302.12"/>
        <filter val="33414.98"/>
        <filter val="33500.00"/>
        <filter val="33545.79"/>
        <filter val="33552.38"/>
        <filter val="335523.76"/>
        <filter val="33647.03"/>
        <filter val="33653.30"/>
        <filter val="3372.95"/>
        <filter val="33847.62"/>
        <filter val="3400.51"/>
        <filter val="34005.05"/>
        <filter val="34221.16"/>
        <filter val="3428.84"/>
        <filter val="34319.91"/>
        <filter val="34467.03"/>
        <filter val="34500.00"/>
        <filter val="34532.43"/>
        <filter val="34587.86"/>
        <filter val="3463.48"/>
        <filter val="34634.78"/>
        <filter val="34792.21"/>
        <filter val="34807.27"/>
        <filter val="34843.36"/>
        <filter val="3489.49"/>
        <filter val="35000.00"/>
        <filter val="35387.39"/>
        <filter val="35416.40"/>
        <filter val="3542.19"/>
        <filter val="35421.93"/>
        <filter val="35549.26"/>
        <filter val="3577.61"/>
        <filter val="35821.30"/>
        <filter val="35906.82"/>
        <filter val="35967.51"/>
        <filter val="36000.00"/>
        <filter val="36114.63"/>
        <filter val="36182.16"/>
        <filter val="36209.08"/>
        <filter val="36464.91"/>
        <filter val="36491.67"/>
        <filter val="36505.72"/>
        <filter val="36668.78"/>
        <filter val="36852.78"/>
        <filter val="36989.96"/>
        <filter val="36996.24"/>
        <filter val="37000.00"/>
        <filter val="37127.75"/>
        <filter val="37280.42"/>
        <filter val="37332.17"/>
        <filter val="37389.82"/>
        <filter val="37417.82"/>
        <filter val="37529.38"/>
        <filter val="37547.25"/>
        <filter val="37640.35"/>
        <filter val="3778.34"/>
        <filter val="37783.39"/>
        <filter val="37919.21"/>
        <filter val="37985.68"/>
        <filter val="38000.00"/>
        <filter val="38176.97"/>
        <filter val="38288.00"/>
        <filter val="38479.00"/>
        <filter val="38493.97"/>
        <filter val="38570.55"/>
        <filter val="38576.58"/>
        <filter val="38727.98"/>
        <filter val="3877.21"/>
        <filter val="38772.15"/>
        <filter val="38868.12"/>
        <filter val="38920.00"/>
        <filter val="38964.12"/>
        <filter val="39144.44"/>
        <filter val="391444.39"/>
        <filter val="3935.77"/>
        <filter val="39357.70"/>
        <filter val="39448.24"/>
        <filter val="39465.64"/>
        <filter val="3953.09"/>
        <filter val="3954.76"/>
        <filter val="39600.00"/>
        <filter val="39908.71"/>
        <filter val="40000.00"/>
        <filter val="40023.63"/>
        <filter val="4014.49"/>
        <filter val="40144.85"/>
        <filter val="40276.81"/>
        <filter val="40289.16"/>
        <filter val="40443.19"/>
        <filter val="40448.33"/>
        <filter val="40608.48"/>
        <filter val="40627.38"/>
        <filter val="40932.01"/>
        <filter val="41000.00"/>
        <filter val="41008.46"/>
        <filter val="41065.39"/>
        <filter val="41188.60"/>
        <filter val="4132.56"/>
        <filter val="41325.59"/>
        <filter val="41438.92"/>
        <filter val="4171.92"/>
        <filter val="41719.16"/>
        <filter val="41768.72"/>
        <filter val="4187.66"/>
        <filter val="41932.24"/>
        <filter val="42000.00"/>
        <filter val="42126.87"/>
        <filter val="42348.85"/>
        <filter val="42425.56"/>
        <filter val="4250.63"/>
        <filter val="42506.32"/>
        <filter val="42620.90"/>
        <filter val="42872.48"/>
        <filter val="42928.97"/>
        <filter val="42947.04"/>
        <filter val="43000.00"/>
        <filter val="43293.47"/>
        <filter val="43500.00"/>
        <filter val="43509.09"/>
        <filter val="43554.20"/>
        <filter val="43687.05"/>
        <filter val="44080.62"/>
        <filter val="44089.21"/>
        <filter val="44206.57"/>
        <filter val="44395.49"/>
        <filter val="44398.84"/>
        <filter val="44552.92"/>
        <filter val="4473.65"/>
        <filter val="44736.50"/>
        <filter val="44798.61"/>
        <filter val="44867.78"/>
        <filter val="45000.00"/>
        <filter val="45029.06"/>
        <filter val="45182.64"/>
        <filter val="45261.36"/>
        <filter val="45385.48"/>
        <filter val="45401.47"/>
        <filter val="4565.49"/>
        <filter val="45654.93"/>
        <filter val="45854.91"/>
        <filter val="4601.70"/>
        <filter val="46043.01"/>
        <filter val="46372.12"/>
        <filter val="46409.69"/>
        <filter val="46442.09"/>
        <filter val="4660.05"/>
        <filter val="46665.22"/>
        <filter val="46865.45"/>
        <filter val="46989.81"/>
        <filter val="4722.92"/>
        <filter val="47229.24"/>
        <filter val="47816.73"/>
        <filter val="47858.96"/>
        <filter val="48016.39"/>
        <filter val="48464.54"/>
        <filter val="48500.00"/>
        <filter val="48531.83"/>
        <filter val="48730.18"/>
        <filter val="48803.55"/>
        <filter val="49000.00"/>
        <filter val="49118.41"/>
        <filter val="49197.13"/>
        <filter val="49248.00"/>
        <filter val="49332.05"/>
        <filter val="49590.70"/>
        <filter val="49776.23"/>
        <filter val="49890.42"/>
        <filter val="50000.00"/>
        <filter val="50039.18"/>
        <filter val="50051.97"/>
        <filter val="50318.69"/>
        <filter val="50377.86"/>
        <filter val="50614.00"/>
        <filter val="50771.43"/>
        <filter val="50948.56"/>
        <filter val="51165.01"/>
        <filter val="51361.80"/>
        <filter val="5151.92"/>
        <filter val="51650.00"/>
        <filter val="5174.37"/>
        <filter val="5195.22"/>
        <filter val="51952.16"/>
        <filter val="52124.14"/>
        <filter val="52138.92"/>
        <filter val="5218.04"/>
        <filter val="5219.26"/>
        <filter val="52192.59"/>
        <filter val="52210.90"/>
        <filter val="52291.97"/>
        <filter val="52345.74"/>
        <filter val="52442.95"/>
        <filter val="52739.32"/>
        <filter val="52785.29"/>
        <filter val="5289.67"/>
        <filter val="5320.65"/>
        <filter val="53526.47"/>
        <filter val="53594.77"/>
        <filter val="5368.38"/>
        <filter val="54131.65"/>
        <filter val="54265.25"/>
        <filter val="54313.63"/>
        <filter val="54473.86"/>
        <filter val="55000.00"/>
        <filter val="55069.29"/>
        <filter val="5510.08"/>
        <filter val="55100.78"/>
        <filter val="55691.63"/>
        <filter val="55864.32"/>
        <filter val="55887.93"/>
        <filter val="5592.06"/>
        <filter val="55920.63"/>
        <filter val="55998.26"/>
        <filter val="5601.46"/>
        <filter val="56109.32"/>
        <filter val="56281.51"/>
        <filter val="5667.51"/>
        <filter val="56675.09"/>
        <filter val="57000.00"/>
        <filter val="57068.67"/>
        <filter val="57147.38"/>
        <filter val="5718.67"/>
        <filter val="57242.67"/>
        <filter val="5742.30"/>
        <filter val="57462.24"/>
        <filter val="57855.82"/>
        <filter val="58012.12"/>
        <filter val="5815.82"/>
        <filter val="58249.40"/>
        <filter val="58485.54"/>
        <filter val="58612.27"/>
        <filter val="5903.66"/>
        <filter val="59036.55"/>
        <filter val="59044.42"/>
        <filter val="59198.46"/>
        <filter val="5964.87"/>
        <filter val="59648.67"/>
        <filter val="5982.37"/>
        <filter val="59823.70"/>
        <filter val="60000.00"/>
        <filter val="60296.00"/>
        <filter val="60610.86"/>
        <filter val="61004.44"/>
        <filter val="61121.57"/>
        <filter val="61398.01"/>
        <filter val="6151.27"/>
        <filter val="61665.06"/>
        <filter val="62000.00"/>
        <filter val="62185.17"/>
        <filter val="62220.29"/>
        <filter val="62296.30"/>
        <filter val="6265.75"/>
        <filter val="6297.23"/>
        <filter val="62972.32"/>
        <filter val="63200.00"/>
        <filter val="63320.24"/>
        <filter val="6337.67"/>
        <filter val="63376.71"/>
        <filter val="63759.47"/>
        <filter val="63813.33"/>
        <filter val="64131.66"/>
        <filter val="64231.77"/>
        <filter val="64546.63"/>
        <filter val="64782.77"/>
        <filter val="65000.00"/>
        <filter val="65333.78"/>
        <filter val="66000.00"/>
        <filter val="6612.09"/>
        <filter val="66120.94"/>
        <filter val="66575.71"/>
        <filter val="6690.81"/>
        <filter val="66908.09"/>
        <filter val="66976.57"/>
        <filter val="6710.48"/>
        <filter val="67104.75"/>
        <filter val="67294.06"/>
        <filter val="6769.52"/>
        <filter val="67695.24"/>
        <filter val="68442.32"/>
        <filter val="68454.30"/>
        <filter val="6848.24"/>
        <filter val="68482.40"/>
        <filter val="6867.92"/>
        <filter val="6874.06"/>
        <filter val="6878.15"/>
        <filter val="68841.34"/>
        <filter val="69269.55"/>
        <filter val="69614.54"/>
        <filter val="70000.00"/>
        <filter val="70056.71"/>
        <filter val="7057.97"/>
        <filter val="70800.00"/>
        <filter val="7084.39"/>
        <filter val="70843.86"/>
        <filter val="71000.00"/>
        <filter val="71531.47"/>
        <filter val="7157.84"/>
        <filter val="71578.40"/>
        <filter val="71631.01"/>
        <filter val="72000.00"/>
        <filter val="72418.17"/>
        <filter val="72811.75"/>
        <filter val="73095.27"/>
        <filter val="7382.96"/>
        <filter val="73998.07"/>
        <filter val="74499.16"/>
        <filter val="7456.08"/>
        <filter val="74779.63"/>
        <filter val="75000.00"/>
        <filter val="75415.75"/>
        <filter val="75453.43"/>
        <filter val="7556.68"/>
        <filter val="75566.78"/>
        <filter val="75747.83"/>
        <filter val="7605.21"/>
        <filter val="76353.94"/>
        <filter val="7642.49"/>
        <filter val="76464.67"/>
        <filter val="76575.99"/>
        <filter val="76957.99"/>
        <filter val="77141.09"/>
        <filter val="777753.61"/>
        <filter val="77928.25"/>
        <filter val="78043.96"/>
        <filter val="7828.89"/>
        <filter val="7871.54"/>
        <filter val="78715.40"/>
        <filter val="79345.12"/>
        <filter val="79399.65"/>
        <filter val="8028.97"/>
        <filter val="80289.71"/>
        <filter val="81076.86"/>
        <filter val="81216.96"/>
        <filter val="81397.88"/>
        <filter val="8142.15"/>
        <filter val="81864.02"/>
        <filter val="82000.00"/>
        <filter val="8201.69"/>
        <filter val="8203.29"/>
        <filter val="82389.72"/>
        <filter val="82651.17"/>
        <filter val="83375.19"/>
        <filter val="83438.32"/>
        <filter val="83864.48"/>
        <filter val="8388.09"/>
        <filter val="83880.94"/>
        <filter val="84225.48"/>
        <filter val="84697.69"/>
        <filter val="8501.26"/>
        <filter val="85012.63"/>
        <filter val="85138.58"/>
        <filter val="85318.23"/>
        <filter val="8574.50"/>
        <filter val="85744.96"/>
        <filter val="85799.79"/>
        <filter val="85857.93"/>
        <filter val="8658.69"/>
        <filter val="86586.94"/>
        <filter val="8686.34"/>
        <filter val="87018.17"/>
        <filter val="87323.49"/>
        <filter val="87374.09"/>
        <filter val="87909.36"/>
        <filter val="88161.25"/>
        <filter val="8840.05"/>
        <filter val="8947.30"/>
        <filter val="89473.00"/>
        <filter val="8973.56"/>
        <filter val="89735.56"/>
        <filter val="90000.00"/>
        <filter val="9033.19"/>
        <filter val="90498.90"/>
        <filter val="90522.71"/>
        <filter val="9067.00"/>
        <filter val="91659.14"/>
        <filter val="92819.39"/>
        <filter val="9288.42"/>
        <filter val="92884.17"/>
        <filter val="9320.10"/>
        <filter val="93201.05"/>
        <filter val="9394.67"/>
        <filter val="9445.85"/>
        <filter val="94458.48"/>
        <filter val="9618.35"/>
        <filter val="9692.91"/>
        <filter val="96929.09"/>
        <filter val="9839.43"/>
        <filter val="98394.25"/>
        <filter val="98664.10"/>
        <filter val="99552.46"/>
      </filters>
    </filterColumn>
  </autoFilter>
  <sortState ref="B13:L1888">
    <sortCondition descending="1" ref="G5:G1888"/>
  </sortState>
  <tableColumns count="11">
    <tableColumn id="1" name="Unique ID"/>
    <tableColumn id="4" name="clean Salary (in local currency)"/>
    <tableColumn id="5" name="Currency"/>
    <tableColumn id="13" name="Salary in USD" dataDxfId="4"/>
    <tableColumn id="2" name="PPP Adjusted  USD" dataDxfId="3">
      <calculatedColumnFormula>(tblSalaries[[#This Row],[clean Salary (in local currency)]])*(VLOOKUP(tblSalaries[[#This Row],[Currency]],Sheet3!$A$2:$C$31,3,FALSE))*(VLOOKUP(tblSalaries[[#This Row],[Currency]],Sheet1!$N$4:$Q$186,4,FALSE))</calculatedColumnFormula>
    </tableColumn>
    <tableColumn id="3" name="Chosen Currency" dataDxfId="2">
      <calculatedColumnFormula>IF(Dashboard!$J$5=VLOOKUP(tblSalaries[[#This Row],[Currency]],Sheet3!$A$2:$B$31,2,FALSE),tblSalaries[[#This Row],[clean Salary (in local currency)]],(tblSalaries[[#This Row],[PPP Adjusted  USD]]/VLOOKUP(Dashboard!$J$5,Sheet3!$B$2:$C$31,2,FALSE)))</calculatedColumnFormula>
    </tableColumn>
    <tableColumn id="7" name="Your Job Title"/>
    <tableColumn id="6" name="Job Type"/>
    <tableColumn id="10" name="Country" dataDxfId="1"/>
    <tableColumn id="9" name="How many hours of a day you work on Excel"/>
    <tableColumn id="12" name="Years of Experienc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7">
    <tabColor rgb="FF00B050"/>
  </sheetPr>
  <dimension ref="A1:A29"/>
  <sheetViews>
    <sheetView showGridLines="0" tabSelected="1" workbookViewId="0">
      <selection activeCell="A10" sqref="A10"/>
    </sheetView>
  </sheetViews>
  <sheetFormatPr defaultRowHeight="21"/>
  <cols>
    <col min="1" max="16384" width="9.140625" style="11"/>
  </cols>
  <sheetData>
    <row r="1" spans="1:1">
      <c r="A1" s="39" t="s">
        <v>3884</v>
      </c>
    </row>
    <row r="2" spans="1:1">
      <c r="A2" s="31" t="s">
        <v>3865</v>
      </c>
    </row>
    <row r="3" spans="1:1">
      <c r="A3" s="11" t="s">
        <v>3837</v>
      </c>
    </row>
    <row r="5" spans="1:1">
      <c r="A5" s="11" t="s">
        <v>3838</v>
      </c>
    </row>
    <row r="6" spans="1:1">
      <c r="A6" s="11" t="s">
        <v>3878</v>
      </c>
    </row>
    <row r="7" spans="1:1">
      <c r="A7" s="11" t="s">
        <v>3881</v>
      </c>
    </row>
    <row r="8" spans="1:1">
      <c r="A8" s="11" t="s">
        <v>3879</v>
      </c>
    </row>
    <row r="9" spans="1:1">
      <c r="A9" s="11" t="s">
        <v>3882</v>
      </c>
    </row>
    <row r="11" spans="1:1">
      <c r="A11" s="31" t="s">
        <v>3873</v>
      </c>
    </row>
    <row r="12" spans="1:1">
      <c r="A12" s="32" t="s">
        <v>3876</v>
      </c>
    </row>
    <row r="13" spans="1:1">
      <c r="A13" s="11" t="s">
        <v>3874</v>
      </c>
    </row>
    <row r="14" spans="1:1">
      <c r="A14" s="11" t="s">
        <v>3875</v>
      </c>
    </row>
    <row r="15" spans="1:1">
      <c r="A15" s="11" t="s">
        <v>3885</v>
      </c>
    </row>
    <row r="16" spans="1:1">
      <c r="A16" s="11" t="s">
        <v>3888</v>
      </c>
    </row>
    <row r="17" spans="1:1">
      <c r="A17" s="11" t="s">
        <v>3886</v>
      </c>
    </row>
    <row r="18" spans="1:1">
      <c r="A18" s="11" t="s">
        <v>3887</v>
      </c>
    </row>
    <row r="20" spans="1:1">
      <c r="A20" s="31" t="s">
        <v>3868</v>
      </c>
    </row>
    <row r="21" spans="1:1">
      <c r="A21" s="11" t="s">
        <v>3866</v>
      </c>
    </row>
    <row r="22" spans="1:1">
      <c r="A22" s="11" t="s">
        <v>3867</v>
      </c>
    </row>
    <row r="23" spans="1:1">
      <c r="A23" s="11" t="s">
        <v>3871</v>
      </c>
    </row>
    <row r="24" spans="1:1">
      <c r="A24" s="11" t="s">
        <v>3870</v>
      </c>
    </row>
    <row r="25" spans="1:1">
      <c r="A25" s="11" t="s">
        <v>3877</v>
      </c>
    </row>
    <row r="27" spans="1:1">
      <c r="A27" s="11" t="s">
        <v>3872</v>
      </c>
    </row>
    <row r="28" spans="1:1">
      <c r="A28" s="11" t="s">
        <v>3880</v>
      </c>
    </row>
    <row r="29" spans="1:1">
      <c r="A29" s="11" t="s">
        <v>3883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6">
    <tabColor rgb="FF00B050"/>
  </sheetPr>
  <dimension ref="A1:U59"/>
  <sheetViews>
    <sheetView showGridLines="0" topLeftCell="B1" workbookViewId="0">
      <pane ySplit="8" topLeftCell="A9" activePane="bottomLeft" state="frozen"/>
      <selection activeCell="B1" sqref="B1"/>
      <selection pane="bottomLeft" activeCell="J22" sqref="J22"/>
    </sheetView>
  </sheetViews>
  <sheetFormatPr defaultRowHeight="15"/>
  <cols>
    <col min="1" max="1" width="3.7109375" customWidth="1"/>
    <col min="2" max="2" width="16.28515625" bestFit="1" customWidth="1"/>
    <col min="3" max="3" width="18.85546875" bestFit="1" customWidth="1"/>
    <col min="4" max="4" width="32.140625" bestFit="1" customWidth="1"/>
    <col min="5" max="5" width="20.42578125" customWidth="1"/>
    <col min="6" max="6" width="27.5703125" bestFit="1" customWidth="1"/>
    <col min="7" max="7" width="29.7109375" customWidth="1"/>
    <col min="8" max="8" width="13.5703125" customWidth="1"/>
    <col min="9" max="9" width="9.85546875" customWidth="1"/>
    <col min="10" max="10" width="28.42578125" bestFit="1" customWidth="1"/>
    <col min="21" max="21" width="27" hidden="1" customWidth="1"/>
  </cols>
  <sheetData>
    <row r="1" spans="1:21" ht="15" customHeight="1">
      <c r="B1" s="19"/>
      <c r="C1" s="19"/>
      <c r="D1" s="38" t="s">
        <v>3884</v>
      </c>
      <c r="E1" s="38"/>
      <c r="F1" s="38"/>
      <c r="G1" s="38"/>
      <c r="H1" s="20"/>
      <c r="I1" s="19"/>
      <c r="J1" s="19"/>
      <c r="K1" s="19"/>
    </row>
    <row r="2" spans="1:21" ht="15" customHeight="1">
      <c r="A2" s="19"/>
      <c r="B2" s="19"/>
      <c r="C2" s="19"/>
      <c r="D2" s="38"/>
      <c r="E2" s="38"/>
      <c r="F2" s="38"/>
      <c r="G2" s="38"/>
      <c r="H2" s="19"/>
      <c r="I2" s="19"/>
      <c r="J2" s="19"/>
      <c r="K2" s="19"/>
    </row>
    <row r="4" spans="1:21" ht="15.75" thickBot="1"/>
    <row r="5" spans="1:21" ht="24" thickBot="1">
      <c r="C5" s="13"/>
      <c r="J5" s="17" t="s">
        <v>251</v>
      </c>
      <c r="U5" t="s">
        <v>251</v>
      </c>
    </row>
    <row r="6" spans="1:21">
      <c r="U6" t="s">
        <v>284</v>
      </c>
    </row>
    <row r="7" spans="1:21">
      <c r="U7" t="s">
        <v>373</v>
      </c>
    </row>
    <row r="8" spans="1:21">
      <c r="U8" t="s">
        <v>199</v>
      </c>
    </row>
    <row r="9" spans="1:21">
      <c r="U9" t="s">
        <v>257</v>
      </c>
    </row>
    <row r="10" spans="1:21">
      <c r="U10" t="s">
        <v>572</v>
      </c>
    </row>
    <row r="11" spans="1:21" ht="26.25">
      <c r="B11" s="18" t="s">
        <v>3869</v>
      </c>
      <c r="U11" t="s">
        <v>275</v>
      </c>
    </row>
    <row r="12" spans="1:21">
      <c r="U12" t="s">
        <v>246</v>
      </c>
    </row>
    <row r="13" spans="1:21" ht="23.25">
      <c r="B13" s="12" t="s">
        <v>3840</v>
      </c>
      <c r="C13" s="12" t="s">
        <v>191</v>
      </c>
      <c r="D13" s="12" t="s">
        <v>3841</v>
      </c>
      <c r="E13" s="12" t="s">
        <v>3842</v>
      </c>
      <c r="F13" s="12" t="s">
        <v>3843</v>
      </c>
      <c r="G13" s="12" t="s">
        <v>3848</v>
      </c>
      <c r="U13" t="s">
        <v>223</v>
      </c>
    </row>
    <row r="14" spans="1:21" ht="23.25">
      <c r="A14" s="9"/>
      <c r="B14" s="15">
        <f>LARGE(Data!$G$13:$G$1888,1)</f>
        <v>988057.75400293083</v>
      </c>
      <c r="C14" s="14" t="str">
        <f>INDEX(Sheet3!$A$2:$A$31,MATCH(Dashboard!$J$5,Sheet3!$B$2:$B$31,0))</f>
        <v>USD</v>
      </c>
      <c r="D14" s="14" t="str">
        <f>VLOOKUP(B14,Data!$G$13:$L$1888,3,FALSE)</f>
        <v>Accountant</v>
      </c>
      <c r="E14" s="14" t="str">
        <f>VLOOKUP(B14,Data!$G$13:$L$1888,4,FALSE)</f>
        <v>Canada</v>
      </c>
      <c r="F14" s="14" t="str">
        <f>VLOOKUP(B14,Data!$G$13:$L$1888,5,FALSE)</f>
        <v>4 to 6 hours a day</v>
      </c>
      <c r="G14" s="14" t="str">
        <f>VLOOKUP(B14,Data!$G$13:$L$1888,6,FALSE)</f>
        <v>Data Not Avaliable</v>
      </c>
      <c r="U14" t="s">
        <v>428</v>
      </c>
    </row>
    <row r="15" spans="1:21" ht="23.25">
      <c r="B15" s="16">
        <f>LARGE(Data!$G$13:$G$1888,2)</f>
        <v>497290.73466133379</v>
      </c>
      <c r="C15" s="12" t="str">
        <f>INDEX(Sheet3!$A$2:$A$31,MATCH(Dashboard!$J$5,Sheet3!$B$2:$B$31,0))</f>
        <v>USD</v>
      </c>
      <c r="D15" s="12" t="str">
        <f>VLOOKUP(B15,Data!$G$13:$L$1888,3,FALSE)</f>
        <v>Manager</v>
      </c>
      <c r="E15" s="12" t="str">
        <f>VLOOKUP(B15,Data!$G$13:$L$1888,4,FALSE)</f>
        <v>India</v>
      </c>
      <c r="F15" s="12" t="str">
        <f>VLOOKUP(B15,Data!$G$13:$L$1888,5,FALSE)</f>
        <v>2 to 3 hours per day</v>
      </c>
      <c r="G15" s="12">
        <f>VLOOKUP(B15,Data!$G$13:$L$1888,6,FALSE)</f>
        <v>10</v>
      </c>
      <c r="U15" t="s">
        <v>361</v>
      </c>
    </row>
    <row r="16" spans="1:21" ht="23.25">
      <c r="B16" s="16">
        <f>LARGE(Data!$G$13:$G$1888,3)</f>
        <v>426249.20113828609</v>
      </c>
      <c r="C16" s="12" t="str">
        <f>INDEX(Sheet3!$A$2:$A$31,MATCH(Dashboard!$J$5,Sheet3!$B$2:$B$31,0))</f>
        <v>USD</v>
      </c>
      <c r="D16" s="12" t="str">
        <f>VLOOKUP(B16,Data!$G$13:$L$1888,3,FALSE)</f>
        <v>Analyst</v>
      </c>
      <c r="E16" s="12" t="str">
        <f>VLOOKUP(B16,Data!$G$13:$L$1888,4,FALSE)</f>
        <v>India</v>
      </c>
      <c r="F16" s="12" t="str">
        <f>VLOOKUP(B16,Data!$G$13:$L$1888,5,FALSE)</f>
        <v>4 to 6 hours a day</v>
      </c>
      <c r="G16" s="12" t="str">
        <f>VLOOKUP(B16,Data!$G$13:$L$1888,6,FALSE)</f>
        <v>Data Not Avaliable</v>
      </c>
      <c r="U16" t="s">
        <v>406</v>
      </c>
    </row>
    <row r="17" spans="2:21" ht="23.25">
      <c r="B17" s="16">
        <f>LARGE(Data!$G$13:$G$1888,4)</f>
        <v>400000</v>
      </c>
      <c r="C17" s="12" t="str">
        <f>INDEX(Sheet3!$A$2:$A$31,MATCH(Dashboard!$J$5,Sheet3!$B$2:$B$31,0))</f>
        <v>USD</v>
      </c>
      <c r="D17" s="12" t="str">
        <f>VLOOKUP(B17,Data!$G$13:$L$1888,3,FALSE)</f>
        <v>Manager</v>
      </c>
      <c r="E17" s="12" t="str">
        <f>VLOOKUP(B17,Data!$G$13:$L$1888,4,FALSE)</f>
        <v>USA</v>
      </c>
      <c r="F17" s="12" t="str">
        <f>VLOOKUP(B17,Data!$G$13:$L$1888,5,FALSE)</f>
        <v>1 or 2 hours a day</v>
      </c>
      <c r="G17" s="12" t="str">
        <f>VLOOKUP(B17,Data!$G$13:$L$1888,6,FALSE)</f>
        <v>Data Not Avaliable</v>
      </c>
      <c r="U17" t="s">
        <v>491</v>
      </c>
    </row>
    <row r="18" spans="2:21" ht="23.25">
      <c r="B18" s="16">
        <f>LARGE(Data!$G$13:$G$1888,5)</f>
        <v>400000</v>
      </c>
      <c r="C18" s="12" t="str">
        <f>INDEX(Sheet3!$A$2:$A$31,MATCH(Dashboard!$J$5,Sheet3!$B$2:$B$31,0))</f>
        <v>USD</v>
      </c>
      <c r="D18" s="12" t="str">
        <f>VLOOKUP(B18,Data!$G$13:$L$1888,3,FALSE)</f>
        <v>Manager</v>
      </c>
      <c r="E18" s="12" t="str">
        <f>VLOOKUP(B18,Data!$G$13:$L$1888,4,FALSE)</f>
        <v>USA</v>
      </c>
      <c r="F18" s="12" t="str">
        <f>VLOOKUP(B18,Data!$G$13:$L$1888,5,FALSE)</f>
        <v>1 or 2 hours a day</v>
      </c>
      <c r="G18" s="12" t="str">
        <f>(VLOOKUP(B18,Data!$G$13:$L$1888,6,FALSE))</f>
        <v>Data Not Avaliable</v>
      </c>
      <c r="U18" t="s">
        <v>522</v>
      </c>
    </row>
    <row r="19" spans="2:21" ht="23.25">
      <c r="B19" s="16">
        <f>LARGE(Data!$G$13:$G$1888,6)</f>
        <v>300000</v>
      </c>
      <c r="C19" s="12" t="str">
        <f>INDEX(Sheet3!$A$2:$A$31,MATCH(Dashboard!$J$5,Sheet3!$B$2:$B$31,0))</f>
        <v>USD</v>
      </c>
      <c r="D19" s="12" t="str">
        <f>VLOOKUP(B19,Data!$G$13:$L$1888,3,FALSE)</f>
        <v>CXO or Top Mgmt.</v>
      </c>
      <c r="E19" s="12" t="str">
        <f>VLOOKUP(B19,Data!$G$13:$L$1888,4,FALSE)</f>
        <v>USA</v>
      </c>
      <c r="F19" s="12" t="str">
        <f>VLOOKUP(B19,Data!$G$13:$L$1888,5)</f>
        <v>4 to 6 hours a day</v>
      </c>
      <c r="G19" s="12">
        <f>(VLOOKUP(B19,Data!$G$13:$L$1888,6,FALSE))</f>
        <v>30</v>
      </c>
      <c r="U19" t="s">
        <v>475</v>
      </c>
    </row>
    <row r="20" spans="2:21">
      <c r="U20" t="s">
        <v>456</v>
      </c>
    </row>
    <row r="21" spans="2:21" ht="26.25">
      <c r="B21" s="35" t="s">
        <v>3852</v>
      </c>
      <c r="C21" s="35"/>
      <c r="D21" s="35"/>
      <c r="E21" s="35"/>
      <c r="F21" s="35"/>
      <c r="G21" s="25" t="s">
        <v>3853</v>
      </c>
      <c r="H21" s="25"/>
      <c r="I21" s="25"/>
      <c r="J21" s="25"/>
      <c r="K21" s="25"/>
      <c r="L21" s="24"/>
      <c r="U21" t="s">
        <v>399</v>
      </c>
    </row>
    <row r="22" spans="2:21" ht="26.25">
      <c r="B22" s="35"/>
      <c r="C22" s="35"/>
      <c r="D22" s="35"/>
      <c r="E22" s="35"/>
      <c r="F22" s="35"/>
      <c r="U22" t="s">
        <v>552</v>
      </c>
    </row>
    <row r="23" spans="2:21" ht="26.25">
      <c r="B23" s="35"/>
      <c r="C23" s="35"/>
      <c r="D23" s="35"/>
      <c r="E23" s="35"/>
      <c r="F23" s="35"/>
      <c r="U23" t="s">
        <v>311</v>
      </c>
    </row>
    <row r="24" spans="2:21" ht="26.25">
      <c r="B24" s="35"/>
      <c r="C24" s="35"/>
      <c r="D24" s="35"/>
      <c r="E24" s="35"/>
      <c r="F24" s="35"/>
      <c r="U24" t="s">
        <v>419</v>
      </c>
    </row>
    <row r="25" spans="2:21" ht="26.25">
      <c r="B25" s="35"/>
      <c r="C25" s="35"/>
      <c r="D25" s="35"/>
      <c r="E25" s="35"/>
      <c r="F25" s="35"/>
      <c r="U25" t="s">
        <v>472</v>
      </c>
    </row>
    <row r="26" spans="2:21" ht="26.25">
      <c r="B26" s="35"/>
      <c r="C26" s="35"/>
      <c r="D26" s="35"/>
      <c r="E26" s="35"/>
      <c r="F26" s="35"/>
      <c r="U26" t="s">
        <v>460</v>
      </c>
    </row>
    <row r="27" spans="2:21" ht="26.25">
      <c r="B27" s="35"/>
      <c r="C27" s="35"/>
      <c r="D27" s="35"/>
      <c r="E27" s="35"/>
      <c r="F27" s="35"/>
      <c r="U27" t="s">
        <v>479</v>
      </c>
    </row>
    <row r="28" spans="2:21" ht="26.25">
      <c r="B28" s="35"/>
      <c r="C28" s="35"/>
      <c r="D28" s="35"/>
      <c r="E28" s="35"/>
      <c r="F28" s="35"/>
      <c r="U28" t="s">
        <v>294</v>
      </c>
    </row>
    <row r="29" spans="2:21" ht="26.25">
      <c r="B29" s="35"/>
      <c r="C29" s="35"/>
      <c r="D29" s="35"/>
      <c r="E29" s="35"/>
      <c r="F29" s="35"/>
      <c r="U29" t="s">
        <v>231</v>
      </c>
    </row>
    <row r="30" spans="2:21" ht="26.25">
      <c r="B30" s="35"/>
      <c r="C30" s="35"/>
      <c r="D30" s="35"/>
      <c r="E30" s="35"/>
      <c r="F30" s="35"/>
      <c r="U30" t="s">
        <v>437</v>
      </c>
    </row>
    <row r="31" spans="2:21" ht="26.25">
      <c r="B31" s="35"/>
      <c r="C31" s="35"/>
      <c r="D31" s="35"/>
      <c r="E31" s="35"/>
      <c r="F31" s="35"/>
      <c r="U31" t="s">
        <v>513</v>
      </c>
    </row>
    <row r="32" spans="2:21" ht="26.25">
      <c r="B32" s="35"/>
      <c r="C32" s="35"/>
      <c r="D32" s="35"/>
      <c r="E32" s="35"/>
      <c r="F32" s="35"/>
      <c r="U32" t="s">
        <v>315</v>
      </c>
    </row>
    <row r="33" spans="1:21" ht="26.25">
      <c r="B33" s="35"/>
      <c r="C33" s="35"/>
      <c r="D33" s="35"/>
      <c r="E33" s="35"/>
      <c r="F33" s="35"/>
      <c r="U33" t="s">
        <v>323</v>
      </c>
    </row>
    <row r="34" spans="1:21" ht="26.25">
      <c r="B34" s="35"/>
      <c r="C34" s="35"/>
      <c r="D34" s="35"/>
      <c r="E34" s="35"/>
      <c r="F34" s="35"/>
      <c r="U34" t="s">
        <v>426</v>
      </c>
    </row>
    <row r="35" spans="1:21" ht="26.25">
      <c r="B35" s="35"/>
      <c r="C35" s="35"/>
      <c r="D35" s="35"/>
      <c r="E35" s="35"/>
      <c r="F35" s="35"/>
    </row>
    <row r="36" spans="1:21" ht="26.25">
      <c r="B36" s="35"/>
      <c r="C36" s="35"/>
      <c r="D36" s="35"/>
      <c r="E36" s="35"/>
      <c r="F36" s="35"/>
    </row>
    <row r="37" spans="1:21" ht="26.25">
      <c r="B37" s="35"/>
      <c r="C37" s="35"/>
      <c r="D37" s="35"/>
      <c r="E37" s="35"/>
      <c r="F37" s="35"/>
    </row>
    <row r="38" spans="1:21" ht="26.25">
      <c r="B38" s="35"/>
      <c r="C38" s="35"/>
      <c r="D38" s="35"/>
      <c r="E38" s="35"/>
      <c r="F38" s="35"/>
    </row>
    <row r="39" spans="1:21" ht="26.25">
      <c r="B39" s="35"/>
      <c r="C39" s="35"/>
      <c r="D39" s="35"/>
      <c r="E39" s="35"/>
      <c r="F39" s="35"/>
    </row>
    <row r="40" spans="1:21" ht="26.25">
      <c r="B40" s="24"/>
      <c r="C40" s="24"/>
      <c r="D40" s="24"/>
      <c r="E40" s="24"/>
      <c r="F40" s="24"/>
    </row>
    <row r="41" spans="1:21" ht="26.25">
      <c r="B41" s="35"/>
      <c r="C41" s="35"/>
      <c r="D41" s="35"/>
      <c r="E41" s="35"/>
      <c r="F41" s="35"/>
    </row>
    <row r="42" spans="1:21" ht="24.75">
      <c r="A42" s="34" t="s">
        <v>3864</v>
      </c>
      <c r="B42" s="34"/>
      <c r="C42" s="34"/>
      <c r="D42" s="34"/>
      <c r="E42" s="34"/>
      <c r="F42" s="23"/>
    </row>
    <row r="43" spans="1:21" ht="26.25">
      <c r="B43" s="35"/>
      <c r="C43" s="35"/>
      <c r="D43" s="35"/>
      <c r="E43" s="35"/>
      <c r="F43" s="35"/>
    </row>
    <row r="44" spans="1:21" ht="24">
      <c r="B44" s="36" t="s">
        <v>3844</v>
      </c>
      <c r="C44" s="36"/>
      <c r="D44" s="36"/>
      <c r="E44" s="37" t="str">
        <f>INDEX(Data!$K$13:$K$1888,(MODE(MATCH(Data!$K$13:$K$1888,Data!$K$13:$K$1888,0))))</f>
        <v>4 to 6 hours a day</v>
      </c>
      <c r="F44" s="37"/>
    </row>
    <row r="45" spans="1:21" ht="24">
      <c r="B45" s="36" t="s">
        <v>3846</v>
      </c>
      <c r="C45" s="36"/>
      <c r="D45" s="36"/>
      <c r="E45" s="22" t="str">
        <f>INDEX(Data!$J$13:$J$1888,(MODE(MATCH(Data!$J$13:$J$1888,Data!$J$13:$J$1888,0))))</f>
        <v>USA</v>
      </c>
      <c r="F45" s="21"/>
    </row>
    <row r="46" spans="1:21" ht="24">
      <c r="B46" s="36" t="s">
        <v>3845</v>
      </c>
      <c r="C46" s="36"/>
      <c r="D46" s="36"/>
      <c r="E46" s="22" t="str">
        <f>INDEX(Data!$I$13:$I$1888,(MODE(MATCH(Data!$I$13:$I$1888,Data!$I$13:$I$1888,0))))</f>
        <v>Analyst</v>
      </c>
      <c r="F46" s="21"/>
    </row>
    <row r="47" spans="1:21" ht="24">
      <c r="B47" s="36" t="s">
        <v>3856</v>
      </c>
      <c r="C47" s="36"/>
      <c r="D47" s="36"/>
      <c r="E47" s="30">
        <f>MEDIAN(Data!G13:G1888)</f>
        <v>44996.485615631769</v>
      </c>
      <c r="F47" s="21" t="str">
        <f>$C$14</f>
        <v>USD</v>
      </c>
    </row>
    <row r="48" spans="1:21" ht="24">
      <c r="B48" s="36" t="s">
        <v>3857</v>
      </c>
      <c r="C48" s="36"/>
      <c r="D48" s="36"/>
      <c r="E48" s="29">
        <f>456/1876</f>
        <v>0.24307036247334754</v>
      </c>
      <c r="F48" s="22" t="s">
        <v>3855</v>
      </c>
    </row>
    <row r="49" spans="2:11" ht="24" customHeight="1">
      <c r="B49" s="33" t="s">
        <v>3862</v>
      </c>
      <c r="C49" s="33"/>
      <c r="D49" s="33"/>
      <c r="E49" s="33"/>
      <c r="F49" s="22" t="s">
        <v>3863</v>
      </c>
    </row>
    <row r="50" spans="2:11" ht="26.25">
      <c r="B50" s="35"/>
      <c r="C50" s="35"/>
      <c r="D50" s="35"/>
      <c r="E50" s="35"/>
      <c r="F50" s="35"/>
    </row>
    <row r="51" spans="2:11" ht="26.25">
      <c r="B51" s="24"/>
      <c r="C51" s="24"/>
      <c r="D51" s="24"/>
      <c r="E51" s="24"/>
      <c r="F51" s="24"/>
    </row>
    <row r="52" spans="2:11" ht="26.25">
      <c r="C52" s="24"/>
      <c r="D52" s="24"/>
      <c r="E52" s="24"/>
      <c r="F52" s="24"/>
    </row>
    <row r="53" spans="2:11" ht="24" customHeight="1">
      <c r="B53" s="25"/>
      <c r="C53" s="25"/>
      <c r="D53" s="25"/>
      <c r="E53" s="24" t="s">
        <v>3858</v>
      </c>
      <c r="F53" s="25"/>
    </row>
    <row r="54" spans="2:11" ht="26.25">
      <c r="F54" s="24"/>
    </row>
    <row r="56" spans="2:11" ht="26.25">
      <c r="G56" s="35"/>
      <c r="H56" s="35"/>
      <c r="I56" s="35"/>
      <c r="J56" s="35"/>
      <c r="K56" s="35"/>
    </row>
    <row r="59" spans="2:11" ht="26.25">
      <c r="G59" s="24"/>
      <c r="H59" s="24"/>
      <c r="I59" s="24"/>
      <c r="J59" s="24"/>
    </row>
  </sheetData>
  <mergeCells count="32">
    <mergeCell ref="D1:G2"/>
    <mergeCell ref="B44:D44"/>
    <mergeCell ref="B45:D45"/>
    <mergeCell ref="B31:F31"/>
    <mergeCell ref="B32:F32"/>
    <mergeCell ref="B33:F33"/>
    <mergeCell ref="B34:F34"/>
    <mergeCell ref="B27:F27"/>
    <mergeCell ref="B46:D46"/>
    <mergeCell ref="E44:F44"/>
    <mergeCell ref="B47:D47"/>
    <mergeCell ref="B21:F21"/>
    <mergeCell ref="B28:F28"/>
    <mergeCell ref="B29:F29"/>
    <mergeCell ref="B30:F30"/>
    <mergeCell ref="B22:F22"/>
    <mergeCell ref="B23:F23"/>
    <mergeCell ref="B24:F24"/>
    <mergeCell ref="B25:F25"/>
    <mergeCell ref="B26:F26"/>
    <mergeCell ref="B41:F41"/>
    <mergeCell ref="B35:F35"/>
    <mergeCell ref="B36:F36"/>
    <mergeCell ref="B37:F37"/>
    <mergeCell ref="B38:F38"/>
    <mergeCell ref="B39:F39"/>
    <mergeCell ref="B49:E49"/>
    <mergeCell ref="A42:E42"/>
    <mergeCell ref="B50:F50"/>
    <mergeCell ref="G56:K56"/>
    <mergeCell ref="B43:F43"/>
    <mergeCell ref="B48:D48"/>
  </mergeCells>
  <dataValidations count="1">
    <dataValidation type="list" allowBlank="1" showInputMessage="1" showErrorMessage="1" promptTitle="Salary Data Currency" sqref="J5">
      <formula1>$U$5:$U$34</formula1>
    </dataValidation>
  </dataValidation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1">
    <tabColor rgb="FFFFC000"/>
  </sheetPr>
  <dimension ref="A2:Q186"/>
  <sheetViews>
    <sheetView workbookViewId="0"/>
  </sheetViews>
  <sheetFormatPr defaultRowHeight="15"/>
  <cols>
    <col min="1" max="1" width="12.7109375" bestFit="1" customWidth="1"/>
    <col min="2" max="2" width="32.5703125" bestFit="1" customWidth="1"/>
    <col min="3" max="3" width="11.28515625" bestFit="1" customWidth="1"/>
    <col min="7" max="7" width="31.5703125" bestFit="1" customWidth="1"/>
    <col min="8" max="8" width="10.140625" bestFit="1" customWidth="1"/>
    <col min="12" max="12" width="20.42578125" bestFit="1" customWidth="1"/>
    <col min="13" max="13" width="12" bestFit="1" customWidth="1"/>
    <col min="15" max="15" width="38.42578125" bestFit="1" customWidth="1"/>
    <col min="17" max="17" width="12" bestFit="1" customWidth="1"/>
  </cols>
  <sheetData>
    <row r="2" spans="1:17">
      <c r="A2" t="s">
        <v>0</v>
      </c>
      <c r="B2" t="s">
        <v>187</v>
      </c>
      <c r="F2" t="s">
        <v>182</v>
      </c>
      <c r="G2" t="s">
        <v>187</v>
      </c>
      <c r="K2" t="s">
        <v>188</v>
      </c>
      <c r="M2" t="s">
        <v>190</v>
      </c>
      <c r="N2" t="s">
        <v>191</v>
      </c>
      <c r="O2" t="s">
        <v>590</v>
      </c>
      <c r="P2" t="s">
        <v>591</v>
      </c>
      <c r="Q2" t="s">
        <v>190</v>
      </c>
    </row>
    <row r="3" spans="1:17">
      <c r="C3" t="s">
        <v>189</v>
      </c>
      <c r="H3" t="s">
        <v>182</v>
      </c>
    </row>
    <row r="4" spans="1:17">
      <c r="A4">
        <v>1</v>
      </c>
      <c r="B4" t="s">
        <v>1</v>
      </c>
      <c r="C4" s="1">
        <v>15094025</v>
      </c>
      <c r="F4">
        <v>1</v>
      </c>
      <c r="G4" t="s">
        <v>1</v>
      </c>
      <c r="H4" s="1">
        <v>15094025</v>
      </c>
      <c r="K4">
        <v>1</v>
      </c>
      <c r="L4" t="s">
        <v>1</v>
      </c>
      <c r="M4">
        <v>1</v>
      </c>
      <c r="N4" t="s">
        <v>252</v>
      </c>
      <c r="O4" t="s">
        <v>251</v>
      </c>
      <c r="P4">
        <v>1</v>
      </c>
      <c r="Q4">
        <v>1</v>
      </c>
    </row>
    <row r="5" spans="1:17">
      <c r="A5">
        <v>2</v>
      </c>
      <c r="B5" t="s">
        <v>2</v>
      </c>
      <c r="C5" s="1">
        <v>72981472</v>
      </c>
      <c r="F5">
        <v>2</v>
      </c>
      <c r="G5" t="s">
        <v>2</v>
      </c>
      <c r="H5" s="1">
        <v>11299967</v>
      </c>
      <c r="K5">
        <v>2</v>
      </c>
      <c r="L5" t="s">
        <v>2</v>
      </c>
      <c r="M5">
        <v>0.15483336647416485</v>
      </c>
      <c r="N5" t="s">
        <v>285</v>
      </c>
      <c r="O5" t="s">
        <v>284</v>
      </c>
      <c r="P5">
        <v>0.15721021048875083</v>
      </c>
      <c r="Q5">
        <v>0.15483336647416485</v>
      </c>
    </row>
    <row r="6" spans="1:17">
      <c r="A6">
        <v>3</v>
      </c>
      <c r="B6" t="s">
        <v>3</v>
      </c>
      <c r="C6" s="1">
        <v>5869471</v>
      </c>
      <c r="F6">
        <v>3</v>
      </c>
      <c r="G6" t="s">
        <v>11</v>
      </c>
      <c r="H6" s="1">
        <v>4457784</v>
      </c>
      <c r="K6">
        <v>3</v>
      </c>
      <c r="L6" t="s">
        <v>3</v>
      </c>
      <c r="M6">
        <v>0.75652064726105639</v>
      </c>
      <c r="N6" t="s">
        <v>374</v>
      </c>
      <c r="O6" t="s">
        <v>373</v>
      </c>
      <c r="P6">
        <v>1.2673580527296991E-2</v>
      </c>
      <c r="Q6">
        <v>0.75652064726105639</v>
      </c>
    </row>
    <row r="7" spans="1:17">
      <c r="A7">
        <v>4</v>
      </c>
      <c r="B7" t="s">
        <v>4</v>
      </c>
      <c r="C7" s="1">
        <v>3577031</v>
      </c>
      <c r="F7">
        <v>4</v>
      </c>
      <c r="G7" t="s">
        <v>3</v>
      </c>
      <c r="H7" s="1">
        <v>4440376</v>
      </c>
      <c r="K7">
        <v>4</v>
      </c>
      <c r="L7" t="s">
        <v>4</v>
      </c>
      <c r="M7">
        <v>0.86638332181074196</v>
      </c>
      <c r="N7" t="s">
        <v>200</v>
      </c>
      <c r="O7" t="s">
        <v>199</v>
      </c>
      <c r="P7">
        <v>1.2703994389916078</v>
      </c>
      <c r="Q7">
        <v>0.86638332181074196</v>
      </c>
    </row>
    <row r="8" spans="1:17">
      <c r="A8">
        <v>5</v>
      </c>
      <c r="B8" t="s">
        <v>5</v>
      </c>
      <c r="C8" s="1">
        <v>2776324</v>
      </c>
      <c r="F8">
        <v>5</v>
      </c>
      <c r="G8" t="s">
        <v>4</v>
      </c>
      <c r="H8" s="1">
        <v>3099080</v>
      </c>
      <c r="K8">
        <v>5</v>
      </c>
      <c r="L8" t="s">
        <v>5</v>
      </c>
      <c r="M8">
        <v>0.79886209246471229</v>
      </c>
      <c r="N8" t="s">
        <v>200</v>
      </c>
      <c r="O8" t="s">
        <v>199</v>
      </c>
      <c r="P8">
        <v>1.2703994389916078</v>
      </c>
      <c r="Q8">
        <v>0.79886209246471229</v>
      </c>
    </row>
    <row r="9" spans="1:17">
      <c r="A9">
        <v>6</v>
      </c>
      <c r="B9" t="s">
        <v>6</v>
      </c>
      <c r="C9" s="1">
        <v>2492908</v>
      </c>
      <c r="F9">
        <v>6</v>
      </c>
      <c r="G9" t="s">
        <v>9</v>
      </c>
      <c r="H9" s="1">
        <v>2383402</v>
      </c>
      <c r="K9">
        <v>6</v>
      </c>
      <c r="L9" t="s">
        <v>6</v>
      </c>
      <c r="M9">
        <v>0.92019200066749351</v>
      </c>
      <c r="N9" t="s">
        <v>258</v>
      </c>
      <c r="O9" t="s">
        <v>257</v>
      </c>
      <c r="P9">
        <v>0.49428116689897877</v>
      </c>
      <c r="Q9">
        <v>0.92019200066749351</v>
      </c>
    </row>
    <row r="10" spans="1:17">
      <c r="A10">
        <v>7</v>
      </c>
      <c r="B10" t="s">
        <v>7</v>
      </c>
      <c r="C10" s="1">
        <v>2417570</v>
      </c>
      <c r="F10">
        <v>7</v>
      </c>
      <c r="G10" t="s">
        <v>6</v>
      </c>
      <c r="H10" s="1">
        <v>2293954</v>
      </c>
      <c r="K10">
        <v>7</v>
      </c>
      <c r="L10" t="s">
        <v>7</v>
      </c>
      <c r="M10">
        <v>0.93515513511501214</v>
      </c>
      <c r="N10" t="s">
        <v>204</v>
      </c>
      <c r="O10" t="s">
        <v>572</v>
      </c>
      <c r="P10">
        <v>1.5761782720672841</v>
      </c>
      <c r="Q10">
        <v>0.93515513511501214</v>
      </c>
    </row>
    <row r="11" spans="1:17">
      <c r="A11">
        <v>8</v>
      </c>
      <c r="B11" t="s">
        <v>8</v>
      </c>
      <c r="C11" s="1">
        <v>2198730</v>
      </c>
      <c r="F11">
        <v>8</v>
      </c>
      <c r="G11" t="s">
        <v>7</v>
      </c>
      <c r="H11" s="1">
        <v>2260803</v>
      </c>
      <c r="K11">
        <v>8</v>
      </c>
      <c r="L11" t="s">
        <v>8</v>
      </c>
      <c r="M11">
        <v>0.84000764077444712</v>
      </c>
      <c r="N11" t="s">
        <v>200</v>
      </c>
      <c r="O11" t="s">
        <v>199</v>
      </c>
      <c r="P11">
        <v>1.2703994389916078</v>
      </c>
      <c r="Q11">
        <v>0.84000764077444712</v>
      </c>
    </row>
    <row r="12" spans="1:17">
      <c r="A12">
        <v>9</v>
      </c>
      <c r="B12" t="s">
        <v>9</v>
      </c>
      <c r="C12" s="1">
        <v>1850401</v>
      </c>
      <c r="F12">
        <v>9</v>
      </c>
      <c r="G12" t="s">
        <v>5</v>
      </c>
      <c r="H12" s="1">
        <v>2217900</v>
      </c>
      <c r="K12">
        <v>9</v>
      </c>
      <c r="L12" t="s">
        <v>9</v>
      </c>
      <c r="M12">
        <v>1.2880462126857908</v>
      </c>
      <c r="N12" t="s">
        <v>195</v>
      </c>
      <c r="O12" t="s">
        <v>194</v>
      </c>
      <c r="P12" t="e">
        <v>#N/A</v>
      </c>
      <c r="Q12">
        <v>1.2880462126857908</v>
      </c>
    </row>
    <row r="13" spans="1:17">
      <c r="A13">
        <v>10</v>
      </c>
      <c r="B13" t="s">
        <v>10</v>
      </c>
      <c r="C13" s="1">
        <v>1736869</v>
      </c>
      <c r="F13">
        <v>10</v>
      </c>
      <c r="G13" t="s">
        <v>8</v>
      </c>
      <c r="H13" s="1">
        <v>1846950</v>
      </c>
      <c r="K13">
        <v>10</v>
      </c>
      <c r="L13" t="s">
        <v>10</v>
      </c>
      <c r="M13">
        <v>0.80382055296052835</v>
      </c>
      <c r="N13" t="s">
        <v>276</v>
      </c>
      <c r="O13" t="s">
        <v>275</v>
      </c>
      <c r="P13">
        <v>0.98336152303032687</v>
      </c>
      <c r="Q13">
        <v>0.80382055296052835</v>
      </c>
    </row>
    <row r="14" spans="1:17">
      <c r="A14">
        <v>11</v>
      </c>
      <c r="B14" t="s">
        <v>11</v>
      </c>
      <c r="C14" s="1">
        <v>1676143</v>
      </c>
      <c r="F14">
        <v>11</v>
      </c>
      <c r="G14" t="s">
        <v>14</v>
      </c>
      <c r="H14" s="1">
        <v>1661640</v>
      </c>
      <c r="K14">
        <v>11</v>
      </c>
      <c r="L14" t="s">
        <v>11</v>
      </c>
      <c r="M14">
        <v>2.6595487377866922</v>
      </c>
      <c r="N14" t="s">
        <v>247</v>
      </c>
      <c r="O14" t="s">
        <v>246</v>
      </c>
      <c r="P14">
        <v>1.7807916687442568E-2</v>
      </c>
      <c r="Q14">
        <v>2.6595487377866922</v>
      </c>
    </row>
    <row r="15" spans="1:17">
      <c r="A15">
        <v>12</v>
      </c>
      <c r="B15" t="s">
        <v>12</v>
      </c>
      <c r="C15" s="1">
        <v>1493513</v>
      </c>
      <c r="F15">
        <v>12</v>
      </c>
      <c r="G15" t="s">
        <v>15</v>
      </c>
      <c r="H15" s="1">
        <v>1554149</v>
      </c>
      <c r="K15">
        <v>12</v>
      </c>
      <c r="L15" t="s">
        <v>12</v>
      </c>
      <c r="M15">
        <v>0.94640488566219372</v>
      </c>
      <c r="N15" t="s">
        <v>200</v>
      </c>
      <c r="O15" t="s">
        <v>199</v>
      </c>
      <c r="P15">
        <v>1.2703994389916078</v>
      </c>
      <c r="Q15">
        <v>0.94640488566219372</v>
      </c>
    </row>
    <row r="16" spans="1:17">
      <c r="A16">
        <v>13</v>
      </c>
      <c r="B16" t="s">
        <v>13</v>
      </c>
      <c r="C16" s="1">
        <v>1488221</v>
      </c>
      <c r="F16">
        <v>13</v>
      </c>
      <c r="G16" t="s">
        <v>12</v>
      </c>
      <c r="H16" s="1">
        <v>1413468</v>
      </c>
      <c r="K16">
        <v>13</v>
      </c>
      <c r="L16" t="s">
        <v>13</v>
      </c>
      <c r="M16">
        <v>0.61447997306851598</v>
      </c>
      <c r="N16" t="s">
        <v>224</v>
      </c>
      <c r="O16" t="s">
        <v>223</v>
      </c>
      <c r="P16">
        <v>1.0199096564026358</v>
      </c>
      <c r="Q16">
        <v>0.61447997306851598</v>
      </c>
    </row>
    <row r="17" spans="1:17">
      <c r="A17">
        <v>14</v>
      </c>
      <c r="B17" t="s">
        <v>14</v>
      </c>
      <c r="C17" s="1">
        <v>1154784</v>
      </c>
      <c r="F17">
        <v>14</v>
      </c>
      <c r="G17" t="s">
        <v>10</v>
      </c>
      <c r="H17" s="1">
        <v>1396131</v>
      </c>
      <c r="K17">
        <v>14</v>
      </c>
      <c r="L17" t="s">
        <v>14</v>
      </c>
      <c r="M17">
        <v>1.4389184470862084</v>
      </c>
      <c r="N17" t="s">
        <v>429</v>
      </c>
      <c r="O17" t="s">
        <v>428</v>
      </c>
      <c r="P17">
        <v>7.3046552567951561E-2</v>
      </c>
      <c r="Q17">
        <v>1.4389184470862084</v>
      </c>
    </row>
    <row r="18" spans="1:17">
      <c r="A18">
        <v>15</v>
      </c>
      <c r="B18" t="s">
        <v>15</v>
      </c>
      <c r="C18" s="1">
        <v>1116247</v>
      </c>
      <c r="F18">
        <v>15</v>
      </c>
      <c r="G18" t="s">
        <v>16</v>
      </c>
      <c r="H18" s="1">
        <v>1124649</v>
      </c>
      <c r="K18">
        <v>15</v>
      </c>
      <c r="L18" t="s">
        <v>15</v>
      </c>
      <c r="M18">
        <v>1.3922984787417121</v>
      </c>
      <c r="N18" t="s">
        <v>386</v>
      </c>
      <c r="O18" t="s">
        <v>385</v>
      </c>
      <c r="P18" t="e">
        <v>#N/A</v>
      </c>
      <c r="Q18">
        <v>1.3922984787417121</v>
      </c>
    </row>
    <row r="19" spans="1:17">
      <c r="A19">
        <v>16</v>
      </c>
      <c r="B19" t="s">
        <v>16</v>
      </c>
      <c r="C19" s="1">
        <v>845680</v>
      </c>
      <c r="F19">
        <v>16</v>
      </c>
      <c r="G19" t="s">
        <v>18</v>
      </c>
      <c r="H19" s="1">
        <v>1073565</v>
      </c>
      <c r="K19">
        <v>16</v>
      </c>
      <c r="L19" t="s">
        <v>16</v>
      </c>
      <c r="M19">
        <v>1.3298753665689149</v>
      </c>
      <c r="N19" t="s">
        <v>362</v>
      </c>
      <c r="O19" t="s">
        <v>361</v>
      </c>
      <c r="P19">
        <v>1.0588946622178973E-4</v>
      </c>
      <c r="Q19">
        <v>1.3298753665689149</v>
      </c>
    </row>
    <row r="20" spans="1:17">
      <c r="A20">
        <v>17</v>
      </c>
      <c r="B20" t="s">
        <v>17</v>
      </c>
      <c r="C20" s="1">
        <v>840433</v>
      </c>
      <c r="F20">
        <v>17</v>
      </c>
      <c r="G20" t="s">
        <v>25</v>
      </c>
      <c r="H20" s="1">
        <v>990219</v>
      </c>
      <c r="K20">
        <v>17</v>
      </c>
      <c r="L20" t="s">
        <v>17</v>
      </c>
      <c r="M20">
        <v>0.8377038978716923</v>
      </c>
      <c r="N20" t="s">
        <v>200</v>
      </c>
      <c r="O20" t="s">
        <v>581</v>
      </c>
      <c r="P20">
        <v>1.2703994389916078</v>
      </c>
      <c r="Q20">
        <v>0.8377038978716923</v>
      </c>
    </row>
    <row r="21" spans="1:17">
      <c r="A21">
        <v>18</v>
      </c>
      <c r="B21" t="s">
        <v>18</v>
      </c>
      <c r="C21" s="1">
        <v>778089</v>
      </c>
      <c r="F21">
        <v>18</v>
      </c>
      <c r="G21" t="s">
        <v>13</v>
      </c>
      <c r="H21" s="1">
        <v>914482</v>
      </c>
      <c r="K21">
        <v>18</v>
      </c>
      <c r="L21" t="s">
        <v>18</v>
      </c>
      <c r="M21">
        <v>1.3797457617316271</v>
      </c>
      <c r="N21" t="s">
        <v>455</v>
      </c>
      <c r="O21" t="s">
        <v>454</v>
      </c>
      <c r="P21" t="e">
        <v>#N/A</v>
      </c>
      <c r="Q21">
        <v>1.3797457617316271</v>
      </c>
    </row>
    <row r="22" spans="1:17">
      <c r="A22">
        <v>19</v>
      </c>
      <c r="B22" t="s">
        <v>19</v>
      </c>
      <c r="C22" s="1">
        <v>636059</v>
      </c>
      <c r="F22">
        <v>19</v>
      </c>
      <c r="G22" t="s">
        <v>26</v>
      </c>
      <c r="H22" s="1">
        <v>876035</v>
      </c>
      <c r="K22">
        <v>19</v>
      </c>
      <c r="L22" t="s">
        <v>19</v>
      </c>
      <c r="M22">
        <v>0.53436866705761576</v>
      </c>
      <c r="N22" t="s">
        <v>407</v>
      </c>
      <c r="O22" t="s">
        <v>406</v>
      </c>
      <c r="P22">
        <v>1.0578730615798488</v>
      </c>
      <c r="Q22">
        <v>0.53436866705761576</v>
      </c>
    </row>
    <row r="23" spans="1:17">
      <c r="A23">
        <v>20</v>
      </c>
      <c r="B23" t="s">
        <v>20</v>
      </c>
      <c r="C23" s="1">
        <v>577595</v>
      </c>
      <c r="F23">
        <v>20</v>
      </c>
      <c r="G23" t="s">
        <v>22</v>
      </c>
      <c r="H23" s="1">
        <v>771658</v>
      </c>
      <c r="K23">
        <v>20</v>
      </c>
      <c r="L23" t="s">
        <v>20</v>
      </c>
      <c r="M23">
        <v>1.1820618253274353</v>
      </c>
      <c r="N23" t="s">
        <v>492</v>
      </c>
      <c r="O23" t="s">
        <v>491</v>
      </c>
      <c r="P23">
        <v>0.26666666666666666</v>
      </c>
      <c r="Q23">
        <v>1.1820618253274353</v>
      </c>
    </row>
    <row r="24" spans="1:17">
      <c r="A24">
        <v>21</v>
      </c>
      <c r="B24" t="s">
        <v>21</v>
      </c>
      <c r="C24" s="1">
        <v>538237</v>
      </c>
      <c r="F24">
        <v>21</v>
      </c>
      <c r="G24" t="s">
        <v>27</v>
      </c>
      <c r="H24" s="1">
        <v>716419</v>
      </c>
      <c r="K24">
        <v>21</v>
      </c>
      <c r="L24" t="s">
        <v>21</v>
      </c>
      <c r="M24">
        <v>0.70920245170807661</v>
      </c>
      <c r="N24" t="s">
        <v>523</v>
      </c>
      <c r="O24" t="s">
        <v>522</v>
      </c>
      <c r="P24">
        <v>0.14365525038391866</v>
      </c>
      <c r="Q24">
        <v>0.70920245170807661</v>
      </c>
    </row>
    <row r="25" spans="1:17">
      <c r="A25">
        <v>22</v>
      </c>
      <c r="B25" t="s">
        <v>22</v>
      </c>
      <c r="C25" s="1">
        <v>513821</v>
      </c>
      <c r="F25">
        <v>22</v>
      </c>
      <c r="G25" t="s">
        <v>17</v>
      </c>
      <c r="H25" s="1">
        <v>704034</v>
      </c>
      <c r="K25">
        <v>22</v>
      </c>
      <c r="L25" t="s">
        <v>22</v>
      </c>
      <c r="M25">
        <v>1.5018031571305961</v>
      </c>
      <c r="N25" t="s">
        <v>476</v>
      </c>
      <c r="O25" t="s">
        <v>475</v>
      </c>
      <c r="P25">
        <v>0.30031472983686902</v>
      </c>
      <c r="Q25">
        <v>1.5018031571305961</v>
      </c>
    </row>
    <row r="26" spans="1:17">
      <c r="A26">
        <v>23</v>
      </c>
      <c r="B26" t="s">
        <v>23</v>
      </c>
      <c r="C26" s="1">
        <v>513396</v>
      </c>
      <c r="F26">
        <v>23</v>
      </c>
      <c r="G26" t="s">
        <v>20</v>
      </c>
      <c r="H26" s="1">
        <v>682753</v>
      </c>
      <c r="K26">
        <v>23</v>
      </c>
      <c r="L26" t="s">
        <v>23</v>
      </c>
      <c r="M26">
        <v>0.80499458507662702</v>
      </c>
      <c r="N26" t="s">
        <v>200</v>
      </c>
      <c r="O26" t="s">
        <v>199</v>
      </c>
      <c r="P26">
        <v>1.2703994389916078</v>
      </c>
      <c r="Q26">
        <v>0.80499458507662702</v>
      </c>
    </row>
    <row r="27" spans="1:17">
      <c r="A27">
        <v>24</v>
      </c>
      <c r="B27" t="s">
        <v>24</v>
      </c>
      <c r="C27" s="1">
        <v>483650</v>
      </c>
      <c r="F27">
        <v>24</v>
      </c>
      <c r="G27" t="s">
        <v>31</v>
      </c>
      <c r="H27" s="1">
        <v>602074</v>
      </c>
      <c r="K27">
        <v>24</v>
      </c>
      <c r="L27" t="s">
        <v>24</v>
      </c>
      <c r="M27">
        <v>0.54980047555050138</v>
      </c>
      <c r="N27" t="s">
        <v>457</v>
      </c>
      <c r="O27" t="s">
        <v>456</v>
      </c>
      <c r="P27">
        <v>0.16925113144381371</v>
      </c>
      <c r="Q27">
        <v>0.54980047555050138</v>
      </c>
    </row>
    <row r="28" spans="1:17">
      <c r="A28">
        <v>25</v>
      </c>
      <c r="B28" t="s">
        <v>25</v>
      </c>
      <c r="C28" s="1">
        <v>482445</v>
      </c>
      <c r="F28">
        <v>25</v>
      </c>
      <c r="G28" t="s">
        <v>29</v>
      </c>
      <c r="H28" s="1">
        <v>555134</v>
      </c>
      <c r="K28">
        <v>25</v>
      </c>
      <c r="L28" t="s">
        <v>25</v>
      </c>
      <c r="M28">
        <v>2.0525013213941485</v>
      </c>
      <c r="N28" t="s">
        <v>364</v>
      </c>
      <c r="O28" t="s">
        <v>363</v>
      </c>
      <c r="P28" t="e">
        <v>#N/A</v>
      </c>
      <c r="Q28">
        <v>2.0525013213941485</v>
      </c>
    </row>
    <row r="29" spans="1:17">
      <c r="A29">
        <v>26</v>
      </c>
      <c r="B29" t="s">
        <v>26</v>
      </c>
      <c r="C29" s="1">
        <v>466832</v>
      </c>
      <c r="F29">
        <v>26</v>
      </c>
      <c r="G29" t="s">
        <v>44</v>
      </c>
      <c r="H29" s="1">
        <v>518976</v>
      </c>
      <c r="K29">
        <v>26</v>
      </c>
      <c r="L29" t="s">
        <v>26</v>
      </c>
      <c r="M29">
        <v>1.876553021215341</v>
      </c>
      <c r="N29" t="s">
        <v>528</v>
      </c>
      <c r="O29" t="s">
        <v>527</v>
      </c>
      <c r="P29" t="e">
        <v>#N/A</v>
      </c>
      <c r="Q29">
        <v>1.876553021215341</v>
      </c>
    </row>
    <row r="30" spans="1:17">
      <c r="A30">
        <v>27</v>
      </c>
      <c r="B30" t="s">
        <v>27</v>
      </c>
      <c r="C30" s="1">
        <v>447644</v>
      </c>
      <c r="F30">
        <v>27</v>
      </c>
      <c r="G30" t="s">
        <v>48</v>
      </c>
      <c r="H30" s="1">
        <v>488580</v>
      </c>
      <c r="K30">
        <v>27</v>
      </c>
      <c r="L30" t="s">
        <v>27</v>
      </c>
      <c r="M30">
        <v>1.6004213169393535</v>
      </c>
      <c r="N30" t="s">
        <v>215</v>
      </c>
      <c r="O30" t="s">
        <v>214</v>
      </c>
      <c r="P30" t="e">
        <v>#N/A</v>
      </c>
      <c r="Q30">
        <v>1.6004213169393535</v>
      </c>
    </row>
    <row r="31" spans="1:17">
      <c r="A31">
        <v>28</v>
      </c>
      <c r="B31" t="s">
        <v>28</v>
      </c>
      <c r="C31" s="1">
        <v>419243</v>
      </c>
      <c r="F31">
        <v>28</v>
      </c>
      <c r="G31" t="s">
        <v>33</v>
      </c>
      <c r="H31" s="1">
        <v>471964</v>
      </c>
      <c r="K31">
        <v>28</v>
      </c>
      <c r="L31" t="s">
        <v>28</v>
      </c>
      <c r="M31">
        <v>0.83964431129440442</v>
      </c>
      <c r="N31" t="s">
        <v>200</v>
      </c>
      <c r="O31" t="s">
        <v>199</v>
      </c>
      <c r="P31">
        <v>1.2703994389916078</v>
      </c>
      <c r="Q31">
        <v>0.83964431129440442</v>
      </c>
    </row>
    <row r="32" spans="1:17">
      <c r="A32">
        <v>29</v>
      </c>
      <c r="B32" t="s">
        <v>29</v>
      </c>
      <c r="C32" s="1">
        <v>408074</v>
      </c>
      <c r="F32">
        <v>29</v>
      </c>
      <c r="G32" t="s">
        <v>36</v>
      </c>
      <c r="H32" s="1">
        <v>447279</v>
      </c>
      <c r="K32">
        <v>29</v>
      </c>
      <c r="L32" t="s">
        <v>29</v>
      </c>
      <c r="M32">
        <v>1.3603758141905635</v>
      </c>
      <c r="N32" t="s">
        <v>400</v>
      </c>
      <c r="O32" t="s">
        <v>399</v>
      </c>
      <c r="P32">
        <v>0.12192177986291114</v>
      </c>
      <c r="Q32">
        <v>1.3603758141905635</v>
      </c>
    </row>
    <row r="33" spans="1:17">
      <c r="A33">
        <v>30</v>
      </c>
      <c r="B33" t="s">
        <v>30</v>
      </c>
      <c r="C33" s="1">
        <v>360136</v>
      </c>
      <c r="F33">
        <v>30</v>
      </c>
      <c r="G33" t="s">
        <v>42</v>
      </c>
      <c r="H33" s="1">
        <v>413402</v>
      </c>
      <c r="K33">
        <v>30</v>
      </c>
      <c r="L33" t="s">
        <v>30</v>
      </c>
      <c r="M33">
        <v>0.71868682941999684</v>
      </c>
      <c r="N33" t="s">
        <v>553</v>
      </c>
      <c r="O33" t="s">
        <v>552</v>
      </c>
      <c r="P33">
        <v>0.27221921268759308</v>
      </c>
      <c r="Q33">
        <v>0.71868682941999684</v>
      </c>
    </row>
    <row r="34" spans="1:17">
      <c r="A34">
        <v>31</v>
      </c>
      <c r="B34" t="s">
        <v>31</v>
      </c>
      <c r="C34" s="1">
        <v>345649</v>
      </c>
      <c r="F34">
        <v>31</v>
      </c>
      <c r="G34" t="s">
        <v>23</v>
      </c>
      <c r="H34" s="1">
        <v>413281</v>
      </c>
      <c r="K34">
        <v>31</v>
      </c>
      <c r="L34" t="s">
        <v>31</v>
      </c>
      <c r="M34">
        <v>1.7418653026625277</v>
      </c>
      <c r="N34" t="s">
        <v>534</v>
      </c>
      <c r="O34" t="s">
        <v>533</v>
      </c>
      <c r="P34" t="e">
        <v>#N/A</v>
      </c>
      <c r="Q34">
        <v>1.7418653026625277</v>
      </c>
    </row>
    <row r="35" spans="1:17">
      <c r="A35">
        <v>32</v>
      </c>
      <c r="B35" t="s">
        <v>32</v>
      </c>
      <c r="C35" s="1">
        <v>333238</v>
      </c>
      <c r="F35">
        <v>32</v>
      </c>
      <c r="G35" t="s">
        <v>47</v>
      </c>
      <c r="H35" s="1">
        <v>390408</v>
      </c>
      <c r="K35">
        <v>32</v>
      </c>
      <c r="L35" t="s">
        <v>32</v>
      </c>
      <c r="M35">
        <v>0.61993530149622789</v>
      </c>
      <c r="N35" t="s">
        <v>312</v>
      </c>
      <c r="O35" t="s">
        <v>311</v>
      </c>
      <c r="P35">
        <v>0.17090423722875361</v>
      </c>
      <c r="Q35">
        <v>0.61993530149622789</v>
      </c>
    </row>
    <row r="36" spans="1:17">
      <c r="A36">
        <v>33</v>
      </c>
      <c r="B36" t="s">
        <v>33</v>
      </c>
      <c r="C36" s="1">
        <v>328422</v>
      </c>
      <c r="F36">
        <v>33</v>
      </c>
      <c r="G36" t="s">
        <v>21</v>
      </c>
      <c r="H36" s="1">
        <v>381719</v>
      </c>
      <c r="K36">
        <v>33</v>
      </c>
      <c r="L36" t="s">
        <v>33</v>
      </c>
      <c r="M36">
        <v>1.4370657264129687</v>
      </c>
      <c r="N36" t="s">
        <v>288</v>
      </c>
      <c r="O36" t="s">
        <v>287</v>
      </c>
      <c r="P36" t="e">
        <v>#N/A</v>
      </c>
      <c r="Q36">
        <v>1.4370657264129687</v>
      </c>
    </row>
    <row r="37" spans="1:17">
      <c r="A37">
        <v>34</v>
      </c>
      <c r="B37" t="s">
        <v>34</v>
      </c>
      <c r="C37" s="1">
        <v>315841</v>
      </c>
      <c r="F37">
        <v>34</v>
      </c>
      <c r="G37" t="s">
        <v>34</v>
      </c>
      <c r="H37" s="1">
        <v>374111</v>
      </c>
      <c r="K37">
        <v>34</v>
      </c>
      <c r="L37" t="s">
        <v>34</v>
      </c>
      <c r="M37">
        <v>1.1844915637931743</v>
      </c>
      <c r="N37" t="s">
        <v>562</v>
      </c>
      <c r="O37" t="s">
        <v>561</v>
      </c>
      <c r="P37" t="e">
        <v>#N/A</v>
      </c>
      <c r="Q37">
        <v>1.1844915637931743</v>
      </c>
    </row>
    <row r="38" spans="1:17">
      <c r="A38">
        <v>35</v>
      </c>
      <c r="B38" t="s">
        <v>35</v>
      </c>
      <c r="C38" s="1">
        <v>303065</v>
      </c>
      <c r="F38">
        <v>35</v>
      </c>
      <c r="G38" t="s">
        <v>28</v>
      </c>
      <c r="H38" s="1">
        <v>352015</v>
      </c>
      <c r="K38">
        <v>35</v>
      </c>
      <c r="L38" t="s">
        <v>35</v>
      </c>
      <c r="M38">
        <v>0.9712074967416231</v>
      </c>
      <c r="N38" t="s">
        <v>200</v>
      </c>
      <c r="O38" t="s">
        <v>199</v>
      </c>
      <c r="P38">
        <v>1.2703994389916078</v>
      </c>
      <c r="Q38">
        <v>0.9712074967416231</v>
      </c>
    </row>
    <row r="39" spans="1:17">
      <c r="A39">
        <v>36</v>
      </c>
      <c r="B39" t="s">
        <v>36</v>
      </c>
      <c r="C39" s="1">
        <v>278680</v>
      </c>
      <c r="F39">
        <v>36</v>
      </c>
      <c r="G39" t="s">
        <v>19</v>
      </c>
      <c r="H39" s="1">
        <v>339890</v>
      </c>
      <c r="K39">
        <v>36</v>
      </c>
      <c r="L39" t="s">
        <v>36</v>
      </c>
      <c r="M39">
        <v>1.6049913879718674</v>
      </c>
      <c r="N39" t="s">
        <v>420</v>
      </c>
      <c r="O39" t="s">
        <v>419</v>
      </c>
      <c r="P39">
        <v>0.31680056770661735</v>
      </c>
      <c r="Q39">
        <v>1.6049913879718674</v>
      </c>
    </row>
    <row r="40" spans="1:17">
      <c r="A40">
        <v>37</v>
      </c>
      <c r="B40" t="s">
        <v>37</v>
      </c>
      <c r="C40" s="1">
        <v>266553</v>
      </c>
      <c r="F40">
        <v>37</v>
      </c>
      <c r="G40" t="s">
        <v>55</v>
      </c>
      <c r="H40" s="1">
        <v>329497</v>
      </c>
      <c r="K40">
        <v>37</v>
      </c>
      <c r="L40" t="s">
        <v>37</v>
      </c>
      <c r="M40">
        <v>0.7342742343924098</v>
      </c>
      <c r="N40" t="s">
        <v>200</v>
      </c>
      <c r="O40" t="s">
        <v>199</v>
      </c>
      <c r="P40">
        <v>1.2703994389916078</v>
      </c>
      <c r="Q40">
        <v>0.7342742343924098</v>
      </c>
    </row>
    <row r="41" spans="1:17">
      <c r="A41">
        <v>38</v>
      </c>
      <c r="B41" t="s">
        <v>38</v>
      </c>
      <c r="C41" s="1">
        <v>259849</v>
      </c>
      <c r="F41">
        <v>38</v>
      </c>
      <c r="G41" t="s">
        <v>38</v>
      </c>
      <c r="H41" s="1">
        <v>314911</v>
      </c>
      <c r="K41">
        <v>38</v>
      </c>
      <c r="L41" t="s">
        <v>38</v>
      </c>
      <c r="M41">
        <v>1.2118999880699945</v>
      </c>
      <c r="N41" t="s">
        <v>262</v>
      </c>
      <c r="O41" t="s">
        <v>261</v>
      </c>
      <c r="P41" t="e">
        <v>#N/A</v>
      </c>
      <c r="Q41">
        <v>1.2118999880699945</v>
      </c>
    </row>
    <row r="42" spans="1:17">
      <c r="A42">
        <v>39</v>
      </c>
      <c r="B42" t="s">
        <v>39</v>
      </c>
      <c r="C42" s="1">
        <v>248411</v>
      </c>
      <c r="F42">
        <v>39</v>
      </c>
      <c r="G42" t="s">
        <v>54</v>
      </c>
      <c r="H42" s="1">
        <v>301967</v>
      </c>
      <c r="K42">
        <v>39</v>
      </c>
      <c r="L42" t="s">
        <v>39</v>
      </c>
      <c r="M42">
        <v>1.2061945727041072</v>
      </c>
      <c r="N42" t="s">
        <v>283</v>
      </c>
      <c r="O42" t="s">
        <v>282</v>
      </c>
      <c r="P42" t="e">
        <v>#N/A</v>
      </c>
      <c r="Q42">
        <v>1.2061945727041072</v>
      </c>
    </row>
    <row r="43" spans="1:17">
      <c r="B43" t="s">
        <v>40</v>
      </c>
      <c r="C43" s="1">
        <v>243302</v>
      </c>
      <c r="F43">
        <v>40</v>
      </c>
      <c r="G43" t="s">
        <v>58</v>
      </c>
      <c r="H43" s="1">
        <v>299985</v>
      </c>
      <c r="K43">
        <v>40</v>
      </c>
      <c r="L43" t="s">
        <v>40</v>
      </c>
      <c r="M43">
        <v>1.4431406235871469</v>
      </c>
      <c r="N43" t="s">
        <v>356</v>
      </c>
      <c r="O43" t="s">
        <v>355</v>
      </c>
      <c r="P43" t="e">
        <v>#N/A</v>
      </c>
      <c r="Q43">
        <v>1.4431406235871469</v>
      </c>
    </row>
    <row r="44" spans="1:17">
      <c r="A44">
        <v>40</v>
      </c>
      <c r="B44" t="s">
        <v>41</v>
      </c>
      <c r="C44" s="1">
        <v>242897</v>
      </c>
      <c r="F44">
        <v>41</v>
      </c>
      <c r="G44" t="s">
        <v>39</v>
      </c>
      <c r="H44" s="1">
        <v>299632</v>
      </c>
      <c r="K44">
        <v>41</v>
      </c>
      <c r="L44" t="s">
        <v>41</v>
      </c>
      <c r="M44">
        <v>0.96840224457280244</v>
      </c>
      <c r="N44" t="s">
        <v>370</v>
      </c>
      <c r="O44" t="s">
        <v>369</v>
      </c>
      <c r="P44" t="e">
        <v>#N/A</v>
      </c>
      <c r="Q44">
        <v>0.96840224457280244</v>
      </c>
    </row>
    <row r="45" spans="1:17">
      <c r="A45">
        <v>41</v>
      </c>
      <c r="B45" t="s">
        <v>42</v>
      </c>
      <c r="C45" s="1">
        <v>238920</v>
      </c>
      <c r="F45">
        <v>42</v>
      </c>
      <c r="G45" t="s">
        <v>35</v>
      </c>
      <c r="H45" s="1">
        <v>294339</v>
      </c>
      <c r="K45">
        <v>42</v>
      </c>
      <c r="L45" t="s">
        <v>42</v>
      </c>
      <c r="M45">
        <v>1.7302946593001842</v>
      </c>
      <c r="N45" t="s">
        <v>451</v>
      </c>
      <c r="O45" t="s">
        <v>450</v>
      </c>
      <c r="P45" t="e">
        <v>#N/A</v>
      </c>
      <c r="Q45">
        <v>1.7302946593001842</v>
      </c>
    </row>
    <row r="46" spans="1:17">
      <c r="A46">
        <v>42</v>
      </c>
      <c r="B46" t="s">
        <v>43</v>
      </c>
      <c r="C46" s="1">
        <v>238880</v>
      </c>
      <c r="F46">
        <v>43</v>
      </c>
      <c r="G46" t="s">
        <v>46</v>
      </c>
      <c r="H46" s="1">
        <v>284952</v>
      </c>
      <c r="K46">
        <v>43</v>
      </c>
      <c r="L46" t="s">
        <v>43</v>
      </c>
      <c r="M46">
        <v>1.0422848292029472</v>
      </c>
      <c r="N46" t="s">
        <v>200</v>
      </c>
      <c r="O46" t="s">
        <v>199</v>
      </c>
      <c r="P46">
        <v>1.2703994389916078</v>
      </c>
      <c r="Q46">
        <v>1.0422848292029472</v>
      </c>
    </row>
    <row r="47" spans="1:17">
      <c r="A47">
        <v>43</v>
      </c>
      <c r="B47" t="s">
        <v>44</v>
      </c>
      <c r="C47" s="1">
        <v>235719</v>
      </c>
      <c r="F47">
        <v>44</v>
      </c>
      <c r="G47" t="s">
        <v>60</v>
      </c>
      <c r="H47" s="1">
        <v>282229</v>
      </c>
      <c r="K47">
        <v>44</v>
      </c>
      <c r="L47" t="s">
        <v>44</v>
      </c>
      <c r="M47">
        <v>2.2016723301897598</v>
      </c>
      <c r="N47" t="s">
        <v>318</v>
      </c>
      <c r="O47" t="s">
        <v>317</v>
      </c>
      <c r="P47" t="e">
        <v>#N/A</v>
      </c>
      <c r="Q47">
        <v>2.2016723301897598</v>
      </c>
    </row>
    <row r="48" spans="1:17">
      <c r="A48">
        <v>44</v>
      </c>
      <c r="B48" t="s">
        <v>45</v>
      </c>
      <c r="C48" s="1">
        <v>217669</v>
      </c>
      <c r="F48">
        <v>45</v>
      </c>
      <c r="G48" t="s">
        <v>50</v>
      </c>
      <c r="H48" s="1">
        <v>267151</v>
      </c>
      <c r="K48">
        <v>45</v>
      </c>
      <c r="L48" t="s">
        <v>45</v>
      </c>
      <c r="M48">
        <v>0.83427130183903087</v>
      </c>
      <c r="N48" t="s">
        <v>200</v>
      </c>
      <c r="O48" t="s">
        <v>199</v>
      </c>
      <c r="P48">
        <v>1.2703994389916078</v>
      </c>
      <c r="Q48">
        <v>0.83427130183903087</v>
      </c>
    </row>
    <row r="49" spans="1:17">
      <c r="A49">
        <v>45</v>
      </c>
      <c r="B49" t="s">
        <v>46</v>
      </c>
      <c r="C49" s="1">
        <v>215265</v>
      </c>
      <c r="F49">
        <v>46</v>
      </c>
      <c r="G49" t="s">
        <v>24</v>
      </c>
      <c r="H49" s="1">
        <v>265911</v>
      </c>
      <c r="K49">
        <v>46</v>
      </c>
      <c r="L49" t="s">
        <v>46</v>
      </c>
      <c r="M49">
        <v>1.3237265695770331</v>
      </c>
      <c r="N49" t="s">
        <v>310</v>
      </c>
      <c r="O49" t="s">
        <v>309</v>
      </c>
      <c r="P49" t="e">
        <v>#N/A</v>
      </c>
      <c r="Q49">
        <v>1.3237265695770331</v>
      </c>
    </row>
    <row r="50" spans="1:17">
      <c r="A50">
        <v>46</v>
      </c>
      <c r="B50" t="s">
        <v>47</v>
      </c>
      <c r="C50" s="1">
        <v>213129</v>
      </c>
      <c r="F50">
        <v>47</v>
      </c>
      <c r="G50" t="s">
        <v>49</v>
      </c>
      <c r="H50" s="1">
        <v>263661</v>
      </c>
      <c r="K50">
        <v>47</v>
      </c>
      <c r="L50" t="s">
        <v>47</v>
      </c>
      <c r="M50">
        <v>1.8317920132877272</v>
      </c>
      <c r="N50" t="s">
        <v>473</v>
      </c>
      <c r="O50" t="s">
        <v>472</v>
      </c>
      <c r="P50">
        <v>2.3705052257787702E-2</v>
      </c>
      <c r="Q50">
        <v>1.8317920132877272</v>
      </c>
    </row>
    <row r="51" spans="1:17">
      <c r="A51">
        <v>47</v>
      </c>
      <c r="B51" t="s">
        <v>48</v>
      </c>
      <c r="C51" s="1">
        <v>210566</v>
      </c>
      <c r="F51">
        <v>48</v>
      </c>
      <c r="G51" t="s">
        <v>30</v>
      </c>
      <c r="H51" s="1">
        <v>258825</v>
      </c>
      <c r="K51">
        <v>48</v>
      </c>
      <c r="L51" t="s">
        <v>48</v>
      </c>
      <c r="M51">
        <v>2.3203176201286055</v>
      </c>
      <c r="N51" t="s">
        <v>461</v>
      </c>
      <c r="O51" t="s">
        <v>460</v>
      </c>
      <c r="P51">
        <v>1.0614088716799131E-2</v>
      </c>
      <c r="Q51">
        <v>2.3203176201286055</v>
      </c>
    </row>
    <row r="52" spans="1:17">
      <c r="A52">
        <v>48</v>
      </c>
      <c r="B52" t="s">
        <v>49</v>
      </c>
      <c r="C52" s="1">
        <v>190709</v>
      </c>
      <c r="F52">
        <v>49</v>
      </c>
      <c r="G52" t="s">
        <v>43</v>
      </c>
      <c r="H52" s="1">
        <v>248981</v>
      </c>
      <c r="K52">
        <v>49</v>
      </c>
      <c r="L52" t="s">
        <v>49</v>
      </c>
      <c r="M52">
        <v>1.3825304521548538</v>
      </c>
      <c r="N52" t="s">
        <v>207</v>
      </c>
      <c r="O52" t="s">
        <v>206</v>
      </c>
      <c r="P52" t="e">
        <v>#N/A</v>
      </c>
      <c r="Q52">
        <v>1.3825304521548538</v>
      </c>
    </row>
    <row r="53" spans="1:17">
      <c r="A53">
        <v>49</v>
      </c>
      <c r="B53" t="s">
        <v>50</v>
      </c>
      <c r="C53" s="1">
        <v>189776</v>
      </c>
      <c r="F53">
        <v>50</v>
      </c>
      <c r="G53" t="s">
        <v>41</v>
      </c>
      <c r="H53" s="1">
        <v>235222</v>
      </c>
      <c r="K53">
        <v>50</v>
      </c>
      <c r="L53" t="s">
        <v>50</v>
      </c>
      <c r="M53">
        <v>1.4077175196020573</v>
      </c>
      <c r="N53" t="s">
        <v>480</v>
      </c>
      <c r="O53" t="s">
        <v>479</v>
      </c>
      <c r="P53">
        <v>0.28461323906942854</v>
      </c>
      <c r="Q53">
        <v>1.4077175196020573</v>
      </c>
    </row>
    <row r="54" spans="1:17">
      <c r="A54">
        <v>50</v>
      </c>
      <c r="B54" t="s">
        <v>51</v>
      </c>
      <c r="C54" s="1">
        <v>178312</v>
      </c>
      <c r="F54">
        <v>51</v>
      </c>
      <c r="G54" t="s">
        <v>51</v>
      </c>
      <c r="H54" s="1">
        <v>216785</v>
      </c>
      <c r="K54">
        <v>51</v>
      </c>
      <c r="L54" t="s">
        <v>51</v>
      </c>
      <c r="M54">
        <v>1.2157622594104716</v>
      </c>
      <c r="N54" t="s">
        <v>380</v>
      </c>
      <c r="O54" t="s">
        <v>379</v>
      </c>
      <c r="P54" t="e">
        <v>#N/A</v>
      </c>
      <c r="Q54">
        <v>1.2157622594104716</v>
      </c>
    </row>
    <row r="55" spans="1:17">
      <c r="A55">
        <v>51</v>
      </c>
      <c r="B55" t="s">
        <v>52</v>
      </c>
      <c r="C55" s="1">
        <v>176667</v>
      </c>
      <c r="F55">
        <v>52</v>
      </c>
      <c r="G55" t="s">
        <v>32</v>
      </c>
      <c r="H55" s="1">
        <v>206586</v>
      </c>
      <c r="K55">
        <v>52</v>
      </c>
      <c r="L55" t="s">
        <v>52</v>
      </c>
      <c r="M55">
        <v>0.8688719455246311</v>
      </c>
      <c r="N55" t="s">
        <v>388</v>
      </c>
      <c r="O55" t="s">
        <v>387</v>
      </c>
      <c r="P55" t="e">
        <v>#N/A</v>
      </c>
      <c r="Q55">
        <v>0.8688719455246311</v>
      </c>
    </row>
    <row r="56" spans="1:17">
      <c r="A56">
        <v>52</v>
      </c>
      <c r="B56" t="s">
        <v>53</v>
      </c>
      <c r="C56" s="1">
        <v>173847</v>
      </c>
      <c r="F56">
        <v>53</v>
      </c>
      <c r="G56" t="s">
        <v>37</v>
      </c>
      <c r="H56" s="1">
        <v>195723</v>
      </c>
      <c r="K56">
        <v>53</v>
      </c>
      <c r="L56" t="s">
        <v>53</v>
      </c>
      <c r="M56">
        <v>1.0469205680857305</v>
      </c>
      <c r="N56" t="s">
        <v>478</v>
      </c>
      <c r="O56" t="s">
        <v>477</v>
      </c>
      <c r="P56" t="e">
        <v>#N/A</v>
      </c>
      <c r="Q56">
        <v>1.0469205680857305</v>
      </c>
    </row>
    <row r="57" spans="1:17">
      <c r="A57">
        <v>53</v>
      </c>
      <c r="B57" t="s">
        <v>54</v>
      </c>
      <c r="C57" s="1">
        <v>173502</v>
      </c>
      <c r="F57">
        <v>54</v>
      </c>
      <c r="G57" t="s">
        <v>57</v>
      </c>
      <c r="H57" s="1">
        <v>195640</v>
      </c>
      <c r="K57">
        <v>54</v>
      </c>
      <c r="L57" t="s">
        <v>54</v>
      </c>
      <c r="M57">
        <v>1.7404237415130661</v>
      </c>
      <c r="N57" t="s">
        <v>471</v>
      </c>
      <c r="O57" t="s">
        <v>470</v>
      </c>
      <c r="P57" t="e">
        <v>#N/A</v>
      </c>
      <c r="Q57">
        <v>1.7404237415130661</v>
      </c>
    </row>
    <row r="58" spans="1:17">
      <c r="A58">
        <v>54</v>
      </c>
      <c r="B58" t="s">
        <v>55</v>
      </c>
      <c r="C58" s="1">
        <v>164960</v>
      </c>
      <c r="F58">
        <v>55</v>
      </c>
      <c r="G58" t="s">
        <v>53</v>
      </c>
      <c r="H58" s="1">
        <v>182004</v>
      </c>
      <c r="K58">
        <v>55</v>
      </c>
      <c r="L58" t="s">
        <v>55</v>
      </c>
      <c r="M58">
        <v>1.9974357419980602</v>
      </c>
      <c r="N58" t="s">
        <v>551</v>
      </c>
      <c r="O58" t="s">
        <v>550</v>
      </c>
      <c r="P58" t="e">
        <v>#N/A</v>
      </c>
      <c r="Q58">
        <v>1.9974357419980602</v>
      </c>
    </row>
    <row r="59" spans="1:17">
      <c r="A59">
        <v>55</v>
      </c>
      <c r="B59" t="s">
        <v>56</v>
      </c>
      <c r="C59" s="1">
        <v>161851</v>
      </c>
      <c r="F59">
        <v>56</v>
      </c>
      <c r="G59" t="s">
        <v>45</v>
      </c>
      <c r="H59" s="1">
        <v>181595</v>
      </c>
      <c r="K59">
        <v>56</v>
      </c>
      <c r="L59" t="s">
        <v>56</v>
      </c>
      <c r="M59">
        <v>0.75497216575739412</v>
      </c>
      <c r="N59" t="s">
        <v>295</v>
      </c>
      <c r="O59" t="s">
        <v>294</v>
      </c>
      <c r="P59">
        <v>0.79758809360493876</v>
      </c>
      <c r="Q59">
        <v>0.75497216575739412</v>
      </c>
    </row>
    <row r="60" spans="1:17">
      <c r="A60">
        <v>56</v>
      </c>
      <c r="B60" t="s">
        <v>57</v>
      </c>
      <c r="C60" s="1">
        <v>140303</v>
      </c>
      <c r="F60">
        <v>57</v>
      </c>
      <c r="G60" t="s">
        <v>62</v>
      </c>
      <c r="H60" s="1">
        <v>162617</v>
      </c>
      <c r="K60">
        <v>57</v>
      </c>
      <c r="L60" t="s">
        <v>57</v>
      </c>
      <c r="M60">
        <v>1.3944106683392372</v>
      </c>
      <c r="N60" t="s">
        <v>358</v>
      </c>
      <c r="O60" t="s">
        <v>357</v>
      </c>
      <c r="P60" t="e">
        <v>#N/A</v>
      </c>
      <c r="Q60">
        <v>1.3944106683392372</v>
      </c>
    </row>
    <row r="61" spans="1:17">
      <c r="A61">
        <v>57</v>
      </c>
      <c r="B61" t="s">
        <v>58</v>
      </c>
      <c r="C61" s="1">
        <v>122722</v>
      </c>
      <c r="F61">
        <v>58</v>
      </c>
      <c r="G61" t="s">
        <v>52</v>
      </c>
      <c r="H61" s="1">
        <v>153501</v>
      </c>
      <c r="K61">
        <v>58</v>
      </c>
      <c r="L61" t="s">
        <v>58</v>
      </c>
      <c r="M61">
        <v>2.4444272420592883</v>
      </c>
      <c r="N61" t="s">
        <v>564</v>
      </c>
      <c r="O61" t="s">
        <v>563</v>
      </c>
      <c r="P61" t="e">
        <v>#N/A</v>
      </c>
      <c r="Q61">
        <v>2.4444272420592883</v>
      </c>
    </row>
    <row r="62" spans="1:17">
      <c r="A62">
        <v>58</v>
      </c>
      <c r="B62" t="s">
        <v>59</v>
      </c>
      <c r="C62" s="1">
        <v>115388</v>
      </c>
      <c r="F62">
        <v>59</v>
      </c>
      <c r="G62" t="s">
        <v>71</v>
      </c>
      <c r="H62" s="1">
        <v>141771</v>
      </c>
      <c r="K62">
        <v>59</v>
      </c>
      <c r="L62" t="s">
        <v>59</v>
      </c>
      <c r="M62">
        <v>1.106102887648629</v>
      </c>
      <c r="N62" t="s">
        <v>366</v>
      </c>
      <c r="O62" t="s">
        <v>365</v>
      </c>
      <c r="P62" t="e">
        <v>#N/A</v>
      </c>
      <c r="Q62">
        <v>1.106102887648629</v>
      </c>
    </row>
    <row r="63" spans="1:17">
      <c r="A63">
        <v>59</v>
      </c>
      <c r="B63" t="s">
        <v>60</v>
      </c>
      <c r="C63" s="1">
        <v>113032</v>
      </c>
      <c r="F63">
        <v>60</v>
      </c>
      <c r="G63" t="s">
        <v>59</v>
      </c>
      <c r="H63" s="1">
        <v>127631</v>
      </c>
      <c r="K63">
        <v>60</v>
      </c>
      <c r="L63" t="s">
        <v>60</v>
      </c>
      <c r="M63">
        <v>2.4968946846910609</v>
      </c>
      <c r="N63" t="s">
        <v>232</v>
      </c>
      <c r="O63" t="s">
        <v>231</v>
      </c>
      <c r="P63">
        <v>1.2220845340313881E-2</v>
      </c>
      <c r="Q63">
        <v>2.4968946846910609</v>
      </c>
    </row>
    <row r="64" spans="1:17">
      <c r="A64">
        <v>60</v>
      </c>
      <c r="B64" t="s">
        <v>61</v>
      </c>
      <c r="C64" s="1">
        <v>100948</v>
      </c>
      <c r="F64">
        <v>61</v>
      </c>
      <c r="G64" t="s">
        <v>65</v>
      </c>
      <c r="H64" s="1">
        <v>127426</v>
      </c>
      <c r="K64">
        <v>61</v>
      </c>
      <c r="L64" t="s">
        <v>61</v>
      </c>
      <c r="M64">
        <v>1.1459266156833221</v>
      </c>
      <c r="N64" t="s">
        <v>210</v>
      </c>
      <c r="O64" t="s">
        <v>209</v>
      </c>
      <c r="P64" t="e">
        <v>#N/A</v>
      </c>
      <c r="Q64">
        <v>1.1459266156833221</v>
      </c>
    </row>
    <row r="65" spans="1:17">
      <c r="A65">
        <v>61</v>
      </c>
      <c r="B65" t="s">
        <v>62</v>
      </c>
      <c r="C65" s="1">
        <v>99241</v>
      </c>
      <c r="F65">
        <v>62</v>
      </c>
      <c r="G65" t="s">
        <v>183</v>
      </c>
      <c r="H65" s="1">
        <v>126916</v>
      </c>
      <c r="K65">
        <v>62</v>
      </c>
      <c r="L65" t="s">
        <v>62</v>
      </c>
      <c r="M65">
        <v>1.6386070273374915</v>
      </c>
      <c r="N65" t="s">
        <v>438</v>
      </c>
      <c r="O65" t="s">
        <v>437</v>
      </c>
      <c r="P65">
        <v>0.11454753722794959</v>
      </c>
      <c r="Q65">
        <v>1.6386070273374915</v>
      </c>
    </row>
    <row r="66" spans="1:17">
      <c r="A66">
        <v>62</v>
      </c>
      <c r="B66" t="s">
        <v>63</v>
      </c>
      <c r="C66" s="1">
        <v>96089</v>
      </c>
      <c r="F66">
        <v>63</v>
      </c>
      <c r="G66" t="s">
        <v>56</v>
      </c>
      <c r="H66" s="1">
        <v>122193</v>
      </c>
      <c r="K66">
        <v>63</v>
      </c>
      <c r="L66" t="s">
        <v>63</v>
      </c>
      <c r="M66" t="e">
        <v>#N/A</v>
      </c>
      <c r="N66" t="s">
        <v>200</v>
      </c>
      <c r="O66" t="s">
        <v>199</v>
      </c>
      <c r="P66">
        <v>1.2703994389916078</v>
      </c>
      <c r="Q66" t="e">
        <v>#N/A</v>
      </c>
    </row>
    <row r="67" spans="1:17">
      <c r="A67">
        <v>63</v>
      </c>
      <c r="B67" t="s">
        <v>64</v>
      </c>
      <c r="C67" s="1">
        <v>71888</v>
      </c>
      <c r="F67">
        <v>64</v>
      </c>
      <c r="G67" t="s">
        <v>68</v>
      </c>
      <c r="H67" s="1">
        <v>116541</v>
      </c>
      <c r="K67">
        <v>64</v>
      </c>
      <c r="L67" t="s">
        <v>64</v>
      </c>
      <c r="M67">
        <v>1.1374221010460717</v>
      </c>
      <c r="N67" t="s">
        <v>459</v>
      </c>
      <c r="O67" t="s">
        <v>458</v>
      </c>
      <c r="P67" t="e">
        <v>#N/A</v>
      </c>
      <c r="Q67">
        <v>1.1374221010460717</v>
      </c>
    </row>
    <row r="68" spans="1:17">
      <c r="A68">
        <v>64</v>
      </c>
      <c r="B68" t="s">
        <v>65</v>
      </c>
      <c r="C68" s="1">
        <v>66381</v>
      </c>
      <c r="F68">
        <v>65</v>
      </c>
      <c r="G68" t="s">
        <v>61</v>
      </c>
      <c r="H68" s="1">
        <v>115679</v>
      </c>
      <c r="K68">
        <v>65</v>
      </c>
      <c r="L68" t="s">
        <v>65</v>
      </c>
      <c r="M68">
        <v>1.9196155526430756</v>
      </c>
      <c r="N68" t="s">
        <v>252</v>
      </c>
      <c r="O68" t="s">
        <v>251</v>
      </c>
      <c r="P68">
        <v>1</v>
      </c>
      <c r="Q68">
        <v>1.9196155526430756</v>
      </c>
    </row>
    <row r="69" spans="1:17">
      <c r="A69">
        <v>65</v>
      </c>
      <c r="B69" t="s">
        <v>186</v>
      </c>
      <c r="C69" s="1">
        <v>64750</v>
      </c>
      <c r="F69">
        <v>66</v>
      </c>
      <c r="G69" t="s">
        <v>72</v>
      </c>
      <c r="H69" s="1">
        <v>101036</v>
      </c>
      <c r="K69">
        <v>66</v>
      </c>
      <c r="L69" t="s">
        <v>186</v>
      </c>
      <c r="M69">
        <v>1.3752586872586872</v>
      </c>
      <c r="N69" t="s">
        <v>512</v>
      </c>
      <c r="O69" t="s">
        <v>511</v>
      </c>
      <c r="P69" t="e">
        <v>#N/A</v>
      </c>
      <c r="Q69">
        <v>1.3752586872586872</v>
      </c>
    </row>
    <row r="70" spans="1:17">
      <c r="A70">
        <v>66</v>
      </c>
      <c r="B70" t="s">
        <v>66</v>
      </c>
      <c r="C70" s="1">
        <v>63842</v>
      </c>
      <c r="F70">
        <v>67</v>
      </c>
      <c r="G70" t="s">
        <v>77</v>
      </c>
      <c r="H70" s="1">
        <v>100979</v>
      </c>
      <c r="K70">
        <v>67</v>
      </c>
      <c r="L70" t="s">
        <v>66</v>
      </c>
      <c r="M70">
        <v>1.2583252404373297</v>
      </c>
      <c r="N70" t="s">
        <v>300</v>
      </c>
      <c r="O70" t="s">
        <v>299</v>
      </c>
      <c r="P70" t="e">
        <v>#N/A</v>
      </c>
      <c r="Q70">
        <v>1.2583252404373297</v>
      </c>
    </row>
    <row r="71" spans="1:17">
      <c r="A71">
        <v>67</v>
      </c>
      <c r="B71" t="s">
        <v>67</v>
      </c>
      <c r="C71" s="1">
        <v>62321</v>
      </c>
      <c r="F71">
        <v>68</v>
      </c>
      <c r="G71" t="s">
        <v>78</v>
      </c>
      <c r="H71" s="1">
        <v>95239</v>
      </c>
      <c r="K71">
        <v>68</v>
      </c>
      <c r="L71" t="s">
        <v>67</v>
      </c>
      <c r="M71">
        <v>1.4931563999293977</v>
      </c>
      <c r="N71" t="s">
        <v>226</v>
      </c>
      <c r="O71" t="s">
        <v>225</v>
      </c>
      <c r="P71" t="e">
        <v>#N/A</v>
      </c>
      <c r="Q71">
        <v>1.4931563999293977</v>
      </c>
    </row>
    <row r="72" spans="1:17">
      <c r="A72">
        <v>68</v>
      </c>
      <c r="B72" t="s">
        <v>68</v>
      </c>
      <c r="C72" s="1">
        <v>59095</v>
      </c>
      <c r="F72">
        <v>69</v>
      </c>
      <c r="G72" t="s">
        <v>87</v>
      </c>
      <c r="H72" s="1">
        <v>94878</v>
      </c>
      <c r="K72">
        <v>69</v>
      </c>
      <c r="L72" t="s">
        <v>68</v>
      </c>
      <c r="M72">
        <v>1.9720957779846011</v>
      </c>
      <c r="N72" t="s">
        <v>514</v>
      </c>
      <c r="O72" t="s">
        <v>513</v>
      </c>
      <c r="P72">
        <v>7.5240581760178168E-3</v>
      </c>
      <c r="Q72">
        <v>1.9720957779846011</v>
      </c>
    </row>
    <row r="73" spans="1:17">
      <c r="A73">
        <v>69</v>
      </c>
      <c r="B73" t="s">
        <v>69</v>
      </c>
      <c r="C73" s="1">
        <v>58412</v>
      </c>
      <c r="F73">
        <v>70</v>
      </c>
      <c r="G73" t="s">
        <v>70</v>
      </c>
      <c r="H73" s="1">
        <v>93383</v>
      </c>
      <c r="K73">
        <v>70</v>
      </c>
      <c r="L73" t="s">
        <v>69</v>
      </c>
      <c r="M73">
        <v>0.70569403547216325</v>
      </c>
      <c r="N73" t="s">
        <v>200</v>
      </c>
      <c r="O73" t="s">
        <v>199</v>
      </c>
      <c r="P73">
        <v>1.2703994389916078</v>
      </c>
      <c r="Q73">
        <v>0.70569403547216325</v>
      </c>
    </row>
    <row r="74" spans="1:17">
      <c r="A74">
        <v>70</v>
      </c>
      <c r="B74" t="s">
        <v>70</v>
      </c>
      <c r="C74" s="1">
        <v>56700</v>
      </c>
      <c r="F74">
        <v>71</v>
      </c>
      <c r="G74" t="s">
        <v>67</v>
      </c>
      <c r="H74" s="1">
        <v>93055</v>
      </c>
      <c r="K74">
        <v>71</v>
      </c>
      <c r="L74" t="s">
        <v>70</v>
      </c>
      <c r="M74">
        <v>1.6469664902998236</v>
      </c>
      <c r="N74" t="s">
        <v>316</v>
      </c>
      <c r="O74" t="s">
        <v>315</v>
      </c>
      <c r="P74">
        <v>2.5673940949935813E-2</v>
      </c>
      <c r="Q74">
        <v>1.6469664902998236</v>
      </c>
    </row>
    <row r="75" spans="1:17">
      <c r="A75">
        <v>71</v>
      </c>
      <c r="B75" t="s">
        <v>71</v>
      </c>
      <c r="C75" s="1">
        <v>55483</v>
      </c>
      <c r="F75">
        <v>72</v>
      </c>
      <c r="G75" t="s">
        <v>186</v>
      </c>
      <c r="H75" s="1">
        <v>89048</v>
      </c>
      <c r="K75">
        <v>72</v>
      </c>
      <c r="L75" t="s">
        <v>71</v>
      </c>
      <c r="M75">
        <v>2.5552151109348809</v>
      </c>
      <c r="N75" t="s">
        <v>236</v>
      </c>
      <c r="O75" t="s">
        <v>235</v>
      </c>
      <c r="P75" t="e">
        <v>#N/A</v>
      </c>
      <c r="Q75">
        <v>2.5552151109348809</v>
      </c>
    </row>
    <row r="76" spans="1:17">
      <c r="A76">
        <v>72</v>
      </c>
      <c r="B76" t="s">
        <v>72</v>
      </c>
      <c r="C76" s="1">
        <v>53514</v>
      </c>
      <c r="F76">
        <v>73</v>
      </c>
      <c r="G76" t="s">
        <v>184</v>
      </c>
      <c r="H76" s="1">
        <v>82679</v>
      </c>
      <c r="K76">
        <v>73</v>
      </c>
      <c r="L76" t="s">
        <v>72</v>
      </c>
      <c r="M76">
        <v>1.8880293007437305</v>
      </c>
      <c r="N76" t="s">
        <v>266</v>
      </c>
      <c r="O76" t="s">
        <v>265</v>
      </c>
      <c r="P76" t="e">
        <v>#N/A</v>
      </c>
      <c r="Q76">
        <v>1.8880293007437305</v>
      </c>
    </row>
    <row r="77" spans="1:17">
      <c r="A77">
        <v>73</v>
      </c>
      <c r="B77" t="s">
        <v>73</v>
      </c>
      <c r="C77" s="1">
        <v>51925</v>
      </c>
      <c r="F77">
        <v>74</v>
      </c>
      <c r="G77" t="s">
        <v>64</v>
      </c>
      <c r="H77" s="1">
        <v>81767</v>
      </c>
      <c r="K77">
        <v>74</v>
      </c>
      <c r="L77" t="s">
        <v>73</v>
      </c>
      <c r="M77" t="e">
        <v>#N/A</v>
      </c>
      <c r="N77" t="s">
        <v>268</v>
      </c>
      <c r="O77" t="s">
        <v>267</v>
      </c>
      <c r="P77" t="e">
        <v>#N/A</v>
      </c>
      <c r="Q77" t="e">
        <v>#N/A</v>
      </c>
    </row>
    <row r="78" spans="1:17">
      <c r="A78">
        <v>74</v>
      </c>
      <c r="B78" t="s">
        <v>74</v>
      </c>
      <c r="C78" s="1">
        <v>49588</v>
      </c>
      <c r="F78">
        <v>75</v>
      </c>
      <c r="G78" t="s">
        <v>66</v>
      </c>
      <c r="H78" s="1">
        <v>80334</v>
      </c>
      <c r="K78">
        <v>75</v>
      </c>
      <c r="L78" t="s">
        <v>74</v>
      </c>
      <c r="M78">
        <v>1.1674598693232234</v>
      </c>
      <c r="N78" t="s">
        <v>200</v>
      </c>
      <c r="O78" t="s">
        <v>199</v>
      </c>
      <c r="P78">
        <v>1.2703994389916078</v>
      </c>
      <c r="Q78">
        <v>1.1674598693232234</v>
      </c>
    </row>
    <row r="79" spans="1:17">
      <c r="A79">
        <v>75</v>
      </c>
      <c r="B79" t="s">
        <v>75</v>
      </c>
      <c r="C79" s="1">
        <v>46897</v>
      </c>
      <c r="F79">
        <v>76</v>
      </c>
      <c r="G79" t="s">
        <v>79</v>
      </c>
      <c r="H79" s="1">
        <v>78869</v>
      </c>
      <c r="K79">
        <v>76</v>
      </c>
      <c r="L79" t="s">
        <v>75</v>
      </c>
      <c r="M79">
        <v>1.5930443311938931</v>
      </c>
      <c r="N79" t="s">
        <v>345</v>
      </c>
      <c r="O79" t="s">
        <v>344</v>
      </c>
      <c r="P79" t="e">
        <v>#N/A</v>
      </c>
      <c r="Q79">
        <v>1.5930443311938931</v>
      </c>
    </row>
    <row r="80" spans="1:17">
      <c r="A80">
        <v>76</v>
      </c>
      <c r="B80" t="s">
        <v>76</v>
      </c>
      <c r="C80" s="1">
        <v>46872</v>
      </c>
      <c r="F80">
        <v>77</v>
      </c>
      <c r="G80" t="s">
        <v>83</v>
      </c>
      <c r="H80" s="1">
        <v>74937</v>
      </c>
      <c r="K80">
        <v>77</v>
      </c>
      <c r="L80" t="s">
        <v>76</v>
      </c>
      <c r="M80">
        <v>1.0861068441713604</v>
      </c>
      <c r="N80" t="s">
        <v>555</v>
      </c>
      <c r="O80" t="s">
        <v>554</v>
      </c>
      <c r="P80" t="e">
        <v>#N/A</v>
      </c>
      <c r="Q80">
        <v>1.0861068441713604</v>
      </c>
    </row>
    <row r="81" spans="1:17">
      <c r="A81">
        <v>77</v>
      </c>
      <c r="B81" t="s">
        <v>77</v>
      </c>
      <c r="C81" s="1">
        <v>46360</v>
      </c>
      <c r="F81">
        <v>78</v>
      </c>
      <c r="G81" t="s">
        <v>75</v>
      </c>
      <c r="H81" s="1">
        <v>74709</v>
      </c>
      <c r="K81">
        <v>78</v>
      </c>
      <c r="L81" t="s">
        <v>77</v>
      </c>
      <c r="M81">
        <v>2.1781492666091458</v>
      </c>
      <c r="N81" t="s">
        <v>543</v>
      </c>
      <c r="O81" t="s">
        <v>542</v>
      </c>
      <c r="P81" t="e">
        <v>#N/A</v>
      </c>
      <c r="Q81">
        <v>2.1781492666091458</v>
      </c>
    </row>
    <row r="82" spans="1:17">
      <c r="A82">
        <v>78</v>
      </c>
      <c r="B82" t="s">
        <v>78</v>
      </c>
      <c r="C82" s="1">
        <v>45353</v>
      </c>
      <c r="F82">
        <v>79</v>
      </c>
      <c r="G82" t="s">
        <v>85</v>
      </c>
      <c r="H82" s="1">
        <v>71427</v>
      </c>
      <c r="K82">
        <v>79</v>
      </c>
      <c r="L82" t="s">
        <v>78</v>
      </c>
      <c r="M82">
        <v>2.0999492867065022</v>
      </c>
      <c r="N82" t="s">
        <v>557</v>
      </c>
      <c r="O82" t="s">
        <v>556</v>
      </c>
      <c r="P82" t="e">
        <v>#N/A</v>
      </c>
      <c r="Q82">
        <v>2.0999492867065022</v>
      </c>
    </row>
    <row r="83" spans="1:17">
      <c r="A83">
        <v>79</v>
      </c>
      <c r="B83" t="s">
        <v>79</v>
      </c>
      <c r="C83" s="1">
        <v>45064</v>
      </c>
      <c r="F83">
        <v>80</v>
      </c>
      <c r="G83" t="s">
        <v>97</v>
      </c>
      <c r="H83" s="1">
        <v>63892</v>
      </c>
      <c r="K83">
        <v>80</v>
      </c>
      <c r="L83" t="s">
        <v>79</v>
      </c>
      <c r="M83">
        <v>1.7501553346351855</v>
      </c>
      <c r="N83" t="s">
        <v>494</v>
      </c>
      <c r="O83" t="s">
        <v>493</v>
      </c>
      <c r="P83" t="e">
        <v>#N/A</v>
      </c>
      <c r="Q83">
        <v>1.7501553346351855</v>
      </c>
    </row>
    <row r="84" spans="1:17">
      <c r="A84">
        <v>80</v>
      </c>
      <c r="B84" t="s">
        <v>80</v>
      </c>
      <c r="C84" s="1">
        <v>42718</v>
      </c>
      <c r="F84">
        <v>81</v>
      </c>
      <c r="G84" t="s">
        <v>80</v>
      </c>
      <c r="H84" s="1">
        <v>61605</v>
      </c>
      <c r="K84">
        <v>81</v>
      </c>
      <c r="L84" t="s">
        <v>80</v>
      </c>
      <c r="M84">
        <v>1.4421321222903694</v>
      </c>
      <c r="N84" t="s">
        <v>409</v>
      </c>
      <c r="O84" t="s">
        <v>408</v>
      </c>
      <c r="P84" t="e">
        <v>#N/A</v>
      </c>
      <c r="Q84">
        <v>1.4421321222903694</v>
      </c>
    </row>
    <row r="85" spans="1:17">
      <c r="A85">
        <v>81</v>
      </c>
      <c r="B85" t="s">
        <v>81</v>
      </c>
      <c r="C85" s="1">
        <v>40947</v>
      </c>
      <c r="F85">
        <v>82</v>
      </c>
      <c r="G85" t="s">
        <v>82</v>
      </c>
      <c r="H85" s="1">
        <v>61444</v>
      </c>
      <c r="K85">
        <v>82</v>
      </c>
      <c r="L85" t="s">
        <v>81</v>
      </c>
      <c r="M85">
        <v>1.3437126040979803</v>
      </c>
      <c r="N85" t="s">
        <v>298</v>
      </c>
      <c r="O85" t="s">
        <v>297</v>
      </c>
      <c r="P85" t="e">
        <v>#N/A</v>
      </c>
      <c r="Q85">
        <v>1.3437126040979803</v>
      </c>
    </row>
    <row r="86" spans="1:17">
      <c r="A86">
        <v>82</v>
      </c>
      <c r="B86" t="s">
        <v>82</v>
      </c>
      <c r="C86" s="1">
        <v>39039</v>
      </c>
      <c r="F86">
        <v>83</v>
      </c>
      <c r="G86" t="s">
        <v>86</v>
      </c>
      <c r="H86" s="1">
        <v>57966</v>
      </c>
      <c r="K86">
        <v>83</v>
      </c>
      <c r="L86" t="s">
        <v>82</v>
      </c>
      <c r="M86">
        <v>1.5739132662209585</v>
      </c>
      <c r="N86" t="s">
        <v>396</v>
      </c>
      <c r="O86" t="s">
        <v>395</v>
      </c>
      <c r="P86" t="e">
        <v>#N/A</v>
      </c>
      <c r="Q86">
        <v>1.5739132662209585</v>
      </c>
    </row>
    <row r="87" spans="1:17">
      <c r="A87">
        <v>83</v>
      </c>
      <c r="B87" t="s">
        <v>83</v>
      </c>
      <c r="C87" s="1">
        <v>37158</v>
      </c>
      <c r="F87">
        <v>84</v>
      </c>
      <c r="G87" t="s">
        <v>74</v>
      </c>
      <c r="H87" s="1">
        <v>57892</v>
      </c>
      <c r="K87">
        <v>84</v>
      </c>
      <c r="L87" t="s">
        <v>83</v>
      </c>
      <c r="M87">
        <v>2.0167124172452771</v>
      </c>
      <c r="N87" t="s">
        <v>340</v>
      </c>
      <c r="O87" t="s">
        <v>339</v>
      </c>
      <c r="P87" t="e">
        <v>#N/A</v>
      </c>
      <c r="Q87">
        <v>2.0167124172452771</v>
      </c>
    </row>
    <row r="88" spans="1:17">
      <c r="A88">
        <v>84</v>
      </c>
      <c r="B88" t="s">
        <v>84</v>
      </c>
      <c r="C88" s="1">
        <v>36874</v>
      </c>
      <c r="F88">
        <v>85</v>
      </c>
      <c r="G88" t="s">
        <v>81</v>
      </c>
      <c r="H88" s="1">
        <v>55021</v>
      </c>
      <c r="K88">
        <v>85</v>
      </c>
      <c r="L88" t="s">
        <v>84</v>
      </c>
      <c r="M88">
        <v>1.0167597765363128</v>
      </c>
      <c r="N88" t="s">
        <v>404</v>
      </c>
      <c r="O88" t="s">
        <v>403</v>
      </c>
      <c r="P88" t="e">
        <v>#N/A</v>
      </c>
      <c r="Q88">
        <v>1.0167597765363128</v>
      </c>
    </row>
    <row r="89" spans="1:17">
      <c r="A89">
        <v>85</v>
      </c>
      <c r="B89" t="s">
        <v>85</v>
      </c>
      <c r="C89" s="1">
        <v>34796</v>
      </c>
      <c r="F89">
        <v>86</v>
      </c>
      <c r="G89" t="s">
        <v>76</v>
      </c>
      <c r="H89" s="1">
        <v>50908</v>
      </c>
      <c r="K89">
        <v>86</v>
      </c>
      <c r="L89" t="s">
        <v>85</v>
      </c>
      <c r="M89">
        <v>2.0527359466605355</v>
      </c>
      <c r="N89" t="s">
        <v>382</v>
      </c>
      <c r="O89" t="s">
        <v>381</v>
      </c>
      <c r="P89" t="e">
        <v>#N/A</v>
      </c>
      <c r="Q89">
        <v>2.0527359466605355</v>
      </c>
    </row>
    <row r="90" spans="1:17">
      <c r="A90">
        <v>86</v>
      </c>
      <c r="B90" t="s">
        <v>86</v>
      </c>
      <c r="C90" s="1">
        <v>33675</v>
      </c>
      <c r="F90">
        <v>87</v>
      </c>
      <c r="G90" t="s">
        <v>95</v>
      </c>
      <c r="H90" s="1">
        <v>50904</v>
      </c>
      <c r="K90">
        <v>87</v>
      </c>
      <c r="L90" t="s">
        <v>86</v>
      </c>
      <c r="M90">
        <v>1.721336302895323</v>
      </c>
      <c r="N90" t="s">
        <v>567</v>
      </c>
      <c r="O90" t="s">
        <v>566</v>
      </c>
      <c r="P90" t="e">
        <v>#N/A</v>
      </c>
      <c r="Q90">
        <v>1.721336302895323</v>
      </c>
    </row>
    <row r="91" spans="1:17">
      <c r="A91">
        <v>87</v>
      </c>
      <c r="B91" t="s">
        <v>87</v>
      </c>
      <c r="C91" s="1">
        <v>31256</v>
      </c>
      <c r="F91">
        <v>88</v>
      </c>
      <c r="G91" t="s">
        <v>88</v>
      </c>
      <c r="H91" s="1">
        <v>50612</v>
      </c>
      <c r="K91">
        <v>88</v>
      </c>
      <c r="L91" t="s">
        <v>87</v>
      </c>
      <c r="M91">
        <v>3.0355131814691578</v>
      </c>
      <c r="N91" t="s">
        <v>324</v>
      </c>
      <c r="O91" t="s">
        <v>323</v>
      </c>
      <c r="P91">
        <v>5.6561085972850679E-2</v>
      </c>
      <c r="Q91">
        <v>3.0355131814691578</v>
      </c>
    </row>
    <row r="92" spans="1:17">
      <c r="A92">
        <v>88</v>
      </c>
      <c r="B92" t="s">
        <v>88</v>
      </c>
      <c r="C92" s="1">
        <v>30569</v>
      </c>
      <c r="F92">
        <v>89</v>
      </c>
      <c r="G92" t="s">
        <v>92</v>
      </c>
      <c r="H92" s="1">
        <v>47251</v>
      </c>
      <c r="K92">
        <v>89</v>
      </c>
      <c r="L92" t="s">
        <v>88</v>
      </c>
      <c r="M92">
        <v>1.6556642350093231</v>
      </c>
      <c r="N92" t="s">
        <v>465</v>
      </c>
      <c r="O92" t="s">
        <v>464</v>
      </c>
      <c r="P92" t="e">
        <v>#N/A</v>
      </c>
      <c r="Q92">
        <v>1.6556642350093231</v>
      </c>
    </row>
    <row r="93" spans="1:17">
      <c r="A93">
        <v>89</v>
      </c>
      <c r="B93" t="s">
        <v>89</v>
      </c>
      <c r="C93" s="1">
        <v>29233</v>
      </c>
      <c r="F93">
        <v>90</v>
      </c>
      <c r="G93" t="s">
        <v>109</v>
      </c>
      <c r="H93" s="1">
        <v>46368</v>
      </c>
      <c r="K93">
        <v>90</v>
      </c>
      <c r="L93" t="s">
        <v>89</v>
      </c>
      <c r="M93">
        <v>1.2620326343515889</v>
      </c>
      <c r="N93" t="s">
        <v>378</v>
      </c>
      <c r="O93" t="s">
        <v>377</v>
      </c>
      <c r="P93" t="e">
        <v>#N/A</v>
      </c>
      <c r="Q93">
        <v>1.2620326343515889</v>
      </c>
    </row>
    <row r="94" spans="1:17">
      <c r="A94">
        <v>90</v>
      </c>
      <c r="B94" t="s">
        <v>90</v>
      </c>
      <c r="C94" s="1">
        <v>28252</v>
      </c>
      <c r="F94">
        <v>91</v>
      </c>
      <c r="G94" t="s">
        <v>98</v>
      </c>
      <c r="H94" s="1">
        <v>44576</v>
      </c>
      <c r="K94">
        <v>91</v>
      </c>
      <c r="L94" t="s">
        <v>90</v>
      </c>
      <c r="M94">
        <v>1.2360540846665722</v>
      </c>
      <c r="N94" t="s">
        <v>394</v>
      </c>
      <c r="O94" t="s">
        <v>393</v>
      </c>
      <c r="P94" t="e">
        <v>#N/A</v>
      </c>
      <c r="Q94">
        <v>1.2360540846665722</v>
      </c>
    </row>
    <row r="95" spans="1:17">
      <c r="A95">
        <v>91</v>
      </c>
      <c r="B95" t="s">
        <v>91</v>
      </c>
      <c r="C95" s="1">
        <v>26108</v>
      </c>
      <c r="F95">
        <v>92</v>
      </c>
      <c r="G95" t="s">
        <v>93</v>
      </c>
      <c r="H95" s="1">
        <v>43359</v>
      </c>
      <c r="K95">
        <v>92</v>
      </c>
      <c r="L95" t="s">
        <v>91</v>
      </c>
      <c r="M95">
        <v>1.1912440631224146</v>
      </c>
      <c r="N95" t="s">
        <v>230</v>
      </c>
      <c r="O95" t="s">
        <v>229</v>
      </c>
      <c r="P95" t="e">
        <v>#N/A</v>
      </c>
      <c r="Q95">
        <v>1.1912440631224146</v>
      </c>
    </row>
    <row r="96" spans="1:17">
      <c r="A96">
        <v>92</v>
      </c>
      <c r="B96" t="s">
        <v>92</v>
      </c>
      <c r="C96" s="1">
        <v>25759</v>
      </c>
      <c r="F96">
        <v>93</v>
      </c>
      <c r="G96" t="s">
        <v>69</v>
      </c>
      <c r="H96" s="1">
        <v>41221</v>
      </c>
      <c r="K96">
        <v>93</v>
      </c>
      <c r="L96" t="s">
        <v>92</v>
      </c>
      <c r="M96">
        <v>1.834349159517062</v>
      </c>
      <c r="N96" t="s">
        <v>274</v>
      </c>
      <c r="O96" t="s">
        <v>273</v>
      </c>
      <c r="P96" t="e">
        <v>#N/A</v>
      </c>
      <c r="Q96">
        <v>1.834349159517062</v>
      </c>
    </row>
    <row r="97" spans="1:17">
      <c r="A97">
        <v>93</v>
      </c>
      <c r="B97" t="s">
        <v>93</v>
      </c>
      <c r="C97" s="1">
        <v>25742</v>
      </c>
      <c r="F97">
        <v>94</v>
      </c>
      <c r="G97" t="s">
        <v>104</v>
      </c>
      <c r="H97" s="1">
        <v>37795</v>
      </c>
      <c r="K97">
        <v>94</v>
      </c>
      <c r="L97" t="s">
        <v>93</v>
      </c>
      <c r="M97">
        <v>1.6843679589775464</v>
      </c>
      <c r="N97" t="s">
        <v>545</v>
      </c>
      <c r="O97" t="s">
        <v>544</v>
      </c>
      <c r="P97" t="e">
        <v>#N/A</v>
      </c>
      <c r="Q97">
        <v>1.6843679589775464</v>
      </c>
    </row>
    <row r="98" spans="1:17">
      <c r="A98">
        <v>94</v>
      </c>
      <c r="B98" t="s">
        <v>94</v>
      </c>
      <c r="C98" s="1">
        <v>24949</v>
      </c>
      <c r="F98">
        <v>95</v>
      </c>
      <c r="G98" t="s">
        <v>84</v>
      </c>
      <c r="H98" s="1">
        <v>37492</v>
      </c>
      <c r="K98">
        <v>95</v>
      </c>
      <c r="L98" t="s">
        <v>94</v>
      </c>
      <c r="M98">
        <v>0.95106016273197325</v>
      </c>
      <c r="N98" t="s">
        <v>200</v>
      </c>
      <c r="O98" t="s">
        <v>199</v>
      </c>
      <c r="P98">
        <v>1.2703994389916078</v>
      </c>
      <c r="Q98">
        <v>0.95106016273197325</v>
      </c>
    </row>
    <row r="99" spans="1:17">
      <c r="A99">
        <v>95</v>
      </c>
      <c r="B99" t="s">
        <v>95</v>
      </c>
      <c r="C99" s="1">
        <v>24604</v>
      </c>
      <c r="F99">
        <v>96</v>
      </c>
      <c r="G99" t="s">
        <v>89</v>
      </c>
      <c r="H99" s="1">
        <v>36893</v>
      </c>
      <c r="K99">
        <v>96</v>
      </c>
      <c r="L99" t="s">
        <v>95</v>
      </c>
      <c r="M99">
        <v>2.0689318809949602</v>
      </c>
      <c r="N99" t="s">
        <v>249</v>
      </c>
      <c r="O99" t="s">
        <v>248</v>
      </c>
      <c r="P99" t="e">
        <v>#N/A</v>
      </c>
      <c r="Q99">
        <v>2.0689318809949602</v>
      </c>
    </row>
    <row r="100" spans="1:17">
      <c r="A100">
        <v>96</v>
      </c>
      <c r="B100" t="s">
        <v>96</v>
      </c>
      <c r="C100" s="1">
        <v>24096</v>
      </c>
      <c r="F100">
        <v>97</v>
      </c>
      <c r="G100" t="s">
        <v>96</v>
      </c>
      <c r="H100" s="1">
        <v>36068</v>
      </c>
      <c r="K100">
        <v>97</v>
      </c>
      <c r="L100" t="s">
        <v>96</v>
      </c>
      <c r="M100">
        <v>1.4968459495351925</v>
      </c>
      <c r="N100" t="s">
        <v>240</v>
      </c>
      <c r="O100" t="s">
        <v>239</v>
      </c>
      <c r="P100" t="e">
        <v>#N/A</v>
      </c>
      <c r="Q100">
        <v>1.4968459495351925</v>
      </c>
    </row>
    <row r="101" spans="1:17">
      <c r="A101">
        <v>97</v>
      </c>
      <c r="B101" t="s">
        <v>97</v>
      </c>
      <c r="C101" s="1">
        <v>23333</v>
      </c>
      <c r="F101">
        <v>98</v>
      </c>
      <c r="G101" t="s">
        <v>108</v>
      </c>
      <c r="H101" s="1">
        <v>35697</v>
      </c>
      <c r="K101">
        <v>98</v>
      </c>
      <c r="L101" t="s">
        <v>97</v>
      </c>
      <c r="M101">
        <v>2.7382676895384219</v>
      </c>
      <c r="N101" t="s">
        <v>532</v>
      </c>
      <c r="O101" t="s">
        <v>531</v>
      </c>
      <c r="P101" t="e">
        <v>#N/A</v>
      </c>
      <c r="Q101">
        <v>2.7382676895384219</v>
      </c>
    </row>
    <row r="102" spans="1:17">
      <c r="A102">
        <v>98</v>
      </c>
      <c r="B102" t="s">
        <v>98</v>
      </c>
      <c r="C102" s="1">
        <v>22761</v>
      </c>
      <c r="F102">
        <v>99</v>
      </c>
      <c r="G102" t="s">
        <v>101</v>
      </c>
      <c r="H102" s="1">
        <v>35346</v>
      </c>
      <c r="K102">
        <v>99</v>
      </c>
      <c r="L102" t="s">
        <v>98</v>
      </c>
      <c r="M102">
        <v>1.9584376784851281</v>
      </c>
      <c r="N102" t="s">
        <v>320</v>
      </c>
      <c r="O102" t="s">
        <v>319</v>
      </c>
      <c r="P102" t="e">
        <v>#N/A</v>
      </c>
      <c r="Q102">
        <v>1.9584376784851281</v>
      </c>
    </row>
    <row r="103" spans="1:17">
      <c r="A103">
        <v>99</v>
      </c>
      <c r="B103" t="s">
        <v>99</v>
      </c>
      <c r="C103" s="1">
        <v>22707</v>
      </c>
      <c r="F103">
        <v>100</v>
      </c>
      <c r="G103" t="s">
        <v>90</v>
      </c>
      <c r="H103" s="1">
        <v>34921</v>
      </c>
      <c r="K103">
        <v>100</v>
      </c>
      <c r="L103" t="s">
        <v>99</v>
      </c>
      <c r="M103">
        <v>1.1687144933280487</v>
      </c>
      <c r="N103" t="s">
        <v>540</v>
      </c>
      <c r="O103" t="s">
        <v>539</v>
      </c>
      <c r="P103" t="e">
        <v>#N/A</v>
      </c>
      <c r="Q103">
        <v>1.1687144933280487</v>
      </c>
    </row>
    <row r="104" spans="1:17">
      <c r="A104">
        <v>100</v>
      </c>
      <c r="B104" t="s">
        <v>100</v>
      </c>
      <c r="C104" s="1">
        <v>22225</v>
      </c>
      <c r="F104">
        <v>101</v>
      </c>
      <c r="G104" t="s">
        <v>118</v>
      </c>
      <c r="H104" s="1">
        <v>33463</v>
      </c>
      <c r="K104">
        <v>101</v>
      </c>
      <c r="L104" t="s">
        <v>100</v>
      </c>
      <c r="M104">
        <v>1.2289313835770528</v>
      </c>
      <c r="N104" t="s">
        <v>200</v>
      </c>
      <c r="O104" t="s">
        <v>199</v>
      </c>
      <c r="P104">
        <v>1.2703994389916078</v>
      </c>
      <c r="Q104">
        <v>1.2289313835770528</v>
      </c>
    </row>
    <row r="105" spans="1:17">
      <c r="A105">
        <v>101</v>
      </c>
      <c r="B105" t="s">
        <v>101</v>
      </c>
      <c r="C105" s="1">
        <v>21236</v>
      </c>
      <c r="F105">
        <v>102</v>
      </c>
      <c r="G105" t="s">
        <v>106</v>
      </c>
      <c r="H105" s="1">
        <v>31638</v>
      </c>
      <c r="K105">
        <v>102</v>
      </c>
      <c r="L105" t="s">
        <v>101</v>
      </c>
      <c r="M105">
        <v>1.6644377472216989</v>
      </c>
      <c r="N105" t="s">
        <v>469</v>
      </c>
      <c r="O105" t="s">
        <v>468</v>
      </c>
      <c r="P105" t="e">
        <v>#N/A</v>
      </c>
      <c r="Q105">
        <v>1.6644377472216989</v>
      </c>
    </row>
    <row r="106" spans="1:17">
      <c r="A106">
        <v>102</v>
      </c>
      <c r="B106" t="s">
        <v>102</v>
      </c>
      <c r="C106" s="1">
        <v>19805</v>
      </c>
      <c r="F106">
        <v>103</v>
      </c>
      <c r="G106" t="s">
        <v>91</v>
      </c>
      <c r="H106" s="1">
        <v>31101</v>
      </c>
      <c r="K106">
        <v>103</v>
      </c>
      <c r="L106" t="s">
        <v>102</v>
      </c>
      <c r="M106">
        <v>1.3202221661196667</v>
      </c>
      <c r="N106" t="s">
        <v>274</v>
      </c>
      <c r="O106" t="s">
        <v>273</v>
      </c>
      <c r="P106" t="e">
        <v>#N/A</v>
      </c>
      <c r="Q106">
        <v>1.3202221661196667</v>
      </c>
    </row>
    <row r="107" spans="1:17">
      <c r="A107">
        <v>103</v>
      </c>
      <c r="B107" t="s">
        <v>103</v>
      </c>
      <c r="C107" s="1">
        <v>19206</v>
      </c>
      <c r="F107">
        <v>104</v>
      </c>
      <c r="G107" t="s">
        <v>105</v>
      </c>
      <c r="H107" s="1">
        <v>29731</v>
      </c>
      <c r="K107">
        <v>104</v>
      </c>
      <c r="L107" t="s">
        <v>103</v>
      </c>
      <c r="M107">
        <v>1.1393314589190877</v>
      </c>
      <c r="N107" t="s">
        <v>569</v>
      </c>
      <c r="O107" t="s">
        <v>568</v>
      </c>
      <c r="P107" t="e">
        <v>#N/A</v>
      </c>
      <c r="Q107">
        <v>1.1393314589190877</v>
      </c>
    </row>
    <row r="108" spans="1:17">
      <c r="A108">
        <v>104</v>
      </c>
      <c r="B108" t="s">
        <v>104</v>
      </c>
      <c r="C108" s="1">
        <v>18580</v>
      </c>
      <c r="F108">
        <v>105</v>
      </c>
      <c r="G108" t="s">
        <v>107</v>
      </c>
      <c r="H108" s="1">
        <v>29707</v>
      </c>
      <c r="K108">
        <v>105</v>
      </c>
      <c r="L108" t="s">
        <v>104</v>
      </c>
      <c r="M108">
        <v>2.0341765339074271</v>
      </c>
      <c r="N108" t="s">
        <v>446</v>
      </c>
      <c r="O108" t="s">
        <v>445</v>
      </c>
      <c r="P108" t="e">
        <v>#N/A</v>
      </c>
      <c r="Q108">
        <v>2.0341765339074271</v>
      </c>
    </row>
    <row r="109" spans="1:17">
      <c r="A109">
        <v>105</v>
      </c>
      <c r="B109" t="s">
        <v>105</v>
      </c>
      <c r="C109" s="1">
        <v>18181</v>
      </c>
      <c r="F109">
        <v>106</v>
      </c>
      <c r="G109" t="s">
        <v>100</v>
      </c>
      <c r="H109" s="1">
        <v>27313</v>
      </c>
      <c r="K109">
        <v>106</v>
      </c>
      <c r="L109" t="s">
        <v>105</v>
      </c>
      <c r="M109">
        <v>1.6352785875364391</v>
      </c>
      <c r="N109" t="s">
        <v>197</v>
      </c>
      <c r="O109" t="s">
        <v>196</v>
      </c>
      <c r="P109" t="e">
        <v>#N/A</v>
      </c>
      <c r="Q109">
        <v>1.6352785875364391</v>
      </c>
    </row>
    <row r="110" spans="1:17">
      <c r="A110">
        <v>106</v>
      </c>
      <c r="B110" t="s">
        <v>106</v>
      </c>
      <c r="C110" s="1">
        <v>17965</v>
      </c>
      <c r="F110">
        <v>107</v>
      </c>
      <c r="G110" t="s">
        <v>99</v>
      </c>
      <c r="H110" s="1">
        <v>26538</v>
      </c>
      <c r="K110">
        <v>107</v>
      </c>
      <c r="L110" t="s">
        <v>106</v>
      </c>
      <c r="M110">
        <v>1.7610910102978012</v>
      </c>
      <c r="N110" t="s">
        <v>254</v>
      </c>
      <c r="O110" t="s">
        <v>253</v>
      </c>
      <c r="P110" t="e">
        <v>#N/A</v>
      </c>
      <c r="Q110">
        <v>1.7610910102978012</v>
      </c>
    </row>
    <row r="111" spans="1:17">
      <c r="A111">
        <v>107</v>
      </c>
      <c r="B111" t="s">
        <v>107</v>
      </c>
      <c r="C111" s="1">
        <v>17570</v>
      </c>
      <c r="F111">
        <v>108</v>
      </c>
      <c r="G111" t="s">
        <v>102</v>
      </c>
      <c r="H111" s="1">
        <v>26147</v>
      </c>
      <c r="K111">
        <v>108</v>
      </c>
      <c r="L111" t="s">
        <v>107</v>
      </c>
      <c r="M111">
        <v>1.6907797381900969</v>
      </c>
      <c r="N111" t="s">
        <v>256</v>
      </c>
      <c r="O111" t="s">
        <v>255</v>
      </c>
      <c r="P111" t="e">
        <v>#N/A</v>
      </c>
      <c r="Q111">
        <v>1.6907797381900969</v>
      </c>
    </row>
    <row r="112" spans="1:17">
      <c r="A112">
        <v>108</v>
      </c>
      <c r="B112" t="s">
        <v>108</v>
      </c>
      <c r="C112" s="1">
        <v>17381</v>
      </c>
      <c r="F112">
        <v>109</v>
      </c>
      <c r="G112" t="s">
        <v>111</v>
      </c>
      <c r="H112" s="1">
        <v>25262</v>
      </c>
      <c r="K112">
        <v>109</v>
      </c>
      <c r="L112" t="s">
        <v>108</v>
      </c>
      <c r="M112">
        <v>2.053794373166101</v>
      </c>
      <c r="N112" t="s">
        <v>354</v>
      </c>
      <c r="O112" t="s">
        <v>353</v>
      </c>
      <c r="P112" t="e">
        <v>#N/A</v>
      </c>
      <c r="Q112">
        <v>2.053794373166101</v>
      </c>
    </row>
    <row r="113" spans="1:17">
      <c r="A113">
        <v>109</v>
      </c>
      <c r="B113" t="s">
        <v>109</v>
      </c>
      <c r="C113" s="1">
        <v>16810</v>
      </c>
      <c r="F113">
        <v>110</v>
      </c>
      <c r="G113" t="s">
        <v>115</v>
      </c>
      <c r="H113" s="1">
        <v>25152</v>
      </c>
      <c r="K113">
        <v>110</v>
      </c>
      <c r="L113" t="s">
        <v>109</v>
      </c>
      <c r="M113">
        <v>2.7583581201665677</v>
      </c>
      <c r="N113" t="s">
        <v>549</v>
      </c>
      <c r="O113" t="s">
        <v>548</v>
      </c>
      <c r="P113" t="e">
        <v>#N/A</v>
      </c>
      <c r="Q113">
        <v>2.7583581201665677</v>
      </c>
    </row>
    <row r="114" spans="1:17">
      <c r="A114">
        <v>110</v>
      </c>
      <c r="B114" t="s">
        <v>110</v>
      </c>
      <c r="C114" s="1">
        <v>16176</v>
      </c>
      <c r="F114">
        <v>111</v>
      </c>
      <c r="G114" t="s">
        <v>119</v>
      </c>
      <c r="H114" s="1">
        <v>24910</v>
      </c>
      <c r="K114">
        <v>111</v>
      </c>
      <c r="L114" t="s">
        <v>110</v>
      </c>
      <c r="M114">
        <v>1.518978733926805</v>
      </c>
      <c r="N114" t="s">
        <v>274</v>
      </c>
      <c r="O114" t="s">
        <v>273</v>
      </c>
      <c r="P114" t="e">
        <v>#N/A</v>
      </c>
      <c r="Q114">
        <v>1.518978733926805</v>
      </c>
    </row>
    <row r="115" spans="1:17">
      <c r="A115">
        <v>111</v>
      </c>
      <c r="B115" t="s">
        <v>111</v>
      </c>
      <c r="C115" s="1">
        <v>15668</v>
      </c>
      <c r="F115">
        <v>112</v>
      </c>
      <c r="G115" t="s">
        <v>113</v>
      </c>
      <c r="H115" s="1">
        <v>24750</v>
      </c>
      <c r="K115">
        <v>112</v>
      </c>
      <c r="L115" t="s">
        <v>111</v>
      </c>
      <c r="M115">
        <v>1.6123308654582589</v>
      </c>
      <c r="N115" t="s">
        <v>292</v>
      </c>
      <c r="O115" t="s">
        <v>291</v>
      </c>
      <c r="P115" t="e">
        <v>#N/A</v>
      </c>
      <c r="Q115">
        <v>1.6123308654582589</v>
      </c>
    </row>
    <row r="116" spans="1:17">
      <c r="A116">
        <v>112</v>
      </c>
      <c r="B116" t="s">
        <v>112</v>
      </c>
      <c r="C116" s="1">
        <v>15533</v>
      </c>
      <c r="F116">
        <v>113</v>
      </c>
      <c r="G116" t="s">
        <v>110</v>
      </c>
      <c r="H116" s="1">
        <v>24571</v>
      </c>
      <c r="K116">
        <v>113</v>
      </c>
      <c r="L116" t="s">
        <v>112</v>
      </c>
      <c r="M116">
        <v>1.3499645915148393</v>
      </c>
      <c r="N116" t="s">
        <v>262</v>
      </c>
      <c r="O116" t="s">
        <v>261</v>
      </c>
      <c r="P116" t="e">
        <v>#N/A</v>
      </c>
      <c r="Q116">
        <v>1.3499645915148393</v>
      </c>
    </row>
    <row r="117" spans="1:17">
      <c r="A117">
        <v>113</v>
      </c>
      <c r="B117" t="s">
        <v>113</v>
      </c>
      <c r="C117" s="1">
        <v>14807</v>
      </c>
      <c r="F117">
        <v>114</v>
      </c>
      <c r="G117" t="s">
        <v>116</v>
      </c>
      <c r="H117" s="1">
        <v>24541</v>
      </c>
      <c r="K117">
        <v>114</v>
      </c>
      <c r="L117" t="s">
        <v>113</v>
      </c>
      <c r="M117">
        <v>1.6715067197946918</v>
      </c>
      <c r="N117" t="s">
        <v>372</v>
      </c>
      <c r="O117" t="s">
        <v>371</v>
      </c>
      <c r="P117" t="e">
        <v>#N/A</v>
      </c>
      <c r="Q117">
        <v>1.6715067197946918</v>
      </c>
    </row>
    <row r="118" spans="1:17">
      <c r="A118">
        <v>114</v>
      </c>
      <c r="B118" t="s">
        <v>114</v>
      </c>
      <c r="C118" s="1">
        <v>14769</v>
      </c>
      <c r="F118">
        <v>115</v>
      </c>
      <c r="G118" t="s">
        <v>120</v>
      </c>
      <c r="H118" s="1">
        <v>23886</v>
      </c>
      <c r="K118">
        <v>115</v>
      </c>
      <c r="L118" t="s">
        <v>114</v>
      </c>
      <c r="M118">
        <v>1.2356963910894441</v>
      </c>
      <c r="N118" t="s">
        <v>274</v>
      </c>
      <c r="O118" t="s">
        <v>273</v>
      </c>
      <c r="P118" t="e">
        <v>#N/A</v>
      </c>
      <c r="Q118">
        <v>1.2356963910894441</v>
      </c>
    </row>
    <row r="119" spans="1:17">
      <c r="A119">
        <v>115</v>
      </c>
      <c r="B119" t="s">
        <v>115</v>
      </c>
      <c r="C119" s="1">
        <v>14461</v>
      </c>
      <c r="F119">
        <v>116</v>
      </c>
      <c r="G119" t="s">
        <v>94</v>
      </c>
      <c r="H119" s="1">
        <v>23728</v>
      </c>
      <c r="K119">
        <v>116</v>
      </c>
      <c r="L119" t="s">
        <v>115</v>
      </c>
      <c r="M119">
        <v>1.7392988036788604</v>
      </c>
      <c r="N119" t="s">
        <v>240</v>
      </c>
      <c r="O119" t="s">
        <v>239</v>
      </c>
      <c r="P119" t="e">
        <v>#N/A</v>
      </c>
      <c r="Q119">
        <v>1.7392988036788604</v>
      </c>
    </row>
    <row r="120" spans="1:17">
      <c r="A120">
        <v>116</v>
      </c>
      <c r="B120" t="s">
        <v>116</v>
      </c>
      <c r="C120" s="1">
        <v>14347</v>
      </c>
      <c r="F120">
        <v>117</v>
      </c>
      <c r="G120" t="s">
        <v>127</v>
      </c>
      <c r="H120" s="1">
        <v>22042</v>
      </c>
      <c r="K120">
        <v>117</v>
      </c>
      <c r="L120" t="s">
        <v>116</v>
      </c>
      <c r="M120">
        <v>1.7105318184986409</v>
      </c>
      <c r="N120" t="s">
        <v>338</v>
      </c>
      <c r="O120" t="s">
        <v>337</v>
      </c>
      <c r="P120" t="e">
        <v>#N/A</v>
      </c>
      <c r="Q120">
        <v>1.7105318184986409</v>
      </c>
    </row>
    <row r="121" spans="1:17">
      <c r="A121">
        <v>117</v>
      </c>
      <c r="B121" t="s">
        <v>117</v>
      </c>
      <c r="C121" s="1">
        <v>14048</v>
      </c>
      <c r="F121">
        <v>118</v>
      </c>
      <c r="G121" t="s">
        <v>103</v>
      </c>
      <c r="H121" s="1">
        <v>21882</v>
      </c>
      <c r="K121">
        <v>118</v>
      </c>
      <c r="L121" t="s">
        <v>117</v>
      </c>
      <c r="M121">
        <v>0.88332858769931666</v>
      </c>
      <c r="N121" t="s">
        <v>360</v>
      </c>
      <c r="O121" t="s">
        <v>359</v>
      </c>
      <c r="P121" t="e">
        <v>#N/A</v>
      </c>
      <c r="Q121">
        <v>0.88332858769931666</v>
      </c>
    </row>
    <row r="122" spans="1:17">
      <c r="A122">
        <v>118</v>
      </c>
      <c r="B122" t="s">
        <v>118</v>
      </c>
      <c r="C122" s="1">
        <v>12861</v>
      </c>
      <c r="F122">
        <v>119</v>
      </c>
      <c r="G122" t="s">
        <v>185</v>
      </c>
      <c r="H122" s="1">
        <v>21345</v>
      </c>
      <c r="K122">
        <v>119</v>
      </c>
      <c r="L122" t="s">
        <v>118</v>
      </c>
      <c r="M122">
        <v>2.6018972086151932</v>
      </c>
      <c r="N122" t="s">
        <v>272</v>
      </c>
      <c r="O122" t="s">
        <v>271</v>
      </c>
      <c r="P122" t="e">
        <v>#N/A</v>
      </c>
      <c r="Q122">
        <v>2.6018972086151932</v>
      </c>
    </row>
    <row r="123" spans="1:17">
      <c r="A123">
        <v>119</v>
      </c>
      <c r="B123" t="s">
        <v>119</v>
      </c>
      <c r="C123" s="1">
        <v>12847</v>
      </c>
      <c r="F123">
        <v>120</v>
      </c>
      <c r="G123" t="s">
        <v>112</v>
      </c>
      <c r="H123" s="1">
        <v>20969</v>
      </c>
      <c r="K123">
        <v>120</v>
      </c>
      <c r="L123" t="s">
        <v>119</v>
      </c>
      <c r="M123">
        <v>1.9389740795516464</v>
      </c>
      <c r="N123" t="s">
        <v>202</v>
      </c>
      <c r="O123" t="s">
        <v>201</v>
      </c>
      <c r="P123" t="e">
        <v>#N/A</v>
      </c>
      <c r="Q123">
        <v>1.9389740795516464</v>
      </c>
    </row>
    <row r="124" spans="1:17">
      <c r="A124">
        <v>120</v>
      </c>
      <c r="B124" t="s">
        <v>120</v>
      </c>
      <c r="C124" s="1">
        <v>12827</v>
      </c>
      <c r="F124">
        <v>121</v>
      </c>
      <c r="G124" t="s">
        <v>126</v>
      </c>
      <c r="H124" s="1">
        <v>20400</v>
      </c>
      <c r="K124">
        <v>121</v>
      </c>
      <c r="L124" t="s">
        <v>120</v>
      </c>
      <c r="M124">
        <v>1.8621657441334685</v>
      </c>
      <c r="N124" t="s">
        <v>440</v>
      </c>
      <c r="O124" t="s">
        <v>439</v>
      </c>
      <c r="P124" t="e">
        <v>#N/A</v>
      </c>
      <c r="Q124">
        <v>1.8621657441334685</v>
      </c>
    </row>
    <row r="125" spans="1:17">
      <c r="A125">
        <v>121</v>
      </c>
      <c r="B125" t="s">
        <v>121</v>
      </c>
      <c r="C125" s="1">
        <v>12655</v>
      </c>
      <c r="F125">
        <v>122</v>
      </c>
      <c r="G125" t="s">
        <v>128</v>
      </c>
      <c r="H125" s="1">
        <v>19543</v>
      </c>
      <c r="K125">
        <v>122</v>
      </c>
      <c r="L125" t="s">
        <v>121</v>
      </c>
      <c r="M125">
        <v>1.3325167917819043</v>
      </c>
      <c r="N125" t="s">
        <v>467</v>
      </c>
      <c r="O125" t="s">
        <v>466</v>
      </c>
      <c r="P125" t="e">
        <v>#N/A</v>
      </c>
      <c r="Q125">
        <v>1.3325167917819043</v>
      </c>
    </row>
    <row r="126" spans="1:17">
      <c r="A126">
        <v>122</v>
      </c>
      <c r="B126" t="s">
        <v>122</v>
      </c>
      <c r="C126" s="1">
        <v>12461</v>
      </c>
      <c r="F126">
        <v>123</v>
      </c>
      <c r="G126" t="s">
        <v>123</v>
      </c>
      <c r="H126" s="1">
        <v>19276</v>
      </c>
      <c r="K126">
        <v>123</v>
      </c>
      <c r="L126" t="s">
        <v>122</v>
      </c>
      <c r="M126">
        <v>1.2633817510633176</v>
      </c>
      <c r="N126" t="s">
        <v>443</v>
      </c>
      <c r="O126" t="s">
        <v>442</v>
      </c>
      <c r="P126" t="e">
        <v>#N/A</v>
      </c>
      <c r="Q126">
        <v>1.2633817510633176</v>
      </c>
    </row>
    <row r="127" spans="1:17">
      <c r="A127">
        <v>123</v>
      </c>
      <c r="B127" t="s">
        <v>123</v>
      </c>
      <c r="C127" s="1">
        <v>11313</v>
      </c>
      <c r="F127">
        <v>124</v>
      </c>
      <c r="G127" t="s">
        <v>136</v>
      </c>
      <c r="H127" s="1">
        <v>18878</v>
      </c>
      <c r="K127">
        <v>124</v>
      </c>
      <c r="L127" t="s">
        <v>123</v>
      </c>
      <c r="M127">
        <v>1.7038804914699903</v>
      </c>
      <c r="N127" t="s">
        <v>427</v>
      </c>
      <c r="O127" t="s">
        <v>426</v>
      </c>
      <c r="P127">
        <v>3.2556428429575561E-2</v>
      </c>
      <c r="Q127">
        <v>1.7038804914699903</v>
      </c>
    </row>
    <row r="128" spans="1:17">
      <c r="A128">
        <v>124</v>
      </c>
      <c r="B128" t="s">
        <v>124</v>
      </c>
      <c r="C128" s="1">
        <v>10600</v>
      </c>
      <c r="F128">
        <v>125</v>
      </c>
      <c r="G128" t="s">
        <v>114</v>
      </c>
      <c r="H128" s="1">
        <v>18250</v>
      </c>
      <c r="K128">
        <v>125</v>
      </c>
      <c r="L128" t="s">
        <v>124</v>
      </c>
      <c r="M128">
        <v>1.6860377358490566</v>
      </c>
      <c r="N128" t="s">
        <v>240</v>
      </c>
      <c r="O128" t="s">
        <v>239</v>
      </c>
      <c r="P128" t="e">
        <v>#N/A</v>
      </c>
      <c r="Q128">
        <v>1.6860377358490566</v>
      </c>
    </row>
    <row r="129" spans="1:17">
      <c r="A129">
        <v>125</v>
      </c>
      <c r="B129" t="s">
        <v>185</v>
      </c>
      <c r="C129" s="1">
        <v>10327</v>
      </c>
      <c r="F129">
        <v>126</v>
      </c>
      <c r="G129" t="s">
        <v>125</v>
      </c>
      <c r="H129" s="1">
        <v>17941</v>
      </c>
      <c r="K129">
        <v>126</v>
      </c>
      <c r="L129" t="s">
        <v>185</v>
      </c>
      <c r="M129">
        <v>2.0669119783092862</v>
      </c>
      <c r="N129" t="s">
        <v>414</v>
      </c>
      <c r="O129" t="s">
        <v>413</v>
      </c>
      <c r="P129" t="e">
        <v>#N/A</v>
      </c>
      <c r="Q129">
        <v>2.0669119783092862</v>
      </c>
    </row>
    <row r="130" spans="1:17">
      <c r="A130">
        <v>126</v>
      </c>
      <c r="B130" t="s">
        <v>125</v>
      </c>
      <c r="C130" s="1">
        <v>10106</v>
      </c>
      <c r="F130">
        <v>127</v>
      </c>
      <c r="G130" t="s">
        <v>124</v>
      </c>
      <c r="H130" s="1">
        <v>17872</v>
      </c>
      <c r="K130">
        <v>127</v>
      </c>
      <c r="L130" t="s">
        <v>125</v>
      </c>
      <c r="M130">
        <v>1.7752820106867209</v>
      </c>
      <c r="N130" t="s">
        <v>217</v>
      </c>
      <c r="O130" t="s">
        <v>216</v>
      </c>
      <c r="P130" t="e">
        <v>#N/A</v>
      </c>
      <c r="Q130">
        <v>1.7752820106867209</v>
      </c>
    </row>
    <row r="131" spans="1:17">
      <c r="A131">
        <v>127</v>
      </c>
      <c r="B131" t="s">
        <v>126</v>
      </c>
      <c r="C131" s="1">
        <v>10025</v>
      </c>
      <c r="F131">
        <v>128</v>
      </c>
      <c r="G131" t="s">
        <v>133</v>
      </c>
      <c r="H131" s="1">
        <v>17433</v>
      </c>
      <c r="K131">
        <v>128</v>
      </c>
      <c r="L131" t="s">
        <v>126</v>
      </c>
      <c r="M131">
        <v>2.0349127182044886</v>
      </c>
      <c r="N131" t="s">
        <v>416</v>
      </c>
      <c r="O131" t="s">
        <v>415</v>
      </c>
      <c r="P131" t="e">
        <v>#N/A</v>
      </c>
      <c r="Q131">
        <v>2.0349127182044886</v>
      </c>
    </row>
    <row r="132" spans="1:17">
      <c r="A132">
        <v>128</v>
      </c>
      <c r="B132" t="s">
        <v>127</v>
      </c>
      <c r="C132" s="1">
        <v>9981</v>
      </c>
      <c r="F132">
        <v>129</v>
      </c>
      <c r="G132" t="s">
        <v>121</v>
      </c>
      <c r="H132" s="1">
        <v>16863</v>
      </c>
      <c r="K132">
        <v>129</v>
      </c>
      <c r="L132" t="s">
        <v>127</v>
      </c>
      <c r="M132">
        <v>2.2083959523093877</v>
      </c>
      <c r="N132" t="s">
        <v>240</v>
      </c>
      <c r="O132" t="s">
        <v>239</v>
      </c>
      <c r="P132" t="e">
        <v>#N/A</v>
      </c>
      <c r="Q132">
        <v>2.2083959523093877</v>
      </c>
    </row>
    <row r="133" spans="1:17">
      <c r="A133">
        <v>129</v>
      </c>
      <c r="B133" t="s">
        <v>128</v>
      </c>
      <c r="C133" s="1">
        <v>9344</v>
      </c>
      <c r="F133">
        <v>130</v>
      </c>
      <c r="G133" t="s">
        <v>138</v>
      </c>
      <c r="H133" s="1">
        <v>16221</v>
      </c>
      <c r="K133">
        <v>130</v>
      </c>
      <c r="L133" t="s">
        <v>128</v>
      </c>
      <c r="M133">
        <v>2.0915025684931505</v>
      </c>
      <c r="N133" t="s">
        <v>274</v>
      </c>
      <c r="O133" t="s">
        <v>273</v>
      </c>
      <c r="P133" t="e">
        <v>#N/A</v>
      </c>
      <c r="Q133">
        <v>2.0915025684931505</v>
      </c>
    </row>
    <row r="134" spans="1:17">
      <c r="A134">
        <v>130</v>
      </c>
      <c r="B134" t="s">
        <v>129</v>
      </c>
      <c r="C134" s="1">
        <v>9323</v>
      </c>
      <c r="F134">
        <v>131</v>
      </c>
      <c r="G134" t="s">
        <v>122</v>
      </c>
      <c r="H134" s="1">
        <v>15743</v>
      </c>
      <c r="K134">
        <v>131</v>
      </c>
      <c r="L134" t="s">
        <v>129</v>
      </c>
      <c r="M134">
        <v>0.6571918910222031</v>
      </c>
      <c r="N134" t="s">
        <v>256</v>
      </c>
      <c r="O134" t="s">
        <v>255</v>
      </c>
      <c r="P134" t="e">
        <v>#N/A</v>
      </c>
      <c r="Q134">
        <v>0.6571918910222031</v>
      </c>
    </row>
    <row r="135" spans="1:17">
      <c r="A135">
        <v>131</v>
      </c>
      <c r="B135" t="s">
        <v>130</v>
      </c>
      <c r="C135" s="1">
        <v>8896</v>
      </c>
      <c r="F135">
        <v>132</v>
      </c>
      <c r="G135" t="s">
        <v>135</v>
      </c>
      <c r="H135" s="1">
        <v>14683</v>
      </c>
      <c r="K135">
        <v>132</v>
      </c>
      <c r="L135" t="s">
        <v>130</v>
      </c>
      <c r="M135">
        <v>1.209195143884892</v>
      </c>
      <c r="N135" t="s">
        <v>200</v>
      </c>
      <c r="O135" t="s">
        <v>199</v>
      </c>
      <c r="P135">
        <v>1.2703994389916078</v>
      </c>
      <c r="Q135">
        <v>1.209195143884892</v>
      </c>
    </row>
    <row r="136" spans="1:17">
      <c r="A136">
        <v>132</v>
      </c>
      <c r="B136" t="s">
        <v>131</v>
      </c>
      <c r="C136" s="1">
        <v>8506</v>
      </c>
      <c r="F136">
        <v>133</v>
      </c>
      <c r="G136" t="s">
        <v>143</v>
      </c>
      <c r="H136" s="1">
        <v>13901</v>
      </c>
      <c r="K136">
        <v>133</v>
      </c>
      <c r="L136" t="s">
        <v>131</v>
      </c>
      <c r="M136">
        <v>1.5593698565718317</v>
      </c>
      <c r="N136" t="s">
        <v>435</v>
      </c>
      <c r="O136" t="s">
        <v>434</v>
      </c>
      <c r="P136" t="e">
        <v>#N/A</v>
      </c>
      <c r="Q136">
        <v>1.5593698565718317</v>
      </c>
    </row>
    <row r="137" spans="1:17">
      <c r="A137">
        <v>133</v>
      </c>
      <c r="B137" t="s">
        <v>132</v>
      </c>
      <c r="C137" s="1">
        <v>8074</v>
      </c>
      <c r="F137">
        <v>134</v>
      </c>
      <c r="G137" t="s">
        <v>140</v>
      </c>
      <c r="H137" s="1">
        <v>13684</v>
      </c>
      <c r="K137">
        <v>134</v>
      </c>
      <c r="L137" t="s">
        <v>132</v>
      </c>
      <c r="M137">
        <v>1.3357691354966559</v>
      </c>
      <c r="N137" t="s">
        <v>228</v>
      </c>
      <c r="O137" t="s">
        <v>227</v>
      </c>
      <c r="P137" t="e">
        <v>#N/A</v>
      </c>
      <c r="Q137">
        <v>1.3357691354966559</v>
      </c>
    </row>
    <row r="138" spans="1:17">
      <c r="A138">
        <v>134</v>
      </c>
      <c r="B138" t="s">
        <v>133</v>
      </c>
      <c r="C138" s="1">
        <v>7891</v>
      </c>
      <c r="F138">
        <v>135</v>
      </c>
      <c r="G138" t="s">
        <v>131</v>
      </c>
      <c r="H138" s="1">
        <v>13264</v>
      </c>
      <c r="K138">
        <v>135</v>
      </c>
      <c r="L138" t="s">
        <v>133</v>
      </c>
      <c r="M138">
        <v>2.2092257001647448</v>
      </c>
      <c r="N138" t="s">
        <v>392</v>
      </c>
      <c r="O138" t="s">
        <v>391</v>
      </c>
      <c r="P138" t="e">
        <v>#N/A</v>
      </c>
      <c r="Q138">
        <v>2.2092257001647448</v>
      </c>
    </row>
    <row r="139" spans="1:17">
      <c r="A139">
        <v>135</v>
      </c>
      <c r="B139" t="s">
        <v>134</v>
      </c>
      <c r="C139" s="1">
        <v>7388</v>
      </c>
      <c r="F139">
        <v>136</v>
      </c>
      <c r="G139" t="s">
        <v>142</v>
      </c>
      <c r="H139" s="1">
        <v>13125</v>
      </c>
      <c r="K139">
        <v>136</v>
      </c>
      <c r="L139" t="s">
        <v>134</v>
      </c>
      <c r="M139">
        <v>1.6736599891716297</v>
      </c>
      <c r="N139" t="s">
        <v>352</v>
      </c>
      <c r="O139" t="s">
        <v>351</v>
      </c>
      <c r="P139" t="e">
        <v>#N/A</v>
      </c>
      <c r="Q139">
        <v>1.6736599891716297</v>
      </c>
    </row>
    <row r="140" spans="1:17">
      <c r="A140">
        <v>136</v>
      </c>
      <c r="B140" t="s">
        <v>135</v>
      </c>
      <c r="C140" s="1">
        <v>7306</v>
      </c>
      <c r="F140">
        <v>137</v>
      </c>
      <c r="G140" t="s">
        <v>139</v>
      </c>
      <c r="H140" s="1">
        <v>12859</v>
      </c>
      <c r="K140">
        <v>137</v>
      </c>
      <c r="L140" t="s">
        <v>135</v>
      </c>
      <c r="M140">
        <v>2.0097180399671504</v>
      </c>
      <c r="N140" t="s">
        <v>240</v>
      </c>
      <c r="O140" t="s">
        <v>239</v>
      </c>
      <c r="P140" t="e">
        <v>#N/A</v>
      </c>
      <c r="Q140">
        <v>2.0097180399671504</v>
      </c>
    </row>
    <row r="141" spans="1:17">
      <c r="A141">
        <v>137</v>
      </c>
      <c r="B141" t="s">
        <v>136</v>
      </c>
      <c r="C141" s="1">
        <v>7297</v>
      </c>
      <c r="F141">
        <v>138</v>
      </c>
      <c r="G141" t="s">
        <v>117</v>
      </c>
      <c r="H141" s="1">
        <v>12409</v>
      </c>
      <c r="K141">
        <v>138</v>
      </c>
      <c r="L141" t="s">
        <v>136</v>
      </c>
      <c r="M141">
        <v>2.5870905851719885</v>
      </c>
      <c r="N141" t="s">
        <v>449</v>
      </c>
      <c r="O141" t="s">
        <v>448</v>
      </c>
      <c r="P141" t="e">
        <v>#N/A</v>
      </c>
      <c r="Q141">
        <v>2.5870905851719885</v>
      </c>
    </row>
    <row r="142" spans="1:17">
      <c r="A142">
        <v>138</v>
      </c>
      <c r="B142" t="s">
        <v>137</v>
      </c>
      <c r="C142" s="1">
        <v>7003</v>
      </c>
      <c r="F142">
        <v>139</v>
      </c>
      <c r="G142" t="s">
        <v>134</v>
      </c>
      <c r="H142" s="1">
        <v>12365</v>
      </c>
      <c r="K142">
        <v>139</v>
      </c>
      <c r="L142" t="s">
        <v>137</v>
      </c>
      <c r="M142">
        <v>1.7132657432528917</v>
      </c>
      <c r="N142" t="s">
        <v>432</v>
      </c>
      <c r="O142" t="s">
        <v>431</v>
      </c>
      <c r="P142" t="e">
        <v>#N/A</v>
      </c>
      <c r="Q142">
        <v>1.7132657432528917</v>
      </c>
    </row>
    <row r="143" spans="1:17">
      <c r="A143">
        <v>139</v>
      </c>
      <c r="B143" t="s">
        <v>138</v>
      </c>
      <c r="C143" s="1">
        <v>6523</v>
      </c>
      <c r="F143">
        <v>140</v>
      </c>
      <c r="G143" t="s">
        <v>137</v>
      </c>
      <c r="H143" s="1">
        <v>11998</v>
      </c>
      <c r="K143">
        <v>140</v>
      </c>
      <c r="L143" t="s">
        <v>138</v>
      </c>
      <c r="M143">
        <v>2.486739230415453</v>
      </c>
      <c r="N143" t="s">
        <v>530</v>
      </c>
      <c r="O143" t="s">
        <v>529</v>
      </c>
      <c r="P143" t="e">
        <v>#N/A</v>
      </c>
      <c r="Q143">
        <v>2.486739230415453</v>
      </c>
    </row>
    <row r="144" spans="1:17">
      <c r="A144">
        <v>140</v>
      </c>
      <c r="B144" t="s">
        <v>139</v>
      </c>
      <c r="C144" s="1">
        <v>6452</v>
      </c>
      <c r="F144">
        <v>141</v>
      </c>
      <c r="G144" t="s">
        <v>141</v>
      </c>
      <c r="H144" s="1">
        <v>11632</v>
      </c>
      <c r="K144">
        <v>141</v>
      </c>
      <c r="L144" t="s">
        <v>139</v>
      </c>
      <c r="M144">
        <v>1.9930254184748915</v>
      </c>
      <c r="N144" t="s">
        <v>200</v>
      </c>
      <c r="O144" t="s">
        <v>199</v>
      </c>
      <c r="P144">
        <v>1.2703994389916078</v>
      </c>
      <c r="Q144">
        <v>1.9930254184748915</v>
      </c>
    </row>
    <row r="145" spans="1:17">
      <c r="A145">
        <v>141</v>
      </c>
      <c r="B145" t="s">
        <v>140</v>
      </c>
      <c r="C145" s="1">
        <v>6179</v>
      </c>
      <c r="F145">
        <v>142</v>
      </c>
      <c r="G145" t="s">
        <v>144</v>
      </c>
      <c r="H145" s="1">
        <v>11464</v>
      </c>
      <c r="K145">
        <v>142</v>
      </c>
      <c r="L145" t="s">
        <v>140</v>
      </c>
      <c r="M145">
        <v>2.2145978313642982</v>
      </c>
      <c r="N145" t="s">
        <v>482</v>
      </c>
      <c r="O145" t="s">
        <v>481</v>
      </c>
      <c r="P145" t="e">
        <v>#N/A</v>
      </c>
      <c r="Q145">
        <v>2.2145978313642982</v>
      </c>
    </row>
    <row r="146" spans="1:17">
      <c r="A146">
        <v>142</v>
      </c>
      <c r="B146" t="s">
        <v>141</v>
      </c>
      <c r="C146" s="1">
        <v>6022</v>
      </c>
      <c r="F146">
        <v>143</v>
      </c>
      <c r="G146" t="s">
        <v>132</v>
      </c>
      <c r="H146" s="1">
        <v>10785</v>
      </c>
      <c r="K146">
        <v>143</v>
      </c>
      <c r="L146" t="s">
        <v>141</v>
      </c>
      <c r="M146">
        <v>1.9315841912985718</v>
      </c>
      <c r="N146" t="s">
        <v>240</v>
      </c>
      <c r="O146" t="s">
        <v>239</v>
      </c>
      <c r="P146" t="e">
        <v>#N/A</v>
      </c>
      <c r="Q146">
        <v>1.9315841912985718</v>
      </c>
    </row>
    <row r="147" spans="1:17">
      <c r="A147">
        <v>143</v>
      </c>
      <c r="B147" t="s">
        <v>142</v>
      </c>
      <c r="C147" s="1">
        <v>5920</v>
      </c>
      <c r="F147">
        <v>144</v>
      </c>
      <c r="G147" t="s">
        <v>130</v>
      </c>
      <c r="H147" s="1">
        <v>10757</v>
      </c>
      <c r="K147">
        <v>144</v>
      </c>
      <c r="L147" t="s">
        <v>142</v>
      </c>
      <c r="M147">
        <v>2.217060810810811</v>
      </c>
      <c r="N147" t="s">
        <v>390</v>
      </c>
      <c r="O147" t="s">
        <v>389</v>
      </c>
      <c r="P147" t="e">
        <v>#N/A</v>
      </c>
      <c r="Q147">
        <v>2.217060810810811</v>
      </c>
    </row>
    <row r="148" spans="1:17">
      <c r="A148">
        <v>144</v>
      </c>
      <c r="B148" t="s">
        <v>143</v>
      </c>
      <c r="C148" s="1">
        <v>5673</v>
      </c>
      <c r="F148">
        <v>145</v>
      </c>
      <c r="G148" t="s">
        <v>147</v>
      </c>
      <c r="H148" s="1">
        <v>9507</v>
      </c>
      <c r="K148">
        <v>145</v>
      </c>
      <c r="L148" t="s">
        <v>143</v>
      </c>
      <c r="M148">
        <v>2.4503789881896703</v>
      </c>
      <c r="N148" t="s">
        <v>418</v>
      </c>
      <c r="O148" t="s">
        <v>417</v>
      </c>
      <c r="P148" t="e">
        <v>#N/A</v>
      </c>
      <c r="Q148">
        <v>2.4503789881896703</v>
      </c>
    </row>
    <row r="149" spans="1:17">
      <c r="A149">
        <v>145</v>
      </c>
      <c r="B149" t="s">
        <v>144</v>
      </c>
      <c r="C149" s="1">
        <v>5212</v>
      </c>
      <c r="F149">
        <v>146</v>
      </c>
      <c r="G149" t="s">
        <v>145</v>
      </c>
      <c r="H149" s="1">
        <v>7157</v>
      </c>
      <c r="K149">
        <v>146</v>
      </c>
      <c r="L149" t="s">
        <v>144</v>
      </c>
      <c r="M149">
        <v>2.1995395241749809</v>
      </c>
      <c r="N149" t="s">
        <v>348</v>
      </c>
      <c r="O149" t="s">
        <v>347</v>
      </c>
      <c r="P149" t="e">
        <v>#N/A</v>
      </c>
      <c r="Q149">
        <v>2.1995395241749809</v>
      </c>
    </row>
    <row r="150" spans="1:17">
      <c r="A150">
        <v>146</v>
      </c>
      <c r="B150" t="s">
        <v>145</v>
      </c>
      <c r="C150" s="1">
        <v>4536</v>
      </c>
      <c r="F150">
        <v>147</v>
      </c>
      <c r="G150" t="s">
        <v>148</v>
      </c>
      <c r="H150" s="1">
        <v>7093</v>
      </c>
      <c r="K150">
        <v>147</v>
      </c>
      <c r="L150" t="s">
        <v>145</v>
      </c>
      <c r="M150">
        <v>1.5778218694885362</v>
      </c>
      <c r="N150" t="s">
        <v>200</v>
      </c>
      <c r="O150" t="s">
        <v>199</v>
      </c>
      <c r="P150">
        <v>1.2703994389916078</v>
      </c>
      <c r="Q150">
        <v>1.5778218694885362</v>
      </c>
    </row>
    <row r="151" spans="1:17">
      <c r="A151">
        <v>147</v>
      </c>
      <c r="B151" t="s">
        <v>146</v>
      </c>
      <c r="C151" s="1">
        <v>4478</v>
      </c>
      <c r="F151">
        <v>148</v>
      </c>
      <c r="G151" t="s">
        <v>146</v>
      </c>
      <c r="H151" s="1">
        <v>6493</v>
      </c>
      <c r="K151">
        <v>148</v>
      </c>
      <c r="L151" t="s">
        <v>146</v>
      </c>
      <c r="M151">
        <v>1.4499776686020545</v>
      </c>
      <c r="N151" t="s">
        <v>234</v>
      </c>
      <c r="O151" t="s">
        <v>233</v>
      </c>
      <c r="P151" t="e">
        <v>#N/A</v>
      </c>
      <c r="Q151">
        <v>1.4499776686020545</v>
      </c>
    </row>
    <row r="152" spans="1:17">
      <c r="A152">
        <v>148</v>
      </c>
      <c r="B152" t="s">
        <v>147</v>
      </c>
      <c r="C152" s="1">
        <v>4315</v>
      </c>
      <c r="F152">
        <v>149</v>
      </c>
      <c r="G152" t="s">
        <v>151</v>
      </c>
      <c r="H152" s="1">
        <v>6415</v>
      </c>
      <c r="K152">
        <v>149</v>
      </c>
      <c r="L152" t="s">
        <v>147</v>
      </c>
      <c r="M152">
        <v>2.20324449594438</v>
      </c>
      <c r="N152" t="s">
        <v>252</v>
      </c>
      <c r="O152" t="s">
        <v>251</v>
      </c>
      <c r="P152">
        <v>1</v>
      </c>
      <c r="Q152">
        <v>2.20324449594438</v>
      </c>
    </row>
    <row r="153" spans="1:17">
      <c r="A153">
        <v>149</v>
      </c>
      <c r="B153" t="s">
        <v>148</v>
      </c>
      <c r="C153" s="1">
        <v>4200</v>
      </c>
      <c r="F153">
        <v>150</v>
      </c>
      <c r="G153" t="s">
        <v>149</v>
      </c>
      <c r="H153" s="1">
        <v>6233</v>
      </c>
      <c r="K153">
        <v>150</v>
      </c>
      <c r="L153" t="s">
        <v>148</v>
      </c>
      <c r="M153">
        <v>1.6888095238095238</v>
      </c>
      <c r="N153" t="s">
        <v>425</v>
      </c>
      <c r="O153" t="s">
        <v>424</v>
      </c>
      <c r="P153" t="e">
        <v>#N/A</v>
      </c>
      <c r="Q153">
        <v>1.6888095238095238</v>
      </c>
    </row>
    <row r="154" spans="1:17">
      <c r="A154">
        <v>150</v>
      </c>
      <c r="B154" t="s">
        <v>149</v>
      </c>
      <c r="C154" s="1">
        <v>3947</v>
      </c>
      <c r="F154">
        <v>151</v>
      </c>
      <c r="G154" t="s">
        <v>129</v>
      </c>
      <c r="H154" s="1">
        <v>6127</v>
      </c>
      <c r="K154">
        <v>151</v>
      </c>
      <c r="L154" t="s">
        <v>149</v>
      </c>
      <c r="M154">
        <v>1.5791740562452496</v>
      </c>
      <c r="N154" t="s">
        <v>521</v>
      </c>
      <c r="O154" t="s">
        <v>520</v>
      </c>
      <c r="P154" t="e">
        <v>#N/A</v>
      </c>
      <c r="Q154">
        <v>1.5791740562452496</v>
      </c>
    </row>
    <row r="155" spans="1:17">
      <c r="A155">
        <v>151</v>
      </c>
      <c r="B155" t="s">
        <v>150</v>
      </c>
      <c r="C155" s="1">
        <v>3790</v>
      </c>
      <c r="F155">
        <v>152</v>
      </c>
      <c r="G155" t="s">
        <v>154</v>
      </c>
      <c r="H155" s="1">
        <v>5783</v>
      </c>
      <c r="K155">
        <v>152</v>
      </c>
      <c r="L155" t="s">
        <v>150</v>
      </c>
      <c r="M155">
        <v>1.3350923482849604</v>
      </c>
      <c r="N155" t="s">
        <v>519</v>
      </c>
      <c r="O155" t="s">
        <v>518</v>
      </c>
      <c r="P155" t="e">
        <v>#N/A</v>
      </c>
      <c r="Q155">
        <v>1.3350923482849604</v>
      </c>
    </row>
    <row r="156" spans="1:17">
      <c r="A156">
        <v>152</v>
      </c>
      <c r="B156" t="s">
        <v>151</v>
      </c>
      <c r="C156" s="1">
        <v>3611</v>
      </c>
      <c r="F156">
        <v>153</v>
      </c>
      <c r="G156" t="s">
        <v>156</v>
      </c>
      <c r="H156" s="1">
        <v>5184</v>
      </c>
      <c r="K156">
        <v>153</v>
      </c>
      <c r="L156" t="s">
        <v>151</v>
      </c>
      <c r="M156">
        <v>1.7765162004984769</v>
      </c>
      <c r="N156" t="s">
        <v>240</v>
      </c>
      <c r="O156" t="s">
        <v>239</v>
      </c>
      <c r="P156" t="e">
        <v>#N/A</v>
      </c>
      <c r="Q156">
        <v>1.7765162004984769</v>
      </c>
    </row>
    <row r="157" spans="1:17">
      <c r="A157">
        <v>153</v>
      </c>
      <c r="B157" t="s">
        <v>152</v>
      </c>
      <c r="C157" s="1">
        <v>3546</v>
      </c>
      <c r="F157">
        <v>154</v>
      </c>
      <c r="G157" t="s">
        <v>157</v>
      </c>
      <c r="H157" s="1">
        <v>5093</v>
      </c>
      <c r="K157">
        <v>154</v>
      </c>
      <c r="L157" t="s">
        <v>152</v>
      </c>
      <c r="M157">
        <v>1.1655386350817822</v>
      </c>
      <c r="N157" t="s">
        <v>331</v>
      </c>
      <c r="O157" t="s">
        <v>330</v>
      </c>
      <c r="P157" t="e">
        <v>#N/A</v>
      </c>
      <c r="Q157">
        <v>1.1655386350817822</v>
      </c>
    </row>
    <row r="158" spans="1:17">
      <c r="A158">
        <v>154</v>
      </c>
      <c r="B158" t="s">
        <v>153</v>
      </c>
      <c r="C158" s="1">
        <v>2609</v>
      </c>
      <c r="F158">
        <v>155</v>
      </c>
      <c r="G158" t="s">
        <v>150</v>
      </c>
      <c r="H158" s="1">
        <v>5060</v>
      </c>
      <c r="K158">
        <v>155</v>
      </c>
      <c r="L158" t="s">
        <v>153</v>
      </c>
      <c r="M158">
        <v>1.5473361441165197</v>
      </c>
      <c r="N158" t="s">
        <v>322</v>
      </c>
      <c r="O158" t="s">
        <v>321</v>
      </c>
      <c r="P158" t="e">
        <v>#N/A</v>
      </c>
      <c r="Q158">
        <v>1.5473361441165197</v>
      </c>
    </row>
    <row r="159" spans="1:17">
      <c r="A159">
        <v>155</v>
      </c>
      <c r="B159" t="s">
        <v>154</v>
      </c>
      <c r="C159" s="1">
        <v>2480</v>
      </c>
      <c r="F159">
        <v>156</v>
      </c>
      <c r="G159" t="s">
        <v>161</v>
      </c>
      <c r="H159" s="1">
        <v>4287</v>
      </c>
      <c r="K159">
        <v>156</v>
      </c>
      <c r="L159" t="s">
        <v>154</v>
      </c>
      <c r="M159">
        <v>2.3318548387096776</v>
      </c>
      <c r="N159" t="s">
        <v>350</v>
      </c>
      <c r="O159" t="s">
        <v>349</v>
      </c>
      <c r="P159" t="e">
        <v>#N/A</v>
      </c>
      <c r="Q159">
        <v>2.3318548387096776</v>
      </c>
    </row>
    <row r="160" spans="1:17">
      <c r="A160">
        <v>156</v>
      </c>
      <c r="B160" t="s">
        <v>155</v>
      </c>
      <c r="C160" s="1">
        <v>2453</v>
      </c>
      <c r="F160">
        <v>157</v>
      </c>
      <c r="G160" t="s">
        <v>152</v>
      </c>
      <c r="H160" s="1">
        <v>4133</v>
      </c>
      <c r="K160">
        <v>157</v>
      </c>
      <c r="L160" t="s">
        <v>155</v>
      </c>
      <c r="M160">
        <v>1.550754178556869</v>
      </c>
      <c r="N160" t="s">
        <v>398</v>
      </c>
      <c r="O160" t="s">
        <v>397</v>
      </c>
      <c r="P160" t="e">
        <v>#N/A</v>
      </c>
      <c r="Q160">
        <v>1.550754178556869</v>
      </c>
    </row>
    <row r="161" spans="1:17">
      <c r="A161">
        <v>157</v>
      </c>
      <c r="B161" t="s">
        <v>156</v>
      </c>
      <c r="C161" s="1">
        <v>2356</v>
      </c>
      <c r="F161">
        <v>158</v>
      </c>
      <c r="G161" t="s">
        <v>153</v>
      </c>
      <c r="H161" s="1">
        <v>4037</v>
      </c>
      <c r="K161">
        <v>158</v>
      </c>
      <c r="L161" t="s">
        <v>156</v>
      </c>
      <c r="M161">
        <v>2.2003395585738539</v>
      </c>
      <c r="N161" t="s">
        <v>270</v>
      </c>
      <c r="O161" t="s">
        <v>269</v>
      </c>
      <c r="P161" t="e">
        <v>#N/A</v>
      </c>
      <c r="Q161">
        <v>2.2003395585738539</v>
      </c>
    </row>
    <row r="162" spans="1:17">
      <c r="A162">
        <v>158</v>
      </c>
      <c r="B162" t="s">
        <v>157</v>
      </c>
      <c r="C162" s="1">
        <v>2196</v>
      </c>
      <c r="F162">
        <v>159</v>
      </c>
      <c r="G162" t="s">
        <v>155</v>
      </c>
      <c r="H162" s="1">
        <v>3804</v>
      </c>
      <c r="K162">
        <v>159</v>
      </c>
      <c r="L162" t="s">
        <v>157</v>
      </c>
      <c r="M162">
        <v>2.3192167577413478</v>
      </c>
      <c r="N162" t="s">
        <v>498</v>
      </c>
      <c r="O162" t="s">
        <v>497</v>
      </c>
      <c r="P162" t="e">
        <v>#N/A</v>
      </c>
      <c r="Q162">
        <v>2.3192167577413478</v>
      </c>
    </row>
    <row r="163" spans="1:17">
      <c r="A163">
        <v>159</v>
      </c>
      <c r="B163" t="s">
        <v>158</v>
      </c>
      <c r="C163" s="1">
        <v>2165</v>
      </c>
      <c r="F163">
        <v>160</v>
      </c>
      <c r="G163" t="s">
        <v>158</v>
      </c>
      <c r="H163" s="1">
        <v>3641</v>
      </c>
      <c r="K163">
        <v>160</v>
      </c>
      <c r="L163" t="s">
        <v>158</v>
      </c>
      <c r="M163">
        <v>1.6817551963048498</v>
      </c>
      <c r="N163" t="s">
        <v>274</v>
      </c>
      <c r="O163" t="s">
        <v>273</v>
      </c>
      <c r="P163" t="e">
        <v>#N/A</v>
      </c>
      <c r="Q163">
        <v>1.6817551963048498</v>
      </c>
    </row>
    <row r="164" spans="1:17">
      <c r="A164">
        <v>160</v>
      </c>
      <c r="B164" t="s">
        <v>159</v>
      </c>
      <c r="C164" s="1">
        <v>1944</v>
      </c>
      <c r="F164">
        <v>161</v>
      </c>
      <c r="G164" t="s">
        <v>168</v>
      </c>
      <c r="H164" s="1">
        <v>3496</v>
      </c>
      <c r="K164">
        <v>161</v>
      </c>
      <c r="L164" t="s">
        <v>159</v>
      </c>
      <c r="M164">
        <v>1.4614197530864197</v>
      </c>
      <c r="N164" t="s">
        <v>422</v>
      </c>
      <c r="O164" t="s">
        <v>421</v>
      </c>
      <c r="P164" t="e">
        <v>#N/A</v>
      </c>
      <c r="Q164">
        <v>1.4614197530864197</v>
      </c>
    </row>
    <row r="165" spans="1:17">
      <c r="A165">
        <v>161</v>
      </c>
      <c r="B165" t="s">
        <v>160</v>
      </c>
      <c r="C165" s="1">
        <v>1903</v>
      </c>
      <c r="F165">
        <v>162</v>
      </c>
      <c r="G165" t="s">
        <v>159</v>
      </c>
      <c r="H165" s="1">
        <v>2841</v>
      </c>
      <c r="K165">
        <v>162</v>
      </c>
      <c r="L165" t="s">
        <v>160</v>
      </c>
      <c r="M165">
        <v>1.0782974251182345</v>
      </c>
      <c r="N165" t="s">
        <v>278</v>
      </c>
      <c r="O165" t="s">
        <v>277</v>
      </c>
      <c r="P165" t="e">
        <v>#N/A</v>
      </c>
      <c r="Q165">
        <v>1.0782974251182345</v>
      </c>
    </row>
    <row r="166" spans="1:17">
      <c r="A166">
        <v>162</v>
      </c>
      <c r="B166" t="s">
        <v>161</v>
      </c>
      <c r="C166" s="1">
        <v>1488</v>
      </c>
      <c r="F166">
        <v>163</v>
      </c>
      <c r="G166" t="s">
        <v>162</v>
      </c>
      <c r="H166" s="1">
        <v>2800</v>
      </c>
      <c r="K166">
        <v>163</v>
      </c>
      <c r="L166" t="s">
        <v>161</v>
      </c>
      <c r="M166">
        <v>2.881048387096774</v>
      </c>
      <c r="N166" t="s">
        <v>245</v>
      </c>
      <c r="O166" t="s">
        <v>244</v>
      </c>
      <c r="P166" t="e">
        <v>#N/A</v>
      </c>
      <c r="Q166">
        <v>2.881048387096774</v>
      </c>
    </row>
    <row r="167" spans="1:17">
      <c r="A167">
        <v>163</v>
      </c>
      <c r="B167" t="s">
        <v>162</v>
      </c>
      <c r="C167" s="1">
        <v>1474</v>
      </c>
      <c r="F167">
        <v>164</v>
      </c>
      <c r="G167" t="s">
        <v>167</v>
      </c>
      <c r="H167" s="1">
        <v>2245</v>
      </c>
      <c r="K167">
        <v>164</v>
      </c>
      <c r="L167" t="s">
        <v>162</v>
      </c>
      <c r="M167">
        <v>1.8995929443690638</v>
      </c>
      <c r="N167" t="s">
        <v>238</v>
      </c>
      <c r="O167" t="s">
        <v>237</v>
      </c>
      <c r="P167" t="e">
        <v>#N/A</v>
      </c>
      <c r="Q167">
        <v>1.8995929443690638</v>
      </c>
    </row>
    <row r="168" spans="1:17">
      <c r="A168">
        <v>164</v>
      </c>
      <c r="B168" t="s">
        <v>163</v>
      </c>
      <c r="C168" s="1">
        <v>1239</v>
      </c>
      <c r="F168">
        <v>165</v>
      </c>
      <c r="G168" t="s">
        <v>163</v>
      </c>
      <c r="H168" s="1">
        <v>2231</v>
      </c>
      <c r="K168">
        <v>165</v>
      </c>
      <c r="L168" t="s">
        <v>163</v>
      </c>
      <c r="M168">
        <v>1.8006456820016141</v>
      </c>
      <c r="N168" t="s">
        <v>314</v>
      </c>
      <c r="O168" t="s">
        <v>313</v>
      </c>
      <c r="P168" t="e">
        <v>#N/A</v>
      </c>
      <c r="Q168">
        <v>1.8006456820016141</v>
      </c>
    </row>
    <row r="169" spans="1:17">
      <c r="A169">
        <v>165</v>
      </c>
      <c r="B169" t="s">
        <v>164</v>
      </c>
      <c r="C169" s="1">
        <v>1239</v>
      </c>
      <c r="F169">
        <v>166</v>
      </c>
      <c r="G169" t="s">
        <v>164</v>
      </c>
      <c r="H169" s="1">
        <v>2101</v>
      </c>
      <c r="K169">
        <v>166</v>
      </c>
      <c r="L169" t="s">
        <v>164</v>
      </c>
      <c r="M169">
        <v>1.6957223567393058</v>
      </c>
      <c r="N169" t="s">
        <v>213</v>
      </c>
      <c r="O169" t="s">
        <v>212</v>
      </c>
      <c r="P169" t="e">
        <v>#N/A</v>
      </c>
      <c r="Q169">
        <v>1.6957223567393058</v>
      </c>
    </row>
    <row r="170" spans="1:17">
      <c r="A170">
        <v>166</v>
      </c>
      <c r="B170" t="s">
        <v>165</v>
      </c>
      <c r="C170" s="1">
        <v>1187</v>
      </c>
      <c r="F170">
        <v>167</v>
      </c>
      <c r="G170" t="s">
        <v>160</v>
      </c>
      <c r="H170" s="1">
        <v>2052</v>
      </c>
      <c r="K170">
        <v>167</v>
      </c>
      <c r="L170" t="s">
        <v>165</v>
      </c>
      <c r="M170">
        <v>1.3268744734625106</v>
      </c>
      <c r="N170" t="s">
        <v>213</v>
      </c>
      <c r="O170" t="s">
        <v>212</v>
      </c>
      <c r="P170" t="e">
        <v>#N/A</v>
      </c>
      <c r="Q170">
        <v>1.3268744734625106</v>
      </c>
    </row>
    <row r="171" spans="1:17">
      <c r="A171">
        <v>167</v>
      </c>
      <c r="B171" t="s">
        <v>166</v>
      </c>
      <c r="C171" s="1">
        <v>1154</v>
      </c>
      <c r="F171">
        <v>168</v>
      </c>
      <c r="G171" t="s">
        <v>169</v>
      </c>
      <c r="H171" s="1">
        <v>1925</v>
      </c>
      <c r="K171">
        <v>168</v>
      </c>
      <c r="L171" t="s">
        <v>166</v>
      </c>
      <c r="M171">
        <v>1.5329289428076256</v>
      </c>
      <c r="N171" t="s">
        <v>402</v>
      </c>
      <c r="O171" t="s">
        <v>401</v>
      </c>
      <c r="P171" t="e">
        <v>#N/A</v>
      </c>
      <c r="Q171">
        <v>1.5329289428076256</v>
      </c>
    </row>
    <row r="172" spans="1:17">
      <c r="A172">
        <v>168</v>
      </c>
      <c r="B172" t="s">
        <v>167</v>
      </c>
      <c r="C172" s="1">
        <v>1014</v>
      </c>
      <c r="F172">
        <v>169</v>
      </c>
      <c r="G172" t="s">
        <v>166</v>
      </c>
      <c r="H172" s="1">
        <v>1769</v>
      </c>
      <c r="K172">
        <v>169</v>
      </c>
      <c r="L172" t="s">
        <v>167</v>
      </c>
      <c r="M172">
        <v>2.2140039447731756</v>
      </c>
      <c r="N172" t="s">
        <v>496</v>
      </c>
      <c r="O172" t="s">
        <v>495</v>
      </c>
      <c r="P172" t="e">
        <v>#N/A</v>
      </c>
      <c r="Q172">
        <v>2.2140039447731756</v>
      </c>
    </row>
    <row r="173" spans="1:17">
      <c r="A173">
        <v>169</v>
      </c>
      <c r="B173" t="s">
        <v>168</v>
      </c>
      <c r="C173">
        <v>977</v>
      </c>
      <c r="F173">
        <v>170</v>
      </c>
      <c r="G173" t="s">
        <v>170</v>
      </c>
      <c r="H173" s="1">
        <v>1725</v>
      </c>
      <c r="K173">
        <v>170</v>
      </c>
      <c r="L173" t="s">
        <v>168</v>
      </c>
      <c r="M173">
        <v>3.5783009211873082</v>
      </c>
      <c r="N173" t="s">
        <v>336</v>
      </c>
      <c r="O173" t="s">
        <v>335</v>
      </c>
      <c r="P173" t="e">
        <v>#N/A</v>
      </c>
      <c r="Q173">
        <v>3.5783009211873082</v>
      </c>
    </row>
    <row r="174" spans="1:17">
      <c r="A174">
        <v>170</v>
      </c>
      <c r="B174" t="s">
        <v>169</v>
      </c>
      <c r="C174">
        <v>969</v>
      </c>
      <c r="F174">
        <v>171</v>
      </c>
      <c r="G174" t="s">
        <v>165</v>
      </c>
      <c r="H174" s="1">
        <v>1575</v>
      </c>
      <c r="K174">
        <v>171</v>
      </c>
      <c r="L174" t="s">
        <v>169</v>
      </c>
      <c r="M174">
        <v>1.9865841073271413</v>
      </c>
      <c r="N174" t="s">
        <v>240</v>
      </c>
      <c r="O174" t="s">
        <v>239</v>
      </c>
      <c r="P174" t="e">
        <v>#N/A</v>
      </c>
      <c r="Q174">
        <v>1.9865841073271413</v>
      </c>
    </row>
    <row r="175" spans="1:17">
      <c r="A175">
        <v>171</v>
      </c>
      <c r="B175" t="s">
        <v>170</v>
      </c>
      <c r="C175">
        <v>840</v>
      </c>
      <c r="F175">
        <v>172</v>
      </c>
      <c r="G175" t="s">
        <v>171</v>
      </c>
      <c r="H175" s="1">
        <v>1449</v>
      </c>
      <c r="K175">
        <v>172</v>
      </c>
      <c r="L175" t="s">
        <v>170</v>
      </c>
      <c r="M175">
        <v>2.0535714285714284</v>
      </c>
      <c r="N175" t="s">
        <v>502</v>
      </c>
      <c r="O175" t="s">
        <v>501</v>
      </c>
      <c r="P175" t="e">
        <v>#N/A</v>
      </c>
      <c r="Q175">
        <v>2.0535714285714284</v>
      </c>
    </row>
    <row r="176" spans="1:17">
      <c r="A176">
        <v>172</v>
      </c>
      <c r="B176" t="s">
        <v>171</v>
      </c>
      <c r="C176">
        <v>822</v>
      </c>
      <c r="F176">
        <v>173</v>
      </c>
      <c r="G176" t="s">
        <v>174</v>
      </c>
      <c r="H176" s="1">
        <v>1259</v>
      </c>
      <c r="K176">
        <v>173</v>
      </c>
      <c r="L176" t="s">
        <v>171</v>
      </c>
      <c r="M176">
        <v>1.7627737226277371</v>
      </c>
      <c r="N176" t="s">
        <v>213</v>
      </c>
      <c r="O176" t="s">
        <v>212</v>
      </c>
      <c r="P176" t="e">
        <v>#N/A</v>
      </c>
      <c r="Q176">
        <v>1.7627737226277371</v>
      </c>
    </row>
    <row r="177" spans="1:17">
      <c r="A177">
        <v>173</v>
      </c>
      <c r="B177" t="s">
        <v>172</v>
      </c>
      <c r="C177">
        <v>743</v>
      </c>
      <c r="F177">
        <v>174</v>
      </c>
      <c r="G177" t="s">
        <v>172</v>
      </c>
      <c r="H177" s="1">
        <v>1204</v>
      </c>
      <c r="K177">
        <v>174</v>
      </c>
      <c r="L177" t="s">
        <v>172</v>
      </c>
      <c r="M177">
        <v>1.6204576043068641</v>
      </c>
      <c r="N177" t="s">
        <v>559</v>
      </c>
      <c r="O177" t="s">
        <v>558</v>
      </c>
      <c r="P177" t="e">
        <v>#N/A</v>
      </c>
      <c r="Q177">
        <v>1.6204576043068641</v>
      </c>
    </row>
    <row r="178" spans="1:17">
      <c r="A178">
        <v>174</v>
      </c>
      <c r="B178" t="s">
        <v>173</v>
      </c>
      <c r="C178">
        <v>715</v>
      </c>
      <c r="F178">
        <v>175</v>
      </c>
      <c r="G178" t="s">
        <v>175</v>
      </c>
      <c r="H178" s="1">
        <v>1090</v>
      </c>
      <c r="K178">
        <v>175</v>
      </c>
      <c r="L178" t="s">
        <v>173</v>
      </c>
      <c r="M178">
        <v>1.2237762237762237</v>
      </c>
      <c r="N178" t="s">
        <v>213</v>
      </c>
      <c r="O178" t="s">
        <v>212</v>
      </c>
      <c r="P178" t="e">
        <v>#N/A</v>
      </c>
      <c r="Q178">
        <v>1.2237762237762237</v>
      </c>
    </row>
    <row r="179" spans="1:17">
      <c r="A179">
        <v>175</v>
      </c>
      <c r="B179" t="s">
        <v>174</v>
      </c>
      <c r="C179">
        <v>695</v>
      </c>
      <c r="F179">
        <v>176</v>
      </c>
      <c r="G179" t="s">
        <v>177</v>
      </c>
      <c r="H179">
        <v>977</v>
      </c>
      <c r="K179">
        <v>176</v>
      </c>
      <c r="L179" t="s">
        <v>174</v>
      </c>
      <c r="M179">
        <v>1.8115107913669064</v>
      </c>
      <c r="N179" t="s">
        <v>213</v>
      </c>
      <c r="O179" t="s">
        <v>212</v>
      </c>
      <c r="P179" t="e">
        <v>#N/A</v>
      </c>
      <c r="Q179">
        <v>1.8115107913669064</v>
      </c>
    </row>
    <row r="180" spans="1:17">
      <c r="A180">
        <v>176</v>
      </c>
      <c r="B180" t="s">
        <v>175</v>
      </c>
      <c r="C180">
        <v>630</v>
      </c>
      <c r="F180">
        <v>177</v>
      </c>
      <c r="G180" t="s">
        <v>173</v>
      </c>
      <c r="H180">
        <v>875</v>
      </c>
      <c r="K180">
        <v>177</v>
      </c>
      <c r="L180" t="s">
        <v>175</v>
      </c>
      <c r="M180">
        <v>1.7301587301587302</v>
      </c>
      <c r="N180" t="s">
        <v>487</v>
      </c>
      <c r="O180" t="s">
        <v>486</v>
      </c>
      <c r="P180" t="e">
        <v>#N/A</v>
      </c>
      <c r="Q180">
        <v>1.7301587301587302</v>
      </c>
    </row>
    <row r="181" spans="1:17">
      <c r="A181">
        <v>177</v>
      </c>
      <c r="B181" t="s">
        <v>176</v>
      </c>
      <c r="C181">
        <v>614</v>
      </c>
      <c r="F181">
        <v>178</v>
      </c>
      <c r="G181" t="s">
        <v>176</v>
      </c>
      <c r="H181">
        <v>837</v>
      </c>
      <c r="K181">
        <v>178</v>
      </c>
      <c r="L181" t="s">
        <v>176</v>
      </c>
      <c r="M181">
        <v>1.3631921824104234</v>
      </c>
      <c r="N181" t="s">
        <v>290</v>
      </c>
      <c r="O181" t="s">
        <v>289</v>
      </c>
      <c r="P181" t="e">
        <v>#N/A</v>
      </c>
      <c r="Q181">
        <v>1.3631921824104234</v>
      </c>
    </row>
    <row r="182" spans="1:17">
      <c r="A182">
        <v>178</v>
      </c>
      <c r="B182" t="s">
        <v>177</v>
      </c>
      <c r="C182">
        <v>489</v>
      </c>
      <c r="F182">
        <v>179</v>
      </c>
      <c r="G182" t="s">
        <v>178</v>
      </c>
      <c r="H182">
        <v>763</v>
      </c>
      <c r="K182">
        <v>179</v>
      </c>
      <c r="L182" t="s">
        <v>177</v>
      </c>
      <c r="M182">
        <v>1.9979550102249488</v>
      </c>
      <c r="N182" t="s">
        <v>213</v>
      </c>
      <c r="O182" t="s">
        <v>212</v>
      </c>
      <c r="P182" t="e">
        <v>#N/A</v>
      </c>
      <c r="Q182">
        <v>1.9979550102249488</v>
      </c>
    </row>
    <row r="183" spans="1:17">
      <c r="A183">
        <v>179</v>
      </c>
      <c r="B183" t="s">
        <v>178</v>
      </c>
      <c r="C183">
        <v>439</v>
      </c>
      <c r="F183">
        <v>180</v>
      </c>
      <c r="G183" t="s">
        <v>180</v>
      </c>
      <c r="H183">
        <v>599</v>
      </c>
      <c r="K183">
        <v>180</v>
      </c>
      <c r="L183" t="s">
        <v>178</v>
      </c>
      <c r="M183">
        <v>1.7380410022779043</v>
      </c>
      <c r="N183" t="s">
        <v>536</v>
      </c>
      <c r="O183" t="s">
        <v>535</v>
      </c>
      <c r="P183" t="e">
        <v>#N/A</v>
      </c>
      <c r="Q183">
        <v>1.7380410022779043</v>
      </c>
    </row>
    <row r="184" spans="1:17">
      <c r="A184">
        <v>180</v>
      </c>
      <c r="B184" t="s">
        <v>179</v>
      </c>
      <c r="C184">
        <v>248</v>
      </c>
      <c r="F184">
        <v>181</v>
      </c>
      <c r="G184" t="s">
        <v>179</v>
      </c>
      <c r="H184">
        <v>379</v>
      </c>
      <c r="K184">
        <v>181</v>
      </c>
      <c r="L184" t="s">
        <v>179</v>
      </c>
      <c r="M184">
        <v>1.528225806451613</v>
      </c>
      <c r="N184" t="s">
        <v>490</v>
      </c>
      <c r="O184" t="s">
        <v>489</v>
      </c>
      <c r="P184" t="e">
        <v>#N/A</v>
      </c>
      <c r="Q184">
        <v>1.528225806451613</v>
      </c>
    </row>
    <row r="185" spans="1:17">
      <c r="A185">
        <v>181</v>
      </c>
      <c r="B185" t="s">
        <v>180</v>
      </c>
      <c r="C185">
        <v>167</v>
      </c>
      <c r="F185">
        <v>182</v>
      </c>
      <c r="G185" t="s">
        <v>181</v>
      </c>
      <c r="H185">
        <v>37</v>
      </c>
      <c r="K185">
        <v>182</v>
      </c>
      <c r="L185" t="s">
        <v>180</v>
      </c>
      <c r="M185">
        <v>3.5868263473053892</v>
      </c>
      <c r="N185" t="s">
        <v>224</v>
      </c>
      <c r="O185" t="s">
        <v>223</v>
      </c>
      <c r="P185">
        <v>1.0199096564026358</v>
      </c>
      <c r="Q185">
        <v>3.5868263473053892</v>
      </c>
    </row>
    <row r="186" spans="1:17">
      <c r="A186">
        <v>182</v>
      </c>
      <c r="B186" t="s">
        <v>181</v>
      </c>
      <c r="C186">
        <v>35</v>
      </c>
      <c r="G186" t="s">
        <v>40</v>
      </c>
      <c r="H186" s="1">
        <v>351119</v>
      </c>
      <c r="K186">
        <v>183</v>
      </c>
      <c r="L186" t="s">
        <v>181</v>
      </c>
      <c r="M186">
        <v>1.0571428571428572</v>
      </c>
      <c r="N186" t="s">
        <v>224</v>
      </c>
      <c r="O186" t="s">
        <v>223</v>
      </c>
      <c r="P186">
        <v>1.0199096564026358</v>
      </c>
      <c r="Q186">
        <v>1.0571428571428572</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2">
    <tabColor rgb="FFFFC000"/>
  </sheetPr>
  <dimension ref="A1:C278"/>
  <sheetViews>
    <sheetView workbookViewId="0">
      <selection activeCell="A3" sqref="A3"/>
    </sheetView>
  </sheetViews>
  <sheetFormatPr defaultRowHeight="15"/>
  <cols>
    <col min="1" max="1" width="43.140625" bestFit="1" customWidth="1"/>
    <col min="2" max="2" width="51.85546875" bestFit="1" customWidth="1"/>
  </cols>
  <sheetData>
    <row r="1" spans="1:3">
      <c r="A1" t="s">
        <v>192</v>
      </c>
      <c r="B1" t="s">
        <v>193</v>
      </c>
      <c r="C1" t="s">
        <v>193</v>
      </c>
    </row>
    <row r="2" spans="1:3">
      <c r="B2" t="s">
        <v>194</v>
      </c>
      <c r="C2" t="s">
        <v>195</v>
      </c>
    </row>
    <row r="3" spans="1:3">
      <c r="A3" t="s">
        <v>105</v>
      </c>
      <c r="B3" t="s">
        <v>196</v>
      </c>
      <c r="C3" t="s">
        <v>197</v>
      </c>
    </row>
    <row r="4" spans="1:3">
      <c r="A4" t="s">
        <v>198</v>
      </c>
      <c r="B4" t="s">
        <v>199</v>
      </c>
      <c r="C4" t="s">
        <v>200</v>
      </c>
    </row>
    <row r="5" spans="1:3">
      <c r="A5" t="s">
        <v>119</v>
      </c>
      <c r="B5" t="s">
        <v>201</v>
      </c>
      <c r="C5" t="s">
        <v>202</v>
      </c>
    </row>
    <row r="6" spans="1:3">
      <c r="A6" t="s">
        <v>203</v>
      </c>
      <c r="B6" t="s">
        <v>571</v>
      </c>
      <c r="C6" t="s">
        <v>193</v>
      </c>
    </row>
    <row r="7" spans="1:3">
      <c r="B7" t="s">
        <v>572</v>
      </c>
      <c r="C7" t="s">
        <v>204</v>
      </c>
    </row>
    <row r="8" spans="1:3">
      <c r="B8" t="s">
        <v>205</v>
      </c>
      <c r="C8" t="s">
        <v>193</v>
      </c>
    </row>
    <row r="9" spans="1:3">
      <c r="A9" t="s">
        <v>49</v>
      </c>
      <c r="B9" t="s">
        <v>206</v>
      </c>
      <c r="C9" t="s">
        <v>207</v>
      </c>
    </row>
    <row r="10" spans="1:3">
      <c r="A10" t="s">
        <v>208</v>
      </c>
      <c r="B10" t="s">
        <v>199</v>
      </c>
      <c r="C10" t="s">
        <v>200</v>
      </c>
    </row>
    <row r="11" spans="1:3">
      <c r="A11" t="s">
        <v>61</v>
      </c>
      <c r="B11" t="s">
        <v>209</v>
      </c>
      <c r="C11" t="s">
        <v>210</v>
      </c>
    </row>
    <row r="12" spans="1:3">
      <c r="A12" t="s">
        <v>211</v>
      </c>
      <c r="B12" t="s">
        <v>212</v>
      </c>
      <c r="C12" t="s">
        <v>213</v>
      </c>
    </row>
    <row r="13" spans="1:3">
      <c r="A13" t="s">
        <v>165</v>
      </c>
      <c r="B13" t="s">
        <v>212</v>
      </c>
      <c r="C13" t="s">
        <v>213</v>
      </c>
    </row>
    <row r="14" spans="1:3">
      <c r="A14" t="s">
        <v>27</v>
      </c>
      <c r="B14" t="s">
        <v>214</v>
      </c>
      <c r="C14" t="s">
        <v>215</v>
      </c>
    </row>
    <row r="15" spans="1:3">
      <c r="A15" t="s">
        <v>125</v>
      </c>
      <c r="B15" t="s">
        <v>216</v>
      </c>
      <c r="C15" t="s">
        <v>217</v>
      </c>
    </row>
    <row r="16" spans="1:3">
      <c r="A16" t="s">
        <v>218</v>
      </c>
      <c r="B16" t="s">
        <v>219</v>
      </c>
      <c r="C16" t="s">
        <v>220</v>
      </c>
    </row>
    <row r="17" spans="1:3">
      <c r="A17" t="s">
        <v>573</v>
      </c>
      <c r="B17" t="s">
        <v>574</v>
      </c>
      <c r="C17" t="s">
        <v>193</v>
      </c>
    </row>
    <row r="18" spans="1:3">
      <c r="B18" t="s">
        <v>221</v>
      </c>
      <c r="C18" t="s">
        <v>222</v>
      </c>
    </row>
    <row r="19" spans="1:3">
      <c r="A19" t="s">
        <v>13</v>
      </c>
      <c r="B19" t="s">
        <v>223</v>
      </c>
      <c r="C19" t="s">
        <v>224</v>
      </c>
    </row>
    <row r="20" spans="1:3">
      <c r="A20" t="s">
        <v>28</v>
      </c>
      <c r="B20" t="s">
        <v>199</v>
      </c>
      <c r="C20" t="s">
        <v>200</v>
      </c>
    </row>
    <row r="21" spans="1:3">
      <c r="A21" t="s">
        <v>67</v>
      </c>
      <c r="B21" t="s">
        <v>225</v>
      </c>
      <c r="C21" t="s">
        <v>226</v>
      </c>
    </row>
    <row r="22" spans="1:3">
      <c r="A22" t="s">
        <v>132</v>
      </c>
      <c r="B22" t="s">
        <v>227</v>
      </c>
      <c r="C22" t="s">
        <v>228</v>
      </c>
    </row>
    <row r="23" spans="1:3">
      <c r="A23" t="s">
        <v>91</v>
      </c>
      <c r="B23" t="s">
        <v>229</v>
      </c>
      <c r="C23" t="s">
        <v>230</v>
      </c>
    </row>
    <row r="24" spans="1:3">
      <c r="A24" t="s">
        <v>60</v>
      </c>
      <c r="B24" t="s">
        <v>231</v>
      </c>
      <c r="C24" t="s">
        <v>232</v>
      </c>
    </row>
    <row r="25" spans="1:3">
      <c r="A25" t="s">
        <v>146</v>
      </c>
      <c r="B25" t="s">
        <v>233</v>
      </c>
      <c r="C25" t="s">
        <v>234</v>
      </c>
    </row>
    <row r="26" spans="1:3">
      <c r="A26" t="s">
        <v>71</v>
      </c>
      <c r="B26" t="s">
        <v>235</v>
      </c>
      <c r="C26" t="s">
        <v>236</v>
      </c>
    </row>
    <row r="27" spans="1:3">
      <c r="A27" t="s">
        <v>23</v>
      </c>
      <c r="B27" t="s">
        <v>199</v>
      </c>
      <c r="C27" t="s">
        <v>200</v>
      </c>
    </row>
    <row r="28" spans="1:3">
      <c r="A28" t="s">
        <v>162</v>
      </c>
      <c r="B28" t="s">
        <v>237</v>
      </c>
      <c r="C28" t="s">
        <v>238</v>
      </c>
    </row>
    <row r="29" spans="1:3">
      <c r="A29" t="s">
        <v>135</v>
      </c>
      <c r="B29" t="s">
        <v>239</v>
      </c>
      <c r="C29" t="s">
        <v>240</v>
      </c>
    </row>
    <row r="30" spans="1:3">
      <c r="A30" t="s">
        <v>241</v>
      </c>
      <c r="B30" t="s">
        <v>242</v>
      </c>
      <c r="C30" t="s">
        <v>243</v>
      </c>
    </row>
    <row r="31" spans="1:3">
      <c r="A31" t="s">
        <v>161</v>
      </c>
      <c r="B31" t="s">
        <v>244</v>
      </c>
      <c r="C31" t="s">
        <v>245</v>
      </c>
    </row>
    <row r="32" spans="1:3">
      <c r="B32" t="s">
        <v>246</v>
      </c>
      <c r="C32" t="s">
        <v>247</v>
      </c>
    </row>
    <row r="33" spans="1:3">
      <c r="A33" t="s">
        <v>95</v>
      </c>
      <c r="B33" t="s">
        <v>248</v>
      </c>
      <c r="C33" t="s">
        <v>249</v>
      </c>
    </row>
    <row r="34" spans="1:3">
      <c r="A34" t="s">
        <v>250</v>
      </c>
      <c r="B34" t="s">
        <v>251</v>
      </c>
      <c r="C34" t="s">
        <v>252</v>
      </c>
    </row>
    <row r="35" spans="1:3">
      <c r="A35" t="s">
        <v>106</v>
      </c>
      <c r="B35" t="s">
        <v>253</v>
      </c>
      <c r="C35" t="s">
        <v>254</v>
      </c>
    </row>
    <row r="36" spans="1:3">
      <c r="A36" t="s">
        <v>107</v>
      </c>
      <c r="B36" t="s">
        <v>255</v>
      </c>
      <c r="C36" t="s">
        <v>256</v>
      </c>
    </row>
    <row r="37" spans="1:3">
      <c r="A37" t="s">
        <v>6</v>
      </c>
      <c r="B37" t="s">
        <v>257</v>
      </c>
      <c r="C37" t="s">
        <v>258</v>
      </c>
    </row>
    <row r="38" spans="1:3">
      <c r="A38" t="s">
        <v>259</v>
      </c>
      <c r="B38" t="s">
        <v>251</v>
      </c>
      <c r="C38" t="s">
        <v>252</v>
      </c>
    </row>
    <row r="39" spans="1:3">
      <c r="A39" t="s">
        <v>260</v>
      </c>
      <c r="B39" t="s">
        <v>575</v>
      </c>
      <c r="C39" t="s">
        <v>193</v>
      </c>
    </row>
    <row r="40" spans="1:3">
      <c r="B40" t="s">
        <v>251</v>
      </c>
      <c r="C40" t="s">
        <v>252</v>
      </c>
    </row>
    <row r="41" spans="1:3">
      <c r="A41" t="s">
        <v>112</v>
      </c>
      <c r="B41" t="s">
        <v>261</v>
      </c>
      <c r="C41" t="s">
        <v>262</v>
      </c>
    </row>
    <row r="42" spans="1:3">
      <c r="B42" t="s">
        <v>263</v>
      </c>
      <c r="C42" t="s">
        <v>264</v>
      </c>
    </row>
    <row r="43" spans="1:3">
      <c r="A43" t="s">
        <v>72</v>
      </c>
      <c r="B43" t="s">
        <v>265</v>
      </c>
      <c r="C43" t="s">
        <v>266</v>
      </c>
    </row>
    <row r="44" spans="1:3">
      <c r="A44" t="s">
        <v>127</v>
      </c>
      <c r="B44" t="s">
        <v>239</v>
      </c>
      <c r="C44" t="s">
        <v>240</v>
      </c>
    </row>
    <row r="45" spans="1:3">
      <c r="A45" t="s">
        <v>73</v>
      </c>
      <c r="B45" t="s">
        <v>267</v>
      </c>
      <c r="C45" t="s">
        <v>268</v>
      </c>
    </row>
    <row r="46" spans="1:3">
      <c r="A46" t="s">
        <v>156</v>
      </c>
      <c r="B46" t="s">
        <v>269</v>
      </c>
      <c r="C46" t="s">
        <v>270</v>
      </c>
    </row>
    <row r="47" spans="1:3">
      <c r="A47" t="s">
        <v>118</v>
      </c>
      <c r="B47" t="s">
        <v>271</v>
      </c>
      <c r="C47" t="s">
        <v>272</v>
      </c>
    </row>
    <row r="48" spans="1:3">
      <c r="A48" t="s">
        <v>92</v>
      </c>
      <c r="B48" t="s">
        <v>273</v>
      </c>
      <c r="C48" t="s">
        <v>274</v>
      </c>
    </row>
    <row r="49" spans="1:3">
      <c r="A49" t="s">
        <v>10</v>
      </c>
      <c r="B49" t="s">
        <v>275</v>
      </c>
      <c r="C49" t="s">
        <v>276</v>
      </c>
    </row>
    <row r="50" spans="1:3">
      <c r="A50" t="s">
        <v>160</v>
      </c>
      <c r="B50" t="s">
        <v>277</v>
      </c>
      <c r="C50" t="s">
        <v>278</v>
      </c>
    </row>
    <row r="51" spans="1:3">
      <c r="A51" t="s">
        <v>279</v>
      </c>
      <c r="B51" t="s">
        <v>280</v>
      </c>
      <c r="C51" t="s">
        <v>281</v>
      </c>
    </row>
    <row r="52" spans="1:3">
      <c r="A52" t="s">
        <v>158</v>
      </c>
      <c r="B52" t="s">
        <v>273</v>
      </c>
      <c r="C52" t="s">
        <v>274</v>
      </c>
    </row>
    <row r="53" spans="1:3">
      <c r="A53" t="s">
        <v>128</v>
      </c>
      <c r="B53" t="s">
        <v>273</v>
      </c>
      <c r="C53" t="s">
        <v>274</v>
      </c>
    </row>
    <row r="54" spans="1:3">
      <c r="A54" t="s">
        <v>39</v>
      </c>
      <c r="B54" t="s">
        <v>282</v>
      </c>
      <c r="C54" t="s">
        <v>283</v>
      </c>
    </row>
    <row r="55" spans="1:3">
      <c r="A55" t="s">
        <v>2</v>
      </c>
      <c r="B55" t="s">
        <v>284</v>
      </c>
      <c r="C55" t="s">
        <v>285</v>
      </c>
    </row>
    <row r="56" spans="1:3">
      <c r="A56" t="s">
        <v>286</v>
      </c>
      <c r="B56" t="s">
        <v>223</v>
      </c>
      <c r="C56" t="s">
        <v>224</v>
      </c>
    </row>
    <row r="57" spans="1:3">
      <c r="B57" t="s">
        <v>576</v>
      </c>
      <c r="C57" t="s">
        <v>193</v>
      </c>
    </row>
    <row r="58" spans="1:3">
      <c r="A58" t="s">
        <v>33</v>
      </c>
      <c r="B58" t="s">
        <v>287</v>
      </c>
      <c r="C58" t="s">
        <v>288</v>
      </c>
    </row>
    <row r="59" spans="1:3">
      <c r="A59" t="s">
        <v>176</v>
      </c>
      <c r="B59" t="s">
        <v>289</v>
      </c>
      <c r="C59" t="s">
        <v>290</v>
      </c>
    </row>
    <row r="60" spans="1:3">
      <c r="A60" t="s">
        <v>111</v>
      </c>
      <c r="B60" t="s">
        <v>291</v>
      </c>
      <c r="C60" t="s">
        <v>292</v>
      </c>
    </row>
    <row r="61" spans="1:3">
      <c r="A61" t="s">
        <v>114</v>
      </c>
      <c r="B61" t="s">
        <v>273</v>
      </c>
      <c r="C61" t="s">
        <v>274</v>
      </c>
    </row>
    <row r="62" spans="1:3">
      <c r="A62" t="s">
        <v>293</v>
      </c>
      <c r="B62" t="s">
        <v>294</v>
      </c>
      <c r="C62" t="s">
        <v>295</v>
      </c>
    </row>
    <row r="63" spans="1:3">
      <c r="B63" t="s">
        <v>296</v>
      </c>
      <c r="C63" t="s">
        <v>193</v>
      </c>
    </row>
    <row r="64" spans="1:3">
      <c r="A64" t="s">
        <v>81</v>
      </c>
      <c r="B64" t="s">
        <v>297</v>
      </c>
      <c r="C64" t="s">
        <v>298</v>
      </c>
    </row>
    <row r="65" spans="1:3">
      <c r="A65" t="s">
        <v>96</v>
      </c>
      <c r="B65" t="s">
        <v>239</v>
      </c>
      <c r="C65" t="s">
        <v>240</v>
      </c>
    </row>
    <row r="66" spans="1:3">
      <c r="A66" t="s">
        <v>66</v>
      </c>
      <c r="B66" t="s">
        <v>299</v>
      </c>
      <c r="C66" t="s">
        <v>300</v>
      </c>
    </row>
    <row r="67" spans="1:3">
      <c r="A67" t="s">
        <v>301</v>
      </c>
      <c r="B67" t="s">
        <v>302</v>
      </c>
      <c r="C67" t="s">
        <v>303</v>
      </c>
    </row>
    <row r="68" spans="1:3">
      <c r="B68" t="s">
        <v>304</v>
      </c>
      <c r="C68" t="s">
        <v>305</v>
      </c>
    </row>
    <row r="69" spans="1:3">
      <c r="A69" t="s">
        <v>306</v>
      </c>
      <c r="B69" t="s">
        <v>307</v>
      </c>
      <c r="C69" t="s">
        <v>308</v>
      </c>
    </row>
    <row r="70" spans="1:3">
      <c r="A70" t="s">
        <v>94</v>
      </c>
      <c r="B70" t="s">
        <v>199</v>
      </c>
      <c r="C70" t="s">
        <v>200</v>
      </c>
    </row>
    <row r="71" spans="1:3">
      <c r="A71" t="s">
        <v>46</v>
      </c>
      <c r="B71" t="s">
        <v>309</v>
      </c>
      <c r="C71" t="s">
        <v>310</v>
      </c>
    </row>
    <row r="72" spans="1:3">
      <c r="A72" t="s">
        <v>32</v>
      </c>
      <c r="B72" t="s">
        <v>311</v>
      </c>
      <c r="C72" t="s">
        <v>312</v>
      </c>
    </row>
    <row r="73" spans="1:3">
      <c r="A73" t="s">
        <v>163</v>
      </c>
      <c r="B73" t="s">
        <v>313</v>
      </c>
      <c r="C73" t="s">
        <v>314</v>
      </c>
    </row>
    <row r="74" spans="1:3">
      <c r="A74" t="s">
        <v>177</v>
      </c>
      <c r="B74" t="s">
        <v>212</v>
      </c>
      <c r="C74" t="s">
        <v>213</v>
      </c>
    </row>
    <row r="75" spans="1:3">
      <c r="A75" t="s">
        <v>70</v>
      </c>
      <c r="B75" t="s">
        <v>315</v>
      </c>
      <c r="C75" t="s">
        <v>316</v>
      </c>
    </row>
    <row r="76" spans="1:3">
      <c r="A76" t="s">
        <v>147</v>
      </c>
      <c r="B76" t="s">
        <v>251</v>
      </c>
      <c r="C76" t="s">
        <v>252</v>
      </c>
    </row>
    <row r="77" spans="1:3">
      <c r="B77" t="s">
        <v>193</v>
      </c>
      <c r="C77" t="s">
        <v>193</v>
      </c>
    </row>
    <row r="78" spans="1:3">
      <c r="A78" t="s">
        <v>65</v>
      </c>
      <c r="B78" t="s">
        <v>251</v>
      </c>
      <c r="C78" t="s">
        <v>252</v>
      </c>
    </row>
    <row r="79" spans="1:3">
      <c r="B79" t="s">
        <v>193</v>
      </c>
      <c r="C79" t="s">
        <v>193</v>
      </c>
    </row>
    <row r="80" spans="1:3">
      <c r="A80" t="s">
        <v>44</v>
      </c>
      <c r="B80" t="s">
        <v>317</v>
      </c>
      <c r="C80" t="s">
        <v>318</v>
      </c>
    </row>
    <row r="81" spans="1:3">
      <c r="A81" t="s">
        <v>98</v>
      </c>
      <c r="B81" t="s">
        <v>319</v>
      </c>
      <c r="C81" t="s">
        <v>320</v>
      </c>
    </row>
    <row r="82" spans="1:3">
      <c r="B82" t="s">
        <v>251</v>
      </c>
      <c r="C82" t="s">
        <v>252</v>
      </c>
    </row>
    <row r="83" spans="1:3">
      <c r="A83" t="s">
        <v>102</v>
      </c>
      <c r="B83" t="s">
        <v>273</v>
      </c>
      <c r="C83" t="s">
        <v>274</v>
      </c>
    </row>
    <row r="84" spans="1:3">
      <c r="A84" t="s">
        <v>153</v>
      </c>
      <c r="B84" t="s">
        <v>321</v>
      </c>
      <c r="C84" t="s">
        <v>322</v>
      </c>
    </row>
    <row r="85" spans="1:3">
      <c r="A85" t="s">
        <v>100</v>
      </c>
      <c r="B85" t="s">
        <v>199</v>
      </c>
      <c r="C85" t="s">
        <v>200</v>
      </c>
    </row>
    <row r="86" spans="1:3">
      <c r="A86" t="s">
        <v>87</v>
      </c>
      <c r="B86" t="s">
        <v>323</v>
      </c>
      <c r="C86" t="s">
        <v>324</v>
      </c>
    </row>
    <row r="87" spans="1:3">
      <c r="A87" t="s">
        <v>325</v>
      </c>
      <c r="B87" t="s">
        <v>326</v>
      </c>
      <c r="C87" t="s">
        <v>327</v>
      </c>
    </row>
    <row r="88" spans="1:3">
      <c r="A88" t="s">
        <v>328</v>
      </c>
      <c r="B88" t="s">
        <v>311</v>
      </c>
      <c r="C88" t="s">
        <v>312</v>
      </c>
    </row>
    <row r="89" spans="1:3">
      <c r="B89" t="s">
        <v>329</v>
      </c>
      <c r="C89" t="s">
        <v>193</v>
      </c>
    </row>
    <row r="90" spans="1:3">
      <c r="A90" t="s">
        <v>152</v>
      </c>
      <c r="B90" t="s">
        <v>330</v>
      </c>
      <c r="C90" t="s">
        <v>331</v>
      </c>
    </row>
    <row r="91" spans="1:3">
      <c r="A91" t="s">
        <v>37</v>
      </c>
      <c r="B91" t="s">
        <v>199</v>
      </c>
      <c r="C91" t="s">
        <v>200</v>
      </c>
    </row>
    <row r="92" spans="1:3">
      <c r="A92" t="s">
        <v>5</v>
      </c>
      <c r="B92" t="s">
        <v>199</v>
      </c>
      <c r="C92" t="s">
        <v>200</v>
      </c>
    </row>
    <row r="93" spans="1:3">
      <c r="A93" t="s">
        <v>332</v>
      </c>
      <c r="B93" t="s">
        <v>333</v>
      </c>
      <c r="C93" t="s">
        <v>334</v>
      </c>
    </row>
    <row r="94" spans="1:3">
      <c r="A94" t="s">
        <v>110</v>
      </c>
      <c r="B94" t="s">
        <v>273</v>
      </c>
      <c r="C94" t="s">
        <v>274</v>
      </c>
    </row>
    <row r="95" spans="1:3">
      <c r="A95" t="s">
        <v>168</v>
      </c>
      <c r="B95" t="s">
        <v>335</v>
      </c>
      <c r="C95" t="s">
        <v>336</v>
      </c>
    </row>
    <row r="96" spans="1:3">
      <c r="A96" t="s">
        <v>116</v>
      </c>
      <c r="B96" t="s">
        <v>337</v>
      </c>
      <c r="C96" t="s">
        <v>338</v>
      </c>
    </row>
    <row r="97" spans="1:3">
      <c r="A97" t="s">
        <v>4</v>
      </c>
      <c r="B97" t="s">
        <v>199</v>
      </c>
      <c r="C97" t="s">
        <v>200</v>
      </c>
    </row>
    <row r="98" spans="1:3">
      <c r="A98" t="s">
        <v>83</v>
      </c>
      <c r="B98" t="s">
        <v>339</v>
      </c>
      <c r="C98" t="s">
        <v>340</v>
      </c>
    </row>
    <row r="99" spans="1:3">
      <c r="A99" t="s">
        <v>341</v>
      </c>
      <c r="B99" t="s">
        <v>342</v>
      </c>
      <c r="C99" t="s">
        <v>343</v>
      </c>
    </row>
    <row r="100" spans="1:3">
      <c r="A100" t="s">
        <v>35</v>
      </c>
      <c r="B100" t="s">
        <v>199</v>
      </c>
      <c r="C100" t="s">
        <v>200</v>
      </c>
    </row>
    <row r="101" spans="1:3">
      <c r="A101" t="s">
        <v>171</v>
      </c>
      <c r="B101" t="s">
        <v>212</v>
      </c>
      <c r="C101" t="s">
        <v>213</v>
      </c>
    </row>
    <row r="102" spans="1:3">
      <c r="A102" t="s">
        <v>75</v>
      </c>
      <c r="B102" t="s">
        <v>344</v>
      </c>
      <c r="C102" t="s">
        <v>345</v>
      </c>
    </row>
    <row r="103" spans="1:3">
      <c r="A103" t="s">
        <v>346</v>
      </c>
      <c r="B103" t="s">
        <v>572</v>
      </c>
      <c r="C103" t="s">
        <v>204</v>
      </c>
    </row>
    <row r="104" spans="1:3">
      <c r="B104" t="s">
        <v>205</v>
      </c>
      <c r="C104" t="s">
        <v>193</v>
      </c>
    </row>
    <row r="105" spans="1:3">
      <c r="A105" t="s">
        <v>144</v>
      </c>
      <c r="B105" t="s">
        <v>347</v>
      </c>
      <c r="C105" t="s">
        <v>348</v>
      </c>
    </row>
    <row r="106" spans="1:3">
      <c r="A106" t="s">
        <v>169</v>
      </c>
      <c r="B106" t="s">
        <v>239</v>
      </c>
      <c r="C106" t="s">
        <v>240</v>
      </c>
    </row>
    <row r="107" spans="1:3">
      <c r="A107" t="s">
        <v>154</v>
      </c>
      <c r="B107" t="s">
        <v>349</v>
      </c>
      <c r="C107" t="s">
        <v>350</v>
      </c>
    </row>
    <row r="108" spans="1:3">
      <c r="A108" t="s">
        <v>134</v>
      </c>
      <c r="B108" t="s">
        <v>351</v>
      </c>
      <c r="C108" t="s">
        <v>352</v>
      </c>
    </row>
    <row r="109" spans="1:3">
      <c r="A109" t="s">
        <v>108</v>
      </c>
      <c r="B109" t="s">
        <v>353</v>
      </c>
      <c r="C109" t="s">
        <v>354</v>
      </c>
    </row>
    <row r="110" spans="1:3">
      <c r="A110" t="s">
        <v>40</v>
      </c>
      <c r="B110" t="s">
        <v>355</v>
      </c>
      <c r="C110" t="s">
        <v>356</v>
      </c>
    </row>
    <row r="111" spans="1:3">
      <c r="A111" t="s">
        <v>57</v>
      </c>
      <c r="B111" t="s">
        <v>357</v>
      </c>
      <c r="C111" t="s">
        <v>358</v>
      </c>
    </row>
    <row r="112" spans="1:3">
      <c r="A112" t="s">
        <v>117</v>
      </c>
      <c r="B112" t="s">
        <v>359</v>
      </c>
      <c r="C112" t="s">
        <v>360</v>
      </c>
    </row>
    <row r="113" spans="1:3">
      <c r="A113" t="s">
        <v>11</v>
      </c>
      <c r="B113" t="s">
        <v>246</v>
      </c>
      <c r="C113" t="s">
        <v>247</v>
      </c>
    </row>
    <row r="114" spans="1:3">
      <c r="A114" t="s">
        <v>16</v>
      </c>
      <c r="B114" t="s">
        <v>361</v>
      </c>
      <c r="C114" t="s">
        <v>362</v>
      </c>
    </row>
    <row r="115" spans="1:3">
      <c r="A115" t="s">
        <v>25</v>
      </c>
      <c r="B115" t="s">
        <v>363</v>
      </c>
      <c r="C115" t="s">
        <v>364</v>
      </c>
    </row>
    <row r="116" spans="1:3">
      <c r="A116" t="s">
        <v>59</v>
      </c>
      <c r="B116" t="s">
        <v>365</v>
      </c>
      <c r="C116" t="s">
        <v>366</v>
      </c>
    </row>
    <row r="117" spans="1:3">
      <c r="A117" t="s">
        <v>45</v>
      </c>
      <c r="B117" t="s">
        <v>199</v>
      </c>
      <c r="C117" t="s">
        <v>200</v>
      </c>
    </row>
    <row r="118" spans="1:3">
      <c r="A118" t="s">
        <v>367</v>
      </c>
      <c r="B118" t="s">
        <v>572</v>
      </c>
      <c r="C118" t="s">
        <v>204</v>
      </c>
    </row>
    <row r="119" spans="1:3">
      <c r="B119" t="s">
        <v>368</v>
      </c>
      <c r="C119" t="s">
        <v>193</v>
      </c>
    </row>
    <row r="120" spans="1:3">
      <c r="A120" t="s">
        <v>41</v>
      </c>
      <c r="B120" t="s">
        <v>369</v>
      </c>
      <c r="C120" t="s">
        <v>370</v>
      </c>
    </row>
    <row r="121" spans="1:3">
      <c r="A121" t="s">
        <v>8</v>
      </c>
      <c r="B121" t="s">
        <v>199</v>
      </c>
      <c r="C121" t="s">
        <v>200</v>
      </c>
    </row>
    <row r="122" spans="1:3">
      <c r="A122" t="s">
        <v>113</v>
      </c>
      <c r="B122" t="s">
        <v>371</v>
      </c>
      <c r="C122" t="s">
        <v>372</v>
      </c>
    </row>
    <row r="123" spans="1:3">
      <c r="A123" t="s">
        <v>3</v>
      </c>
      <c r="B123" t="s">
        <v>373</v>
      </c>
      <c r="C123" t="s">
        <v>374</v>
      </c>
    </row>
    <row r="124" spans="1:3">
      <c r="A124" t="s">
        <v>375</v>
      </c>
      <c r="B124" t="s">
        <v>572</v>
      </c>
      <c r="C124" t="s">
        <v>204</v>
      </c>
    </row>
    <row r="125" spans="1:3">
      <c r="B125" t="s">
        <v>376</v>
      </c>
      <c r="C125" t="s">
        <v>193</v>
      </c>
    </row>
    <row r="126" spans="1:3">
      <c r="A126" t="s">
        <v>89</v>
      </c>
      <c r="B126" t="s">
        <v>377</v>
      </c>
      <c r="C126" t="s">
        <v>378</v>
      </c>
    </row>
    <row r="127" spans="1:3">
      <c r="A127" t="s">
        <v>51</v>
      </c>
      <c r="B127" t="s">
        <v>379</v>
      </c>
      <c r="C127" t="s">
        <v>380</v>
      </c>
    </row>
    <row r="128" spans="1:3">
      <c r="A128" t="s">
        <v>85</v>
      </c>
      <c r="B128" t="s">
        <v>381</v>
      </c>
      <c r="C128" t="s">
        <v>382</v>
      </c>
    </row>
    <row r="129" spans="1:3">
      <c r="A129" t="s">
        <v>180</v>
      </c>
      <c r="B129" t="s">
        <v>223</v>
      </c>
      <c r="C129" t="s">
        <v>224</v>
      </c>
    </row>
    <row r="130" spans="1:3">
      <c r="B130" t="s">
        <v>577</v>
      </c>
      <c r="C130" t="s">
        <v>193</v>
      </c>
    </row>
    <row r="131" spans="1:3">
      <c r="A131" t="s">
        <v>589</v>
      </c>
      <c r="B131" t="s">
        <v>383</v>
      </c>
      <c r="C131" t="s">
        <v>384</v>
      </c>
    </row>
    <row r="132" spans="1:3">
      <c r="A132" t="s">
        <v>15</v>
      </c>
      <c r="B132" t="s">
        <v>385</v>
      </c>
      <c r="C132" t="s">
        <v>386</v>
      </c>
    </row>
    <row r="133" spans="1:3">
      <c r="A133" t="s">
        <v>139</v>
      </c>
      <c r="B133" t="s">
        <v>199</v>
      </c>
      <c r="C133" t="s">
        <v>200</v>
      </c>
    </row>
    <row r="134" spans="1:3">
      <c r="A134" t="s">
        <v>52</v>
      </c>
      <c r="B134" t="s">
        <v>387</v>
      </c>
      <c r="C134" t="s">
        <v>388</v>
      </c>
    </row>
    <row r="135" spans="1:3">
      <c r="A135" t="s">
        <v>142</v>
      </c>
      <c r="B135" t="s">
        <v>389</v>
      </c>
      <c r="C135" t="s">
        <v>390</v>
      </c>
    </row>
    <row r="136" spans="1:3">
      <c r="A136" t="s">
        <v>133</v>
      </c>
      <c r="B136" t="s">
        <v>391</v>
      </c>
      <c r="C136" t="s">
        <v>392</v>
      </c>
    </row>
    <row r="137" spans="1:3">
      <c r="A137" t="s">
        <v>90</v>
      </c>
      <c r="B137" t="s">
        <v>393</v>
      </c>
      <c r="C137" t="s">
        <v>394</v>
      </c>
    </row>
    <row r="138" spans="1:3">
      <c r="A138" t="s">
        <v>82</v>
      </c>
      <c r="B138" t="s">
        <v>395</v>
      </c>
      <c r="C138" t="s">
        <v>396</v>
      </c>
    </row>
    <row r="139" spans="1:3">
      <c r="A139" t="s">
        <v>155</v>
      </c>
      <c r="B139" t="s">
        <v>397</v>
      </c>
      <c r="C139" t="s">
        <v>398</v>
      </c>
    </row>
    <row r="140" spans="1:3">
      <c r="B140" t="s">
        <v>399</v>
      </c>
      <c r="C140" t="s">
        <v>400</v>
      </c>
    </row>
    <row r="141" spans="1:3">
      <c r="A141" t="s">
        <v>166</v>
      </c>
      <c r="B141" t="s">
        <v>401</v>
      </c>
      <c r="C141" t="s">
        <v>402</v>
      </c>
    </row>
    <row r="142" spans="1:3">
      <c r="A142" t="s">
        <v>84</v>
      </c>
      <c r="B142" t="s">
        <v>403</v>
      </c>
      <c r="C142" t="s">
        <v>404</v>
      </c>
    </row>
    <row r="143" spans="1:3">
      <c r="A143" t="s">
        <v>405</v>
      </c>
      <c r="B143" t="s">
        <v>406</v>
      </c>
      <c r="C143" t="s">
        <v>407</v>
      </c>
    </row>
    <row r="144" spans="1:3">
      <c r="A144" t="s">
        <v>80</v>
      </c>
      <c r="B144" t="s">
        <v>408</v>
      </c>
      <c r="C144" t="s">
        <v>409</v>
      </c>
    </row>
    <row r="145" spans="1:3">
      <c r="A145" t="s">
        <v>69</v>
      </c>
      <c r="B145" t="s">
        <v>199</v>
      </c>
      <c r="C145" t="s">
        <v>200</v>
      </c>
    </row>
    <row r="146" spans="1:3">
      <c r="A146" t="s">
        <v>410</v>
      </c>
      <c r="B146" t="s">
        <v>411</v>
      </c>
      <c r="C146" t="s">
        <v>412</v>
      </c>
    </row>
    <row r="147" spans="1:3">
      <c r="A147" t="s">
        <v>185</v>
      </c>
      <c r="B147" t="s">
        <v>413</v>
      </c>
      <c r="C147" t="s">
        <v>414</v>
      </c>
    </row>
    <row r="148" spans="1:3">
      <c r="A148" t="s">
        <v>126</v>
      </c>
      <c r="B148" t="s">
        <v>415</v>
      </c>
      <c r="C148" t="s">
        <v>416</v>
      </c>
    </row>
    <row r="149" spans="1:3">
      <c r="A149" t="s">
        <v>143</v>
      </c>
      <c r="B149" t="s">
        <v>417</v>
      </c>
      <c r="C149" t="s">
        <v>418</v>
      </c>
    </row>
    <row r="150" spans="1:3">
      <c r="A150" t="s">
        <v>36</v>
      </c>
      <c r="B150" t="s">
        <v>419</v>
      </c>
      <c r="C150" t="s">
        <v>420</v>
      </c>
    </row>
    <row r="151" spans="1:3">
      <c r="A151" t="s">
        <v>159</v>
      </c>
      <c r="B151" t="s">
        <v>421</v>
      </c>
      <c r="C151" t="s">
        <v>422</v>
      </c>
    </row>
    <row r="152" spans="1:3">
      <c r="A152" t="s">
        <v>124</v>
      </c>
      <c r="B152" t="s">
        <v>239</v>
      </c>
      <c r="C152" t="s">
        <v>240</v>
      </c>
    </row>
    <row r="153" spans="1:3">
      <c r="A153" t="s">
        <v>130</v>
      </c>
      <c r="B153" t="s">
        <v>199</v>
      </c>
      <c r="C153" t="s">
        <v>200</v>
      </c>
    </row>
    <row r="154" spans="1:3">
      <c r="A154" t="s">
        <v>423</v>
      </c>
      <c r="B154" t="s">
        <v>251</v>
      </c>
      <c r="C154" t="s">
        <v>252</v>
      </c>
    </row>
    <row r="155" spans="1:3">
      <c r="A155" t="s">
        <v>148</v>
      </c>
      <c r="B155" t="s">
        <v>424</v>
      </c>
      <c r="C155" t="s">
        <v>425</v>
      </c>
    </row>
    <row r="156" spans="1:3">
      <c r="A156" t="s">
        <v>123</v>
      </c>
      <c r="B156" t="s">
        <v>426</v>
      </c>
      <c r="C156" t="s">
        <v>427</v>
      </c>
    </row>
    <row r="157" spans="1:3">
      <c r="A157" t="s">
        <v>14</v>
      </c>
      <c r="B157" t="s">
        <v>428</v>
      </c>
      <c r="C157" t="s">
        <v>429</v>
      </c>
    </row>
    <row r="158" spans="1:3">
      <c r="A158" t="s">
        <v>430</v>
      </c>
      <c r="B158" t="s">
        <v>578</v>
      </c>
      <c r="C158" t="s">
        <v>193</v>
      </c>
    </row>
    <row r="159" spans="1:3">
      <c r="B159" t="s">
        <v>251</v>
      </c>
      <c r="C159" t="s">
        <v>252</v>
      </c>
    </row>
    <row r="160" spans="1:3">
      <c r="A160" t="s">
        <v>137</v>
      </c>
      <c r="B160" t="s">
        <v>431</v>
      </c>
      <c r="C160" t="s">
        <v>432</v>
      </c>
    </row>
    <row r="161" spans="1:3">
      <c r="A161" t="s">
        <v>433</v>
      </c>
      <c r="B161" t="s">
        <v>199</v>
      </c>
      <c r="C161" t="s">
        <v>200</v>
      </c>
    </row>
    <row r="162" spans="1:3">
      <c r="A162" t="s">
        <v>131</v>
      </c>
      <c r="B162" t="s">
        <v>434</v>
      </c>
      <c r="C162" t="s">
        <v>435</v>
      </c>
    </row>
    <row r="163" spans="1:3">
      <c r="A163" t="s">
        <v>145</v>
      </c>
      <c r="B163" t="s">
        <v>199</v>
      </c>
      <c r="C163" t="s">
        <v>200</v>
      </c>
    </row>
    <row r="164" spans="1:3">
      <c r="A164" t="s">
        <v>436</v>
      </c>
      <c r="B164" t="s">
        <v>212</v>
      </c>
      <c r="C164" t="s">
        <v>213</v>
      </c>
    </row>
    <row r="165" spans="1:3">
      <c r="A165" t="s">
        <v>62</v>
      </c>
      <c r="B165" t="s">
        <v>437</v>
      </c>
      <c r="C165" t="s">
        <v>438</v>
      </c>
    </row>
    <row r="166" spans="1:3">
      <c r="A166" t="s">
        <v>120</v>
      </c>
      <c r="B166" t="s">
        <v>439</v>
      </c>
      <c r="C166" t="s">
        <v>440</v>
      </c>
    </row>
    <row r="167" spans="1:3">
      <c r="A167" t="s">
        <v>441</v>
      </c>
      <c r="B167" t="s">
        <v>216</v>
      </c>
      <c r="C167" t="s">
        <v>217</v>
      </c>
    </row>
    <row r="168" spans="1:3">
      <c r="B168" t="s">
        <v>579</v>
      </c>
      <c r="C168" t="s">
        <v>193</v>
      </c>
    </row>
    <row r="169" spans="1:3">
      <c r="A169" t="s">
        <v>122</v>
      </c>
      <c r="B169" t="s">
        <v>442</v>
      </c>
      <c r="C169" t="s">
        <v>443</v>
      </c>
    </row>
    <row r="170" spans="1:3">
      <c r="B170" t="s">
        <v>399</v>
      </c>
      <c r="C170" t="s">
        <v>400</v>
      </c>
    </row>
    <row r="171" spans="1:3">
      <c r="A171" t="s">
        <v>444</v>
      </c>
      <c r="B171" t="s">
        <v>223</v>
      </c>
      <c r="C171" t="s">
        <v>224</v>
      </c>
    </row>
    <row r="172" spans="1:3">
      <c r="B172" t="s">
        <v>580</v>
      </c>
      <c r="C172" t="s">
        <v>193</v>
      </c>
    </row>
    <row r="173" spans="1:3">
      <c r="A173" t="s">
        <v>104</v>
      </c>
      <c r="B173" t="s">
        <v>445</v>
      </c>
      <c r="C173" t="s">
        <v>446</v>
      </c>
    </row>
    <row r="174" spans="1:3">
      <c r="A174" t="s">
        <v>17</v>
      </c>
      <c r="B174" t="s">
        <v>581</v>
      </c>
      <c r="C174" t="s">
        <v>200</v>
      </c>
    </row>
    <row r="175" spans="1:3">
      <c r="A175" t="s">
        <v>447</v>
      </c>
      <c r="B175" t="s">
        <v>333</v>
      </c>
      <c r="C175" t="s">
        <v>334</v>
      </c>
    </row>
    <row r="176" spans="1:3">
      <c r="A176" t="s">
        <v>56</v>
      </c>
      <c r="B176" t="s">
        <v>294</v>
      </c>
      <c r="C176" t="s">
        <v>295</v>
      </c>
    </row>
    <row r="177" spans="1:3">
      <c r="A177" t="s">
        <v>136</v>
      </c>
      <c r="B177" t="s">
        <v>448</v>
      </c>
      <c r="C177" t="s">
        <v>449</v>
      </c>
    </row>
    <row r="178" spans="1:3">
      <c r="A178" t="s">
        <v>141</v>
      </c>
      <c r="B178" t="s">
        <v>239</v>
      </c>
      <c r="C178" t="s">
        <v>240</v>
      </c>
    </row>
    <row r="179" spans="1:3">
      <c r="A179" t="s">
        <v>42</v>
      </c>
      <c r="B179" t="s">
        <v>450</v>
      </c>
      <c r="C179" t="s">
        <v>451</v>
      </c>
    </row>
    <row r="180" spans="1:3">
      <c r="A180" t="s">
        <v>452</v>
      </c>
      <c r="B180" t="s">
        <v>294</v>
      </c>
      <c r="C180" t="s">
        <v>295</v>
      </c>
    </row>
    <row r="181" spans="1:3">
      <c r="B181" t="s">
        <v>582</v>
      </c>
      <c r="C181" t="s">
        <v>193</v>
      </c>
    </row>
    <row r="182" spans="1:3">
      <c r="A182" t="s">
        <v>453</v>
      </c>
      <c r="B182" t="s">
        <v>454</v>
      </c>
      <c r="C182" t="s">
        <v>455</v>
      </c>
    </row>
    <row r="183" spans="1:3">
      <c r="A183" t="s">
        <v>24</v>
      </c>
      <c r="B183" t="s">
        <v>456</v>
      </c>
      <c r="C183" t="s">
        <v>457</v>
      </c>
    </row>
    <row r="184" spans="1:3">
      <c r="A184" t="s">
        <v>64</v>
      </c>
      <c r="B184" t="s">
        <v>458</v>
      </c>
      <c r="C184" t="s">
        <v>459</v>
      </c>
    </row>
    <row r="185" spans="1:3">
      <c r="A185" t="s">
        <v>48</v>
      </c>
      <c r="B185" t="s">
        <v>460</v>
      </c>
      <c r="C185" t="s">
        <v>461</v>
      </c>
    </row>
    <row r="186" spans="1:3">
      <c r="A186" t="s">
        <v>462</v>
      </c>
      <c r="B186" t="s">
        <v>583</v>
      </c>
      <c r="C186" t="s">
        <v>193</v>
      </c>
    </row>
    <row r="187" spans="1:3">
      <c r="B187" t="s">
        <v>251</v>
      </c>
      <c r="C187" t="s">
        <v>252</v>
      </c>
    </row>
    <row r="188" spans="1:3">
      <c r="A188" t="s">
        <v>463</v>
      </c>
      <c r="B188" t="s">
        <v>369</v>
      </c>
      <c r="C188" t="s">
        <v>370</v>
      </c>
    </row>
    <row r="189" spans="1:3">
      <c r="B189" t="s">
        <v>377</v>
      </c>
      <c r="C189" t="s">
        <v>378</v>
      </c>
    </row>
    <row r="190" spans="1:3">
      <c r="A190" t="s">
        <v>88</v>
      </c>
      <c r="B190" t="s">
        <v>464</v>
      </c>
      <c r="C190" t="s">
        <v>465</v>
      </c>
    </row>
    <row r="191" spans="1:3">
      <c r="B191" t="s">
        <v>251</v>
      </c>
      <c r="C191" t="s">
        <v>252</v>
      </c>
    </row>
    <row r="192" spans="1:3">
      <c r="A192" t="s">
        <v>121</v>
      </c>
      <c r="B192" t="s">
        <v>466</v>
      </c>
      <c r="C192" t="s">
        <v>467</v>
      </c>
    </row>
    <row r="193" spans="1:3">
      <c r="A193" t="s">
        <v>101</v>
      </c>
      <c r="B193" t="s">
        <v>468</v>
      </c>
      <c r="C193" t="s">
        <v>469</v>
      </c>
    </row>
    <row r="194" spans="1:3">
      <c r="A194" t="s">
        <v>54</v>
      </c>
      <c r="B194" t="s">
        <v>470</v>
      </c>
      <c r="C194" t="s">
        <v>471</v>
      </c>
    </row>
    <row r="195" spans="1:3">
      <c r="A195" t="s">
        <v>47</v>
      </c>
      <c r="B195" t="s">
        <v>472</v>
      </c>
      <c r="C195" t="s">
        <v>473</v>
      </c>
    </row>
    <row r="196" spans="1:3">
      <c r="A196" t="s">
        <v>474</v>
      </c>
      <c r="B196" t="s">
        <v>294</v>
      </c>
      <c r="C196" t="s">
        <v>295</v>
      </c>
    </row>
    <row r="197" spans="1:3">
      <c r="B197" t="s">
        <v>584</v>
      </c>
      <c r="C197" t="s">
        <v>193</v>
      </c>
    </row>
    <row r="198" spans="1:3">
      <c r="A198" t="s">
        <v>22</v>
      </c>
      <c r="B198" t="s">
        <v>475</v>
      </c>
      <c r="C198" t="s">
        <v>476</v>
      </c>
    </row>
    <row r="199" spans="1:3">
      <c r="A199" t="s">
        <v>43</v>
      </c>
      <c r="B199" t="s">
        <v>199</v>
      </c>
      <c r="C199" t="s">
        <v>200</v>
      </c>
    </row>
    <row r="200" spans="1:3">
      <c r="A200" t="s">
        <v>53</v>
      </c>
      <c r="B200" t="s">
        <v>477</v>
      </c>
      <c r="C200" t="s">
        <v>478</v>
      </c>
    </row>
    <row r="201" spans="1:3">
      <c r="A201" t="s">
        <v>50</v>
      </c>
      <c r="B201" t="s">
        <v>479</v>
      </c>
      <c r="C201" t="s">
        <v>480</v>
      </c>
    </row>
    <row r="202" spans="1:3">
      <c r="A202" t="s">
        <v>9</v>
      </c>
      <c r="B202" t="s">
        <v>194</v>
      </c>
      <c r="C202" t="s">
        <v>195</v>
      </c>
    </row>
    <row r="203" spans="1:3">
      <c r="A203" t="s">
        <v>140</v>
      </c>
      <c r="B203" t="s">
        <v>481</v>
      </c>
      <c r="C203" t="s">
        <v>482</v>
      </c>
    </row>
    <row r="204" spans="1:3">
      <c r="A204" t="s">
        <v>483</v>
      </c>
      <c r="B204" t="s">
        <v>251</v>
      </c>
      <c r="C204" t="s">
        <v>252</v>
      </c>
    </row>
    <row r="205" spans="1:3">
      <c r="A205" t="s">
        <v>484</v>
      </c>
      <c r="B205" t="s">
        <v>206</v>
      </c>
      <c r="C205" t="s">
        <v>207</v>
      </c>
    </row>
    <row r="206" spans="1:3">
      <c r="B206" t="s">
        <v>424</v>
      </c>
      <c r="C206" t="s">
        <v>425</v>
      </c>
    </row>
    <row r="207" spans="1:3">
      <c r="B207" t="s">
        <v>437</v>
      </c>
      <c r="C207" t="s">
        <v>438</v>
      </c>
    </row>
    <row r="208" spans="1:3">
      <c r="B208" t="s">
        <v>585</v>
      </c>
      <c r="C208" t="s">
        <v>193</v>
      </c>
    </row>
    <row r="209" spans="1:3">
      <c r="A209" t="s">
        <v>485</v>
      </c>
      <c r="B209" t="s">
        <v>221</v>
      </c>
      <c r="C209" t="s">
        <v>222</v>
      </c>
    </row>
    <row r="210" spans="1:3">
      <c r="A210" t="s">
        <v>173</v>
      </c>
      <c r="B210" t="s">
        <v>212</v>
      </c>
      <c r="C210" t="s">
        <v>213</v>
      </c>
    </row>
    <row r="211" spans="1:3">
      <c r="A211" t="s">
        <v>164</v>
      </c>
      <c r="B211" t="s">
        <v>212</v>
      </c>
      <c r="C211" t="s">
        <v>213</v>
      </c>
    </row>
    <row r="212" spans="1:3">
      <c r="A212" t="s">
        <v>174</v>
      </c>
      <c r="B212" t="s">
        <v>212</v>
      </c>
      <c r="C212" t="s">
        <v>213</v>
      </c>
    </row>
    <row r="213" spans="1:3">
      <c r="A213" t="s">
        <v>175</v>
      </c>
      <c r="B213" t="s">
        <v>486</v>
      </c>
      <c r="C213" t="s">
        <v>487</v>
      </c>
    </row>
    <row r="214" spans="1:3">
      <c r="A214" t="s">
        <v>488</v>
      </c>
      <c r="B214" t="s">
        <v>199</v>
      </c>
      <c r="C214" t="s">
        <v>200</v>
      </c>
    </row>
    <row r="215" spans="1:3">
      <c r="A215" t="s">
        <v>179</v>
      </c>
      <c r="B215" t="s">
        <v>489</v>
      </c>
      <c r="C215" t="s">
        <v>490</v>
      </c>
    </row>
    <row r="216" spans="1:3">
      <c r="A216" t="s">
        <v>20</v>
      </c>
      <c r="B216" t="s">
        <v>491</v>
      </c>
      <c r="C216" t="s">
        <v>492</v>
      </c>
    </row>
    <row r="217" spans="1:3">
      <c r="A217" t="s">
        <v>115</v>
      </c>
      <c r="B217" t="s">
        <v>239</v>
      </c>
      <c r="C217" t="s">
        <v>240</v>
      </c>
    </row>
    <row r="218" spans="1:3">
      <c r="A218" t="s">
        <v>79</v>
      </c>
      <c r="B218" t="s">
        <v>493</v>
      </c>
      <c r="C218" t="s">
        <v>494</v>
      </c>
    </row>
    <row r="219" spans="1:3">
      <c r="A219" t="s">
        <v>167</v>
      </c>
      <c r="B219" t="s">
        <v>495</v>
      </c>
      <c r="C219" t="s">
        <v>496</v>
      </c>
    </row>
    <row r="220" spans="1:3">
      <c r="A220" t="s">
        <v>157</v>
      </c>
      <c r="B220" t="s">
        <v>497</v>
      </c>
      <c r="C220" t="s">
        <v>498</v>
      </c>
    </row>
    <row r="221" spans="1:3">
      <c r="A221" t="s">
        <v>38</v>
      </c>
      <c r="B221" t="s">
        <v>261</v>
      </c>
      <c r="C221" t="s">
        <v>262</v>
      </c>
    </row>
    <row r="222" spans="1:3">
      <c r="B222" t="s">
        <v>263</v>
      </c>
      <c r="C222" t="s">
        <v>264</v>
      </c>
    </row>
    <row r="223" spans="1:3">
      <c r="A223" t="s">
        <v>499</v>
      </c>
      <c r="B223" t="s">
        <v>251</v>
      </c>
      <c r="C223" t="s">
        <v>252</v>
      </c>
    </row>
    <row r="224" spans="1:3">
      <c r="A224" t="s">
        <v>500</v>
      </c>
      <c r="B224" t="s">
        <v>307</v>
      </c>
      <c r="C224" t="s">
        <v>308</v>
      </c>
    </row>
    <row r="225" spans="1:3">
      <c r="A225" t="s">
        <v>63</v>
      </c>
      <c r="B225" t="s">
        <v>199</v>
      </c>
      <c r="C225" t="s">
        <v>200</v>
      </c>
    </row>
    <row r="226" spans="1:3">
      <c r="A226" t="s">
        <v>74</v>
      </c>
      <c r="B226" t="s">
        <v>199</v>
      </c>
      <c r="C226" t="s">
        <v>200</v>
      </c>
    </row>
    <row r="227" spans="1:3">
      <c r="A227" t="s">
        <v>170</v>
      </c>
      <c r="B227" t="s">
        <v>501</v>
      </c>
      <c r="C227" t="s">
        <v>502</v>
      </c>
    </row>
    <row r="228" spans="1:3">
      <c r="A228" t="s">
        <v>503</v>
      </c>
      <c r="B228" t="s">
        <v>504</v>
      </c>
      <c r="C228" t="s">
        <v>505</v>
      </c>
    </row>
    <row r="229" spans="1:3">
      <c r="A229" t="s">
        <v>506</v>
      </c>
      <c r="B229" t="s">
        <v>507</v>
      </c>
      <c r="C229" t="s">
        <v>193</v>
      </c>
    </row>
    <row r="230" spans="1:3">
      <c r="A230" t="s">
        <v>29</v>
      </c>
      <c r="B230" t="s">
        <v>399</v>
      </c>
      <c r="C230" t="s">
        <v>400</v>
      </c>
    </row>
    <row r="231" spans="1:3">
      <c r="A231" t="s">
        <v>508</v>
      </c>
      <c r="B231" t="s">
        <v>509</v>
      </c>
      <c r="C231" t="s">
        <v>204</v>
      </c>
    </row>
    <row r="232" spans="1:3">
      <c r="B232" t="s">
        <v>586</v>
      </c>
      <c r="C232" t="s">
        <v>193</v>
      </c>
    </row>
    <row r="233" spans="1:3">
      <c r="A233" t="s">
        <v>510</v>
      </c>
      <c r="B233" t="s">
        <v>194</v>
      </c>
      <c r="C233" t="s">
        <v>195</v>
      </c>
    </row>
    <row r="234" spans="1:3">
      <c r="A234" t="s">
        <v>12</v>
      </c>
      <c r="B234" t="s">
        <v>199</v>
      </c>
      <c r="C234" t="s">
        <v>200</v>
      </c>
    </row>
    <row r="235" spans="1:3">
      <c r="A235" t="s">
        <v>186</v>
      </c>
      <c r="B235" t="s">
        <v>511</v>
      </c>
      <c r="C235" t="s">
        <v>512</v>
      </c>
    </row>
    <row r="236" spans="1:3">
      <c r="A236" t="s">
        <v>68</v>
      </c>
      <c r="B236" t="s">
        <v>513</v>
      </c>
      <c r="C236" t="s">
        <v>514</v>
      </c>
    </row>
    <row r="237" spans="1:3">
      <c r="A237" t="s">
        <v>515</v>
      </c>
      <c r="B237" t="s">
        <v>516</v>
      </c>
      <c r="C237" t="s">
        <v>517</v>
      </c>
    </row>
    <row r="238" spans="1:3">
      <c r="A238" t="s">
        <v>150</v>
      </c>
      <c r="B238" t="s">
        <v>518</v>
      </c>
      <c r="C238" t="s">
        <v>519</v>
      </c>
    </row>
    <row r="239" spans="1:3">
      <c r="A239" t="s">
        <v>149</v>
      </c>
      <c r="B239" t="s">
        <v>520</v>
      </c>
      <c r="C239" t="s">
        <v>521</v>
      </c>
    </row>
    <row r="240" spans="1:3">
      <c r="A240" t="s">
        <v>21</v>
      </c>
      <c r="B240" t="s">
        <v>522</v>
      </c>
      <c r="C240" t="s">
        <v>523</v>
      </c>
    </row>
    <row r="241" spans="1:3">
      <c r="A241" t="s">
        <v>19</v>
      </c>
      <c r="B241" t="s">
        <v>406</v>
      </c>
      <c r="C241" t="s">
        <v>407</v>
      </c>
    </row>
    <row r="242" spans="1:3">
      <c r="A242" t="s">
        <v>524</v>
      </c>
      <c r="B242" t="s">
        <v>525</v>
      </c>
      <c r="C242" t="s">
        <v>526</v>
      </c>
    </row>
    <row r="243" spans="1:3">
      <c r="A243" t="s">
        <v>26</v>
      </c>
      <c r="B243" t="s">
        <v>527</v>
      </c>
      <c r="C243" t="s">
        <v>528</v>
      </c>
    </row>
    <row r="244" spans="1:3">
      <c r="A244" t="s">
        <v>138</v>
      </c>
      <c r="B244" t="s">
        <v>529</v>
      </c>
      <c r="C244" t="s">
        <v>530</v>
      </c>
    </row>
    <row r="245" spans="1:3">
      <c r="A245" t="s">
        <v>97</v>
      </c>
      <c r="B245" t="s">
        <v>531</v>
      </c>
      <c r="C245" t="s">
        <v>532</v>
      </c>
    </row>
    <row r="246" spans="1:3">
      <c r="A246" t="s">
        <v>31</v>
      </c>
      <c r="B246" t="s">
        <v>533</v>
      </c>
      <c r="C246" t="s">
        <v>534</v>
      </c>
    </row>
    <row r="247" spans="1:3">
      <c r="A247" t="s">
        <v>151</v>
      </c>
      <c r="B247" t="s">
        <v>239</v>
      </c>
      <c r="C247" t="s">
        <v>240</v>
      </c>
    </row>
    <row r="248" spans="1:3">
      <c r="A248" t="s">
        <v>178</v>
      </c>
      <c r="B248" t="s">
        <v>535</v>
      </c>
      <c r="C248" t="s">
        <v>536</v>
      </c>
    </row>
    <row r="249" spans="1:3">
      <c r="A249" t="s">
        <v>537</v>
      </c>
      <c r="B249" t="s">
        <v>538</v>
      </c>
      <c r="C249" t="s">
        <v>193</v>
      </c>
    </row>
    <row r="250" spans="1:3">
      <c r="A250" t="s">
        <v>99</v>
      </c>
      <c r="B250" t="s">
        <v>539</v>
      </c>
      <c r="C250" t="s">
        <v>540</v>
      </c>
    </row>
    <row r="251" spans="1:3">
      <c r="A251" t="s">
        <v>541</v>
      </c>
      <c r="B251" t="s">
        <v>221</v>
      </c>
      <c r="C251" t="s">
        <v>222</v>
      </c>
    </row>
    <row r="252" spans="1:3">
      <c r="B252" t="s">
        <v>587</v>
      </c>
      <c r="C252" t="s">
        <v>193</v>
      </c>
    </row>
    <row r="253" spans="1:3">
      <c r="A253" t="s">
        <v>77</v>
      </c>
      <c r="B253" t="s">
        <v>542</v>
      </c>
      <c r="C253" t="s">
        <v>543</v>
      </c>
    </row>
    <row r="254" spans="1:3">
      <c r="A254" t="s">
        <v>18</v>
      </c>
      <c r="B254" t="s">
        <v>454</v>
      </c>
      <c r="C254" t="s">
        <v>455</v>
      </c>
    </row>
    <row r="255" spans="1:3">
      <c r="A255" t="s">
        <v>93</v>
      </c>
      <c r="B255" t="s">
        <v>544</v>
      </c>
      <c r="C255" t="s">
        <v>545</v>
      </c>
    </row>
    <row r="256" spans="1:3">
      <c r="A256" t="s">
        <v>546</v>
      </c>
      <c r="B256" t="s">
        <v>251</v>
      </c>
      <c r="C256" t="s">
        <v>252</v>
      </c>
    </row>
    <row r="257" spans="1:3">
      <c r="A257" t="s">
        <v>181</v>
      </c>
      <c r="B257" t="s">
        <v>223</v>
      </c>
      <c r="C257" t="s">
        <v>224</v>
      </c>
    </row>
    <row r="258" spans="1:3">
      <c r="B258" t="s">
        <v>547</v>
      </c>
      <c r="C258" t="s">
        <v>193</v>
      </c>
    </row>
    <row r="259" spans="1:3">
      <c r="A259" t="s">
        <v>109</v>
      </c>
      <c r="B259" t="s">
        <v>548</v>
      </c>
      <c r="C259" t="s">
        <v>549</v>
      </c>
    </row>
    <row r="260" spans="1:3">
      <c r="A260" t="s">
        <v>55</v>
      </c>
      <c r="B260" t="s">
        <v>550</v>
      </c>
      <c r="C260" t="s">
        <v>551</v>
      </c>
    </row>
    <row r="261" spans="1:3">
      <c r="A261" t="s">
        <v>30</v>
      </c>
      <c r="B261" t="s">
        <v>552</v>
      </c>
      <c r="C261" t="s">
        <v>553</v>
      </c>
    </row>
    <row r="262" spans="1:3">
      <c r="A262" t="s">
        <v>7</v>
      </c>
      <c r="B262" t="s">
        <v>572</v>
      </c>
      <c r="C262" t="s">
        <v>204</v>
      </c>
    </row>
    <row r="263" spans="1:3">
      <c r="A263" t="s">
        <v>1</v>
      </c>
      <c r="B263" t="s">
        <v>251</v>
      </c>
      <c r="C263" t="s">
        <v>252</v>
      </c>
    </row>
    <row r="264" spans="1:3">
      <c r="A264" t="s">
        <v>76</v>
      </c>
      <c r="B264" t="s">
        <v>554</v>
      </c>
      <c r="C264" t="s">
        <v>555</v>
      </c>
    </row>
    <row r="265" spans="1:3">
      <c r="A265" t="s">
        <v>78</v>
      </c>
      <c r="B265" t="s">
        <v>556</v>
      </c>
      <c r="C265" t="s">
        <v>557</v>
      </c>
    </row>
    <row r="266" spans="1:3">
      <c r="A266" t="s">
        <v>172</v>
      </c>
      <c r="B266" t="s">
        <v>558</v>
      </c>
      <c r="C266" t="s">
        <v>559</v>
      </c>
    </row>
    <row r="267" spans="1:3">
      <c r="A267" t="s">
        <v>560</v>
      </c>
      <c r="B267" t="s">
        <v>199</v>
      </c>
      <c r="C267" t="s">
        <v>200</v>
      </c>
    </row>
    <row r="268" spans="1:3">
      <c r="A268" t="s">
        <v>34</v>
      </c>
      <c r="B268" t="s">
        <v>561</v>
      </c>
      <c r="C268" t="s">
        <v>562</v>
      </c>
    </row>
    <row r="269" spans="1:3">
      <c r="A269" t="s">
        <v>58</v>
      </c>
      <c r="B269" t="s">
        <v>563</v>
      </c>
      <c r="C269" t="s">
        <v>564</v>
      </c>
    </row>
    <row r="270" spans="1:3">
      <c r="A270" t="s">
        <v>565</v>
      </c>
      <c r="B270" t="s">
        <v>333</v>
      </c>
      <c r="C270" t="s">
        <v>334</v>
      </c>
    </row>
    <row r="271" spans="1:3">
      <c r="A271" t="s">
        <v>86</v>
      </c>
      <c r="B271" t="s">
        <v>566</v>
      </c>
      <c r="C271" t="s">
        <v>567</v>
      </c>
    </row>
    <row r="272" spans="1:3">
      <c r="A272" t="s">
        <v>103</v>
      </c>
      <c r="B272" t="s">
        <v>568</v>
      </c>
      <c r="C272" t="s">
        <v>569</v>
      </c>
    </row>
    <row r="273" spans="1:3">
      <c r="A273" t="s">
        <v>129</v>
      </c>
      <c r="B273" t="s">
        <v>255</v>
      </c>
      <c r="C273" t="s">
        <v>256</v>
      </c>
    </row>
    <row r="274" spans="1:3">
      <c r="B274" t="s">
        <v>572</v>
      </c>
      <c r="C274" t="s">
        <v>204</v>
      </c>
    </row>
    <row r="275" spans="1:3">
      <c r="B275" t="s">
        <v>199</v>
      </c>
      <c r="C275" t="s">
        <v>200</v>
      </c>
    </row>
    <row r="276" spans="1:3">
      <c r="B276" t="s">
        <v>399</v>
      </c>
      <c r="C276" t="s">
        <v>400</v>
      </c>
    </row>
    <row r="277" spans="1:3">
      <c r="B277" t="s">
        <v>251</v>
      </c>
      <c r="C277" t="s">
        <v>252</v>
      </c>
    </row>
    <row r="278" spans="1:3">
      <c r="B278" t="s">
        <v>588</v>
      </c>
      <c r="C278" t="s">
        <v>570</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3">
    <tabColor rgb="FFFFC000"/>
  </sheetPr>
  <dimension ref="A1:C31"/>
  <sheetViews>
    <sheetView workbookViewId="0">
      <selection activeCell="B19" sqref="B19"/>
    </sheetView>
  </sheetViews>
  <sheetFormatPr defaultRowHeight="15"/>
  <cols>
    <col min="1" max="1" width="9.5703125" customWidth="1"/>
    <col min="2" max="2" width="38.42578125" bestFit="1" customWidth="1"/>
    <col min="3" max="3" width="12.85546875" bestFit="1" customWidth="1"/>
  </cols>
  <sheetData>
    <row r="1" spans="1:3">
      <c r="A1" t="s">
        <v>191</v>
      </c>
      <c r="B1" t="s">
        <v>590</v>
      </c>
      <c r="C1" t="s">
        <v>591</v>
      </c>
    </row>
    <row r="2" spans="1:3">
      <c r="A2" t="s">
        <v>252</v>
      </c>
      <c r="B2" t="s">
        <v>251</v>
      </c>
      <c r="C2">
        <v>1</v>
      </c>
    </row>
    <row r="3" spans="1:3">
      <c r="A3" t="s">
        <v>285</v>
      </c>
      <c r="B3" t="s">
        <v>284</v>
      </c>
      <c r="C3">
        <v>0.15721021048875083</v>
      </c>
    </row>
    <row r="4" spans="1:3">
      <c r="A4" t="s">
        <v>374</v>
      </c>
      <c r="B4" t="s">
        <v>373</v>
      </c>
      <c r="C4">
        <v>1.2673580527296991E-2</v>
      </c>
    </row>
    <row r="5" spans="1:3">
      <c r="A5" t="s">
        <v>200</v>
      </c>
      <c r="B5" t="s">
        <v>199</v>
      </c>
      <c r="C5">
        <v>1.2703994389916078</v>
      </c>
    </row>
    <row r="6" spans="1:3">
      <c r="A6" t="s">
        <v>258</v>
      </c>
      <c r="B6" t="s">
        <v>257</v>
      </c>
      <c r="C6">
        <v>0.49428116689897877</v>
      </c>
    </row>
    <row r="7" spans="1:3">
      <c r="A7" t="s">
        <v>204</v>
      </c>
      <c r="B7" t="s">
        <v>572</v>
      </c>
      <c r="C7">
        <v>1.5761782720672841</v>
      </c>
    </row>
    <row r="8" spans="1:3">
      <c r="A8" t="s">
        <v>276</v>
      </c>
      <c r="B8" t="s">
        <v>275</v>
      </c>
      <c r="C8">
        <v>0.98336152303032687</v>
      </c>
    </row>
    <row r="9" spans="1:3">
      <c r="A9" t="s">
        <v>247</v>
      </c>
      <c r="B9" t="s">
        <v>246</v>
      </c>
      <c r="C9">
        <v>1.7807916687442568E-2</v>
      </c>
    </row>
    <row r="10" spans="1:3">
      <c r="A10" t="s">
        <v>224</v>
      </c>
      <c r="B10" t="s">
        <v>223</v>
      </c>
      <c r="C10">
        <v>1.0199096564026358</v>
      </c>
    </row>
    <row r="11" spans="1:3">
      <c r="A11" t="s">
        <v>429</v>
      </c>
      <c r="B11" t="s">
        <v>428</v>
      </c>
      <c r="C11">
        <v>7.3046552567951561E-2</v>
      </c>
    </row>
    <row r="12" spans="1:3">
      <c r="A12" t="s">
        <v>362</v>
      </c>
      <c r="B12" t="s">
        <v>361</v>
      </c>
      <c r="C12">
        <v>1.0588946622178973E-4</v>
      </c>
    </row>
    <row r="13" spans="1:3">
      <c r="A13" t="s">
        <v>407</v>
      </c>
      <c r="B13" t="s">
        <v>406</v>
      </c>
      <c r="C13">
        <v>1.0578730615798488</v>
      </c>
    </row>
    <row r="14" spans="1:3">
      <c r="A14" t="s">
        <v>492</v>
      </c>
      <c r="B14" t="s">
        <v>491</v>
      </c>
      <c r="C14">
        <v>0.26666666666666666</v>
      </c>
    </row>
    <row r="15" spans="1:3">
      <c r="A15" t="s">
        <v>523</v>
      </c>
      <c r="B15" t="s">
        <v>522</v>
      </c>
      <c r="C15">
        <v>0.14365525038391866</v>
      </c>
    </row>
    <row r="16" spans="1:3">
      <c r="A16" t="s">
        <v>476</v>
      </c>
      <c r="B16" t="s">
        <v>475</v>
      </c>
      <c r="C16">
        <v>0.30031472983686902</v>
      </c>
    </row>
    <row r="17" spans="1:3">
      <c r="A17" t="s">
        <v>457</v>
      </c>
      <c r="B17" t="s">
        <v>456</v>
      </c>
      <c r="C17">
        <v>0.16925113144381371</v>
      </c>
    </row>
    <row r="18" spans="1:3">
      <c r="A18" t="s">
        <v>400</v>
      </c>
      <c r="B18" t="s">
        <v>399</v>
      </c>
      <c r="C18">
        <v>0.12192177986291114</v>
      </c>
    </row>
    <row r="19" spans="1:3">
      <c r="A19" t="s">
        <v>553</v>
      </c>
      <c r="B19" t="s">
        <v>552</v>
      </c>
      <c r="C19">
        <v>0.27221921268759308</v>
      </c>
    </row>
    <row r="20" spans="1:3">
      <c r="A20" t="s">
        <v>312</v>
      </c>
      <c r="B20" t="s">
        <v>311</v>
      </c>
      <c r="C20">
        <v>0.17090423722875361</v>
      </c>
    </row>
    <row r="21" spans="1:3">
      <c r="A21" t="s">
        <v>420</v>
      </c>
      <c r="B21" t="s">
        <v>419</v>
      </c>
      <c r="C21">
        <v>0.31680056770661735</v>
      </c>
    </row>
    <row r="22" spans="1:3">
      <c r="A22" t="s">
        <v>473</v>
      </c>
      <c r="B22" t="s">
        <v>472</v>
      </c>
      <c r="C22">
        <v>2.3705052257787702E-2</v>
      </c>
    </row>
    <row r="23" spans="1:3">
      <c r="A23" t="s">
        <v>461</v>
      </c>
      <c r="B23" t="s">
        <v>460</v>
      </c>
      <c r="C23">
        <v>1.0614088716799131E-2</v>
      </c>
    </row>
    <row r="24" spans="1:3">
      <c r="A24" t="s">
        <v>480</v>
      </c>
      <c r="B24" t="s">
        <v>479</v>
      </c>
      <c r="C24">
        <v>0.28461323906942854</v>
      </c>
    </row>
    <row r="25" spans="1:3">
      <c r="A25" t="s">
        <v>295</v>
      </c>
      <c r="B25" t="s">
        <v>294</v>
      </c>
      <c r="C25">
        <v>0.79758809360493876</v>
      </c>
    </row>
    <row r="26" spans="1:3">
      <c r="A26" t="s">
        <v>232</v>
      </c>
      <c r="B26" t="s">
        <v>231</v>
      </c>
      <c r="C26">
        <v>1.2220845340313881E-2</v>
      </c>
    </row>
    <row r="27" spans="1:3">
      <c r="A27" t="s">
        <v>438</v>
      </c>
      <c r="B27" t="s">
        <v>437</v>
      </c>
      <c r="C27">
        <v>0.11454753722794959</v>
      </c>
    </row>
    <row r="28" spans="1:3">
      <c r="A28" t="s">
        <v>514</v>
      </c>
      <c r="B28" t="s">
        <v>513</v>
      </c>
      <c r="C28">
        <v>7.5240581760178168E-3</v>
      </c>
    </row>
    <row r="29" spans="1:3">
      <c r="A29" t="s">
        <v>316</v>
      </c>
      <c r="B29" t="s">
        <v>315</v>
      </c>
      <c r="C29">
        <v>2.5673940949935813E-2</v>
      </c>
    </row>
    <row r="30" spans="1:3">
      <c r="A30" t="s">
        <v>324</v>
      </c>
      <c r="B30" t="s">
        <v>323</v>
      </c>
      <c r="C30">
        <v>5.6561085972850679E-2</v>
      </c>
    </row>
    <row r="31" spans="1:3">
      <c r="A31" t="s">
        <v>427</v>
      </c>
      <c r="B31" t="s">
        <v>426</v>
      </c>
      <c r="C31">
        <v>3.2556428429575561E-2</v>
      </c>
    </row>
  </sheetData>
  <autoFilter ref="A1:C182"/>
  <sortState ref="B1:B183">
    <sortCondition ref="B1"/>
  </sortState>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4">
    <tabColor rgb="FFFFC000"/>
  </sheetPr>
  <dimension ref="A4:A112"/>
  <sheetViews>
    <sheetView topLeftCell="A94" workbookViewId="0">
      <selection activeCell="A5" sqref="A5:A111"/>
    </sheetView>
  </sheetViews>
  <sheetFormatPr defaultRowHeight="15"/>
  <cols>
    <col min="1" max="1" width="20.85546875" customWidth="1"/>
    <col min="2" max="2" width="17" bestFit="1" customWidth="1"/>
    <col min="3" max="3" width="5.42578125" bestFit="1" customWidth="1"/>
    <col min="4" max="4" width="17" bestFit="1" customWidth="1"/>
    <col min="5" max="5" width="21" customWidth="1"/>
    <col min="6" max="6" width="21" bestFit="1" customWidth="1"/>
  </cols>
  <sheetData>
    <row r="4" spans="1:1">
      <c r="A4" s="5" t="s">
        <v>3836</v>
      </c>
    </row>
    <row r="5" spans="1:1">
      <c r="A5" t="s">
        <v>2274</v>
      </c>
    </row>
    <row r="6" spans="1:1">
      <c r="A6" t="s">
        <v>828</v>
      </c>
    </row>
    <row r="7" spans="1:1">
      <c r="A7" t="s">
        <v>2664</v>
      </c>
    </row>
    <row r="8" spans="1:1">
      <c r="A8" t="s">
        <v>3528</v>
      </c>
    </row>
    <row r="9" spans="1:1">
      <c r="A9" t="s">
        <v>2147</v>
      </c>
    </row>
    <row r="10" spans="1:1">
      <c r="A10" t="s">
        <v>2359</v>
      </c>
    </row>
    <row r="11" spans="1:1">
      <c r="A11" t="s">
        <v>703</v>
      </c>
    </row>
    <row r="12" spans="1:1">
      <c r="A12" t="s">
        <v>2940</v>
      </c>
    </row>
    <row r="13" spans="1:1">
      <c r="A13" t="s">
        <v>3378</v>
      </c>
    </row>
    <row r="14" spans="1:1">
      <c r="A14" t="s">
        <v>3723</v>
      </c>
    </row>
    <row r="15" spans="1:1">
      <c r="A15" t="s">
        <v>1362</v>
      </c>
    </row>
    <row r="16" spans="1:1">
      <c r="A16" t="s">
        <v>676</v>
      </c>
    </row>
    <row r="17" spans="1:1">
      <c r="A17" t="s">
        <v>1048</v>
      </c>
    </row>
    <row r="18" spans="1:1">
      <c r="A18" t="s">
        <v>1945</v>
      </c>
    </row>
    <row r="19" spans="1:1">
      <c r="A19" t="s">
        <v>3204</v>
      </c>
    </row>
    <row r="20" spans="1:1">
      <c r="A20" t="s">
        <v>748</v>
      </c>
    </row>
    <row r="21" spans="1:1">
      <c r="A21" t="s">
        <v>795</v>
      </c>
    </row>
    <row r="22" spans="1:1">
      <c r="A22" t="s">
        <v>3261</v>
      </c>
    </row>
    <row r="23" spans="1:1">
      <c r="A23" t="s">
        <v>1868</v>
      </c>
    </row>
    <row r="24" spans="1:1">
      <c r="A24" t="s">
        <v>708</v>
      </c>
    </row>
    <row r="25" spans="1:1">
      <c r="A25" t="s">
        <v>2596</v>
      </c>
    </row>
    <row r="26" spans="1:1">
      <c r="A26" t="s">
        <v>1607</v>
      </c>
    </row>
    <row r="27" spans="1:1">
      <c r="A27" t="s">
        <v>1699</v>
      </c>
    </row>
    <row r="28" spans="1:1">
      <c r="A28" t="s">
        <v>859</v>
      </c>
    </row>
    <row r="29" spans="1:1">
      <c r="A29" t="s">
        <v>1389</v>
      </c>
    </row>
    <row r="30" spans="1:1">
      <c r="A30" t="s">
        <v>609</v>
      </c>
    </row>
    <row r="31" spans="1:1">
      <c r="A31" t="s">
        <v>2235</v>
      </c>
    </row>
    <row r="32" spans="1:1">
      <c r="A32" t="s">
        <v>1984</v>
      </c>
    </row>
    <row r="33" spans="1:1">
      <c r="A33" t="s">
        <v>1428</v>
      </c>
    </row>
    <row r="34" spans="1:1">
      <c r="A34" t="s">
        <v>1164</v>
      </c>
    </row>
    <row r="35" spans="1:1">
      <c r="A35" t="s">
        <v>1941</v>
      </c>
    </row>
    <row r="36" spans="1:1">
      <c r="A36" t="s">
        <v>1504</v>
      </c>
    </row>
    <row r="37" spans="1:1">
      <c r="A37" t="s">
        <v>3794</v>
      </c>
    </row>
    <row r="38" spans="1:1">
      <c r="A38" t="s">
        <v>2999</v>
      </c>
    </row>
    <row r="39" spans="1:1">
      <c r="A39" t="s">
        <v>1414</v>
      </c>
    </row>
    <row r="40" spans="1:1">
      <c r="A40" t="s">
        <v>738</v>
      </c>
    </row>
    <row r="41" spans="1:1">
      <c r="A41" t="s">
        <v>626</v>
      </c>
    </row>
    <row r="42" spans="1:1">
      <c r="A42" t="s">
        <v>2915</v>
      </c>
    </row>
    <row r="43" spans="1:1">
      <c r="A43" t="s">
        <v>840</v>
      </c>
    </row>
    <row r="44" spans="1:1">
      <c r="A44" t="s">
        <v>1674</v>
      </c>
    </row>
    <row r="45" spans="1:1">
      <c r="A45" t="s">
        <v>3682</v>
      </c>
    </row>
    <row r="46" spans="1:1">
      <c r="A46" t="s">
        <v>644</v>
      </c>
    </row>
    <row r="47" spans="1:1">
      <c r="A47" t="s">
        <v>622</v>
      </c>
    </row>
    <row r="48" spans="1:1">
      <c r="A48" t="s">
        <v>604</v>
      </c>
    </row>
    <row r="49" spans="1:1">
      <c r="A49" t="s">
        <v>1758</v>
      </c>
    </row>
    <row r="50" spans="1:1">
      <c r="A50" t="s">
        <v>1410</v>
      </c>
    </row>
    <row r="51" spans="1:1">
      <c r="A51" t="s">
        <v>641</v>
      </c>
    </row>
    <row r="52" spans="1:1">
      <c r="A52" t="s">
        <v>1255</v>
      </c>
    </row>
    <row r="53" spans="1:1">
      <c r="A53" t="s">
        <v>2010</v>
      </c>
    </row>
    <row r="54" spans="1:1">
      <c r="A54" t="s">
        <v>1635</v>
      </c>
    </row>
    <row r="55" spans="1:1">
      <c r="A55" t="s">
        <v>2679</v>
      </c>
    </row>
    <row r="56" spans="1:1">
      <c r="A56" t="s">
        <v>2424</v>
      </c>
    </row>
    <row r="57" spans="1:1">
      <c r="A57" t="s">
        <v>2218</v>
      </c>
    </row>
    <row r="58" spans="1:1">
      <c r="A58" t="s">
        <v>2723</v>
      </c>
    </row>
    <row r="59" spans="1:1">
      <c r="A59" t="s">
        <v>3324</v>
      </c>
    </row>
    <row r="60" spans="1:1">
      <c r="A60" t="s">
        <v>3248</v>
      </c>
    </row>
    <row r="61" spans="1:1">
      <c r="A61" t="s">
        <v>1897</v>
      </c>
    </row>
    <row r="62" spans="1:1">
      <c r="A62" t="s">
        <v>2345</v>
      </c>
    </row>
    <row r="63" spans="1:1">
      <c r="A63" t="s">
        <v>3374</v>
      </c>
    </row>
    <row r="64" spans="1:1">
      <c r="A64" t="s">
        <v>833</v>
      </c>
    </row>
    <row r="65" spans="1:1">
      <c r="A65" t="s">
        <v>2786</v>
      </c>
    </row>
    <row r="66" spans="1:1">
      <c r="A66" t="s">
        <v>2612</v>
      </c>
    </row>
    <row r="67" spans="1:1">
      <c r="A67" t="s">
        <v>3299</v>
      </c>
    </row>
    <row r="68" spans="1:1">
      <c r="A68" t="s">
        <v>1510</v>
      </c>
    </row>
    <row r="69" spans="1:1">
      <c r="A69" t="s">
        <v>2836</v>
      </c>
    </row>
    <row r="70" spans="1:1">
      <c r="A70" t="s">
        <v>3222</v>
      </c>
    </row>
    <row r="71" spans="1:1">
      <c r="A71" t="s">
        <v>722</v>
      </c>
    </row>
    <row r="72" spans="1:1">
      <c r="A72" t="s">
        <v>1604</v>
      </c>
    </row>
    <row r="73" spans="1:1">
      <c r="A73" t="s">
        <v>1975</v>
      </c>
    </row>
    <row r="74" spans="1:1">
      <c r="A74" t="s">
        <v>1519</v>
      </c>
    </row>
    <row r="75" spans="1:1">
      <c r="A75" t="s">
        <v>3826</v>
      </c>
    </row>
    <row r="76" spans="1:1">
      <c r="A76" t="s">
        <v>616</v>
      </c>
    </row>
    <row r="77" spans="1:1">
      <c r="A77" t="s">
        <v>785</v>
      </c>
    </row>
    <row r="78" spans="1:1">
      <c r="A78" t="s">
        <v>2397</v>
      </c>
    </row>
    <row r="79" spans="1:1">
      <c r="A79" t="s">
        <v>3287</v>
      </c>
    </row>
    <row r="80" spans="1:1">
      <c r="A80" t="s">
        <v>1146</v>
      </c>
    </row>
    <row r="81" spans="1:1">
      <c r="A81" t="s">
        <v>689</v>
      </c>
    </row>
    <row r="82" spans="1:1">
      <c r="A82" t="s">
        <v>634</v>
      </c>
    </row>
    <row r="83" spans="1:1">
      <c r="A83" t="s">
        <v>2178</v>
      </c>
    </row>
    <row r="84" spans="1:1">
      <c r="A84" t="s">
        <v>1490</v>
      </c>
    </row>
    <row r="85" spans="1:1">
      <c r="A85" t="s">
        <v>2631</v>
      </c>
    </row>
    <row r="86" spans="1:1">
      <c r="A86" t="s">
        <v>1385</v>
      </c>
    </row>
    <row r="87" spans="1:1">
      <c r="A87" t="s">
        <v>683</v>
      </c>
    </row>
    <row r="88" spans="1:1">
      <c r="A88" t="s">
        <v>780</v>
      </c>
    </row>
    <row r="89" spans="1:1">
      <c r="A89" t="s">
        <v>1614</v>
      </c>
    </row>
    <row r="90" spans="1:1">
      <c r="A90" t="s">
        <v>1035</v>
      </c>
    </row>
    <row r="91" spans="1:1">
      <c r="A91" t="s">
        <v>3429</v>
      </c>
    </row>
    <row r="92" spans="1:1">
      <c r="A92" t="s">
        <v>2260</v>
      </c>
    </row>
    <row r="93" spans="1:1">
      <c r="A93" t="s">
        <v>1463</v>
      </c>
    </row>
    <row r="94" spans="1:1">
      <c r="A94" t="s">
        <v>659</v>
      </c>
    </row>
    <row r="95" spans="1:1">
      <c r="A95" t="s">
        <v>1557</v>
      </c>
    </row>
    <row r="96" spans="1:1">
      <c r="A96" t="s">
        <v>1738</v>
      </c>
    </row>
    <row r="97" spans="1:1">
      <c r="A97" t="s">
        <v>1301</v>
      </c>
    </row>
    <row r="98" spans="1:1">
      <c r="A98" t="s">
        <v>655</v>
      </c>
    </row>
    <row r="99" spans="1:1">
      <c r="A99" t="s">
        <v>1056</v>
      </c>
    </row>
    <row r="100" spans="1:1">
      <c r="A100" t="s">
        <v>3436</v>
      </c>
    </row>
    <row r="101" spans="1:1">
      <c r="A101" t="s">
        <v>880</v>
      </c>
    </row>
    <row r="102" spans="1:1">
      <c r="A102" t="s">
        <v>770</v>
      </c>
    </row>
    <row r="103" spans="1:1">
      <c r="A103" t="s">
        <v>2855</v>
      </c>
    </row>
    <row r="104" spans="1:1">
      <c r="A104" t="s">
        <v>687</v>
      </c>
    </row>
    <row r="105" spans="1:1">
      <c r="A105" t="s">
        <v>630</v>
      </c>
    </row>
    <row r="106" spans="1:1">
      <c r="A106" t="s">
        <v>2142</v>
      </c>
    </row>
    <row r="107" spans="1:1">
      <c r="A107" t="s">
        <v>613</v>
      </c>
    </row>
    <row r="108" spans="1:1">
      <c r="A108" t="s">
        <v>2197</v>
      </c>
    </row>
    <row r="109" spans="1:1">
      <c r="A109" t="s">
        <v>3217</v>
      </c>
    </row>
    <row r="110" spans="1:1">
      <c r="A110" t="s">
        <v>2291</v>
      </c>
    </row>
    <row r="111" spans="1:1">
      <c r="A111" t="s">
        <v>2240</v>
      </c>
    </row>
    <row r="112" spans="1:1">
      <c r="A112" t="s">
        <v>3839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tabColor rgb="FFFFC000"/>
  </sheetPr>
  <dimension ref="B1:M2003"/>
  <sheetViews>
    <sheetView showGridLines="0" topLeftCell="A1896" workbookViewId="0">
      <selection activeCell="C1926" sqref="C1926"/>
    </sheetView>
  </sheetViews>
  <sheetFormatPr defaultRowHeight="15"/>
  <cols>
    <col min="1" max="1" width="4.42578125" customWidth="1"/>
    <col min="2" max="2" width="16.5703125" customWidth="1"/>
    <col min="3" max="3" width="13.5703125" customWidth="1"/>
    <col min="4" max="4" width="12.42578125" bestFit="1" customWidth="1"/>
    <col min="5" max="5" width="12.7109375" customWidth="1"/>
    <col min="6" max="6" width="15.7109375" bestFit="1" customWidth="1"/>
    <col min="7" max="7" width="18.28515625" bestFit="1" customWidth="1"/>
    <col min="8" max="8" width="24.42578125" customWidth="1"/>
    <col min="9" max="9" width="20" customWidth="1"/>
    <col min="10" max="10" width="15.140625" customWidth="1"/>
    <col min="11" max="11" width="28" customWidth="1"/>
    <col min="12" max="12" width="18" customWidth="1"/>
    <col min="13" max="13" width="13" customWidth="1"/>
    <col min="14" max="14" width="17.140625" customWidth="1"/>
  </cols>
  <sheetData>
    <row r="1" spans="2:12" ht="23.25">
      <c r="B1" s="26" t="s">
        <v>592</v>
      </c>
      <c r="C1" s="26"/>
      <c r="E1">
        <v>12</v>
      </c>
    </row>
    <row r="2" spans="2:12" ht="23.25">
      <c r="G2" t="s">
        <v>3835</v>
      </c>
      <c r="H2" s="10" t="str">
        <f>Curr</f>
        <v>USD</v>
      </c>
    </row>
    <row r="3" spans="2:12">
      <c r="B3" s="2" t="s">
        <v>593</v>
      </c>
      <c r="C3" s="2"/>
      <c r="D3" s="2"/>
      <c r="E3" s="2"/>
      <c r="F3" s="2"/>
      <c r="G3" s="2"/>
      <c r="H3" s="2"/>
      <c r="I3" s="2"/>
      <c r="J3" s="2"/>
      <c r="K3" s="2"/>
      <c r="L3" s="2"/>
    </row>
    <row r="5" spans="2:12">
      <c r="B5" t="s">
        <v>594</v>
      </c>
      <c r="C5" t="s">
        <v>595</v>
      </c>
      <c r="D5" t="s">
        <v>191</v>
      </c>
      <c r="E5" t="s">
        <v>596</v>
      </c>
      <c r="F5" t="s">
        <v>3834</v>
      </c>
      <c r="G5" t="s">
        <v>3835</v>
      </c>
      <c r="H5" t="s">
        <v>597</v>
      </c>
      <c r="I5" t="s">
        <v>598</v>
      </c>
      <c r="J5" t="s">
        <v>3836</v>
      </c>
      <c r="K5" t="s">
        <v>599</v>
      </c>
      <c r="L5" t="s">
        <v>600</v>
      </c>
    </row>
    <row r="6" spans="2:12" ht="15" hidden="1" customHeight="1">
      <c r="B6" t="s">
        <v>1386</v>
      </c>
      <c r="C6">
        <v>14000000</v>
      </c>
      <c r="D6" t="s">
        <v>1387</v>
      </c>
      <c r="E6">
        <v>28109.627547434993</v>
      </c>
      <c r="F6" s="3" t="e">
        <f>(tblSalaries[[#This Row],[clean Salary (in local currency)]])*(VLOOKUP(tblSalaries[[#This Row],[Currency]],Sheet3!$A$2:$C$31,3,FALSE))*(VLOOKUP(tblSalaries[[#This Row],[Currency]],Sheet1!$N$4:$Q$186,4,FALSE))</f>
        <v>#N/A</v>
      </c>
      <c r="G6" s="4" t="e">
        <f>IF(Dashboard!$J$5=VLOOKUP(tblSalaries[[#This Row],[Currency]],Sheet3!$A$2:$B$31,2,FALSE),tblSalaries[[#This Row],[clean Salary (in local currency)]],(tblSalaries[[#This Row],[PPP Adjusted  USD]]/VLOOKUP(Dashboard!$J$5,Sheet3!$B$2:$C$31,2,FALSE)))</f>
        <v>#N/A</v>
      </c>
      <c r="H6" t="s">
        <v>1388</v>
      </c>
      <c r="I6" t="s">
        <v>603</v>
      </c>
      <c r="J6" t="s">
        <v>1389</v>
      </c>
      <c r="K6" t="s">
        <v>610</v>
      </c>
    </row>
    <row r="7" spans="2:12" ht="15" hidden="1" customHeight="1">
      <c r="B7" t="s">
        <v>1938</v>
      </c>
      <c r="C7">
        <v>120000</v>
      </c>
      <c r="D7" t="s">
        <v>1939</v>
      </c>
      <c r="E7">
        <v>19831.432821021317</v>
      </c>
      <c r="F7" s="3" t="e">
        <f>(tblSalaries[[#This Row],[clean Salary (in local currency)]])*(VLOOKUP(tblSalaries[[#This Row],[Currency]],Sheet3!$A$2:$C$31,3,FALSE))*(VLOOKUP(tblSalaries[[#This Row],[Currency]],Sheet1!$N$4:$Q$186,4,FALSE))</f>
        <v>#N/A</v>
      </c>
      <c r="G7" s="4" t="e">
        <f>IF(Dashboard!$J$5=VLOOKUP(tblSalaries[[#This Row],[Currency]],Sheet3!$A$2:$B$31,2,FALSE),tblSalaries[[#This Row],[clean Salary (in local currency)]],(tblSalaries[[#This Row],[PPP Adjusted  USD]]/VLOOKUP(Dashboard!$J$5,Sheet3!$B$2:$C$31,2,FALSE)))</f>
        <v>#N/A</v>
      </c>
      <c r="H7" t="s">
        <v>1940</v>
      </c>
      <c r="I7" t="s">
        <v>603</v>
      </c>
      <c r="J7" t="s">
        <v>1941</v>
      </c>
      <c r="K7" t="s">
        <v>610</v>
      </c>
      <c r="L7">
        <v>5</v>
      </c>
    </row>
    <row r="8" spans="2:12" ht="15" hidden="1" customHeight="1">
      <c r="B8" t="s">
        <v>1972</v>
      </c>
      <c r="C8">
        <v>1488000</v>
      </c>
      <c r="D8" t="s">
        <v>1973</v>
      </c>
      <c r="E8">
        <v>9171.0323574730355</v>
      </c>
      <c r="F8" s="3" t="e">
        <f>(tblSalaries[[#This Row],[clean Salary (in local currency)]])*(VLOOKUP(tblSalaries[[#This Row],[Currency]],Sheet3!$A$2:$C$31,3,FALSE))*(VLOOKUP(tblSalaries[[#This Row],[Currency]],Sheet1!$N$4:$Q$186,4,FALSE))</f>
        <v>#N/A</v>
      </c>
      <c r="G8" s="4" t="e">
        <f>IF(Dashboard!$J$5=VLOOKUP(tblSalaries[[#This Row],[Currency]],Sheet3!$A$2:$B$31,2,FALSE),tblSalaries[[#This Row],[clean Salary (in local currency)]],(tblSalaries[[#This Row],[PPP Adjusted  USD]]/VLOOKUP(Dashboard!$J$5,Sheet3!$B$2:$C$31,2,FALSE)))</f>
        <v>#N/A</v>
      </c>
      <c r="H8" t="s">
        <v>1974</v>
      </c>
      <c r="I8" t="s">
        <v>625</v>
      </c>
      <c r="J8" t="s">
        <v>1975</v>
      </c>
      <c r="K8" t="s">
        <v>617</v>
      </c>
      <c r="L8">
        <v>5</v>
      </c>
    </row>
    <row r="9" spans="2:12" ht="15" hidden="1" customHeight="1">
      <c r="B9" t="s">
        <v>2302</v>
      </c>
      <c r="C9">
        <v>2000000</v>
      </c>
      <c r="D9" t="s">
        <v>1973</v>
      </c>
      <c r="E9">
        <v>12326.656394453004</v>
      </c>
      <c r="F9" s="3" t="e">
        <f>(tblSalaries[[#This Row],[clean Salary (in local currency)]])*(VLOOKUP(tblSalaries[[#This Row],[Currency]],Sheet3!$A$2:$C$31,3,FALSE))*(VLOOKUP(tblSalaries[[#This Row],[Currency]],Sheet1!$N$4:$Q$186,4,FALSE))</f>
        <v>#N/A</v>
      </c>
      <c r="G9" s="4" t="e">
        <f>IF(Dashboard!$J$5=VLOOKUP(tblSalaries[[#This Row],[Currency]],Sheet3!$A$2:$B$31,2,FALSE),tblSalaries[[#This Row],[clean Salary (in local currency)]],(tblSalaries[[#This Row],[PPP Adjusted  USD]]/VLOOKUP(Dashboard!$J$5,Sheet3!$B$2:$C$31,2,FALSE)))</f>
        <v>#N/A</v>
      </c>
      <c r="H9" t="s">
        <v>2303</v>
      </c>
      <c r="I9" t="s">
        <v>625</v>
      </c>
      <c r="J9" t="s">
        <v>1975</v>
      </c>
      <c r="K9" t="s">
        <v>605</v>
      </c>
      <c r="L9">
        <v>5</v>
      </c>
    </row>
    <row r="10" spans="2:12" ht="15" hidden="1" customHeight="1">
      <c r="B10" t="s">
        <v>2400</v>
      </c>
      <c r="C10">
        <v>92000</v>
      </c>
      <c r="D10" t="s">
        <v>264</v>
      </c>
      <c r="E10">
        <v>72571.80269935554</v>
      </c>
      <c r="F10" s="3" t="e">
        <f>(tblSalaries[[#This Row],[clean Salary (in local currency)]])*(VLOOKUP(tblSalaries[[#This Row],[Currency]],Sheet3!$A$2:$C$31,3,FALSE))*(VLOOKUP(tblSalaries[[#This Row],[Currency]],Sheet1!$N$4:$Q$186,4,FALSE))</f>
        <v>#N/A</v>
      </c>
      <c r="G10" s="4" t="e">
        <f>IF(Dashboard!$J$5=VLOOKUP(tblSalaries[[#This Row],[Currency]],Sheet3!$A$2:$B$31,2,FALSE),tblSalaries[[#This Row],[clean Salary (in local currency)]],(tblSalaries[[#This Row],[PPP Adjusted  USD]]/VLOOKUP(Dashboard!$J$5,Sheet3!$B$2:$C$31,2,FALSE)))</f>
        <v>#N/A</v>
      </c>
      <c r="H10" t="s">
        <v>1611</v>
      </c>
      <c r="I10" t="s">
        <v>625</v>
      </c>
      <c r="J10" t="s">
        <v>1035</v>
      </c>
      <c r="K10" t="s">
        <v>610</v>
      </c>
      <c r="L10">
        <v>15</v>
      </c>
    </row>
    <row r="11" spans="2:12" ht="15" hidden="1" customHeight="1">
      <c r="B11" t="s">
        <v>2677</v>
      </c>
      <c r="C11">
        <v>4300000</v>
      </c>
      <c r="D11" t="s">
        <v>2678</v>
      </c>
      <c r="E11">
        <v>51497.005988023957</v>
      </c>
      <c r="F11" s="3" t="e">
        <f>(tblSalaries[[#This Row],[clean Salary (in local currency)]])*(VLOOKUP(tblSalaries[[#This Row],[Currency]],Sheet3!$A$2:$C$31,3,FALSE))*(VLOOKUP(tblSalaries[[#This Row],[Currency]],Sheet1!$N$4:$Q$186,4,FALSE))</f>
        <v>#N/A</v>
      </c>
      <c r="G11" s="4" t="e">
        <f>IF(Dashboard!$J$5=VLOOKUP(tblSalaries[[#This Row],[Currency]],Sheet3!$A$2:$B$31,2,FALSE),tblSalaries[[#This Row],[clean Salary (in local currency)]],(tblSalaries[[#This Row],[PPP Adjusted  USD]]/VLOOKUP(Dashboard!$J$5,Sheet3!$B$2:$C$31,2,FALSE)))</f>
        <v>#N/A</v>
      </c>
      <c r="H11" t="s">
        <v>1611</v>
      </c>
      <c r="I11" t="s">
        <v>625</v>
      </c>
      <c r="J11" t="s">
        <v>2679</v>
      </c>
      <c r="K11" t="s">
        <v>605</v>
      </c>
      <c r="L11">
        <v>9</v>
      </c>
    </row>
    <row r="12" spans="2:12" ht="15" hidden="1" customHeight="1">
      <c r="B12" t="s">
        <v>2784</v>
      </c>
      <c r="C12">
        <v>9600000</v>
      </c>
      <c r="D12" t="s">
        <v>2785</v>
      </c>
      <c r="E12">
        <v>7261.724659606657</v>
      </c>
      <c r="F12" s="3" t="e">
        <f>(tblSalaries[[#This Row],[clean Salary (in local currency)]])*(VLOOKUP(tblSalaries[[#This Row],[Currency]],Sheet3!$A$2:$C$31,3,FALSE))*(VLOOKUP(tblSalaries[[#This Row],[Currency]],Sheet1!$N$4:$Q$186,4,FALSE))</f>
        <v>#N/A</v>
      </c>
      <c r="G12" s="4" t="e">
        <f>IF(Dashboard!$J$5=VLOOKUP(tblSalaries[[#This Row],[Currency]],Sheet3!$A$2:$B$31,2,FALSE),tblSalaries[[#This Row],[clean Salary (in local currency)]],(tblSalaries[[#This Row],[PPP Adjusted  USD]]/VLOOKUP(Dashboard!$J$5,Sheet3!$B$2:$C$31,2,FALSE)))</f>
        <v>#N/A</v>
      </c>
      <c r="H12" t="s">
        <v>603</v>
      </c>
      <c r="I12" t="s">
        <v>603</v>
      </c>
      <c r="J12" t="s">
        <v>2786</v>
      </c>
      <c r="K12" t="s">
        <v>610</v>
      </c>
      <c r="L12">
        <v>2</v>
      </c>
    </row>
    <row r="13" spans="2:12" ht="15" customHeight="1">
      <c r="B13" t="s">
        <v>1505</v>
      </c>
      <c r="C13">
        <v>1250000</v>
      </c>
      <c r="D13" t="s">
        <v>276</v>
      </c>
      <c r="E13">
        <v>1229201.9037879086</v>
      </c>
      <c r="F13" s="3">
        <f>(tblSalaries[[#This Row],[clean Salary (in local currency)]])*(VLOOKUP(tblSalaries[[#This Row],[Currency]],Sheet3!$A$2:$C$31,3,FALSE))*(VLOOKUP(tblSalaries[[#This Row],[Currency]],Sheet1!$N$4:$Q$186,4,FALSE))</f>
        <v>988057.75400293083</v>
      </c>
      <c r="G13" s="4">
        <f>IF(Dashboard!$J$5=VLOOKUP(tblSalaries[[#This Row],[Currency]],Sheet3!$A$2:$B$31,2,FALSE),tblSalaries[[#This Row],[clean Salary (in local currency)]],(tblSalaries[[#This Row],[PPP Adjusted  USD]]/VLOOKUP(Dashboard!$J$5,Sheet3!$B$2:$C$31,2,FALSE)))</f>
        <v>988057.75400293083</v>
      </c>
      <c r="H13" t="s">
        <v>1506</v>
      </c>
      <c r="I13" t="s">
        <v>637</v>
      </c>
      <c r="J13" t="s">
        <v>708</v>
      </c>
      <c r="K13" t="s">
        <v>605</v>
      </c>
      <c r="L13" t="s">
        <v>3847</v>
      </c>
    </row>
    <row r="14" spans="2:12" ht="15" customHeight="1">
      <c r="B14" t="s">
        <v>1801</v>
      </c>
      <c r="C14">
        <v>10500000</v>
      </c>
      <c r="D14" t="s">
        <v>247</v>
      </c>
      <c r="E14">
        <v>186983.12521814698</v>
      </c>
      <c r="F14" s="3">
        <f>(tblSalaries[[#This Row],[clean Salary (in local currency)]])*(VLOOKUP(tblSalaries[[#This Row],[Currency]],Sheet3!$A$2:$C$31,3,FALSE))*(VLOOKUP(tblSalaries[[#This Row],[Currency]],Sheet1!$N$4:$Q$186,4,FALSE))</f>
        <v>497290.73466133379</v>
      </c>
      <c r="G14" s="4">
        <f>IF(Dashboard!$J$5=VLOOKUP(tblSalaries[[#This Row],[Currency]],Sheet3!$A$2:$B$31,2,FALSE),tblSalaries[[#This Row],[clean Salary (in local currency)]],(tblSalaries[[#This Row],[PPP Adjusted  USD]]/VLOOKUP(Dashboard!$J$5,Sheet3!$B$2:$C$31,2,FALSE)))</f>
        <v>497290.73466133379</v>
      </c>
      <c r="H14" t="s">
        <v>1802</v>
      </c>
      <c r="I14" t="s">
        <v>625</v>
      </c>
      <c r="J14" t="s">
        <v>604</v>
      </c>
      <c r="K14" t="s">
        <v>617</v>
      </c>
      <c r="L14">
        <v>10</v>
      </c>
    </row>
    <row r="15" spans="2:12" ht="15" customHeight="1">
      <c r="B15" t="s">
        <v>1320</v>
      </c>
      <c r="C15">
        <v>9000000</v>
      </c>
      <c r="D15" t="s">
        <v>247</v>
      </c>
      <c r="E15">
        <v>160271.25018698312</v>
      </c>
      <c r="F15" s="3">
        <f>(tblSalaries[[#This Row],[clean Salary (in local currency)]])*(VLOOKUP(tblSalaries[[#This Row],[Currency]],Sheet3!$A$2:$C$31,3,FALSE))*(VLOOKUP(tblSalaries[[#This Row],[Currency]],Sheet1!$N$4:$Q$186,4,FALSE))</f>
        <v>426249.20113828609</v>
      </c>
      <c r="G15" s="4">
        <f>IF(Dashboard!$J$5=VLOOKUP(tblSalaries[[#This Row],[Currency]],Sheet3!$A$2:$B$31,2,FALSE),tblSalaries[[#This Row],[clean Salary (in local currency)]],(tblSalaries[[#This Row],[PPP Adjusted  USD]]/VLOOKUP(Dashboard!$J$5,Sheet3!$B$2:$C$31,2,FALSE)))</f>
        <v>426249.20113828609</v>
      </c>
      <c r="H15" t="s">
        <v>612</v>
      </c>
      <c r="I15" t="s">
        <v>603</v>
      </c>
      <c r="J15" t="s">
        <v>604</v>
      </c>
      <c r="K15" t="s">
        <v>605</v>
      </c>
      <c r="L15" t="s">
        <v>3847</v>
      </c>
    </row>
    <row r="16" spans="2:12" ht="15" customHeight="1">
      <c r="B16" t="s">
        <v>1029</v>
      </c>
      <c r="C16">
        <v>400000</v>
      </c>
      <c r="D16" t="s">
        <v>252</v>
      </c>
      <c r="E16">
        <v>400000</v>
      </c>
      <c r="F16" s="3">
        <f>(tblSalaries[[#This Row],[clean Salary (in local currency)]])*(VLOOKUP(tblSalaries[[#This Row],[Currency]],Sheet3!$A$2:$C$31,3,FALSE))*(VLOOKUP(tblSalaries[[#This Row],[Currency]],Sheet1!$N$4:$Q$186,4,FALSE))</f>
        <v>400000</v>
      </c>
      <c r="G16" s="4">
        <f>IF(Dashboard!$J$5=VLOOKUP(tblSalaries[[#This Row],[Currency]],Sheet3!$A$2:$B$31,2,FALSE),tblSalaries[[#This Row],[clean Salary (in local currency)]],(tblSalaries[[#This Row],[PPP Adjusted  USD]]/VLOOKUP(Dashboard!$J$5,Sheet3!$B$2:$C$31,2,FALSE)))</f>
        <v>400000</v>
      </c>
      <c r="H16" t="s">
        <v>1030</v>
      </c>
      <c r="I16" t="s">
        <v>625</v>
      </c>
      <c r="J16" t="s">
        <v>613</v>
      </c>
      <c r="K16" t="s">
        <v>627</v>
      </c>
      <c r="L16" t="s">
        <v>3847</v>
      </c>
    </row>
    <row r="17" spans="2:12" ht="15" customHeight="1">
      <c r="B17" t="s">
        <v>1219</v>
      </c>
      <c r="C17">
        <v>400000</v>
      </c>
      <c r="D17" t="s">
        <v>252</v>
      </c>
      <c r="E17">
        <v>400000</v>
      </c>
      <c r="F17" s="3">
        <f>(tblSalaries[[#This Row],[clean Salary (in local currency)]])*(VLOOKUP(tblSalaries[[#This Row],[Currency]],Sheet3!$A$2:$C$31,3,FALSE))*(VLOOKUP(tblSalaries[[#This Row],[Currency]],Sheet1!$N$4:$Q$186,4,FALSE))</f>
        <v>400000</v>
      </c>
      <c r="G17" s="4">
        <f>IF(Dashboard!$J$5=VLOOKUP(tblSalaries[[#This Row],[Currency]],Sheet3!$A$2:$B$31,2,FALSE),tblSalaries[[#This Row],[clean Salary (in local currency)]],(tblSalaries[[#This Row],[PPP Adjusted  USD]]/VLOOKUP(Dashboard!$J$5,Sheet3!$B$2:$C$31,2,FALSE)))</f>
        <v>400000</v>
      </c>
      <c r="H17" t="s">
        <v>1220</v>
      </c>
      <c r="I17" t="s">
        <v>640</v>
      </c>
      <c r="J17" t="s">
        <v>613</v>
      </c>
      <c r="K17" t="s">
        <v>610</v>
      </c>
      <c r="L17" t="s">
        <v>3847</v>
      </c>
    </row>
    <row r="18" spans="2:12" ht="15" customHeight="1">
      <c r="B18" t="s">
        <v>1681</v>
      </c>
      <c r="C18">
        <v>300000</v>
      </c>
      <c r="D18" t="s">
        <v>252</v>
      </c>
      <c r="E18">
        <v>300000</v>
      </c>
      <c r="F18" s="3">
        <f>(tblSalaries[[#This Row],[clean Salary (in local currency)]])*(VLOOKUP(tblSalaries[[#This Row],[Currency]],Sheet3!$A$2:$C$31,3,FALSE))*(VLOOKUP(tblSalaries[[#This Row],[Currency]],Sheet1!$N$4:$Q$186,4,FALSE))</f>
        <v>300000</v>
      </c>
      <c r="G18" s="4">
        <f>IF(Dashboard!$J$5=VLOOKUP(tblSalaries[[#This Row],[Currency]],Sheet3!$A$2:$B$31,2,FALSE),tblSalaries[[#This Row],[clean Salary (in local currency)]],(tblSalaries[[#This Row],[PPP Adjusted  USD]]/VLOOKUP(Dashboard!$J$5,Sheet3!$B$2:$C$31,2,FALSE)))</f>
        <v>300000</v>
      </c>
      <c r="H18" t="s">
        <v>1682</v>
      </c>
      <c r="I18" t="s">
        <v>633</v>
      </c>
      <c r="J18" t="s">
        <v>613</v>
      </c>
      <c r="K18" t="s">
        <v>617</v>
      </c>
      <c r="L18">
        <v>30</v>
      </c>
    </row>
    <row r="19" spans="2:12" ht="15" customHeight="1">
      <c r="B19" t="s">
        <v>1532</v>
      </c>
      <c r="C19">
        <v>190000</v>
      </c>
      <c r="D19" t="s">
        <v>204</v>
      </c>
      <c r="E19">
        <v>299473.87169278396</v>
      </c>
      <c r="F19" s="3">
        <f>(tblSalaries[[#This Row],[clean Salary (in local currency)]])*(VLOOKUP(tblSalaries[[#This Row],[Currency]],Sheet3!$A$2:$C$31,3,FALSE))*(VLOOKUP(tblSalaries[[#This Row],[Currency]],Sheet1!$N$4:$Q$186,4,FALSE))</f>
        <v>280054.52894628118</v>
      </c>
      <c r="G19" s="4">
        <f>IF(Dashboard!$J$5=VLOOKUP(tblSalaries[[#This Row],[Currency]],Sheet3!$A$2:$B$31,2,FALSE),tblSalaries[[#This Row],[clean Salary (in local currency)]],(tblSalaries[[#This Row],[PPP Adjusted  USD]]/VLOOKUP(Dashboard!$J$5,Sheet3!$B$2:$C$31,2,FALSE)))</f>
        <v>280054.52894628118</v>
      </c>
      <c r="H19" t="s">
        <v>1533</v>
      </c>
      <c r="I19" t="s">
        <v>633</v>
      </c>
      <c r="J19" t="s">
        <v>687</v>
      </c>
      <c r="K19" t="s">
        <v>605</v>
      </c>
      <c r="L19" t="s">
        <v>3847</v>
      </c>
    </row>
    <row r="20" spans="2:12" ht="15" customHeight="1">
      <c r="B20" t="s">
        <v>3306</v>
      </c>
      <c r="C20">
        <v>5650000</v>
      </c>
      <c r="D20" t="s">
        <v>247</v>
      </c>
      <c r="E20">
        <v>100614.72928405051</v>
      </c>
      <c r="F20" s="3">
        <f>(tblSalaries[[#This Row],[clean Salary (in local currency)]])*(VLOOKUP(tblSalaries[[#This Row],[Currency]],Sheet3!$A$2:$C$31,3,FALSE))*(VLOOKUP(tblSalaries[[#This Row],[Currency]],Sheet1!$N$4:$Q$186,4,FALSE))</f>
        <v>267589.77627014625</v>
      </c>
      <c r="G20" s="4">
        <f>IF(Dashboard!$J$5=VLOOKUP(tblSalaries[[#This Row],[Currency]],Sheet3!$A$2:$B$31,2,FALSE),tblSalaries[[#This Row],[clean Salary (in local currency)]],(tblSalaries[[#This Row],[PPP Adjusted  USD]]/VLOOKUP(Dashboard!$J$5,Sheet3!$B$2:$C$31,2,FALSE)))</f>
        <v>267589.77627014625</v>
      </c>
      <c r="H20" t="s">
        <v>1166</v>
      </c>
      <c r="I20" t="s">
        <v>658</v>
      </c>
      <c r="J20" t="s">
        <v>604</v>
      </c>
      <c r="K20" t="s">
        <v>617</v>
      </c>
      <c r="L20">
        <v>6</v>
      </c>
    </row>
    <row r="21" spans="2:12" ht="15" customHeight="1">
      <c r="B21" t="s">
        <v>2336</v>
      </c>
      <c r="C21">
        <v>260000</v>
      </c>
      <c r="D21" t="s">
        <v>252</v>
      </c>
      <c r="E21">
        <v>260000</v>
      </c>
      <c r="F21" s="3">
        <f>(tblSalaries[[#This Row],[clean Salary (in local currency)]])*(VLOOKUP(tblSalaries[[#This Row],[Currency]],Sheet3!$A$2:$C$31,3,FALSE))*(VLOOKUP(tblSalaries[[#This Row],[Currency]],Sheet1!$N$4:$Q$186,4,FALSE))</f>
        <v>260000</v>
      </c>
      <c r="G21" s="4">
        <f>IF(Dashboard!$J$5=VLOOKUP(tblSalaries[[#This Row],[Currency]],Sheet3!$A$2:$B$31,2,FALSE),tblSalaries[[#This Row],[clean Salary (in local currency)]],(tblSalaries[[#This Row],[PPP Adjusted  USD]]/VLOOKUP(Dashboard!$J$5,Sheet3!$B$2:$C$31,2,FALSE)))</f>
        <v>260000</v>
      </c>
      <c r="H21" t="s">
        <v>632</v>
      </c>
      <c r="I21" t="s">
        <v>633</v>
      </c>
      <c r="J21" t="s">
        <v>613</v>
      </c>
      <c r="K21" t="s">
        <v>617</v>
      </c>
      <c r="L21">
        <v>10</v>
      </c>
    </row>
    <row r="22" spans="2:12" ht="15" customHeight="1">
      <c r="B22" t="s">
        <v>1411</v>
      </c>
      <c r="C22">
        <v>250000</v>
      </c>
      <c r="D22" t="s">
        <v>252</v>
      </c>
      <c r="E22">
        <v>250000</v>
      </c>
      <c r="F22" s="3">
        <f>(tblSalaries[[#This Row],[clean Salary (in local currency)]])*(VLOOKUP(tblSalaries[[#This Row],[Currency]],Sheet3!$A$2:$C$31,3,FALSE))*(VLOOKUP(tblSalaries[[#This Row],[Currency]],Sheet1!$N$4:$Q$186,4,FALSE))</f>
        <v>250000</v>
      </c>
      <c r="G22" s="4">
        <f>IF(Dashboard!$J$5=VLOOKUP(tblSalaries[[#This Row],[Currency]],Sheet3!$A$2:$B$31,2,FALSE),tblSalaries[[#This Row],[clean Salary (in local currency)]],(tblSalaries[[#This Row],[PPP Adjusted  USD]]/VLOOKUP(Dashboard!$J$5,Sheet3!$B$2:$C$31,2,FALSE)))</f>
        <v>250000</v>
      </c>
      <c r="H22" t="s">
        <v>702</v>
      </c>
      <c r="I22" t="s">
        <v>692</v>
      </c>
      <c r="J22" t="s">
        <v>613</v>
      </c>
      <c r="K22" t="s">
        <v>610</v>
      </c>
      <c r="L22" t="s">
        <v>3847</v>
      </c>
    </row>
    <row r="23" spans="2:12" ht="15" customHeight="1">
      <c r="B23" t="s">
        <v>3195</v>
      </c>
      <c r="C23">
        <v>250000</v>
      </c>
      <c r="D23" t="s">
        <v>252</v>
      </c>
      <c r="E23">
        <v>250000</v>
      </c>
      <c r="F23" s="3">
        <f>(tblSalaries[[#This Row],[clean Salary (in local currency)]])*(VLOOKUP(tblSalaries[[#This Row],[Currency]],Sheet3!$A$2:$C$31,3,FALSE))*(VLOOKUP(tblSalaries[[#This Row],[Currency]],Sheet1!$N$4:$Q$186,4,FALSE))</f>
        <v>250000</v>
      </c>
      <c r="G23" s="4">
        <f>IF(Dashboard!$J$5=VLOOKUP(tblSalaries[[#This Row],[Currency]],Sheet3!$A$2:$B$31,2,FALSE),tblSalaries[[#This Row],[clean Salary (in local currency)]],(tblSalaries[[#This Row],[PPP Adjusted  USD]]/VLOOKUP(Dashboard!$J$5,Sheet3!$B$2:$C$31,2,FALSE)))</f>
        <v>250000</v>
      </c>
      <c r="H23" t="s">
        <v>702</v>
      </c>
      <c r="I23" t="s">
        <v>692</v>
      </c>
      <c r="J23" t="s">
        <v>613</v>
      </c>
      <c r="K23" t="s">
        <v>610</v>
      </c>
      <c r="L23">
        <v>20</v>
      </c>
    </row>
    <row r="24" spans="2:12" ht="15" customHeight="1">
      <c r="B24" t="s">
        <v>3412</v>
      </c>
      <c r="C24">
        <v>225000</v>
      </c>
      <c r="D24" t="s">
        <v>252</v>
      </c>
      <c r="E24">
        <v>225000</v>
      </c>
      <c r="F24" s="3">
        <f>(tblSalaries[[#This Row],[clean Salary (in local currency)]])*(VLOOKUP(tblSalaries[[#This Row],[Currency]],Sheet3!$A$2:$C$31,3,FALSE))*(VLOOKUP(tblSalaries[[#This Row],[Currency]],Sheet1!$N$4:$Q$186,4,FALSE))</f>
        <v>225000</v>
      </c>
      <c r="G24" s="4">
        <f>IF(Dashboard!$J$5=VLOOKUP(tblSalaries[[#This Row],[Currency]],Sheet3!$A$2:$B$31,2,FALSE),tblSalaries[[#This Row],[clean Salary (in local currency)]],(tblSalaries[[#This Row],[PPP Adjusted  USD]]/VLOOKUP(Dashboard!$J$5,Sheet3!$B$2:$C$31,2,FALSE)))</f>
        <v>225000</v>
      </c>
      <c r="H24" t="s">
        <v>3413</v>
      </c>
      <c r="I24" t="s">
        <v>633</v>
      </c>
      <c r="J24" t="s">
        <v>613</v>
      </c>
      <c r="K24" t="s">
        <v>605</v>
      </c>
      <c r="L24">
        <v>15</v>
      </c>
    </row>
    <row r="25" spans="2:12" ht="15" customHeight="1">
      <c r="B25" t="s">
        <v>1317</v>
      </c>
      <c r="C25">
        <v>220700</v>
      </c>
      <c r="D25" t="s">
        <v>252</v>
      </c>
      <c r="E25">
        <v>220700</v>
      </c>
      <c r="F25" s="3">
        <f>(tblSalaries[[#This Row],[clean Salary (in local currency)]])*(VLOOKUP(tblSalaries[[#This Row],[Currency]],Sheet3!$A$2:$C$31,3,FALSE))*(VLOOKUP(tblSalaries[[#This Row],[Currency]],Sheet1!$N$4:$Q$186,4,FALSE))</f>
        <v>220700</v>
      </c>
      <c r="G25" s="4">
        <f>IF(Dashboard!$J$5=VLOOKUP(tblSalaries[[#This Row],[Currency]],Sheet3!$A$2:$B$31,2,FALSE),tblSalaries[[#This Row],[clean Salary (in local currency)]],(tblSalaries[[#This Row],[PPP Adjusted  USD]]/VLOOKUP(Dashboard!$J$5,Sheet3!$B$2:$C$31,2,FALSE)))</f>
        <v>220700</v>
      </c>
      <c r="H25" t="s">
        <v>692</v>
      </c>
      <c r="I25" t="s">
        <v>692</v>
      </c>
      <c r="J25" t="s">
        <v>795</v>
      </c>
      <c r="K25" t="s">
        <v>610</v>
      </c>
      <c r="L25" t="s">
        <v>3847</v>
      </c>
    </row>
    <row r="26" spans="2:12" ht="15" customHeight="1">
      <c r="B26" t="s">
        <v>1202</v>
      </c>
      <c r="C26">
        <v>200000</v>
      </c>
      <c r="D26" t="s">
        <v>200</v>
      </c>
      <c r="E26">
        <v>254079.88779832155</v>
      </c>
      <c r="F26" s="3">
        <f>(tblSalaries[[#This Row],[clean Salary (in local currency)]])*(VLOOKUP(tblSalaries[[#This Row],[Currency]],Sheet3!$A$2:$C$31,3,FALSE))*(VLOOKUP(tblSalaries[[#This Row],[Currency]],Sheet1!$N$4:$Q$186,4,FALSE))</f>
        <v>220130.57719601042</v>
      </c>
      <c r="G26" s="4">
        <f>IF(Dashboard!$J$5=VLOOKUP(tblSalaries[[#This Row],[Currency]],Sheet3!$A$2:$B$31,2,FALSE),tblSalaries[[#This Row],[clean Salary (in local currency)]],(tblSalaries[[#This Row],[PPP Adjusted  USD]]/VLOOKUP(Dashboard!$J$5,Sheet3!$B$2:$C$31,2,FALSE)))</f>
        <v>220130.57719601042</v>
      </c>
      <c r="H26" t="s">
        <v>1203</v>
      </c>
      <c r="I26" t="s">
        <v>658</v>
      </c>
      <c r="J26" t="s">
        <v>722</v>
      </c>
      <c r="K26" t="s">
        <v>610</v>
      </c>
      <c r="L26" t="s">
        <v>3847</v>
      </c>
    </row>
    <row r="27" spans="2:12" ht="15" customHeight="1">
      <c r="B27" t="s">
        <v>3152</v>
      </c>
      <c r="C27">
        <v>146633</v>
      </c>
      <c r="D27" t="s">
        <v>204</v>
      </c>
      <c r="E27">
        <v>231119.74856804207</v>
      </c>
      <c r="F27" s="3">
        <f>(tblSalaries[[#This Row],[clean Salary (in local currency)]])*(VLOOKUP(tblSalaries[[#This Row],[Currency]],Sheet3!$A$2:$C$31,3,FALSE))*(VLOOKUP(tblSalaries[[#This Row],[Currency]],Sheet1!$N$4:$Q$186,4,FALSE))</f>
        <v>216132.81969989502</v>
      </c>
      <c r="G27" s="4">
        <f>IF(Dashboard!$J$5=VLOOKUP(tblSalaries[[#This Row],[Currency]],Sheet3!$A$2:$B$31,2,FALSE),tblSalaries[[#This Row],[clean Salary (in local currency)]],(tblSalaries[[#This Row],[PPP Adjusted  USD]]/VLOOKUP(Dashboard!$J$5,Sheet3!$B$2:$C$31,2,FALSE)))</f>
        <v>216132.81969989502</v>
      </c>
      <c r="H27" t="s">
        <v>3153</v>
      </c>
      <c r="I27" t="s">
        <v>620</v>
      </c>
      <c r="J27" t="s">
        <v>687</v>
      </c>
      <c r="K27" t="s">
        <v>617</v>
      </c>
      <c r="L27">
        <v>10</v>
      </c>
    </row>
    <row r="28" spans="2:12" ht="15" customHeight="1">
      <c r="B28" t="s">
        <v>3668</v>
      </c>
      <c r="C28">
        <v>214000</v>
      </c>
      <c r="D28" t="s">
        <v>252</v>
      </c>
      <c r="E28">
        <v>214000</v>
      </c>
      <c r="F28" s="3">
        <f>(tblSalaries[[#This Row],[clean Salary (in local currency)]])*(VLOOKUP(tblSalaries[[#This Row],[Currency]],Sheet3!$A$2:$C$31,3,FALSE))*(VLOOKUP(tblSalaries[[#This Row],[Currency]],Sheet1!$N$4:$Q$186,4,FALSE))</f>
        <v>214000</v>
      </c>
      <c r="G28" s="4">
        <f>IF(Dashboard!$J$5=VLOOKUP(tblSalaries[[#This Row],[Currency]],Sheet3!$A$2:$B$31,2,FALSE),tblSalaries[[#This Row],[clean Salary (in local currency)]],(tblSalaries[[#This Row],[PPP Adjusted  USD]]/VLOOKUP(Dashboard!$J$5,Sheet3!$B$2:$C$31,2,FALSE)))</f>
        <v>214000</v>
      </c>
      <c r="H28" t="s">
        <v>3669</v>
      </c>
      <c r="I28" t="s">
        <v>608</v>
      </c>
      <c r="J28" t="s">
        <v>613</v>
      </c>
      <c r="K28" t="s">
        <v>610</v>
      </c>
      <c r="L28">
        <v>20</v>
      </c>
    </row>
    <row r="29" spans="2:12" ht="15" customHeight="1">
      <c r="B29" t="s">
        <v>1779</v>
      </c>
      <c r="C29">
        <v>4500000</v>
      </c>
      <c r="D29" t="s">
        <v>247</v>
      </c>
      <c r="E29">
        <v>80135.625093491559</v>
      </c>
      <c r="F29" s="3">
        <f>(tblSalaries[[#This Row],[clean Salary (in local currency)]])*(VLOOKUP(tblSalaries[[#This Row],[Currency]],Sheet3!$A$2:$C$31,3,FALSE))*(VLOOKUP(tblSalaries[[#This Row],[Currency]],Sheet1!$N$4:$Q$186,4,FALSE))</f>
        <v>213124.60056914305</v>
      </c>
      <c r="G29" s="4">
        <f>IF(Dashboard!$J$5=VLOOKUP(tblSalaries[[#This Row],[Currency]],Sheet3!$A$2:$B$31,2,FALSE),tblSalaries[[#This Row],[clean Salary (in local currency)]],(tblSalaries[[#This Row],[PPP Adjusted  USD]]/VLOOKUP(Dashboard!$J$5,Sheet3!$B$2:$C$31,2,FALSE)))</f>
        <v>213124.60056914305</v>
      </c>
      <c r="H29" t="s">
        <v>1780</v>
      </c>
      <c r="I29" t="s">
        <v>633</v>
      </c>
      <c r="J29" t="s">
        <v>604</v>
      </c>
      <c r="K29" t="s">
        <v>627</v>
      </c>
      <c r="L29">
        <v>6</v>
      </c>
    </row>
    <row r="30" spans="2:12" ht="15" customHeight="1">
      <c r="B30" t="s">
        <v>1597</v>
      </c>
      <c r="C30">
        <v>140000</v>
      </c>
      <c r="D30" t="s">
        <v>204</v>
      </c>
      <c r="E30">
        <v>220664.95808941979</v>
      </c>
      <c r="F30" s="3">
        <f>(tblSalaries[[#This Row],[clean Salary (in local currency)]])*(VLOOKUP(tblSalaries[[#This Row],[Currency]],Sheet3!$A$2:$C$31,3,FALSE))*(VLOOKUP(tblSalaries[[#This Row],[Currency]],Sheet1!$N$4:$Q$186,4,FALSE))</f>
        <v>206355.96869725984</v>
      </c>
      <c r="G30" s="4">
        <f>IF(Dashboard!$J$5=VLOOKUP(tblSalaries[[#This Row],[Currency]],Sheet3!$A$2:$B$31,2,FALSE),tblSalaries[[#This Row],[clean Salary (in local currency)]],(tblSalaries[[#This Row],[PPP Adjusted  USD]]/VLOOKUP(Dashboard!$J$5,Sheet3!$B$2:$C$31,2,FALSE)))</f>
        <v>206355.96869725984</v>
      </c>
      <c r="H30" t="s">
        <v>1598</v>
      </c>
      <c r="I30" t="s">
        <v>640</v>
      </c>
      <c r="J30" t="s">
        <v>687</v>
      </c>
      <c r="K30" t="s">
        <v>610</v>
      </c>
      <c r="L30" t="s">
        <v>3847</v>
      </c>
    </row>
    <row r="31" spans="2:12" ht="15" customHeight="1">
      <c r="B31" t="s">
        <v>1587</v>
      </c>
      <c r="C31">
        <v>200000</v>
      </c>
      <c r="D31" t="s">
        <v>252</v>
      </c>
      <c r="E31">
        <v>200000</v>
      </c>
      <c r="F31" s="3">
        <f>(tblSalaries[[#This Row],[clean Salary (in local currency)]])*(VLOOKUP(tblSalaries[[#This Row],[Currency]],Sheet3!$A$2:$C$31,3,FALSE))*(VLOOKUP(tblSalaries[[#This Row],[Currency]],Sheet1!$N$4:$Q$186,4,FALSE))</f>
        <v>200000</v>
      </c>
      <c r="G31" s="4">
        <f>IF(Dashboard!$J$5=VLOOKUP(tblSalaries[[#This Row],[Currency]],Sheet3!$A$2:$B$31,2,FALSE),tblSalaries[[#This Row],[clean Salary (in local currency)]],(tblSalaries[[#This Row],[PPP Adjusted  USD]]/VLOOKUP(Dashboard!$J$5,Sheet3!$B$2:$C$31,2,FALSE)))</f>
        <v>200000</v>
      </c>
      <c r="H31" t="s">
        <v>1588</v>
      </c>
      <c r="I31" t="s">
        <v>633</v>
      </c>
      <c r="J31" t="s">
        <v>613</v>
      </c>
      <c r="K31" t="s">
        <v>617</v>
      </c>
      <c r="L31" t="s">
        <v>3847</v>
      </c>
    </row>
    <row r="32" spans="2:12" ht="15" customHeight="1">
      <c r="B32" t="s">
        <v>2997</v>
      </c>
      <c r="C32">
        <v>180000</v>
      </c>
      <c r="D32" t="s">
        <v>200</v>
      </c>
      <c r="E32">
        <v>228671.89901848941</v>
      </c>
      <c r="F32" s="3">
        <f>(tblSalaries[[#This Row],[clean Salary (in local currency)]])*(VLOOKUP(tblSalaries[[#This Row],[Currency]],Sheet3!$A$2:$C$31,3,FALSE))*(VLOOKUP(tblSalaries[[#This Row],[Currency]],Sheet1!$N$4:$Q$186,4,FALSE))</f>
        <v>198117.51947640939</v>
      </c>
      <c r="G32" s="4">
        <f>IF(Dashboard!$J$5=VLOOKUP(tblSalaries[[#This Row],[Currency]],Sheet3!$A$2:$B$31,2,FALSE),tblSalaries[[#This Row],[clean Salary (in local currency)]],(tblSalaries[[#This Row],[PPP Adjusted  USD]]/VLOOKUP(Dashboard!$J$5,Sheet3!$B$2:$C$31,2,FALSE)))</f>
        <v>198117.51947640939</v>
      </c>
      <c r="H32" t="s">
        <v>2998</v>
      </c>
      <c r="I32" t="s">
        <v>608</v>
      </c>
      <c r="J32" t="s">
        <v>2999</v>
      </c>
      <c r="K32" t="s">
        <v>605</v>
      </c>
      <c r="L32">
        <v>15</v>
      </c>
    </row>
    <row r="33" spans="2:12" ht="15" customHeight="1">
      <c r="B33" t="s">
        <v>1745</v>
      </c>
      <c r="C33">
        <v>250000</v>
      </c>
      <c r="D33" t="s">
        <v>276</v>
      </c>
      <c r="E33">
        <v>245840.3807575817</v>
      </c>
      <c r="F33" s="3">
        <f>(tblSalaries[[#This Row],[clean Salary (in local currency)]])*(VLOOKUP(tblSalaries[[#This Row],[Currency]],Sheet3!$A$2:$C$31,3,FALSE))*(VLOOKUP(tblSalaries[[#This Row],[Currency]],Sheet1!$N$4:$Q$186,4,FALSE))</f>
        <v>197611.55080058615</v>
      </c>
      <c r="G33" s="4">
        <f>IF(Dashboard!$J$5=VLOOKUP(tblSalaries[[#This Row],[Currency]],Sheet3!$A$2:$B$31,2,FALSE),tblSalaries[[#This Row],[clean Salary (in local currency)]],(tblSalaries[[#This Row],[PPP Adjusted  USD]]/VLOOKUP(Dashboard!$J$5,Sheet3!$B$2:$C$31,2,FALSE)))</f>
        <v>197611.55080058615</v>
      </c>
      <c r="H33" t="s">
        <v>899</v>
      </c>
      <c r="I33" t="s">
        <v>603</v>
      </c>
      <c r="J33" t="s">
        <v>708</v>
      </c>
      <c r="K33" t="s">
        <v>605</v>
      </c>
      <c r="L33">
        <v>32</v>
      </c>
    </row>
    <row r="34" spans="2:12" ht="15" customHeight="1">
      <c r="B34" t="s">
        <v>1318</v>
      </c>
      <c r="C34">
        <v>194000</v>
      </c>
      <c r="D34" t="s">
        <v>252</v>
      </c>
      <c r="E34">
        <v>194000</v>
      </c>
      <c r="F34" s="3">
        <f>(tblSalaries[[#This Row],[clean Salary (in local currency)]])*(VLOOKUP(tblSalaries[[#This Row],[Currency]],Sheet3!$A$2:$C$31,3,FALSE))*(VLOOKUP(tblSalaries[[#This Row],[Currency]],Sheet1!$N$4:$Q$186,4,FALSE))</f>
        <v>194000</v>
      </c>
      <c r="G34" s="4">
        <f>IF(Dashboard!$J$5=VLOOKUP(tblSalaries[[#This Row],[Currency]],Sheet3!$A$2:$B$31,2,FALSE),tblSalaries[[#This Row],[clean Salary (in local currency)]],(tblSalaries[[#This Row],[PPP Adjusted  USD]]/VLOOKUP(Dashboard!$J$5,Sheet3!$B$2:$C$31,2,FALSE)))</f>
        <v>194000</v>
      </c>
      <c r="H34" t="s">
        <v>1319</v>
      </c>
      <c r="I34" t="s">
        <v>633</v>
      </c>
      <c r="J34" t="s">
        <v>613</v>
      </c>
      <c r="K34" t="s">
        <v>617</v>
      </c>
      <c r="L34" t="s">
        <v>3847</v>
      </c>
    </row>
    <row r="35" spans="2:12" ht="15" customHeight="1">
      <c r="B35" t="s">
        <v>2826</v>
      </c>
      <c r="C35">
        <v>192000</v>
      </c>
      <c r="D35" t="s">
        <v>252</v>
      </c>
      <c r="E35">
        <v>192000</v>
      </c>
      <c r="F35" s="3">
        <f>(tblSalaries[[#This Row],[clean Salary (in local currency)]])*(VLOOKUP(tblSalaries[[#This Row],[Currency]],Sheet3!$A$2:$C$31,3,FALSE))*(VLOOKUP(tblSalaries[[#This Row],[Currency]],Sheet1!$N$4:$Q$186,4,FALSE))</f>
        <v>192000</v>
      </c>
      <c r="G35" s="4">
        <f>IF(Dashboard!$J$5=VLOOKUP(tblSalaries[[#This Row],[Currency]],Sheet3!$A$2:$B$31,2,FALSE),tblSalaries[[#This Row],[clean Salary (in local currency)]],(tblSalaries[[#This Row],[PPP Adjusted  USD]]/VLOOKUP(Dashboard!$J$5,Sheet3!$B$2:$C$31,2,FALSE)))</f>
        <v>192000</v>
      </c>
      <c r="H35" t="s">
        <v>2827</v>
      </c>
      <c r="I35" t="s">
        <v>633</v>
      </c>
      <c r="J35" t="s">
        <v>613</v>
      </c>
      <c r="K35" t="s">
        <v>610</v>
      </c>
      <c r="L35">
        <v>27</v>
      </c>
    </row>
    <row r="36" spans="2:12" ht="15" customHeight="1">
      <c r="B36" t="s">
        <v>1440</v>
      </c>
      <c r="C36">
        <v>4000000</v>
      </c>
      <c r="D36" t="s">
        <v>247</v>
      </c>
      <c r="E36">
        <v>71231.666749770273</v>
      </c>
      <c r="F36" s="3">
        <f>(tblSalaries[[#This Row],[clean Salary (in local currency)]])*(VLOOKUP(tblSalaries[[#This Row],[Currency]],Sheet3!$A$2:$C$31,3,FALSE))*(VLOOKUP(tblSalaries[[#This Row],[Currency]],Sheet1!$N$4:$Q$186,4,FALSE))</f>
        <v>189444.08939479382</v>
      </c>
      <c r="G36" s="4">
        <f>IF(Dashboard!$J$5=VLOOKUP(tblSalaries[[#This Row],[Currency]],Sheet3!$A$2:$B$31,2,FALSE),tblSalaries[[#This Row],[clean Salary (in local currency)]],(tblSalaries[[#This Row],[PPP Adjusted  USD]]/VLOOKUP(Dashboard!$J$5,Sheet3!$B$2:$C$31,2,FALSE)))</f>
        <v>189444.08939479382</v>
      </c>
      <c r="H36" t="s">
        <v>1441</v>
      </c>
      <c r="I36" t="s">
        <v>637</v>
      </c>
      <c r="J36" t="s">
        <v>604</v>
      </c>
      <c r="K36" t="s">
        <v>610</v>
      </c>
      <c r="L36" t="s">
        <v>3847</v>
      </c>
    </row>
    <row r="37" spans="2:12" ht="15" customHeight="1">
      <c r="B37" t="s">
        <v>1777</v>
      </c>
      <c r="C37">
        <v>4000000</v>
      </c>
      <c r="D37" t="s">
        <v>247</v>
      </c>
      <c r="E37">
        <v>71231.666749770273</v>
      </c>
      <c r="F37" s="3">
        <f>(tblSalaries[[#This Row],[clean Salary (in local currency)]])*(VLOOKUP(tblSalaries[[#This Row],[Currency]],Sheet3!$A$2:$C$31,3,FALSE))*(VLOOKUP(tblSalaries[[#This Row],[Currency]],Sheet1!$N$4:$Q$186,4,FALSE))</f>
        <v>189444.08939479382</v>
      </c>
      <c r="G37" s="4">
        <f>IF(Dashboard!$J$5=VLOOKUP(tblSalaries[[#This Row],[Currency]],Sheet3!$A$2:$B$31,2,FALSE),tblSalaries[[#This Row],[clean Salary (in local currency)]],(tblSalaries[[#This Row],[PPP Adjusted  USD]]/VLOOKUP(Dashboard!$J$5,Sheet3!$B$2:$C$31,2,FALSE)))</f>
        <v>189444.08939479382</v>
      </c>
      <c r="H37" t="s">
        <v>1778</v>
      </c>
      <c r="I37" t="s">
        <v>625</v>
      </c>
      <c r="J37" t="s">
        <v>604</v>
      </c>
      <c r="K37" t="s">
        <v>605</v>
      </c>
      <c r="L37">
        <v>1.5</v>
      </c>
    </row>
    <row r="38" spans="2:12" ht="15" customHeight="1">
      <c r="B38" t="s">
        <v>3183</v>
      </c>
      <c r="C38">
        <v>4000000</v>
      </c>
      <c r="D38" t="s">
        <v>247</v>
      </c>
      <c r="E38">
        <v>71231.666749770273</v>
      </c>
      <c r="F38" s="3">
        <f>(tblSalaries[[#This Row],[clean Salary (in local currency)]])*(VLOOKUP(tblSalaries[[#This Row],[Currency]],Sheet3!$A$2:$C$31,3,FALSE))*(VLOOKUP(tblSalaries[[#This Row],[Currency]],Sheet1!$N$4:$Q$186,4,FALSE))</f>
        <v>189444.08939479382</v>
      </c>
      <c r="G38" s="4">
        <f>IF(Dashboard!$J$5=VLOOKUP(tblSalaries[[#This Row],[Currency]],Sheet3!$A$2:$B$31,2,FALSE),tblSalaries[[#This Row],[clean Salary (in local currency)]],(tblSalaries[[#This Row],[PPP Adjusted  USD]]/VLOOKUP(Dashboard!$J$5,Sheet3!$B$2:$C$31,2,FALSE)))</f>
        <v>189444.08939479382</v>
      </c>
      <c r="H38" t="s">
        <v>3184</v>
      </c>
      <c r="I38" t="s">
        <v>640</v>
      </c>
      <c r="J38" t="s">
        <v>604</v>
      </c>
      <c r="K38" t="s">
        <v>610</v>
      </c>
      <c r="L38">
        <v>5</v>
      </c>
    </row>
    <row r="39" spans="2:12" ht="15" customHeight="1">
      <c r="B39" t="s">
        <v>1652</v>
      </c>
      <c r="C39">
        <v>188000</v>
      </c>
      <c r="D39" t="s">
        <v>252</v>
      </c>
      <c r="E39">
        <v>188000</v>
      </c>
      <c r="F39" s="3">
        <f>(tblSalaries[[#This Row],[clean Salary (in local currency)]])*(VLOOKUP(tblSalaries[[#This Row],[Currency]],Sheet3!$A$2:$C$31,3,FALSE))*(VLOOKUP(tblSalaries[[#This Row],[Currency]],Sheet1!$N$4:$Q$186,4,FALSE))</f>
        <v>188000</v>
      </c>
      <c r="G39" s="4">
        <f>IF(Dashboard!$J$5=VLOOKUP(tblSalaries[[#This Row],[Currency]],Sheet3!$A$2:$B$31,2,FALSE),tblSalaries[[#This Row],[clean Salary (in local currency)]],(tblSalaries[[#This Row],[PPP Adjusted  USD]]/VLOOKUP(Dashboard!$J$5,Sheet3!$B$2:$C$31,2,FALSE)))</f>
        <v>188000</v>
      </c>
      <c r="H39" t="s">
        <v>1653</v>
      </c>
      <c r="I39" t="s">
        <v>633</v>
      </c>
      <c r="J39" t="s">
        <v>613</v>
      </c>
      <c r="K39" t="s">
        <v>627</v>
      </c>
      <c r="L39">
        <v>20</v>
      </c>
    </row>
    <row r="40" spans="2:12" ht="15" customHeight="1">
      <c r="B40" t="s">
        <v>1520</v>
      </c>
      <c r="C40">
        <v>1080000</v>
      </c>
      <c r="D40" t="s">
        <v>400</v>
      </c>
      <c r="E40">
        <v>131675.52225194403</v>
      </c>
      <c r="F40" s="3">
        <f>(tblSalaries[[#This Row],[clean Salary (in local currency)]])*(VLOOKUP(tblSalaries[[#This Row],[Currency]],Sheet3!$A$2:$C$31,3,FALSE))*(VLOOKUP(tblSalaries[[#This Row],[Currency]],Sheet1!$N$4:$Q$186,4,FALSE))</f>
        <v>179128.19579245601</v>
      </c>
      <c r="G40" s="4">
        <f>IF(Dashboard!$J$5=VLOOKUP(tblSalaries[[#This Row],[Currency]],Sheet3!$A$2:$B$31,2,FALSE),tblSalaries[[#This Row],[clean Salary (in local currency)]],(tblSalaries[[#This Row],[PPP Adjusted  USD]]/VLOOKUP(Dashboard!$J$5,Sheet3!$B$2:$C$31,2,FALSE)))</f>
        <v>179128.19579245601</v>
      </c>
      <c r="H40" t="s">
        <v>1521</v>
      </c>
      <c r="I40" t="s">
        <v>625</v>
      </c>
      <c r="J40" t="s">
        <v>659</v>
      </c>
      <c r="K40" t="s">
        <v>617</v>
      </c>
      <c r="L40" t="s">
        <v>3847</v>
      </c>
    </row>
    <row r="41" spans="2:12" ht="15" customHeight="1">
      <c r="B41" t="s">
        <v>3323</v>
      </c>
      <c r="C41">
        <v>177600</v>
      </c>
      <c r="D41" t="s">
        <v>252</v>
      </c>
      <c r="E41">
        <v>177600</v>
      </c>
      <c r="F41" s="3">
        <f>(tblSalaries[[#This Row],[clean Salary (in local currency)]])*(VLOOKUP(tblSalaries[[#This Row],[Currency]],Sheet3!$A$2:$C$31,3,FALSE))*(VLOOKUP(tblSalaries[[#This Row],[Currency]],Sheet1!$N$4:$Q$186,4,FALSE))</f>
        <v>177600</v>
      </c>
      <c r="G41" s="4">
        <f>IF(Dashboard!$J$5=VLOOKUP(tblSalaries[[#This Row],[Currency]],Sheet3!$A$2:$B$31,2,FALSE),tblSalaries[[#This Row],[clean Salary (in local currency)]],(tblSalaries[[#This Row],[PPP Adjusted  USD]]/VLOOKUP(Dashboard!$J$5,Sheet3!$B$2:$C$31,2,FALSE)))</f>
        <v>177600</v>
      </c>
      <c r="H41" t="s">
        <v>637</v>
      </c>
      <c r="I41" t="s">
        <v>637</v>
      </c>
      <c r="J41" t="s">
        <v>3324</v>
      </c>
      <c r="K41" t="s">
        <v>605</v>
      </c>
      <c r="L41">
        <v>6</v>
      </c>
    </row>
    <row r="42" spans="2:12" ht="15" customHeight="1">
      <c r="B42" t="s">
        <v>3379</v>
      </c>
      <c r="C42">
        <v>3700000</v>
      </c>
      <c r="D42" t="s">
        <v>247</v>
      </c>
      <c r="E42">
        <v>65889.291743537498</v>
      </c>
      <c r="F42" s="3">
        <f>(tblSalaries[[#This Row],[clean Salary (in local currency)]])*(VLOOKUP(tblSalaries[[#This Row],[Currency]],Sheet3!$A$2:$C$31,3,FALSE))*(VLOOKUP(tblSalaries[[#This Row],[Currency]],Sheet1!$N$4:$Q$186,4,FALSE))</f>
        <v>175235.78269018428</v>
      </c>
      <c r="G42" s="4">
        <f>IF(Dashboard!$J$5=VLOOKUP(tblSalaries[[#This Row],[Currency]],Sheet3!$A$2:$B$31,2,FALSE),tblSalaries[[#This Row],[clean Salary (in local currency)]],(tblSalaries[[#This Row],[PPP Adjusted  USD]]/VLOOKUP(Dashboard!$J$5,Sheet3!$B$2:$C$31,2,FALSE)))</f>
        <v>175235.78269018428</v>
      </c>
      <c r="H42" t="s">
        <v>3380</v>
      </c>
      <c r="I42" t="s">
        <v>625</v>
      </c>
      <c r="J42" t="s">
        <v>604</v>
      </c>
      <c r="K42" t="s">
        <v>610</v>
      </c>
      <c r="L42">
        <v>4</v>
      </c>
    </row>
    <row r="43" spans="2:12" ht="15" customHeight="1">
      <c r="B43" t="s">
        <v>1292</v>
      </c>
      <c r="C43">
        <v>170000</v>
      </c>
      <c r="D43" t="s">
        <v>252</v>
      </c>
      <c r="E43">
        <v>170000</v>
      </c>
      <c r="F43" s="3">
        <f>(tblSalaries[[#This Row],[clean Salary (in local currency)]])*(VLOOKUP(tblSalaries[[#This Row],[Currency]],Sheet3!$A$2:$C$31,3,FALSE))*(VLOOKUP(tblSalaries[[#This Row],[Currency]],Sheet1!$N$4:$Q$186,4,FALSE))</f>
        <v>170000</v>
      </c>
      <c r="G43" s="4">
        <f>IF(Dashboard!$J$5=VLOOKUP(tblSalaries[[#This Row],[Currency]],Sheet3!$A$2:$B$31,2,FALSE),tblSalaries[[#This Row],[clean Salary (in local currency)]],(tblSalaries[[#This Row],[PPP Adjusted  USD]]/VLOOKUP(Dashboard!$J$5,Sheet3!$B$2:$C$31,2,FALSE)))</f>
        <v>170000</v>
      </c>
      <c r="H43" t="s">
        <v>1293</v>
      </c>
      <c r="I43" t="s">
        <v>603</v>
      </c>
      <c r="J43" t="s">
        <v>687</v>
      </c>
      <c r="K43" t="s">
        <v>862</v>
      </c>
      <c r="L43" t="s">
        <v>3847</v>
      </c>
    </row>
    <row r="44" spans="2:12" ht="15" customHeight="1">
      <c r="B44" t="s">
        <v>3202</v>
      </c>
      <c r="C44">
        <v>170000</v>
      </c>
      <c r="D44" t="s">
        <v>252</v>
      </c>
      <c r="E44">
        <v>170000</v>
      </c>
      <c r="F44" s="3">
        <f>(tblSalaries[[#This Row],[clean Salary (in local currency)]])*(VLOOKUP(tblSalaries[[#This Row],[Currency]],Sheet3!$A$2:$C$31,3,FALSE))*(VLOOKUP(tblSalaries[[#This Row],[Currency]],Sheet1!$N$4:$Q$186,4,FALSE))</f>
        <v>170000</v>
      </c>
      <c r="G44" s="4">
        <f>IF(Dashboard!$J$5=VLOOKUP(tblSalaries[[#This Row],[Currency]],Sheet3!$A$2:$B$31,2,FALSE),tblSalaries[[#This Row],[clean Salary (in local currency)]],(tblSalaries[[#This Row],[PPP Adjusted  USD]]/VLOOKUP(Dashboard!$J$5,Sheet3!$B$2:$C$31,2,FALSE)))</f>
        <v>170000</v>
      </c>
      <c r="H44" t="s">
        <v>632</v>
      </c>
      <c r="I44" t="s">
        <v>633</v>
      </c>
      <c r="J44" t="s">
        <v>613</v>
      </c>
      <c r="K44" t="s">
        <v>617</v>
      </c>
      <c r="L44">
        <v>18</v>
      </c>
    </row>
    <row r="45" spans="2:12" ht="15" customHeight="1">
      <c r="B45" t="s">
        <v>1515</v>
      </c>
      <c r="C45">
        <v>169000</v>
      </c>
      <c r="D45" t="s">
        <v>252</v>
      </c>
      <c r="E45">
        <v>169000</v>
      </c>
      <c r="F45" s="3">
        <f>(tblSalaries[[#This Row],[clean Salary (in local currency)]])*(VLOOKUP(tblSalaries[[#This Row],[Currency]],Sheet3!$A$2:$C$31,3,FALSE))*(VLOOKUP(tblSalaries[[#This Row],[Currency]],Sheet1!$N$4:$Q$186,4,FALSE))</f>
        <v>169000</v>
      </c>
      <c r="G45" s="4">
        <f>IF(Dashboard!$J$5=VLOOKUP(tblSalaries[[#This Row],[Currency]],Sheet3!$A$2:$B$31,2,FALSE),tblSalaries[[#This Row],[clean Salary (in local currency)]],(tblSalaries[[#This Row],[PPP Adjusted  USD]]/VLOOKUP(Dashboard!$J$5,Sheet3!$B$2:$C$31,2,FALSE)))</f>
        <v>169000</v>
      </c>
      <c r="H45" t="s">
        <v>1516</v>
      </c>
      <c r="I45" t="s">
        <v>633</v>
      </c>
      <c r="J45" t="s">
        <v>613</v>
      </c>
      <c r="K45" t="s">
        <v>617</v>
      </c>
      <c r="L45" t="s">
        <v>3847</v>
      </c>
    </row>
    <row r="46" spans="2:12" ht="15" customHeight="1">
      <c r="B46" t="s">
        <v>1724</v>
      </c>
      <c r="C46">
        <v>160000</v>
      </c>
      <c r="D46" t="s">
        <v>252</v>
      </c>
      <c r="E46">
        <v>160000</v>
      </c>
      <c r="F46" s="3">
        <f>(tblSalaries[[#This Row],[clean Salary (in local currency)]])*(VLOOKUP(tblSalaries[[#This Row],[Currency]],Sheet3!$A$2:$C$31,3,FALSE))*(VLOOKUP(tblSalaries[[#This Row],[Currency]],Sheet1!$N$4:$Q$186,4,FALSE))</f>
        <v>160000</v>
      </c>
      <c r="G46" s="4">
        <f>IF(Dashboard!$J$5=VLOOKUP(tblSalaries[[#This Row],[Currency]],Sheet3!$A$2:$B$31,2,FALSE),tblSalaries[[#This Row],[clean Salary (in local currency)]],(tblSalaries[[#This Row],[PPP Adjusted  USD]]/VLOOKUP(Dashboard!$J$5,Sheet3!$B$2:$C$31,2,FALSE)))</f>
        <v>160000</v>
      </c>
      <c r="H46" t="s">
        <v>1725</v>
      </c>
      <c r="I46" t="s">
        <v>603</v>
      </c>
      <c r="J46" t="s">
        <v>613</v>
      </c>
      <c r="K46" t="s">
        <v>605</v>
      </c>
      <c r="L46">
        <v>5</v>
      </c>
    </row>
    <row r="47" spans="2:12" ht="15" customHeight="1">
      <c r="B47" t="s">
        <v>623</v>
      </c>
      <c r="C47">
        <v>145000</v>
      </c>
      <c r="D47" t="s">
        <v>200</v>
      </c>
      <c r="E47">
        <v>184207.91865378313</v>
      </c>
      <c r="F47" s="3">
        <f>(tblSalaries[[#This Row],[clean Salary (in local currency)]])*(VLOOKUP(tblSalaries[[#This Row],[Currency]],Sheet3!$A$2:$C$31,3,FALSE))*(VLOOKUP(tblSalaries[[#This Row],[Currency]],Sheet1!$N$4:$Q$186,4,FALSE))</f>
        <v>159594.66846710755</v>
      </c>
      <c r="G47" s="4">
        <f>IF(Dashboard!$J$5=VLOOKUP(tblSalaries[[#This Row],[Currency]],Sheet3!$A$2:$B$31,2,FALSE),tblSalaries[[#This Row],[clean Salary (in local currency)]],(tblSalaries[[#This Row],[PPP Adjusted  USD]]/VLOOKUP(Dashboard!$J$5,Sheet3!$B$2:$C$31,2,FALSE)))</f>
        <v>159594.66846710755</v>
      </c>
      <c r="H47" t="s">
        <v>624</v>
      </c>
      <c r="I47" t="s">
        <v>625</v>
      </c>
      <c r="J47" t="s">
        <v>626</v>
      </c>
      <c r="K47" t="s">
        <v>627</v>
      </c>
      <c r="L47" t="s">
        <v>3847</v>
      </c>
    </row>
    <row r="48" spans="2:12" ht="15" customHeight="1">
      <c r="B48" t="s">
        <v>3410</v>
      </c>
      <c r="C48">
        <v>155000</v>
      </c>
      <c r="D48" t="s">
        <v>252</v>
      </c>
      <c r="E48">
        <v>155000</v>
      </c>
      <c r="F48" s="3">
        <f>(tblSalaries[[#This Row],[clean Salary (in local currency)]])*(VLOOKUP(tblSalaries[[#This Row],[Currency]],Sheet3!$A$2:$C$31,3,FALSE))*(VLOOKUP(tblSalaries[[#This Row],[Currency]],Sheet1!$N$4:$Q$186,4,FALSE))</f>
        <v>155000</v>
      </c>
      <c r="G48" s="4">
        <f>IF(Dashboard!$J$5=VLOOKUP(tblSalaries[[#This Row],[Currency]],Sheet3!$A$2:$B$31,2,FALSE),tblSalaries[[#This Row],[clean Salary (in local currency)]],(tblSalaries[[#This Row],[PPP Adjusted  USD]]/VLOOKUP(Dashboard!$J$5,Sheet3!$B$2:$C$31,2,FALSE)))</f>
        <v>155000</v>
      </c>
      <c r="H48" t="s">
        <v>3411</v>
      </c>
      <c r="I48" t="s">
        <v>625</v>
      </c>
      <c r="J48" t="s">
        <v>613</v>
      </c>
      <c r="K48" t="s">
        <v>627</v>
      </c>
      <c r="L48">
        <v>14</v>
      </c>
    </row>
    <row r="49" spans="2:12" ht="15" customHeight="1">
      <c r="B49" t="s">
        <v>3070</v>
      </c>
      <c r="C49">
        <v>3250000</v>
      </c>
      <c r="D49" t="s">
        <v>247</v>
      </c>
      <c r="E49">
        <v>57875.729234188344</v>
      </c>
      <c r="F49" s="3">
        <f>(tblSalaries[[#This Row],[clean Salary (in local currency)]])*(VLOOKUP(tblSalaries[[#This Row],[Currency]],Sheet3!$A$2:$C$31,3,FALSE))*(VLOOKUP(tblSalaries[[#This Row],[Currency]],Sheet1!$N$4:$Q$186,4,FALSE))</f>
        <v>153923.32263326997</v>
      </c>
      <c r="G49" s="4">
        <f>IF(Dashboard!$J$5=VLOOKUP(tblSalaries[[#This Row],[Currency]],Sheet3!$A$2:$B$31,2,FALSE),tblSalaries[[#This Row],[clean Salary (in local currency)]],(tblSalaries[[#This Row],[PPP Adjusted  USD]]/VLOOKUP(Dashboard!$J$5,Sheet3!$B$2:$C$31,2,FALSE)))</f>
        <v>153923.32263326997</v>
      </c>
      <c r="H49" t="s">
        <v>3071</v>
      </c>
      <c r="I49" t="s">
        <v>603</v>
      </c>
      <c r="J49" t="s">
        <v>604</v>
      </c>
      <c r="K49" t="s">
        <v>605</v>
      </c>
      <c r="L49">
        <v>5.5</v>
      </c>
    </row>
    <row r="50" spans="2:12" ht="15" customHeight="1">
      <c r="B50" t="s">
        <v>2880</v>
      </c>
      <c r="C50">
        <v>139000</v>
      </c>
      <c r="D50" t="s">
        <v>200</v>
      </c>
      <c r="E50">
        <v>176585.52201983347</v>
      </c>
      <c r="F50" s="3">
        <f>(tblSalaries[[#This Row],[clean Salary (in local currency)]])*(VLOOKUP(tblSalaries[[#This Row],[Currency]],Sheet3!$A$2:$C$31,3,FALSE))*(VLOOKUP(tblSalaries[[#This Row],[Currency]],Sheet1!$N$4:$Q$186,4,FALSE))</f>
        <v>152990.75115122725</v>
      </c>
      <c r="G50" s="4">
        <f>IF(Dashboard!$J$5=VLOOKUP(tblSalaries[[#This Row],[Currency]],Sheet3!$A$2:$B$31,2,FALSE),tblSalaries[[#This Row],[clean Salary (in local currency)]],(tblSalaries[[#This Row],[PPP Adjusted  USD]]/VLOOKUP(Dashboard!$J$5,Sheet3!$B$2:$C$31,2,FALSE)))</f>
        <v>152990.75115122725</v>
      </c>
      <c r="H50" t="s">
        <v>2881</v>
      </c>
      <c r="I50" t="s">
        <v>625</v>
      </c>
      <c r="J50" t="s">
        <v>626</v>
      </c>
      <c r="K50" t="s">
        <v>627</v>
      </c>
      <c r="L50">
        <v>25</v>
      </c>
    </row>
    <row r="51" spans="2:12" ht="15" customHeight="1">
      <c r="B51" t="s">
        <v>693</v>
      </c>
      <c r="C51">
        <v>150000</v>
      </c>
      <c r="D51" t="s">
        <v>252</v>
      </c>
      <c r="E51">
        <v>150000</v>
      </c>
      <c r="F51" s="3">
        <f>(tblSalaries[[#This Row],[clean Salary (in local currency)]])*(VLOOKUP(tblSalaries[[#This Row],[Currency]],Sheet3!$A$2:$C$31,3,FALSE))*(VLOOKUP(tblSalaries[[#This Row],[Currency]],Sheet1!$N$4:$Q$186,4,FALSE))</f>
        <v>150000</v>
      </c>
      <c r="G51" s="4">
        <f>IF(Dashboard!$J$5=VLOOKUP(tblSalaries[[#This Row],[Currency]],Sheet3!$A$2:$B$31,2,FALSE),tblSalaries[[#This Row],[clean Salary (in local currency)]],(tblSalaries[[#This Row],[PPP Adjusted  USD]]/VLOOKUP(Dashboard!$J$5,Sheet3!$B$2:$C$31,2,FALSE)))</f>
        <v>150000</v>
      </c>
      <c r="H51" t="s">
        <v>694</v>
      </c>
      <c r="I51" t="s">
        <v>625</v>
      </c>
      <c r="J51" t="s">
        <v>613</v>
      </c>
      <c r="K51" t="s">
        <v>617</v>
      </c>
      <c r="L51" t="s">
        <v>3847</v>
      </c>
    </row>
    <row r="52" spans="2:12" ht="15" customHeight="1">
      <c r="B52" t="s">
        <v>788</v>
      </c>
      <c r="C52">
        <v>150000</v>
      </c>
      <c r="D52" t="s">
        <v>252</v>
      </c>
      <c r="E52">
        <v>150000</v>
      </c>
      <c r="F52" s="3">
        <f>(tblSalaries[[#This Row],[clean Salary (in local currency)]])*(VLOOKUP(tblSalaries[[#This Row],[Currency]],Sheet3!$A$2:$C$31,3,FALSE))*(VLOOKUP(tblSalaries[[#This Row],[Currency]],Sheet1!$N$4:$Q$186,4,FALSE))</f>
        <v>150000</v>
      </c>
      <c r="G52" s="4">
        <f>IF(Dashboard!$J$5=VLOOKUP(tblSalaries[[#This Row],[Currency]],Sheet3!$A$2:$B$31,2,FALSE),tblSalaries[[#This Row],[clean Salary (in local currency)]],(tblSalaries[[#This Row],[PPP Adjusted  USD]]/VLOOKUP(Dashboard!$J$5,Sheet3!$B$2:$C$31,2,FALSE)))</f>
        <v>150000</v>
      </c>
      <c r="H52" t="s">
        <v>789</v>
      </c>
      <c r="I52" t="s">
        <v>633</v>
      </c>
      <c r="J52" t="s">
        <v>613</v>
      </c>
      <c r="K52" t="s">
        <v>610</v>
      </c>
      <c r="L52" t="s">
        <v>3847</v>
      </c>
    </row>
    <row r="53" spans="2:12" ht="15" customHeight="1">
      <c r="B53" t="s">
        <v>1249</v>
      </c>
      <c r="C53">
        <v>150000</v>
      </c>
      <c r="D53" t="s">
        <v>252</v>
      </c>
      <c r="E53">
        <v>150000</v>
      </c>
      <c r="F53" s="3">
        <f>(tblSalaries[[#This Row],[clean Salary (in local currency)]])*(VLOOKUP(tblSalaries[[#This Row],[Currency]],Sheet3!$A$2:$C$31,3,FALSE))*(VLOOKUP(tblSalaries[[#This Row],[Currency]],Sheet1!$N$4:$Q$186,4,FALSE))</f>
        <v>150000</v>
      </c>
      <c r="G53" s="4">
        <f>IF(Dashboard!$J$5=VLOOKUP(tblSalaries[[#This Row],[Currency]],Sheet3!$A$2:$B$31,2,FALSE),tblSalaries[[#This Row],[clean Salary (in local currency)]],(tblSalaries[[#This Row],[PPP Adjusted  USD]]/VLOOKUP(Dashboard!$J$5,Sheet3!$B$2:$C$31,2,FALSE)))</f>
        <v>150000</v>
      </c>
      <c r="H53" t="s">
        <v>1250</v>
      </c>
      <c r="I53" t="s">
        <v>637</v>
      </c>
      <c r="J53" t="s">
        <v>613</v>
      </c>
      <c r="K53" t="s">
        <v>610</v>
      </c>
      <c r="L53" t="s">
        <v>3847</v>
      </c>
    </row>
    <row r="54" spans="2:12" ht="15" customHeight="1">
      <c r="B54" t="s">
        <v>1253</v>
      </c>
      <c r="C54">
        <v>150000</v>
      </c>
      <c r="D54" t="s">
        <v>252</v>
      </c>
      <c r="E54">
        <v>150000</v>
      </c>
      <c r="F54" s="3">
        <f>(tblSalaries[[#This Row],[clean Salary (in local currency)]])*(VLOOKUP(tblSalaries[[#This Row],[Currency]],Sheet3!$A$2:$C$31,3,FALSE))*(VLOOKUP(tblSalaries[[#This Row],[Currency]],Sheet1!$N$4:$Q$186,4,FALSE))</f>
        <v>150000</v>
      </c>
      <c r="G54" s="4">
        <f>IF(Dashboard!$J$5=VLOOKUP(tblSalaries[[#This Row],[Currency]],Sheet3!$A$2:$B$31,2,FALSE),tblSalaries[[#This Row],[clean Salary (in local currency)]],(tblSalaries[[#This Row],[PPP Adjusted  USD]]/VLOOKUP(Dashboard!$J$5,Sheet3!$B$2:$C$31,2,FALSE)))</f>
        <v>150000</v>
      </c>
      <c r="H54" t="s">
        <v>1254</v>
      </c>
      <c r="I54" t="s">
        <v>625</v>
      </c>
      <c r="J54" t="s">
        <v>1255</v>
      </c>
      <c r="K54" t="s">
        <v>605</v>
      </c>
      <c r="L54" t="s">
        <v>3847</v>
      </c>
    </row>
    <row r="55" spans="2:12" ht="15" customHeight="1">
      <c r="B55" t="s">
        <v>1495</v>
      </c>
      <c r="C55">
        <v>150000</v>
      </c>
      <c r="D55" t="s">
        <v>252</v>
      </c>
      <c r="E55">
        <v>150000</v>
      </c>
      <c r="F55" s="3">
        <f>(tblSalaries[[#This Row],[clean Salary (in local currency)]])*(VLOOKUP(tblSalaries[[#This Row],[Currency]],Sheet3!$A$2:$C$31,3,FALSE))*(VLOOKUP(tblSalaries[[#This Row],[Currency]],Sheet1!$N$4:$Q$186,4,FALSE))</f>
        <v>150000</v>
      </c>
      <c r="G55" s="4">
        <f>IF(Dashboard!$J$5=VLOOKUP(tblSalaries[[#This Row],[Currency]],Sheet3!$A$2:$B$31,2,FALSE),tblSalaries[[#This Row],[clean Salary (in local currency)]],(tblSalaries[[#This Row],[PPP Adjusted  USD]]/VLOOKUP(Dashboard!$J$5,Sheet3!$B$2:$C$31,2,FALSE)))</f>
        <v>150000</v>
      </c>
      <c r="H55" t="s">
        <v>632</v>
      </c>
      <c r="I55" t="s">
        <v>633</v>
      </c>
      <c r="J55" t="s">
        <v>613</v>
      </c>
      <c r="K55" t="s">
        <v>617</v>
      </c>
      <c r="L55" t="s">
        <v>3847</v>
      </c>
    </row>
    <row r="56" spans="2:12" ht="15" customHeight="1">
      <c r="B56" t="s">
        <v>1571</v>
      </c>
      <c r="C56">
        <v>150000</v>
      </c>
      <c r="D56" t="s">
        <v>252</v>
      </c>
      <c r="E56">
        <v>150000</v>
      </c>
      <c r="F56" s="3">
        <f>(tblSalaries[[#This Row],[clean Salary (in local currency)]])*(VLOOKUP(tblSalaries[[#This Row],[Currency]],Sheet3!$A$2:$C$31,3,FALSE))*(VLOOKUP(tblSalaries[[#This Row],[Currency]],Sheet1!$N$4:$Q$186,4,FALSE))</f>
        <v>150000</v>
      </c>
      <c r="G56" s="4">
        <f>IF(Dashboard!$J$5=VLOOKUP(tblSalaries[[#This Row],[Currency]],Sheet3!$A$2:$B$31,2,FALSE),tblSalaries[[#This Row],[clean Salary (in local currency)]],(tblSalaries[[#This Row],[PPP Adjusted  USD]]/VLOOKUP(Dashboard!$J$5,Sheet3!$B$2:$C$31,2,FALSE)))</f>
        <v>150000</v>
      </c>
      <c r="H56" t="s">
        <v>692</v>
      </c>
      <c r="I56" t="s">
        <v>692</v>
      </c>
      <c r="J56" t="s">
        <v>613</v>
      </c>
      <c r="K56" t="s">
        <v>610</v>
      </c>
      <c r="L56" t="s">
        <v>3847</v>
      </c>
    </row>
    <row r="57" spans="2:12" ht="15" customHeight="1">
      <c r="B57" t="s">
        <v>1677</v>
      </c>
      <c r="C57">
        <v>150000</v>
      </c>
      <c r="D57" t="s">
        <v>252</v>
      </c>
      <c r="E57">
        <v>150000</v>
      </c>
      <c r="F57" s="3">
        <f>(tblSalaries[[#This Row],[clean Salary (in local currency)]])*(VLOOKUP(tblSalaries[[#This Row],[Currency]],Sheet3!$A$2:$C$31,3,FALSE))*(VLOOKUP(tblSalaries[[#This Row],[Currency]],Sheet1!$N$4:$Q$186,4,FALSE))</f>
        <v>150000</v>
      </c>
      <c r="G57" s="4">
        <f>IF(Dashboard!$J$5=VLOOKUP(tblSalaries[[#This Row],[Currency]],Sheet3!$A$2:$B$31,2,FALSE),tblSalaries[[#This Row],[clean Salary (in local currency)]],(tblSalaries[[#This Row],[PPP Adjusted  USD]]/VLOOKUP(Dashboard!$J$5,Sheet3!$B$2:$C$31,2,FALSE)))</f>
        <v>150000</v>
      </c>
      <c r="H57" t="s">
        <v>632</v>
      </c>
      <c r="I57" t="s">
        <v>633</v>
      </c>
      <c r="J57" t="s">
        <v>613</v>
      </c>
      <c r="K57" t="s">
        <v>605</v>
      </c>
      <c r="L57">
        <v>22</v>
      </c>
    </row>
    <row r="58" spans="2:12" ht="15" customHeight="1">
      <c r="B58" t="s">
        <v>2255</v>
      </c>
      <c r="C58">
        <v>150000</v>
      </c>
      <c r="D58" t="s">
        <v>252</v>
      </c>
      <c r="E58">
        <v>150000</v>
      </c>
      <c r="F58" s="3">
        <f>(tblSalaries[[#This Row],[clean Salary (in local currency)]])*(VLOOKUP(tblSalaries[[#This Row],[Currency]],Sheet3!$A$2:$C$31,3,FALSE))*(VLOOKUP(tblSalaries[[#This Row],[Currency]],Sheet1!$N$4:$Q$186,4,FALSE))</f>
        <v>150000</v>
      </c>
      <c r="G58" s="4">
        <f>IF(Dashboard!$J$5=VLOOKUP(tblSalaries[[#This Row],[Currency]],Sheet3!$A$2:$B$31,2,FALSE),tblSalaries[[#This Row],[clean Salary (in local currency)]],(tblSalaries[[#This Row],[PPP Adjusted  USD]]/VLOOKUP(Dashboard!$J$5,Sheet3!$B$2:$C$31,2,FALSE)))</f>
        <v>150000</v>
      </c>
      <c r="H58" t="s">
        <v>608</v>
      </c>
      <c r="I58" t="s">
        <v>608</v>
      </c>
      <c r="J58" t="s">
        <v>613</v>
      </c>
      <c r="K58" t="s">
        <v>605</v>
      </c>
      <c r="L58">
        <v>25</v>
      </c>
    </row>
    <row r="59" spans="2:12" ht="15" customHeight="1">
      <c r="B59" t="s">
        <v>2309</v>
      </c>
      <c r="C59">
        <v>150000</v>
      </c>
      <c r="D59" t="s">
        <v>252</v>
      </c>
      <c r="E59">
        <v>150000</v>
      </c>
      <c r="F59" s="3">
        <f>(tblSalaries[[#This Row],[clean Salary (in local currency)]])*(VLOOKUP(tblSalaries[[#This Row],[Currency]],Sheet3!$A$2:$C$31,3,FALSE))*(VLOOKUP(tblSalaries[[#This Row],[Currency]],Sheet1!$N$4:$Q$186,4,FALSE))</f>
        <v>150000</v>
      </c>
      <c r="G59" s="4">
        <f>IF(Dashboard!$J$5=VLOOKUP(tblSalaries[[#This Row],[Currency]],Sheet3!$A$2:$B$31,2,FALSE),tblSalaries[[#This Row],[clean Salary (in local currency)]],(tblSalaries[[#This Row],[PPP Adjusted  USD]]/VLOOKUP(Dashboard!$J$5,Sheet3!$B$2:$C$31,2,FALSE)))</f>
        <v>150000</v>
      </c>
      <c r="H59" t="s">
        <v>2310</v>
      </c>
      <c r="I59" t="s">
        <v>603</v>
      </c>
      <c r="J59" t="s">
        <v>655</v>
      </c>
      <c r="K59" t="s">
        <v>627</v>
      </c>
      <c r="L59">
        <v>20</v>
      </c>
    </row>
    <row r="60" spans="2:12" ht="15" customHeight="1">
      <c r="B60" t="s">
        <v>2995</v>
      </c>
      <c r="C60">
        <v>150000</v>
      </c>
      <c r="D60" t="s">
        <v>252</v>
      </c>
      <c r="E60">
        <v>150000</v>
      </c>
      <c r="F60" s="3">
        <f>(tblSalaries[[#This Row],[clean Salary (in local currency)]])*(VLOOKUP(tblSalaries[[#This Row],[Currency]],Sheet3!$A$2:$C$31,3,FALSE))*(VLOOKUP(tblSalaries[[#This Row],[Currency]],Sheet1!$N$4:$Q$186,4,FALSE))</f>
        <v>150000</v>
      </c>
      <c r="G60" s="4">
        <f>IF(Dashboard!$J$5=VLOOKUP(tblSalaries[[#This Row],[Currency]],Sheet3!$A$2:$B$31,2,FALSE),tblSalaries[[#This Row],[clean Salary (in local currency)]],(tblSalaries[[#This Row],[PPP Adjusted  USD]]/VLOOKUP(Dashboard!$J$5,Sheet3!$B$2:$C$31,2,FALSE)))</f>
        <v>150000</v>
      </c>
      <c r="H60" t="s">
        <v>2996</v>
      </c>
      <c r="I60" t="s">
        <v>625</v>
      </c>
      <c r="J60" t="s">
        <v>613</v>
      </c>
      <c r="K60" t="s">
        <v>617</v>
      </c>
      <c r="L60">
        <v>30</v>
      </c>
    </row>
    <row r="61" spans="2:12" ht="15" customHeight="1">
      <c r="B61" t="s">
        <v>3029</v>
      </c>
      <c r="C61">
        <v>150000</v>
      </c>
      <c r="D61" t="s">
        <v>252</v>
      </c>
      <c r="E61">
        <v>150000</v>
      </c>
      <c r="F61" s="3">
        <f>(tblSalaries[[#This Row],[clean Salary (in local currency)]])*(VLOOKUP(tblSalaries[[#This Row],[Currency]],Sheet3!$A$2:$C$31,3,FALSE))*(VLOOKUP(tblSalaries[[#This Row],[Currency]],Sheet1!$N$4:$Q$186,4,FALSE))</f>
        <v>150000</v>
      </c>
      <c r="G61" s="4">
        <f>IF(Dashboard!$J$5=VLOOKUP(tblSalaries[[#This Row],[Currency]],Sheet3!$A$2:$B$31,2,FALSE),tblSalaries[[#This Row],[clean Salary (in local currency)]],(tblSalaries[[#This Row],[PPP Adjusted  USD]]/VLOOKUP(Dashboard!$J$5,Sheet3!$B$2:$C$31,2,FALSE)))</f>
        <v>150000</v>
      </c>
      <c r="H61" t="s">
        <v>740</v>
      </c>
      <c r="I61" t="s">
        <v>603</v>
      </c>
      <c r="J61" t="s">
        <v>613</v>
      </c>
      <c r="K61" t="s">
        <v>617</v>
      </c>
      <c r="L61">
        <v>30</v>
      </c>
    </row>
    <row r="62" spans="2:12" ht="15" customHeight="1">
      <c r="B62" t="s">
        <v>2053</v>
      </c>
      <c r="C62">
        <v>900000</v>
      </c>
      <c r="D62" t="s">
        <v>400</v>
      </c>
      <c r="E62">
        <v>109729.60187662003</v>
      </c>
      <c r="F62" s="3">
        <f>(tblSalaries[[#This Row],[clean Salary (in local currency)]])*(VLOOKUP(tblSalaries[[#This Row],[Currency]],Sheet3!$A$2:$C$31,3,FALSE))*(VLOOKUP(tblSalaries[[#This Row],[Currency]],Sheet1!$N$4:$Q$186,4,FALSE))</f>
        <v>149273.49649371335</v>
      </c>
      <c r="G62" s="4">
        <f>IF(Dashboard!$J$5=VLOOKUP(tblSalaries[[#This Row],[Currency]],Sheet3!$A$2:$B$31,2,FALSE),tblSalaries[[#This Row],[clean Salary (in local currency)]],(tblSalaries[[#This Row],[PPP Adjusted  USD]]/VLOOKUP(Dashboard!$J$5,Sheet3!$B$2:$C$31,2,FALSE)))</f>
        <v>149273.49649371335</v>
      </c>
      <c r="H62" t="s">
        <v>899</v>
      </c>
      <c r="I62" t="s">
        <v>603</v>
      </c>
      <c r="J62" t="s">
        <v>659</v>
      </c>
      <c r="K62" t="s">
        <v>610</v>
      </c>
      <c r="L62">
        <v>40</v>
      </c>
    </row>
    <row r="63" spans="2:12" ht="15" customHeight="1">
      <c r="B63" t="s">
        <v>777</v>
      </c>
      <c r="C63">
        <v>100000</v>
      </c>
      <c r="D63" t="s">
        <v>204</v>
      </c>
      <c r="E63">
        <v>157617.8272067284</v>
      </c>
      <c r="F63" s="3">
        <f>(tblSalaries[[#This Row],[clean Salary (in local currency)]])*(VLOOKUP(tblSalaries[[#This Row],[Currency]],Sheet3!$A$2:$C$31,3,FALSE))*(VLOOKUP(tblSalaries[[#This Row],[Currency]],Sheet1!$N$4:$Q$186,4,FALSE))</f>
        <v>147397.12049804273</v>
      </c>
      <c r="G63" s="4">
        <f>IF(Dashboard!$J$5=VLOOKUP(tblSalaries[[#This Row],[Currency]],Sheet3!$A$2:$B$31,2,FALSE),tblSalaries[[#This Row],[clean Salary (in local currency)]],(tblSalaries[[#This Row],[PPP Adjusted  USD]]/VLOOKUP(Dashboard!$J$5,Sheet3!$B$2:$C$31,2,FALSE)))</f>
        <v>147397.12049804273</v>
      </c>
      <c r="H63" t="s">
        <v>603</v>
      </c>
      <c r="I63" t="s">
        <v>603</v>
      </c>
      <c r="J63" t="s">
        <v>687</v>
      </c>
      <c r="K63" t="s">
        <v>617</v>
      </c>
      <c r="L63" t="s">
        <v>3847</v>
      </c>
    </row>
    <row r="64" spans="2:12" ht="15" customHeight="1">
      <c r="B64" t="s">
        <v>2116</v>
      </c>
      <c r="C64">
        <v>100000</v>
      </c>
      <c r="D64" t="s">
        <v>204</v>
      </c>
      <c r="E64">
        <v>157617.8272067284</v>
      </c>
      <c r="F64" s="3">
        <f>(tblSalaries[[#This Row],[clean Salary (in local currency)]])*(VLOOKUP(tblSalaries[[#This Row],[Currency]],Sheet3!$A$2:$C$31,3,FALSE))*(VLOOKUP(tblSalaries[[#This Row],[Currency]],Sheet1!$N$4:$Q$186,4,FALSE))</f>
        <v>147397.12049804273</v>
      </c>
      <c r="G64" s="4">
        <f>IF(Dashboard!$J$5=VLOOKUP(tblSalaries[[#This Row],[Currency]],Sheet3!$A$2:$B$31,2,FALSE),tblSalaries[[#This Row],[clean Salary (in local currency)]],(tblSalaries[[#This Row],[PPP Adjusted  USD]]/VLOOKUP(Dashboard!$J$5,Sheet3!$B$2:$C$31,2,FALSE)))</f>
        <v>147397.12049804273</v>
      </c>
      <c r="H64" t="s">
        <v>854</v>
      </c>
      <c r="I64" t="s">
        <v>608</v>
      </c>
      <c r="J64" t="s">
        <v>687</v>
      </c>
      <c r="K64" t="s">
        <v>617</v>
      </c>
      <c r="L64">
        <v>20</v>
      </c>
    </row>
    <row r="65" spans="2:12" ht="15" customHeight="1">
      <c r="B65" t="s">
        <v>951</v>
      </c>
      <c r="C65">
        <v>145000</v>
      </c>
      <c r="D65" t="s">
        <v>252</v>
      </c>
      <c r="E65">
        <v>145000</v>
      </c>
      <c r="F65" s="3">
        <f>(tblSalaries[[#This Row],[clean Salary (in local currency)]])*(VLOOKUP(tblSalaries[[#This Row],[Currency]],Sheet3!$A$2:$C$31,3,FALSE))*(VLOOKUP(tblSalaries[[#This Row],[Currency]],Sheet1!$N$4:$Q$186,4,FALSE))</f>
        <v>145000</v>
      </c>
      <c r="G65" s="4">
        <f>IF(Dashboard!$J$5=VLOOKUP(tblSalaries[[#This Row],[Currency]],Sheet3!$A$2:$B$31,2,FALSE),tblSalaries[[#This Row],[clean Salary (in local currency)]],(tblSalaries[[#This Row],[PPP Adjusted  USD]]/VLOOKUP(Dashboard!$J$5,Sheet3!$B$2:$C$31,2,FALSE)))</f>
        <v>145000</v>
      </c>
      <c r="H65" t="s">
        <v>952</v>
      </c>
      <c r="I65" t="s">
        <v>608</v>
      </c>
      <c r="J65" t="s">
        <v>655</v>
      </c>
      <c r="K65" t="s">
        <v>610</v>
      </c>
      <c r="L65" t="s">
        <v>3847</v>
      </c>
    </row>
    <row r="66" spans="2:12" ht="15" customHeight="1">
      <c r="B66" t="s">
        <v>3210</v>
      </c>
      <c r="C66">
        <v>145000</v>
      </c>
      <c r="D66" t="s">
        <v>252</v>
      </c>
      <c r="E66">
        <v>145000</v>
      </c>
      <c r="F66" s="3">
        <f>(tblSalaries[[#This Row],[clean Salary (in local currency)]])*(VLOOKUP(tblSalaries[[#This Row],[Currency]],Sheet3!$A$2:$C$31,3,FALSE))*(VLOOKUP(tblSalaries[[#This Row],[Currency]],Sheet1!$N$4:$Q$186,4,FALSE))</f>
        <v>145000</v>
      </c>
      <c r="G66" s="4">
        <f>IF(Dashboard!$J$5=VLOOKUP(tblSalaries[[#This Row],[Currency]],Sheet3!$A$2:$B$31,2,FALSE),tblSalaries[[#This Row],[clean Salary (in local currency)]],(tblSalaries[[#This Row],[PPP Adjusted  USD]]/VLOOKUP(Dashboard!$J$5,Sheet3!$B$2:$C$31,2,FALSE)))</f>
        <v>145000</v>
      </c>
      <c r="H66" t="s">
        <v>1569</v>
      </c>
      <c r="I66" t="s">
        <v>603</v>
      </c>
      <c r="J66" t="s">
        <v>613</v>
      </c>
      <c r="K66" t="s">
        <v>605</v>
      </c>
      <c r="L66">
        <v>6</v>
      </c>
    </row>
    <row r="67" spans="2:12" ht="15" customHeight="1">
      <c r="B67" t="s">
        <v>1448</v>
      </c>
      <c r="C67">
        <v>3000000</v>
      </c>
      <c r="D67" t="s">
        <v>247</v>
      </c>
      <c r="E67">
        <v>53423.750062327701</v>
      </c>
      <c r="F67" s="3">
        <f>(tblSalaries[[#This Row],[clean Salary (in local currency)]])*(VLOOKUP(tblSalaries[[#This Row],[Currency]],Sheet3!$A$2:$C$31,3,FALSE))*(VLOOKUP(tblSalaries[[#This Row],[Currency]],Sheet1!$N$4:$Q$186,4,FALSE))</f>
        <v>142083.06704609536</v>
      </c>
      <c r="G67" s="4">
        <f>IF(Dashboard!$J$5=VLOOKUP(tblSalaries[[#This Row],[Currency]],Sheet3!$A$2:$B$31,2,FALSE),tblSalaries[[#This Row],[clean Salary (in local currency)]],(tblSalaries[[#This Row],[PPP Adjusted  USD]]/VLOOKUP(Dashboard!$J$5,Sheet3!$B$2:$C$31,2,FALSE)))</f>
        <v>142083.06704609536</v>
      </c>
      <c r="H67" t="s">
        <v>1449</v>
      </c>
      <c r="I67" t="s">
        <v>625</v>
      </c>
      <c r="J67" t="s">
        <v>604</v>
      </c>
      <c r="K67" t="s">
        <v>605</v>
      </c>
      <c r="L67" t="s">
        <v>3847</v>
      </c>
    </row>
    <row r="68" spans="2:12" ht="15" customHeight="1">
      <c r="B68" t="s">
        <v>1096</v>
      </c>
      <c r="C68">
        <v>140000</v>
      </c>
      <c r="D68" t="s">
        <v>252</v>
      </c>
      <c r="E68">
        <v>140000</v>
      </c>
      <c r="F68" s="3">
        <f>(tblSalaries[[#This Row],[clean Salary (in local currency)]])*(VLOOKUP(tblSalaries[[#This Row],[Currency]],Sheet3!$A$2:$C$31,3,FALSE))*(VLOOKUP(tblSalaries[[#This Row],[Currency]],Sheet1!$N$4:$Q$186,4,FALSE))</f>
        <v>140000</v>
      </c>
      <c r="G68" s="4">
        <f>IF(Dashboard!$J$5=VLOOKUP(tblSalaries[[#This Row],[Currency]],Sheet3!$A$2:$B$31,2,FALSE),tblSalaries[[#This Row],[clean Salary (in local currency)]],(tblSalaries[[#This Row],[PPP Adjusted  USD]]/VLOOKUP(Dashboard!$J$5,Sheet3!$B$2:$C$31,2,FALSE)))</f>
        <v>140000</v>
      </c>
      <c r="H68" t="s">
        <v>625</v>
      </c>
      <c r="I68" t="s">
        <v>625</v>
      </c>
      <c r="J68" t="s">
        <v>613</v>
      </c>
      <c r="K68" t="s">
        <v>605</v>
      </c>
      <c r="L68" t="s">
        <v>3847</v>
      </c>
    </row>
    <row r="69" spans="2:12" ht="15" customHeight="1">
      <c r="B69" t="s">
        <v>1655</v>
      </c>
      <c r="C69">
        <v>140000</v>
      </c>
      <c r="D69" t="s">
        <v>252</v>
      </c>
      <c r="E69">
        <v>140000</v>
      </c>
      <c r="F69" s="3">
        <f>(tblSalaries[[#This Row],[clean Salary (in local currency)]])*(VLOOKUP(tblSalaries[[#This Row],[Currency]],Sheet3!$A$2:$C$31,3,FALSE))*(VLOOKUP(tblSalaries[[#This Row],[Currency]],Sheet1!$N$4:$Q$186,4,FALSE))</f>
        <v>140000</v>
      </c>
      <c r="G69" s="4">
        <f>IF(Dashboard!$J$5=VLOOKUP(tblSalaries[[#This Row],[Currency]],Sheet3!$A$2:$B$31,2,FALSE),tblSalaries[[#This Row],[clean Salary (in local currency)]],(tblSalaries[[#This Row],[PPP Adjusted  USD]]/VLOOKUP(Dashboard!$J$5,Sheet3!$B$2:$C$31,2,FALSE)))</f>
        <v>140000</v>
      </c>
      <c r="H69" t="s">
        <v>1196</v>
      </c>
      <c r="I69" t="s">
        <v>608</v>
      </c>
      <c r="J69" t="s">
        <v>613</v>
      </c>
      <c r="K69" t="s">
        <v>617</v>
      </c>
      <c r="L69">
        <v>10</v>
      </c>
    </row>
    <row r="70" spans="2:12" ht="15" customHeight="1">
      <c r="B70" t="s">
        <v>2841</v>
      </c>
      <c r="C70">
        <v>140000</v>
      </c>
      <c r="D70" t="s">
        <v>252</v>
      </c>
      <c r="E70">
        <v>140000</v>
      </c>
      <c r="F70" s="3">
        <f>(tblSalaries[[#This Row],[clean Salary (in local currency)]])*(VLOOKUP(tblSalaries[[#This Row],[Currency]],Sheet3!$A$2:$C$31,3,FALSE))*(VLOOKUP(tblSalaries[[#This Row],[Currency]],Sheet1!$N$4:$Q$186,4,FALSE))</f>
        <v>140000</v>
      </c>
      <c r="G70" s="4">
        <f>IF(Dashboard!$J$5=VLOOKUP(tblSalaries[[#This Row],[Currency]],Sheet3!$A$2:$B$31,2,FALSE),tblSalaries[[#This Row],[clean Salary (in local currency)]],(tblSalaries[[#This Row],[PPP Adjusted  USD]]/VLOOKUP(Dashboard!$J$5,Sheet3!$B$2:$C$31,2,FALSE)))</f>
        <v>140000</v>
      </c>
      <c r="H70" t="s">
        <v>710</v>
      </c>
      <c r="I70" t="s">
        <v>637</v>
      </c>
      <c r="J70" t="s">
        <v>613</v>
      </c>
      <c r="K70" t="s">
        <v>605</v>
      </c>
      <c r="L70">
        <v>12</v>
      </c>
    </row>
    <row r="71" spans="2:12" ht="15" customHeight="1">
      <c r="B71" t="s">
        <v>3362</v>
      </c>
      <c r="C71">
        <v>140000</v>
      </c>
      <c r="D71" t="s">
        <v>252</v>
      </c>
      <c r="E71">
        <v>140000</v>
      </c>
      <c r="F71" s="3">
        <f>(tblSalaries[[#This Row],[clean Salary (in local currency)]])*(VLOOKUP(tblSalaries[[#This Row],[Currency]],Sheet3!$A$2:$C$31,3,FALSE))*(VLOOKUP(tblSalaries[[#This Row],[Currency]],Sheet1!$N$4:$Q$186,4,FALSE))</f>
        <v>140000</v>
      </c>
      <c r="G71" s="4">
        <f>IF(Dashboard!$J$5=VLOOKUP(tblSalaries[[#This Row],[Currency]],Sheet3!$A$2:$B$31,2,FALSE),tblSalaries[[#This Row],[clean Salary (in local currency)]],(tblSalaries[[#This Row],[PPP Adjusted  USD]]/VLOOKUP(Dashboard!$J$5,Sheet3!$B$2:$C$31,2,FALSE)))</f>
        <v>140000</v>
      </c>
      <c r="H71" t="s">
        <v>2282</v>
      </c>
      <c r="I71" t="s">
        <v>625</v>
      </c>
      <c r="J71" t="s">
        <v>613</v>
      </c>
      <c r="K71" t="s">
        <v>605</v>
      </c>
      <c r="L71">
        <v>12</v>
      </c>
    </row>
    <row r="72" spans="2:12" ht="15" customHeight="1">
      <c r="B72" t="s">
        <v>1054</v>
      </c>
      <c r="C72">
        <v>138000</v>
      </c>
      <c r="D72" t="s">
        <v>252</v>
      </c>
      <c r="E72">
        <v>138000</v>
      </c>
      <c r="F72" s="3">
        <f>(tblSalaries[[#This Row],[clean Salary (in local currency)]])*(VLOOKUP(tblSalaries[[#This Row],[Currency]],Sheet3!$A$2:$C$31,3,FALSE))*(VLOOKUP(tblSalaries[[#This Row],[Currency]],Sheet1!$N$4:$Q$186,4,FALSE))</f>
        <v>138000</v>
      </c>
      <c r="G72" s="4">
        <f>IF(Dashboard!$J$5=VLOOKUP(tblSalaries[[#This Row],[Currency]],Sheet3!$A$2:$B$31,2,FALSE),tblSalaries[[#This Row],[clean Salary (in local currency)]],(tblSalaries[[#This Row],[PPP Adjusted  USD]]/VLOOKUP(Dashboard!$J$5,Sheet3!$B$2:$C$31,2,FALSE)))</f>
        <v>138000</v>
      </c>
      <c r="H72" t="s">
        <v>1055</v>
      </c>
      <c r="I72" t="s">
        <v>620</v>
      </c>
      <c r="J72" t="s">
        <v>1056</v>
      </c>
      <c r="K72" t="s">
        <v>605</v>
      </c>
      <c r="L72" t="s">
        <v>3847</v>
      </c>
    </row>
    <row r="73" spans="2:12" ht="15" customHeight="1">
      <c r="B73" t="s">
        <v>1227</v>
      </c>
      <c r="C73">
        <v>137500</v>
      </c>
      <c r="D73" t="s">
        <v>252</v>
      </c>
      <c r="E73">
        <v>137500</v>
      </c>
      <c r="F73" s="3">
        <f>(tblSalaries[[#This Row],[clean Salary (in local currency)]])*(VLOOKUP(tblSalaries[[#This Row],[Currency]],Sheet3!$A$2:$C$31,3,FALSE))*(VLOOKUP(tblSalaries[[#This Row],[Currency]],Sheet1!$N$4:$Q$186,4,FALSE))</f>
        <v>137500</v>
      </c>
      <c r="G73" s="4">
        <f>IF(Dashboard!$J$5=VLOOKUP(tblSalaries[[#This Row],[Currency]],Sheet3!$A$2:$B$31,2,FALSE),tblSalaries[[#This Row],[clean Salary (in local currency)]],(tblSalaries[[#This Row],[PPP Adjusted  USD]]/VLOOKUP(Dashboard!$J$5,Sheet3!$B$2:$C$31,2,FALSE)))</f>
        <v>137500</v>
      </c>
      <c r="H73" t="s">
        <v>1228</v>
      </c>
      <c r="I73" t="s">
        <v>603</v>
      </c>
      <c r="J73" t="s">
        <v>613</v>
      </c>
      <c r="K73" t="s">
        <v>605</v>
      </c>
      <c r="L73" t="s">
        <v>3847</v>
      </c>
    </row>
    <row r="74" spans="2:12" ht="15" customHeight="1">
      <c r="B74" t="s">
        <v>2082</v>
      </c>
      <c r="C74">
        <v>300000</v>
      </c>
      <c r="D74" t="s">
        <v>258</v>
      </c>
      <c r="E74">
        <v>148284.35006969364</v>
      </c>
      <c r="F74" s="3">
        <f>(tblSalaries[[#This Row],[clean Salary (in local currency)]])*(VLOOKUP(tblSalaries[[#This Row],[Currency]],Sheet3!$A$2:$C$31,3,FALSE))*(VLOOKUP(tblSalaries[[#This Row],[Currency]],Sheet1!$N$4:$Q$186,4,FALSE))</f>
        <v>136450.07275831036</v>
      </c>
      <c r="G74" s="4">
        <f>IF(Dashboard!$J$5=VLOOKUP(tblSalaries[[#This Row],[Currency]],Sheet3!$A$2:$B$31,2,FALSE),tblSalaries[[#This Row],[clean Salary (in local currency)]],(tblSalaries[[#This Row],[PPP Adjusted  USD]]/VLOOKUP(Dashboard!$J$5,Sheet3!$B$2:$C$31,2,FALSE)))</f>
        <v>136450.07275831036</v>
      </c>
      <c r="H74" t="s">
        <v>2083</v>
      </c>
      <c r="I74" t="s">
        <v>603</v>
      </c>
      <c r="J74" t="s">
        <v>795</v>
      </c>
      <c r="K74" t="s">
        <v>610</v>
      </c>
      <c r="L74">
        <v>3</v>
      </c>
    </row>
    <row r="75" spans="2:12" ht="15" customHeight="1">
      <c r="B75" t="s">
        <v>3005</v>
      </c>
      <c r="C75">
        <v>136000</v>
      </c>
      <c r="D75" t="s">
        <v>252</v>
      </c>
      <c r="E75">
        <v>136000</v>
      </c>
      <c r="F75" s="3">
        <f>(tblSalaries[[#This Row],[clean Salary (in local currency)]])*(VLOOKUP(tblSalaries[[#This Row],[Currency]],Sheet3!$A$2:$C$31,3,FALSE))*(VLOOKUP(tblSalaries[[#This Row],[Currency]],Sheet1!$N$4:$Q$186,4,FALSE))</f>
        <v>136000</v>
      </c>
      <c r="G75" s="4">
        <f>IF(Dashboard!$J$5=VLOOKUP(tblSalaries[[#This Row],[Currency]],Sheet3!$A$2:$B$31,2,FALSE),tblSalaries[[#This Row],[clean Salary (in local currency)]],(tblSalaries[[#This Row],[PPP Adjusted  USD]]/VLOOKUP(Dashboard!$J$5,Sheet3!$B$2:$C$31,2,FALSE)))</f>
        <v>136000</v>
      </c>
      <c r="H75" t="s">
        <v>3006</v>
      </c>
      <c r="I75" t="s">
        <v>625</v>
      </c>
      <c r="J75" t="s">
        <v>613</v>
      </c>
      <c r="K75" t="s">
        <v>605</v>
      </c>
      <c r="L75">
        <v>10</v>
      </c>
    </row>
    <row r="76" spans="2:12" ht="15" customHeight="1">
      <c r="B76" t="s">
        <v>1258</v>
      </c>
      <c r="C76">
        <v>135000</v>
      </c>
      <c r="D76" t="s">
        <v>252</v>
      </c>
      <c r="E76">
        <v>135000</v>
      </c>
      <c r="F76" s="3">
        <f>(tblSalaries[[#This Row],[clean Salary (in local currency)]])*(VLOOKUP(tblSalaries[[#This Row],[Currency]],Sheet3!$A$2:$C$31,3,FALSE))*(VLOOKUP(tblSalaries[[#This Row],[Currency]],Sheet1!$N$4:$Q$186,4,FALSE))</f>
        <v>135000</v>
      </c>
      <c r="G76" s="4">
        <f>IF(Dashboard!$J$5=VLOOKUP(tblSalaries[[#This Row],[Currency]],Sheet3!$A$2:$B$31,2,FALSE),tblSalaries[[#This Row],[clean Salary (in local currency)]],(tblSalaries[[#This Row],[PPP Adjusted  USD]]/VLOOKUP(Dashboard!$J$5,Sheet3!$B$2:$C$31,2,FALSE)))</f>
        <v>135000</v>
      </c>
      <c r="H76" t="s">
        <v>1259</v>
      </c>
      <c r="I76" t="s">
        <v>625</v>
      </c>
      <c r="J76" t="s">
        <v>613</v>
      </c>
      <c r="K76" t="s">
        <v>610</v>
      </c>
      <c r="L76" t="s">
        <v>3847</v>
      </c>
    </row>
    <row r="77" spans="2:12" ht="15" customHeight="1">
      <c r="B77" t="s">
        <v>2157</v>
      </c>
      <c r="C77">
        <v>135000</v>
      </c>
      <c r="D77" t="s">
        <v>252</v>
      </c>
      <c r="E77">
        <v>135000</v>
      </c>
      <c r="F77" s="3">
        <f>(tblSalaries[[#This Row],[clean Salary (in local currency)]])*(VLOOKUP(tblSalaries[[#This Row],[Currency]],Sheet3!$A$2:$C$31,3,FALSE))*(VLOOKUP(tblSalaries[[#This Row],[Currency]],Sheet1!$N$4:$Q$186,4,FALSE))</f>
        <v>135000</v>
      </c>
      <c r="G77" s="4">
        <f>IF(Dashboard!$J$5=VLOOKUP(tblSalaries[[#This Row],[Currency]],Sheet3!$A$2:$B$31,2,FALSE),tblSalaries[[#This Row],[clean Salary (in local currency)]],(tblSalaries[[#This Row],[PPP Adjusted  USD]]/VLOOKUP(Dashboard!$J$5,Sheet3!$B$2:$C$31,2,FALSE)))</f>
        <v>135000</v>
      </c>
      <c r="H77" t="s">
        <v>2158</v>
      </c>
      <c r="I77" t="s">
        <v>633</v>
      </c>
      <c r="J77" t="s">
        <v>613</v>
      </c>
      <c r="K77" t="s">
        <v>605</v>
      </c>
      <c r="L77">
        <v>25</v>
      </c>
    </row>
    <row r="78" spans="2:12" ht="15" customHeight="1">
      <c r="B78" t="s">
        <v>2296</v>
      </c>
      <c r="C78">
        <v>135000</v>
      </c>
      <c r="D78" t="s">
        <v>252</v>
      </c>
      <c r="E78">
        <v>135000</v>
      </c>
      <c r="F78" s="3">
        <f>(tblSalaries[[#This Row],[clean Salary (in local currency)]])*(VLOOKUP(tblSalaries[[#This Row],[Currency]],Sheet3!$A$2:$C$31,3,FALSE))*(VLOOKUP(tblSalaries[[#This Row],[Currency]],Sheet1!$N$4:$Q$186,4,FALSE))</f>
        <v>135000</v>
      </c>
      <c r="G78" s="4">
        <f>IF(Dashboard!$J$5=VLOOKUP(tblSalaries[[#This Row],[Currency]],Sheet3!$A$2:$B$31,2,FALSE),tblSalaries[[#This Row],[clean Salary (in local currency)]],(tblSalaries[[#This Row],[PPP Adjusted  USD]]/VLOOKUP(Dashboard!$J$5,Sheet3!$B$2:$C$31,2,FALSE)))</f>
        <v>135000</v>
      </c>
      <c r="H78" t="s">
        <v>2297</v>
      </c>
      <c r="I78" t="s">
        <v>625</v>
      </c>
      <c r="J78" t="s">
        <v>613</v>
      </c>
      <c r="K78" t="s">
        <v>610</v>
      </c>
      <c r="L78">
        <v>15</v>
      </c>
    </row>
    <row r="79" spans="2:12" ht="15" customHeight="1">
      <c r="B79" t="s">
        <v>1110</v>
      </c>
      <c r="C79">
        <v>130000</v>
      </c>
      <c r="D79" t="s">
        <v>252</v>
      </c>
      <c r="E79">
        <v>130000</v>
      </c>
      <c r="F79" s="3">
        <f>(tblSalaries[[#This Row],[clean Salary (in local currency)]])*(VLOOKUP(tblSalaries[[#This Row],[Currency]],Sheet3!$A$2:$C$31,3,FALSE))*(VLOOKUP(tblSalaries[[#This Row],[Currency]],Sheet1!$N$4:$Q$186,4,FALSE))</f>
        <v>130000</v>
      </c>
      <c r="G79" s="4">
        <f>IF(Dashboard!$J$5=VLOOKUP(tblSalaries[[#This Row],[Currency]],Sheet3!$A$2:$B$31,2,FALSE),tblSalaries[[#This Row],[clean Salary (in local currency)]],(tblSalaries[[#This Row],[PPP Adjusted  USD]]/VLOOKUP(Dashboard!$J$5,Sheet3!$B$2:$C$31,2,FALSE)))</f>
        <v>130000</v>
      </c>
      <c r="H79" t="s">
        <v>1111</v>
      </c>
      <c r="I79" t="s">
        <v>625</v>
      </c>
      <c r="J79" t="s">
        <v>613</v>
      </c>
      <c r="K79" t="s">
        <v>605</v>
      </c>
      <c r="L79" t="s">
        <v>3847</v>
      </c>
    </row>
    <row r="80" spans="2:12" ht="15" customHeight="1">
      <c r="B80" t="s">
        <v>1279</v>
      </c>
      <c r="C80">
        <v>130000</v>
      </c>
      <c r="D80" t="s">
        <v>252</v>
      </c>
      <c r="E80">
        <v>130000</v>
      </c>
      <c r="F80" s="3">
        <f>(tblSalaries[[#This Row],[clean Salary (in local currency)]])*(VLOOKUP(tblSalaries[[#This Row],[Currency]],Sheet3!$A$2:$C$31,3,FALSE))*(VLOOKUP(tblSalaries[[#This Row],[Currency]],Sheet1!$N$4:$Q$186,4,FALSE))</f>
        <v>130000</v>
      </c>
      <c r="G80" s="4">
        <f>IF(Dashboard!$J$5=VLOOKUP(tblSalaries[[#This Row],[Currency]],Sheet3!$A$2:$B$31,2,FALSE),tblSalaries[[#This Row],[clean Salary (in local currency)]],(tblSalaries[[#This Row],[PPP Adjusted  USD]]/VLOOKUP(Dashboard!$J$5,Sheet3!$B$2:$C$31,2,FALSE)))</f>
        <v>130000</v>
      </c>
      <c r="H80" t="s">
        <v>1280</v>
      </c>
      <c r="I80" t="s">
        <v>620</v>
      </c>
      <c r="J80" t="s">
        <v>613</v>
      </c>
      <c r="K80" t="s">
        <v>605</v>
      </c>
      <c r="L80" t="s">
        <v>3847</v>
      </c>
    </row>
    <row r="81" spans="2:12" ht="15" customHeight="1">
      <c r="B81" t="s">
        <v>1311</v>
      </c>
      <c r="C81">
        <v>130000</v>
      </c>
      <c r="D81" t="s">
        <v>252</v>
      </c>
      <c r="E81">
        <v>130000</v>
      </c>
      <c r="F81" s="3">
        <f>(tblSalaries[[#This Row],[clean Salary (in local currency)]])*(VLOOKUP(tblSalaries[[#This Row],[Currency]],Sheet3!$A$2:$C$31,3,FALSE))*(VLOOKUP(tblSalaries[[#This Row],[Currency]],Sheet1!$N$4:$Q$186,4,FALSE))</f>
        <v>130000</v>
      </c>
      <c r="G81" s="4">
        <f>IF(Dashboard!$J$5=VLOOKUP(tblSalaries[[#This Row],[Currency]],Sheet3!$A$2:$B$31,2,FALSE),tblSalaries[[#This Row],[clean Salary (in local currency)]],(tblSalaries[[#This Row],[PPP Adjusted  USD]]/VLOOKUP(Dashboard!$J$5,Sheet3!$B$2:$C$31,2,FALSE)))</f>
        <v>130000</v>
      </c>
      <c r="H81" t="s">
        <v>889</v>
      </c>
      <c r="I81" t="s">
        <v>625</v>
      </c>
      <c r="J81" t="s">
        <v>613</v>
      </c>
      <c r="K81" t="s">
        <v>617</v>
      </c>
      <c r="L81" t="s">
        <v>3847</v>
      </c>
    </row>
    <row r="82" spans="2:12" ht="15" customHeight="1">
      <c r="B82" t="s">
        <v>1916</v>
      </c>
      <c r="C82">
        <v>130000</v>
      </c>
      <c r="D82" t="s">
        <v>252</v>
      </c>
      <c r="E82">
        <v>130000</v>
      </c>
      <c r="F82" s="3">
        <f>(tblSalaries[[#This Row],[clean Salary (in local currency)]])*(VLOOKUP(tblSalaries[[#This Row],[Currency]],Sheet3!$A$2:$C$31,3,FALSE))*(VLOOKUP(tblSalaries[[#This Row],[Currency]],Sheet1!$N$4:$Q$186,4,FALSE))</f>
        <v>130000</v>
      </c>
      <c r="G82" s="4">
        <f>IF(Dashboard!$J$5=VLOOKUP(tblSalaries[[#This Row],[Currency]],Sheet3!$A$2:$B$31,2,FALSE),tblSalaries[[#This Row],[clean Salary (in local currency)]],(tblSalaries[[#This Row],[PPP Adjusted  USD]]/VLOOKUP(Dashboard!$J$5,Sheet3!$B$2:$C$31,2,FALSE)))</f>
        <v>130000</v>
      </c>
      <c r="H82" t="s">
        <v>1917</v>
      </c>
      <c r="I82" t="s">
        <v>625</v>
      </c>
      <c r="J82" t="s">
        <v>703</v>
      </c>
      <c r="K82" t="s">
        <v>605</v>
      </c>
      <c r="L82">
        <v>3</v>
      </c>
    </row>
    <row r="83" spans="2:12" ht="15" customHeight="1">
      <c r="B83" t="s">
        <v>3011</v>
      </c>
      <c r="C83">
        <v>130000</v>
      </c>
      <c r="D83" t="s">
        <v>252</v>
      </c>
      <c r="E83">
        <v>130000</v>
      </c>
      <c r="F83" s="3">
        <f>(tblSalaries[[#This Row],[clean Salary (in local currency)]])*(VLOOKUP(tblSalaries[[#This Row],[Currency]],Sheet3!$A$2:$C$31,3,FALSE))*(VLOOKUP(tblSalaries[[#This Row],[Currency]],Sheet1!$N$4:$Q$186,4,FALSE))</f>
        <v>130000</v>
      </c>
      <c r="G83" s="4">
        <f>IF(Dashboard!$J$5=VLOOKUP(tblSalaries[[#This Row],[Currency]],Sheet3!$A$2:$B$31,2,FALSE),tblSalaries[[#This Row],[clean Salary (in local currency)]],(tblSalaries[[#This Row],[PPP Adjusted  USD]]/VLOOKUP(Dashboard!$J$5,Sheet3!$B$2:$C$31,2,FALSE)))</f>
        <v>130000</v>
      </c>
      <c r="H83" t="s">
        <v>625</v>
      </c>
      <c r="I83" t="s">
        <v>625</v>
      </c>
      <c r="J83" t="s">
        <v>613</v>
      </c>
      <c r="K83" t="s">
        <v>627</v>
      </c>
      <c r="L83">
        <v>25</v>
      </c>
    </row>
    <row r="84" spans="2:12" ht="15" customHeight="1">
      <c r="B84" t="s">
        <v>3123</v>
      </c>
      <c r="C84">
        <v>118000</v>
      </c>
      <c r="D84" t="s">
        <v>200</v>
      </c>
      <c r="E84">
        <v>149907.13380100971</v>
      </c>
      <c r="F84" s="3">
        <f>(tblSalaries[[#This Row],[clean Salary (in local currency)]])*(VLOOKUP(tblSalaries[[#This Row],[Currency]],Sheet3!$A$2:$C$31,3,FALSE))*(VLOOKUP(tblSalaries[[#This Row],[Currency]],Sheet1!$N$4:$Q$186,4,FALSE))</f>
        <v>129877.04054564614</v>
      </c>
      <c r="G84" s="4">
        <f>IF(Dashboard!$J$5=VLOOKUP(tblSalaries[[#This Row],[Currency]],Sheet3!$A$2:$B$31,2,FALSE),tblSalaries[[#This Row],[clean Salary (in local currency)]],(tblSalaries[[#This Row],[PPP Adjusted  USD]]/VLOOKUP(Dashboard!$J$5,Sheet3!$B$2:$C$31,2,FALSE)))</f>
        <v>129877.04054564614</v>
      </c>
      <c r="H84" t="s">
        <v>3124</v>
      </c>
      <c r="I84" t="s">
        <v>603</v>
      </c>
      <c r="J84" t="s">
        <v>2999</v>
      </c>
      <c r="K84" t="s">
        <v>605</v>
      </c>
      <c r="L84">
        <v>7</v>
      </c>
    </row>
    <row r="85" spans="2:12" ht="15" customHeight="1">
      <c r="B85" t="s">
        <v>872</v>
      </c>
      <c r="C85">
        <v>128000</v>
      </c>
      <c r="D85" t="s">
        <v>252</v>
      </c>
      <c r="E85">
        <v>128000</v>
      </c>
      <c r="F85" s="3">
        <f>(tblSalaries[[#This Row],[clean Salary (in local currency)]])*(VLOOKUP(tblSalaries[[#This Row],[Currency]],Sheet3!$A$2:$C$31,3,FALSE))*(VLOOKUP(tblSalaries[[#This Row],[Currency]],Sheet1!$N$4:$Q$186,4,FALSE))</f>
        <v>128000</v>
      </c>
      <c r="G85" s="4">
        <f>IF(Dashboard!$J$5=VLOOKUP(tblSalaries[[#This Row],[Currency]],Sheet3!$A$2:$B$31,2,FALSE),tblSalaries[[#This Row],[clean Salary (in local currency)]],(tblSalaries[[#This Row],[PPP Adjusted  USD]]/VLOOKUP(Dashboard!$J$5,Sheet3!$B$2:$C$31,2,FALSE)))</f>
        <v>128000</v>
      </c>
      <c r="H85" t="s">
        <v>873</v>
      </c>
      <c r="I85" t="s">
        <v>625</v>
      </c>
      <c r="J85" t="s">
        <v>613</v>
      </c>
      <c r="K85" t="s">
        <v>610</v>
      </c>
      <c r="L85" t="s">
        <v>3847</v>
      </c>
    </row>
    <row r="86" spans="2:12" ht="15" customHeight="1">
      <c r="B86" t="s">
        <v>3200</v>
      </c>
      <c r="C86">
        <v>127500</v>
      </c>
      <c r="D86" t="s">
        <v>252</v>
      </c>
      <c r="E86">
        <v>127500</v>
      </c>
      <c r="F86" s="3">
        <f>(tblSalaries[[#This Row],[clean Salary (in local currency)]])*(VLOOKUP(tblSalaries[[#This Row],[Currency]],Sheet3!$A$2:$C$31,3,FALSE))*(VLOOKUP(tblSalaries[[#This Row],[Currency]],Sheet1!$N$4:$Q$186,4,FALSE))</f>
        <v>127500</v>
      </c>
      <c r="G86" s="4">
        <f>IF(Dashboard!$J$5=VLOOKUP(tblSalaries[[#This Row],[Currency]],Sheet3!$A$2:$B$31,2,FALSE),tblSalaries[[#This Row],[clean Salary (in local currency)]],(tblSalaries[[#This Row],[PPP Adjusted  USD]]/VLOOKUP(Dashboard!$J$5,Sheet3!$B$2:$C$31,2,FALSE)))</f>
        <v>127500</v>
      </c>
      <c r="H86" t="s">
        <v>3201</v>
      </c>
      <c r="I86" t="s">
        <v>633</v>
      </c>
      <c r="J86" t="s">
        <v>613</v>
      </c>
      <c r="K86" t="s">
        <v>610</v>
      </c>
      <c r="L86">
        <v>22</v>
      </c>
    </row>
    <row r="87" spans="2:12" ht="15" customHeight="1">
      <c r="B87" t="s">
        <v>1283</v>
      </c>
      <c r="C87">
        <v>160000</v>
      </c>
      <c r="D87" t="s">
        <v>276</v>
      </c>
      <c r="E87">
        <v>157337.8436848523</v>
      </c>
      <c r="F87" s="3">
        <f>(tblSalaries[[#This Row],[clean Salary (in local currency)]])*(VLOOKUP(tblSalaries[[#This Row],[Currency]],Sheet3!$A$2:$C$31,3,FALSE))*(VLOOKUP(tblSalaries[[#This Row],[Currency]],Sheet1!$N$4:$Q$186,4,FALSE))</f>
        <v>126471.39251237514</v>
      </c>
      <c r="G87" s="4">
        <f>IF(Dashboard!$J$5=VLOOKUP(tblSalaries[[#This Row],[Currency]],Sheet3!$A$2:$B$31,2,FALSE),tblSalaries[[#This Row],[clean Salary (in local currency)]],(tblSalaries[[#This Row],[PPP Adjusted  USD]]/VLOOKUP(Dashboard!$J$5,Sheet3!$B$2:$C$31,2,FALSE)))</f>
        <v>126471.39251237514</v>
      </c>
      <c r="H87" t="s">
        <v>692</v>
      </c>
      <c r="I87" t="s">
        <v>692</v>
      </c>
      <c r="J87" t="s">
        <v>708</v>
      </c>
      <c r="K87" t="s">
        <v>617</v>
      </c>
      <c r="L87" t="s">
        <v>3847</v>
      </c>
    </row>
    <row r="88" spans="2:12" ht="15" customHeight="1">
      <c r="B88" t="s">
        <v>2330</v>
      </c>
      <c r="C88">
        <v>200000</v>
      </c>
      <c r="D88" t="s">
        <v>224</v>
      </c>
      <c r="E88">
        <v>203981.93128052715</v>
      </c>
      <c r="F88" s="3">
        <f>(tblSalaries[[#This Row],[clean Salary (in local currency)]])*(VLOOKUP(tblSalaries[[#This Row],[Currency]],Sheet3!$A$2:$C$31,3,FALSE))*(VLOOKUP(tblSalaries[[#This Row],[Currency]],Sheet1!$N$4:$Q$186,4,FALSE))</f>
        <v>125342.8116397222</v>
      </c>
      <c r="G88" s="4">
        <f>IF(Dashboard!$J$5=VLOOKUP(tblSalaries[[#This Row],[Currency]],Sheet3!$A$2:$B$31,2,FALSE),tblSalaries[[#This Row],[clean Salary (in local currency)]],(tblSalaries[[#This Row],[PPP Adjusted  USD]]/VLOOKUP(Dashboard!$J$5,Sheet3!$B$2:$C$31,2,FALSE)))</f>
        <v>125342.8116397222</v>
      </c>
      <c r="H88" t="s">
        <v>1953</v>
      </c>
      <c r="I88" t="s">
        <v>625</v>
      </c>
      <c r="J88" t="s">
        <v>703</v>
      </c>
      <c r="K88" t="s">
        <v>605</v>
      </c>
      <c r="L88">
        <v>15</v>
      </c>
    </row>
    <row r="89" spans="2:12" ht="15" customHeight="1">
      <c r="B89" t="s">
        <v>804</v>
      </c>
      <c r="C89">
        <v>125000</v>
      </c>
      <c r="D89" t="s">
        <v>252</v>
      </c>
      <c r="E89">
        <v>125000</v>
      </c>
      <c r="F89" s="3">
        <f>(tblSalaries[[#This Row],[clean Salary (in local currency)]])*(VLOOKUP(tblSalaries[[#This Row],[Currency]],Sheet3!$A$2:$C$31,3,FALSE))*(VLOOKUP(tblSalaries[[#This Row],[Currency]],Sheet1!$N$4:$Q$186,4,FALSE))</f>
        <v>125000</v>
      </c>
      <c r="G89" s="4">
        <f>IF(Dashboard!$J$5=VLOOKUP(tblSalaries[[#This Row],[Currency]],Sheet3!$A$2:$B$31,2,FALSE),tblSalaries[[#This Row],[clean Salary (in local currency)]],(tblSalaries[[#This Row],[PPP Adjusted  USD]]/VLOOKUP(Dashboard!$J$5,Sheet3!$B$2:$C$31,2,FALSE)))</f>
        <v>125000</v>
      </c>
      <c r="H89" t="s">
        <v>805</v>
      </c>
      <c r="I89" t="s">
        <v>633</v>
      </c>
      <c r="J89" t="s">
        <v>613</v>
      </c>
      <c r="K89" t="s">
        <v>605</v>
      </c>
      <c r="L89" t="s">
        <v>3847</v>
      </c>
    </row>
    <row r="90" spans="2:12" ht="15" customHeight="1">
      <c r="B90" t="s">
        <v>1212</v>
      </c>
      <c r="C90">
        <v>125000</v>
      </c>
      <c r="D90" t="s">
        <v>252</v>
      </c>
      <c r="E90">
        <v>125000</v>
      </c>
      <c r="F90" s="3">
        <f>(tblSalaries[[#This Row],[clean Salary (in local currency)]])*(VLOOKUP(tblSalaries[[#This Row],[Currency]],Sheet3!$A$2:$C$31,3,FALSE))*(VLOOKUP(tblSalaries[[#This Row],[Currency]],Sheet1!$N$4:$Q$186,4,FALSE))</f>
        <v>125000</v>
      </c>
      <c r="G90" s="4">
        <f>IF(Dashboard!$J$5=VLOOKUP(tblSalaries[[#This Row],[Currency]],Sheet3!$A$2:$B$31,2,FALSE),tblSalaries[[#This Row],[clean Salary (in local currency)]],(tblSalaries[[#This Row],[PPP Adjusted  USD]]/VLOOKUP(Dashboard!$J$5,Sheet3!$B$2:$C$31,2,FALSE)))</f>
        <v>125000</v>
      </c>
      <c r="H90" t="s">
        <v>1213</v>
      </c>
      <c r="I90" t="s">
        <v>625</v>
      </c>
      <c r="J90" t="s">
        <v>613</v>
      </c>
      <c r="K90" t="s">
        <v>605</v>
      </c>
      <c r="L90" t="s">
        <v>3847</v>
      </c>
    </row>
    <row r="91" spans="2:12" ht="15" customHeight="1">
      <c r="B91" t="s">
        <v>1478</v>
      </c>
      <c r="C91">
        <v>125000</v>
      </c>
      <c r="D91" t="s">
        <v>252</v>
      </c>
      <c r="E91">
        <v>125000</v>
      </c>
      <c r="F91" s="3">
        <f>(tblSalaries[[#This Row],[clean Salary (in local currency)]])*(VLOOKUP(tblSalaries[[#This Row],[Currency]],Sheet3!$A$2:$C$31,3,FALSE))*(VLOOKUP(tblSalaries[[#This Row],[Currency]],Sheet1!$N$4:$Q$186,4,FALSE))</f>
        <v>125000</v>
      </c>
      <c r="G91" s="4">
        <f>IF(Dashboard!$J$5=VLOOKUP(tblSalaries[[#This Row],[Currency]],Sheet3!$A$2:$B$31,2,FALSE),tblSalaries[[#This Row],[clean Salary (in local currency)]],(tblSalaries[[#This Row],[PPP Adjusted  USD]]/VLOOKUP(Dashboard!$J$5,Sheet3!$B$2:$C$31,2,FALSE)))</f>
        <v>125000</v>
      </c>
      <c r="H91" t="s">
        <v>1479</v>
      </c>
      <c r="I91" t="s">
        <v>625</v>
      </c>
      <c r="J91" t="s">
        <v>613</v>
      </c>
      <c r="K91" t="s">
        <v>617</v>
      </c>
      <c r="L91" t="s">
        <v>3847</v>
      </c>
    </row>
    <row r="92" spans="2:12" ht="15" customHeight="1">
      <c r="B92" t="s">
        <v>1767</v>
      </c>
      <c r="C92">
        <v>125000</v>
      </c>
      <c r="D92" t="s">
        <v>252</v>
      </c>
      <c r="E92">
        <v>125000</v>
      </c>
      <c r="F92" s="3">
        <f>(tblSalaries[[#This Row],[clean Salary (in local currency)]])*(VLOOKUP(tblSalaries[[#This Row],[Currency]],Sheet3!$A$2:$C$31,3,FALSE))*(VLOOKUP(tblSalaries[[#This Row],[Currency]],Sheet1!$N$4:$Q$186,4,FALSE))</f>
        <v>125000</v>
      </c>
      <c r="G92" s="4">
        <f>IF(Dashboard!$J$5=VLOOKUP(tblSalaries[[#This Row],[Currency]],Sheet3!$A$2:$B$31,2,FALSE),tblSalaries[[#This Row],[clean Salary (in local currency)]],(tblSalaries[[#This Row],[PPP Adjusted  USD]]/VLOOKUP(Dashboard!$J$5,Sheet3!$B$2:$C$31,2,FALSE)))</f>
        <v>125000</v>
      </c>
      <c r="H92" t="s">
        <v>603</v>
      </c>
      <c r="I92" t="s">
        <v>603</v>
      </c>
      <c r="J92" t="s">
        <v>613</v>
      </c>
      <c r="K92" t="s">
        <v>617</v>
      </c>
      <c r="L92">
        <v>20</v>
      </c>
    </row>
    <row r="93" spans="2:12" ht="15" customHeight="1">
      <c r="B93" t="s">
        <v>2159</v>
      </c>
      <c r="C93">
        <v>125000</v>
      </c>
      <c r="D93" t="s">
        <v>252</v>
      </c>
      <c r="E93">
        <v>125000</v>
      </c>
      <c r="F93" s="3">
        <f>(tblSalaries[[#This Row],[clean Salary (in local currency)]])*(VLOOKUP(tblSalaries[[#This Row],[Currency]],Sheet3!$A$2:$C$31,3,FALSE))*(VLOOKUP(tblSalaries[[#This Row],[Currency]],Sheet1!$N$4:$Q$186,4,FALSE))</f>
        <v>125000</v>
      </c>
      <c r="G93" s="4">
        <f>IF(Dashboard!$J$5=VLOOKUP(tblSalaries[[#This Row],[Currency]],Sheet3!$A$2:$B$31,2,FALSE),tblSalaries[[#This Row],[clean Salary (in local currency)]],(tblSalaries[[#This Row],[PPP Adjusted  USD]]/VLOOKUP(Dashboard!$J$5,Sheet3!$B$2:$C$31,2,FALSE)))</f>
        <v>125000</v>
      </c>
      <c r="H93" t="s">
        <v>2160</v>
      </c>
      <c r="I93" t="s">
        <v>625</v>
      </c>
      <c r="J93" t="s">
        <v>1519</v>
      </c>
      <c r="K93" t="s">
        <v>605</v>
      </c>
      <c r="L93">
        <v>6</v>
      </c>
    </row>
    <row r="94" spans="2:12" ht="15" customHeight="1">
      <c r="B94" t="s">
        <v>2191</v>
      </c>
      <c r="C94">
        <v>125000</v>
      </c>
      <c r="D94" t="s">
        <v>252</v>
      </c>
      <c r="E94">
        <v>125000</v>
      </c>
      <c r="F94" s="3">
        <f>(tblSalaries[[#This Row],[clean Salary (in local currency)]])*(VLOOKUP(tblSalaries[[#This Row],[Currency]],Sheet3!$A$2:$C$31,3,FALSE))*(VLOOKUP(tblSalaries[[#This Row],[Currency]],Sheet1!$N$4:$Q$186,4,FALSE))</f>
        <v>125000</v>
      </c>
      <c r="G94" s="4">
        <f>IF(Dashboard!$J$5=VLOOKUP(tblSalaries[[#This Row],[Currency]],Sheet3!$A$2:$B$31,2,FALSE),tblSalaries[[#This Row],[clean Salary (in local currency)]],(tblSalaries[[#This Row],[PPP Adjusted  USD]]/VLOOKUP(Dashboard!$J$5,Sheet3!$B$2:$C$31,2,FALSE)))</f>
        <v>125000</v>
      </c>
      <c r="H94" t="s">
        <v>2192</v>
      </c>
      <c r="I94" t="s">
        <v>633</v>
      </c>
      <c r="J94" t="s">
        <v>659</v>
      </c>
      <c r="K94" t="s">
        <v>605</v>
      </c>
      <c r="L94">
        <v>20</v>
      </c>
    </row>
    <row r="95" spans="2:12" ht="15" customHeight="1">
      <c r="B95" t="s">
        <v>2349</v>
      </c>
      <c r="C95">
        <v>125000</v>
      </c>
      <c r="D95" t="s">
        <v>252</v>
      </c>
      <c r="E95">
        <v>125000</v>
      </c>
      <c r="F95" s="3">
        <f>(tblSalaries[[#This Row],[clean Salary (in local currency)]])*(VLOOKUP(tblSalaries[[#This Row],[Currency]],Sheet3!$A$2:$C$31,3,FALSE))*(VLOOKUP(tblSalaries[[#This Row],[Currency]],Sheet1!$N$4:$Q$186,4,FALSE))</f>
        <v>125000</v>
      </c>
      <c r="G95" s="4">
        <f>IF(Dashboard!$J$5=VLOOKUP(tblSalaries[[#This Row],[Currency]],Sheet3!$A$2:$B$31,2,FALSE),tblSalaries[[#This Row],[clean Salary (in local currency)]],(tblSalaries[[#This Row],[PPP Adjusted  USD]]/VLOOKUP(Dashboard!$J$5,Sheet3!$B$2:$C$31,2,FALSE)))</f>
        <v>125000</v>
      </c>
      <c r="H95" t="s">
        <v>2350</v>
      </c>
      <c r="I95" t="s">
        <v>633</v>
      </c>
      <c r="J95" t="s">
        <v>613</v>
      </c>
      <c r="K95" t="s">
        <v>605</v>
      </c>
      <c r="L95">
        <v>10</v>
      </c>
    </row>
    <row r="96" spans="2:12" ht="15" customHeight="1">
      <c r="B96" t="s">
        <v>2933</v>
      </c>
      <c r="C96">
        <v>125000</v>
      </c>
      <c r="D96" t="s">
        <v>252</v>
      </c>
      <c r="E96">
        <v>125000</v>
      </c>
      <c r="F96" s="3">
        <f>(tblSalaries[[#This Row],[clean Salary (in local currency)]])*(VLOOKUP(tblSalaries[[#This Row],[Currency]],Sheet3!$A$2:$C$31,3,FALSE))*(VLOOKUP(tblSalaries[[#This Row],[Currency]],Sheet1!$N$4:$Q$186,4,FALSE))</f>
        <v>125000</v>
      </c>
      <c r="G96" s="4">
        <f>IF(Dashboard!$J$5=VLOOKUP(tblSalaries[[#This Row],[Currency]],Sheet3!$A$2:$B$31,2,FALSE),tblSalaries[[#This Row],[clean Salary (in local currency)]],(tblSalaries[[#This Row],[PPP Adjusted  USD]]/VLOOKUP(Dashboard!$J$5,Sheet3!$B$2:$C$31,2,FALSE)))</f>
        <v>125000</v>
      </c>
      <c r="H96" t="s">
        <v>2934</v>
      </c>
      <c r="I96" t="s">
        <v>625</v>
      </c>
      <c r="J96" t="s">
        <v>613</v>
      </c>
      <c r="K96" t="s">
        <v>605</v>
      </c>
      <c r="L96">
        <v>2</v>
      </c>
    </row>
    <row r="97" spans="2:12" ht="15" customHeight="1">
      <c r="B97" t="s">
        <v>2950</v>
      </c>
      <c r="C97">
        <v>125000</v>
      </c>
      <c r="D97" t="s">
        <v>252</v>
      </c>
      <c r="E97">
        <v>125000</v>
      </c>
      <c r="F97" s="3">
        <f>(tblSalaries[[#This Row],[clean Salary (in local currency)]])*(VLOOKUP(tblSalaries[[#This Row],[Currency]],Sheet3!$A$2:$C$31,3,FALSE))*(VLOOKUP(tblSalaries[[#This Row],[Currency]],Sheet1!$N$4:$Q$186,4,FALSE))</f>
        <v>125000</v>
      </c>
      <c r="G97" s="4">
        <f>IF(Dashboard!$J$5=VLOOKUP(tblSalaries[[#This Row],[Currency]],Sheet3!$A$2:$B$31,2,FALSE),tblSalaries[[#This Row],[clean Salary (in local currency)]],(tblSalaries[[#This Row],[PPP Adjusted  USD]]/VLOOKUP(Dashboard!$J$5,Sheet3!$B$2:$C$31,2,FALSE)))</f>
        <v>125000</v>
      </c>
      <c r="H97" t="s">
        <v>1611</v>
      </c>
      <c r="I97" t="s">
        <v>625</v>
      </c>
      <c r="J97" t="s">
        <v>613</v>
      </c>
      <c r="K97" t="s">
        <v>605</v>
      </c>
      <c r="L97">
        <v>25</v>
      </c>
    </row>
    <row r="98" spans="2:12" ht="15" customHeight="1">
      <c r="B98" t="s">
        <v>3262</v>
      </c>
      <c r="C98">
        <v>125000</v>
      </c>
      <c r="D98" t="s">
        <v>252</v>
      </c>
      <c r="E98">
        <v>125000</v>
      </c>
      <c r="F98" s="3">
        <f>(tblSalaries[[#This Row],[clean Salary (in local currency)]])*(VLOOKUP(tblSalaries[[#This Row],[Currency]],Sheet3!$A$2:$C$31,3,FALSE))*(VLOOKUP(tblSalaries[[#This Row],[Currency]],Sheet1!$N$4:$Q$186,4,FALSE))</f>
        <v>125000</v>
      </c>
      <c r="G98" s="4">
        <f>IF(Dashboard!$J$5=VLOOKUP(tblSalaries[[#This Row],[Currency]],Sheet3!$A$2:$B$31,2,FALSE),tblSalaries[[#This Row],[clean Salary (in local currency)]],(tblSalaries[[#This Row],[PPP Adjusted  USD]]/VLOOKUP(Dashboard!$J$5,Sheet3!$B$2:$C$31,2,FALSE)))</f>
        <v>125000</v>
      </c>
      <c r="H98" t="s">
        <v>692</v>
      </c>
      <c r="I98" t="s">
        <v>692</v>
      </c>
      <c r="J98" t="s">
        <v>613</v>
      </c>
      <c r="K98" t="s">
        <v>610</v>
      </c>
      <c r="L98">
        <v>8</v>
      </c>
    </row>
    <row r="99" spans="2:12" ht="15" customHeight="1">
      <c r="B99" t="s">
        <v>3597</v>
      </c>
      <c r="C99">
        <v>125000</v>
      </c>
      <c r="D99" t="s">
        <v>252</v>
      </c>
      <c r="E99">
        <v>125000</v>
      </c>
      <c r="F99" s="3">
        <f>(tblSalaries[[#This Row],[clean Salary (in local currency)]])*(VLOOKUP(tblSalaries[[#This Row],[Currency]],Sheet3!$A$2:$C$31,3,FALSE))*(VLOOKUP(tblSalaries[[#This Row],[Currency]],Sheet1!$N$4:$Q$186,4,FALSE))</f>
        <v>125000</v>
      </c>
      <c r="G99" s="4">
        <f>IF(Dashboard!$J$5=VLOOKUP(tblSalaries[[#This Row],[Currency]],Sheet3!$A$2:$B$31,2,FALSE),tblSalaries[[#This Row],[clean Salary (in local currency)]],(tblSalaries[[#This Row],[PPP Adjusted  USD]]/VLOOKUP(Dashboard!$J$5,Sheet3!$B$2:$C$31,2,FALSE)))</f>
        <v>125000</v>
      </c>
      <c r="H99" t="s">
        <v>895</v>
      </c>
      <c r="I99" t="s">
        <v>625</v>
      </c>
      <c r="J99" t="s">
        <v>613</v>
      </c>
      <c r="K99" t="s">
        <v>610</v>
      </c>
      <c r="L99">
        <v>10</v>
      </c>
    </row>
    <row r="100" spans="2:12" ht="15" customHeight="1">
      <c r="B100" t="s">
        <v>2713</v>
      </c>
      <c r="C100">
        <v>2600000</v>
      </c>
      <c r="D100" t="s">
        <v>247</v>
      </c>
      <c r="E100">
        <v>46300.583387350678</v>
      </c>
      <c r="F100" s="3">
        <f>(tblSalaries[[#This Row],[clean Salary (in local currency)]])*(VLOOKUP(tblSalaries[[#This Row],[Currency]],Sheet3!$A$2:$C$31,3,FALSE))*(VLOOKUP(tblSalaries[[#This Row],[Currency]],Sheet1!$N$4:$Q$186,4,FALSE))</f>
        <v>123138.65810661599</v>
      </c>
      <c r="G100" s="4">
        <f>IF(Dashboard!$J$5=VLOOKUP(tblSalaries[[#This Row],[Currency]],Sheet3!$A$2:$B$31,2,FALSE),tblSalaries[[#This Row],[clean Salary (in local currency)]],(tblSalaries[[#This Row],[PPP Adjusted  USD]]/VLOOKUP(Dashboard!$J$5,Sheet3!$B$2:$C$31,2,FALSE)))</f>
        <v>123138.65810661599</v>
      </c>
      <c r="H100" t="s">
        <v>2714</v>
      </c>
      <c r="I100" t="s">
        <v>625</v>
      </c>
      <c r="J100" t="s">
        <v>604</v>
      </c>
      <c r="K100" t="s">
        <v>605</v>
      </c>
      <c r="L100">
        <v>4</v>
      </c>
    </row>
    <row r="101" spans="2:12" ht="15" customHeight="1">
      <c r="B101" t="s">
        <v>790</v>
      </c>
      <c r="C101">
        <v>120000</v>
      </c>
      <c r="D101" t="s">
        <v>252</v>
      </c>
      <c r="E101">
        <v>120000</v>
      </c>
      <c r="F101" s="3">
        <f>(tblSalaries[[#This Row],[clean Salary (in local currency)]])*(VLOOKUP(tblSalaries[[#This Row],[Currency]],Sheet3!$A$2:$C$31,3,FALSE))*(VLOOKUP(tblSalaries[[#This Row],[Currency]],Sheet1!$N$4:$Q$186,4,FALSE))</f>
        <v>120000</v>
      </c>
      <c r="G101" s="4">
        <f>IF(Dashboard!$J$5=VLOOKUP(tblSalaries[[#This Row],[Currency]],Sheet3!$A$2:$B$31,2,FALSE),tblSalaries[[#This Row],[clean Salary (in local currency)]],(tblSalaries[[#This Row],[PPP Adjusted  USD]]/VLOOKUP(Dashboard!$J$5,Sheet3!$B$2:$C$31,2,FALSE)))</f>
        <v>120000</v>
      </c>
      <c r="H101" t="s">
        <v>791</v>
      </c>
      <c r="I101" t="s">
        <v>625</v>
      </c>
      <c r="J101" t="s">
        <v>613</v>
      </c>
      <c r="K101" t="s">
        <v>605</v>
      </c>
      <c r="L101" t="s">
        <v>3847</v>
      </c>
    </row>
    <row r="102" spans="2:12" ht="15" customHeight="1">
      <c r="B102" t="s">
        <v>1439</v>
      </c>
      <c r="C102">
        <v>120000</v>
      </c>
      <c r="D102" t="s">
        <v>252</v>
      </c>
      <c r="E102">
        <v>120000</v>
      </c>
      <c r="F102" s="3">
        <f>(tblSalaries[[#This Row],[clean Salary (in local currency)]])*(VLOOKUP(tblSalaries[[#This Row],[Currency]],Sheet3!$A$2:$C$31,3,FALSE))*(VLOOKUP(tblSalaries[[#This Row],[Currency]],Sheet1!$N$4:$Q$186,4,FALSE))</f>
        <v>120000</v>
      </c>
      <c r="G102" s="4">
        <f>IF(Dashboard!$J$5=VLOOKUP(tblSalaries[[#This Row],[Currency]],Sheet3!$A$2:$B$31,2,FALSE),tblSalaries[[#This Row],[clean Salary (in local currency)]],(tblSalaries[[#This Row],[PPP Adjusted  USD]]/VLOOKUP(Dashboard!$J$5,Sheet3!$B$2:$C$31,2,FALSE)))</f>
        <v>120000</v>
      </c>
      <c r="H102" t="s">
        <v>789</v>
      </c>
      <c r="I102" t="s">
        <v>633</v>
      </c>
      <c r="J102" t="s">
        <v>613</v>
      </c>
      <c r="K102" t="s">
        <v>627</v>
      </c>
      <c r="L102" t="s">
        <v>3847</v>
      </c>
    </row>
    <row r="103" spans="2:12" ht="15" customHeight="1">
      <c r="B103" t="s">
        <v>1602</v>
      </c>
      <c r="C103">
        <v>120000</v>
      </c>
      <c r="D103" t="s">
        <v>252</v>
      </c>
      <c r="E103">
        <v>120000</v>
      </c>
      <c r="F103" s="3">
        <f>(tblSalaries[[#This Row],[clean Salary (in local currency)]])*(VLOOKUP(tblSalaries[[#This Row],[Currency]],Sheet3!$A$2:$C$31,3,FALSE))*(VLOOKUP(tblSalaries[[#This Row],[Currency]],Sheet1!$N$4:$Q$186,4,FALSE))</f>
        <v>120000</v>
      </c>
      <c r="G103" s="4">
        <f>IF(Dashboard!$J$5=VLOOKUP(tblSalaries[[#This Row],[Currency]],Sheet3!$A$2:$B$31,2,FALSE),tblSalaries[[#This Row],[clean Salary (in local currency)]],(tblSalaries[[#This Row],[PPP Adjusted  USD]]/VLOOKUP(Dashboard!$J$5,Sheet3!$B$2:$C$31,2,FALSE)))</f>
        <v>120000</v>
      </c>
      <c r="H103" t="s">
        <v>1603</v>
      </c>
      <c r="I103" t="s">
        <v>625</v>
      </c>
      <c r="J103" t="s">
        <v>1604</v>
      </c>
      <c r="K103" t="s">
        <v>617</v>
      </c>
      <c r="L103" t="s">
        <v>3847</v>
      </c>
    </row>
    <row r="104" spans="2:12" ht="15" customHeight="1">
      <c r="B104" t="s">
        <v>1636</v>
      </c>
      <c r="C104">
        <v>120000</v>
      </c>
      <c r="D104" t="s">
        <v>252</v>
      </c>
      <c r="E104">
        <v>120000</v>
      </c>
      <c r="F104" s="3">
        <f>(tblSalaries[[#This Row],[clean Salary (in local currency)]])*(VLOOKUP(tblSalaries[[#This Row],[Currency]],Sheet3!$A$2:$C$31,3,FALSE))*(VLOOKUP(tblSalaries[[#This Row],[Currency]],Sheet1!$N$4:$Q$186,4,FALSE))</f>
        <v>120000</v>
      </c>
      <c r="G104" s="4">
        <f>IF(Dashboard!$J$5=VLOOKUP(tblSalaries[[#This Row],[Currency]],Sheet3!$A$2:$B$31,2,FALSE),tblSalaries[[#This Row],[clean Salary (in local currency)]],(tblSalaries[[#This Row],[PPP Adjusted  USD]]/VLOOKUP(Dashboard!$J$5,Sheet3!$B$2:$C$31,2,FALSE)))</f>
        <v>120000</v>
      </c>
      <c r="H104" t="s">
        <v>789</v>
      </c>
      <c r="I104" t="s">
        <v>633</v>
      </c>
      <c r="J104" t="s">
        <v>613</v>
      </c>
      <c r="K104" t="s">
        <v>605</v>
      </c>
      <c r="L104" t="s">
        <v>3847</v>
      </c>
    </row>
    <row r="105" spans="2:12" ht="15" customHeight="1">
      <c r="B105" t="s">
        <v>1695</v>
      </c>
      <c r="C105">
        <v>120000</v>
      </c>
      <c r="D105" t="s">
        <v>252</v>
      </c>
      <c r="E105">
        <v>120000</v>
      </c>
      <c r="F105" s="3">
        <f>(tblSalaries[[#This Row],[clean Salary (in local currency)]])*(VLOOKUP(tblSalaries[[#This Row],[Currency]],Sheet3!$A$2:$C$31,3,FALSE))*(VLOOKUP(tblSalaries[[#This Row],[Currency]],Sheet1!$N$4:$Q$186,4,FALSE))</f>
        <v>120000</v>
      </c>
      <c r="G105" s="4">
        <f>IF(Dashboard!$J$5=VLOOKUP(tblSalaries[[#This Row],[Currency]],Sheet3!$A$2:$B$31,2,FALSE),tblSalaries[[#This Row],[clean Salary (in local currency)]],(tblSalaries[[#This Row],[PPP Adjusted  USD]]/VLOOKUP(Dashboard!$J$5,Sheet3!$B$2:$C$31,2,FALSE)))</f>
        <v>120000</v>
      </c>
      <c r="H105" t="s">
        <v>1696</v>
      </c>
      <c r="I105" t="s">
        <v>603</v>
      </c>
      <c r="J105" t="s">
        <v>613</v>
      </c>
      <c r="K105" t="s">
        <v>610</v>
      </c>
      <c r="L105">
        <v>7</v>
      </c>
    </row>
    <row r="106" spans="2:12" ht="15" customHeight="1">
      <c r="B106" t="s">
        <v>2789</v>
      </c>
      <c r="C106">
        <v>120000</v>
      </c>
      <c r="D106" t="s">
        <v>252</v>
      </c>
      <c r="E106">
        <v>120000</v>
      </c>
      <c r="F106" s="3">
        <f>(tblSalaries[[#This Row],[clean Salary (in local currency)]])*(VLOOKUP(tblSalaries[[#This Row],[Currency]],Sheet3!$A$2:$C$31,3,FALSE))*(VLOOKUP(tblSalaries[[#This Row],[Currency]],Sheet1!$N$4:$Q$186,4,FALSE))</f>
        <v>120000</v>
      </c>
      <c r="G106" s="4">
        <f>IF(Dashboard!$J$5=VLOOKUP(tblSalaries[[#This Row],[Currency]],Sheet3!$A$2:$B$31,2,FALSE),tblSalaries[[#This Row],[clean Salary (in local currency)]],(tblSalaries[[#This Row],[PPP Adjusted  USD]]/VLOOKUP(Dashboard!$J$5,Sheet3!$B$2:$C$31,2,FALSE)))</f>
        <v>120000</v>
      </c>
      <c r="H106" t="s">
        <v>2790</v>
      </c>
      <c r="I106" t="s">
        <v>692</v>
      </c>
      <c r="J106" t="s">
        <v>1035</v>
      </c>
      <c r="K106" t="s">
        <v>627</v>
      </c>
      <c r="L106">
        <v>5</v>
      </c>
    </row>
    <row r="107" spans="2:12" ht="15" customHeight="1">
      <c r="B107" t="s">
        <v>2982</v>
      </c>
      <c r="C107">
        <v>120000</v>
      </c>
      <c r="D107" t="s">
        <v>252</v>
      </c>
      <c r="E107">
        <v>120000</v>
      </c>
      <c r="F107" s="3">
        <f>(tblSalaries[[#This Row],[clean Salary (in local currency)]])*(VLOOKUP(tblSalaries[[#This Row],[Currency]],Sheet3!$A$2:$C$31,3,FALSE))*(VLOOKUP(tblSalaries[[#This Row],[Currency]],Sheet1!$N$4:$Q$186,4,FALSE))</f>
        <v>120000</v>
      </c>
      <c r="G107" s="4">
        <f>IF(Dashboard!$J$5=VLOOKUP(tblSalaries[[#This Row],[Currency]],Sheet3!$A$2:$B$31,2,FALSE),tblSalaries[[#This Row],[clean Salary (in local currency)]],(tblSalaries[[#This Row],[PPP Adjusted  USD]]/VLOOKUP(Dashboard!$J$5,Sheet3!$B$2:$C$31,2,FALSE)))</f>
        <v>120000</v>
      </c>
      <c r="H107" t="s">
        <v>1611</v>
      </c>
      <c r="I107" t="s">
        <v>625</v>
      </c>
      <c r="J107" t="s">
        <v>613</v>
      </c>
      <c r="K107" t="s">
        <v>617</v>
      </c>
      <c r="L107">
        <v>5</v>
      </c>
    </row>
    <row r="108" spans="2:12" ht="15" customHeight="1">
      <c r="B108" t="s">
        <v>3038</v>
      </c>
      <c r="C108">
        <v>120000</v>
      </c>
      <c r="D108" t="s">
        <v>252</v>
      </c>
      <c r="E108">
        <v>120000</v>
      </c>
      <c r="F108" s="3">
        <f>(tblSalaries[[#This Row],[clean Salary (in local currency)]])*(VLOOKUP(tblSalaries[[#This Row],[Currency]],Sheet3!$A$2:$C$31,3,FALSE))*(VLOOKUP(tblSalaries[[#This Row],[Currency]],Sheet1!$N$4:$Q$186,4,FALSE))</f>
        <v>120000</v>
      </c>
      <c r="G108" s="4">
        <f>IF(Dashboard!$J$5=VLOOKUP(tblSalaries[[#This Row],[Currency]],Sheet3!$A$2:$B$31,2,FALSE),tblSalaries[[#This Row],[clean Salary (in local currency)]],(tblSalaries[[#This Row],[PPP Adjusted  USD]]/VLOOKUP(Dashboard!$J$5,Sheet3!$B$2:$C$31,2,FALSE)))</f>
        <v>120000</v>
      </c>
      <c r="H108" t="s">
        <v>1611</v>
      </c>
      <c r="I108" t="s">
        <v>625</v>
      </c>
      <c r="J108" t="s">
        <v>613</v>
      </c>
      <c r="K108" t="s">
        <v>617</v>
      </c>
      <c r="L108">
        <v>10</v>
      </c>
    </row>
    <row r="109" spans="2:12" ht="15" customHeight="1">
      <c r="B109" t="s">
        <v>3678</v>
      </c>
      <c r="C109">
        <v>120000</v>
      </c>
      <c r="D109" t="s">
        <v>252</v>
      </c>
      <c r="E109">
        <v>120000</v>
      </c>
      <c r="F109" s="3">
        <f>(tblSalaries[[#This Row],[clean Salary (in local currency)]])*(VLOOKUP(tblSalaries[[#This Row],[Currency]],Sheet3!$A$2:$C$31,3,FALSE))*(VLOOKUP(tblSalaries[[#This Row],[Currency]],Sheet1!$N$4:$Q$186,4,FALSE))</f>
        <v>120000</v>
      </c>
      <c r="G109" s="4">
        <f>IF(Dashboard!$J$5=VLOOKUP(tblSalaries[[#This Row],[Currency]],Sheet3!$A$2:$B$31,2,FALSE),tblSalaries[[#This Row],[clean Salary (in local currency)]],(tblSalaries[[#This Row],[PPP Adjusted  USD]]/VLOOKUP(Dashboard!$J$5,Sheet3!$B$2:$C$31,2,FALSE)))</f>
        <v>120000</v>
      </c>
      <c r="H109" t="s">
        <v>3679</v>
      </c>
      <c r="I109" t="s">
        <v>637</v>
      </c>
      <c r="J109" t="s">
        <v>613</v>
      </c>
      <c r="K109" t="s">
        <v>605</v>
      </c>
      <c r="L109">
        <v>20</v>
      </c>
    </row>
    <row r="110" spans="2:12" ht="15" customHeight="1">
      <c r="B110" t="s">
        <v>2489</v>
      </c>
      <c r="C110">
        <v>2500000</v>
      </c>
      <c r="D110" t="s">
        <v>247</v>
      </c>
      <c r="E110">
        <v>44519.791718606422</v>
      </c>
      <c r="F110" s="3">
        <f>(tblSalaries[[#This Row],[clean Salary (in local currency)]])*(VLOOKUP(tblSalaries[[#This Row],[Currency]],Sheet3!$A$2:$C$31,3,FALSE))*(VLOOKUP(tblSalaries[[#This Row],[Currency]],Sheet1!$N$4:$Q$186,4,FALSE))</f>
        <v>118402.55587174614</v>
      </c>
      <c r="G110" s="4">
        <f>IF(Dashboard!$J$5=VLOOKUP(tblSalaries[[#This Row],[Currency]],Sheet3!$A$2:$B$31,2,FALSE),tblSalaries[[#This Row],[clean Salary (in local currency)]],(tblSalaries[[#This Row],[PPP Adjusted  USD]]/VLOOKUP(Dashboard!$J$5,Sheet3!$B$2:$C$31,2,FALSE)))</f>
        <v>118402.55587174614</v>
      </c>
      <c r="H110" t="s">
        <v>2490</v>
      </c>
      <c r="I110" t="s">
        <v>633</v>
      </c>
      <c r="J110" t="s">
        <v>604</v>
      </c>
      <c r="K110" t="s">
        <v>605</v>
      </c>
      <c r="L110">
        <v>9</v>
      </c>
    </row>
    <row r="111" spans="2:12" ht="15" customHeight="1">
      <c r="B111" t="s">
        <v>3700</v>
      </c>
      <c r="C111">
        <v>118000</v>
      </c>
      <c r="D111" t="s">
        <v>252</v>
      </c>
      <c r="E111">
        <v>118000</v>
      </c>
      <c r="F111" s="3">
        <f>(tblSalaries[[#This Row],[clean Salary (in local currency)]])*(VLOOKUP(tblSalaries[[#This Row],[Currency]],Sheet3!$A$2:$C$31,3,FALSE))*(VLOOKUP(tblSalaries[[#This Row],[Currency]],Sheet1!$N$4:$Q$186,4,FALSE))</f>
        <v>118000</v>
      </c>
      <c r="G111" s="4">
        <f>IF(Dashboard!$J$5=VLOOKUP(tblSalaries[[#This Row],[Currency]],Sheet3!$A$2:$B$31,2,FALSE),tblSalaries[[#This Row],[clean Salary (in local currency)]],(tblSalaries[[#This Row],[PPP Adjusted  USD]]/VLOOKUP(Dashboard!$J$5,Sheet3!$B$2:$C$31,2,FALSE)))</f>
        <v>118000</v>
      </c>
      <c r="H111" t="s">
        <v>3319</v>
      </c>
      <c r="I111" t="s">
        <v>633</v>
      </c>
      <c r="J111" t="s">
        <v>613</v>
      </c>
      <c r="K111" t="s">
        <v>605</v>
      </c>
      <c r="L111">
        <v>6</v>
      </c>
    </row>
    <row r="112" spans="2:12" ht="15" customHeight="1">
      <c r="B112" t="s">
        <v>2224</v>
      </c>
      <c r="C112">
        <v>80000</v>
      </c>
      <c r="D112" t="s">
        <v>204</v>
      </c>
      <c r="E112">
        <v>126094.26176538273</v>
      </c>
      <c r="F112" s="3">
        <f>(tblSalaries[[#This Row],[clean Salary (in local currency)]])*(VLOOKUP(tblSalaries[[#This Row],[Currency]],Sheet3!$A$2:$C$31,3,FALSE))*(VLOOKUP(tblSalaries[[#This Row],[Currency]],Sheet1!$N$4:$Q$186,4,FALSE))</f>
        <v>117917.6963984342</v>
      </c>
      <c r="G112" s="4">
        <f>IF(Dashboard!$J$5=VLOOKUP(tblSalaries[[#This Row],[Currency]],Sheet3!$A$2:$B$31,2,FALSE),tblSalaries[[#This Row],[clean Salary (in local currency)]],(tblSalaries[[#This Row],[PPP Adjusted  USD]]/VLOOKUP(Dashboard!$J$5,Sheet3!$B$2:$C$31,2,FALSE)))</f>
        <v>117917.6963984342</v>
      </c>
      <c r="H112" t="s">
        <v>2225</v>
      </c>
      <c r="I112" t="s">
        <v>637</v>
      </c>
      <c r="J112" t="s">
        <v>687</v>
      </c>
      <c r="K112" t="s">
        <v>605</v>
      </c>
      <c r="L112">
        <v>10</v>
      </c>
    </row>
    <row r="113" spans="2:12" ht="15" customHeight="1">
      <c r="B113" t="s">
        <v>2496</v>
      </c>
      <c r="C113">
        <v>80000</v>
      </c>
      <c r="D113" t="s">
        <v>204</v>
      </c>
      <c r="E113">
        <v>126094.26176538273</v>
      </c>
      <c r="F113" s="3">
        <f>(tblSalaries[[#This Row],[clean Salary (in local currency)]])*(VLOOKUP(tblSalaries[[#This Row],[Currency]],Sheet3!$A$2:$C$31,3,FALSE))*(VLOOKUP(tblSalaries[[#This Row],[Currency]],Sheet1!$N$4:$Q$186,4,FALSE))</f>
        <v>117917.6963984342</v>
      </c>
      <c r="G113" s="4">
        <f>IF(Dashboard!$J$5=VLOOKUP(tblSalaries[[#This Row],[Currency]],Sheet3!$A$2:$B$31,2,FALSE),tblSalaries[[#This Row],[clean Salary (in local currency)]],(tblSalaries[[#This Row],[PPP Adjusted  USD]]/VLOOKUP(Dashboard!$J$5,Sheet3!$B$2:$C$31,2,FALSE)))</f>
        <v>117917.6963984342</v>
      </c>
      <c r="H113" t="s">
        <v>2497</v>
      </c>
      <c r="I113" t="s">
        <v>692</v>
      </c>
      <c r="J113" t="s">
        <v>687</v>
      </c>
      <c r="K113" t="s">
        <v>605</v>
      </c>
      <c r="L113">
        <v>10</v>
      </c>
    </row>
    <row r="114" spans="2:12" ht="15" customHeight="1">
      <c r="B114" t="s">
        <v>2637</v>
      </c>
      <c r="C114">
        <v>80000</v>
      </c>
      <c r="D114" t="s">
        <v>204</v>
      </c>
      <c r="E114">
        <v>126094.26176538273</v>
      </c>
      <c r="F114" s="3">
        <f>(tblSalaries[[#This Row],[clean Salary (in local currency)]])*(VLOOKUP(tblSalaries[[#This Row],[Currency]],Sheet3!$A$2:$C$31,3,FALSE))*(VLOOKUP(tblSalaries[[#This Row],[Currency]],Sheet1!$N$4:$Q$186,4,FALSE))</f>
        <v>117917.6963984342</v>
      </c>
      <c r="G114" s="4">
        <f>IF(Dashboard!$J$5=VLOOKUP(tblSalaries[[#This Row],[Currency]],Sheet3!$A$2:$B$31,2,FALSE),tblSalaries[[#This Row],[clean Salary (in local currency)]],(tblSalaries[[#This Row],[PPP Adjusted  USD]]/VLOOKUP(Dashboard!$J$5,Sheet3!$B$2:$C$31,2,FALSE)))</f>
        <v>117917.6963984342</v>
      </c>
      <c r="H114" t="s">
        <v>854</v>
      </c>
      <c r="I114" t="s">
        <v>608</v>
      </c>
      <c r="J114" t="s">
        <v>687</v>
      </c>
      <c r="K114" t="s">
        <v>605</v>
      </c>
      <c r="L114">
        <v>15</v>
      </c>
    </row>
    <row r="115" spans="2:12" ht="15" customHeight="1">
      <c r="B115" t="s">
        <v>3328</v>
      </c>
      <c r="C115">
        <v>80000</v>
      </c>
      <c r="D115" t="s">
        <v>204</v>
      </c>
      <c r="E115">
        <v>126094.26176538273</v>
      </c>
      <c r="F115" s="3">
        <f>(tblSalaries[[#This Row],[clean Salary (in local currency)]])*(VLOOKUP(tblSalaries[[#This Row],[Currency]],Sheet3!$A$2:$C$31,3,FALSE))*(VLOOKUP(tblSalaries[[#This Row],[Currency]],Sheet1!$N$4:$Q$186,4,FALSE))</f>
        <v>117917.6963984342</v>
      </c>
      <c r="G115" s="4">
        <f>IF(Dashboard!$J$5=VLOOKUP(tblSalaries[[#This Row],[Currency]],Sheet3!$A$2:$B$31,2,FALSE),tblSalaries[[#This Row],[clean Salary (in local currency)]],(tblSalaries[[#This Row],[PPP Adjusted  USD]]/VLOOKUP(Dashboard!$J$5,Sheet3!$B$2:$C$31,2,FALSE)))</f>
        <v>117917.6963984342</v>
      </c>
      <c r="H115" t="s">
        <v>3329</v>
      </c>
      <c r="I115" t="s">
        <v>692</v>
      </c>
      <c r="J115" t="s">
        <v>687</v>
      </c>
      <c r="K115" t="s">
        <v>605</v>
      </c>
      <c r="L115">
        <v>12</v>
      </c>
    </row>
    <row r="116" spans="2:12" ht="15" customHeight="1">
      <c r="B116" t="s">
        <v>2524</v>
      </c>
      <c r="C116">
        <v>79000</v>
      </c>
      <c r="D116" t="s">
        <v>204</v>
      </c>
      <c r="E116">
        <v>124518.08349331544</v>
      </c>
      <c r="F116" s="3">
        <f>(tblSalaries[[#This Row],[clean Salary (in local currency)]])*(VLOOKUP(tblSalaries[[#This Row],[Currency]],Sheet3!$A$2:$C$31,3,FALSE))*(VLOOKUP(tblSalaries[[#This Row],[Currency]],Sheet1!$N$4:$Q$186,4,FALSE))</f>
        <v>116443.72519345376</v>
      </c>
      <c r="G116" s="4">
        <f>IF(Dashboard!$J$5=VLOOKUP(tblSalaries[[#This Row],[Currency]],Sheet3!$A$2:$B$31,2,FALSE),tblSalaries[[#This Row],[clean Salary (in local currency)]],(tblSalaries[[#This Row],[PPP Adjusted  USD]]/VLOOKUP(Dashboard!$J$5,Sheet3!$B$2:$C$31,2,FALSE)))</f>
        <v>116443.72519345376</v>
      </c>
      <c r="H116" t="s">
        <v>861</v>
      </c>
      <c r="I116" t="s">
        <v>603</v>
      </c>
      <c r="J116" t="s">
        <v>687</v>
      </c>
      <c r="K116" t="s">
        <v>617</v>
      </c>
      <c r="L116">
        <v>14</v>
      </c>
    </row>
    <row r="117" spans="2:12" ht="15" customHeight="1">
      <c r="B117" t="s">
        <v>1400</v>
      </c>
      <c r="C117">
        <v>115000</v>
      </c>
      <c r="D117" t="s">
        <v>252</v>
      </c>
      <c r="E117">
        <v>115000</v>
      </c>
      <c r="F117" s="3">
        <f>(tblSalaries[[#This Row],[clean Salary (in local currency)]])*(VLOOKUP(tblSalaries[[#This Row],[Currency]],Sheet3!$A$2:$C$31,3,FALSE))*(VLOOKUP(tblSalaries[[#This Row],[Currency]],Sheet1!$N$4:$Q$186,4,FALSE))</f>
        <v>115000</v>
      </c>
      <c r="G117" s="4">
        <f>IF(Dashboard!$J$5=VLOOKUP(tblSalaries[[#This Row],[Currency]],Sheet3!$A$2:$B$31,2,FALSE),tblSalaries[[#This Row],[clean Salary (in local currency)]],(tblSalaries[[#This Row],[PPP Adjusted  USD]]/VLOOKUP(Dashboard!$J$5,Sheet3!$B$2:$C$31,2,FALSE)))</f>
        <v>115000</v>
      </c>
      <c r="H117" t="s">
        <v>692</v>
      </c>
      <c r="I117" t="s">
        <v>692</v>
      </c>
      <c r="J117" t="s">
        <v>613</v>
      </c>
      <c r="K117" t="s">
        <v>617</v>
      </c>
      <c r="L117" t="s">
        <v>3847</v>
      </c>
    </row>
    <row r="118" spans="2:12" ht="15" customHeight="1">
      <c r="B118" t="s">
        <v>1685</v>
      </c>
      <c r="C118">
        <v>115000</v>
      </c>
      <c r="D118" t="s">
        <v>252</v>
      </c>
      <c r="E118">
        <v>115000</v>
      </c>
      <c r="F118" s="3">
        <f>(tblSalaries[[#This Row],[clean Salary (in local currency)]])*(VLOOKUP(tblSalaries[[#This Row],[Currency]],Sheet3!$A$2:$C$31,3,FALSE))*(VLOOKUP(tblSalaries[[#This Row],[Currency]],Sheet1!$N$4:$Q$186,4,FALSE))</f>
        <v>115000</v>
      </c>
      <c r="G118" s="4">
        <f>IF(Dashboard!$J$5=VLOOKUP(tblSalaries[[#This Row],[Currency]],Sheet3!$A$2:$B$31,2,FALSE),tblSalaries[[#This Row],[clean Salary (in local currency)]],(tblSalaries[[#This Row],[PPP Adjusted  USD]]/VLOOKUP(Dashboard!$J$5,Sheet3!$B$2:$C$31,2,FALSE)))</f>
        <v>115000</v>
      </c>
      <c r="H118" t="s">
        <v>1686</v>
      </c>
      <c r="I118" t="s">
        <v>625</v>
      </c>
      <c r="J118" t="s">
        <v>613</v>
      </c>
      <c r="K118" t="s">
        <v>605</v>
      </c>
      <c r="L118">
        <v>15</v>
      </c>
    </row>
    <row r="119" spans="2:12" ht="15" customHeight="1">
      <c r="B119" t="s">
        <v>2163</v>
      </c>
      <c r="C119">
        <v>115000</v>
      </c>
      <c r="D119" t="s">
        <v>252</v>
      </c>
      <c r="E119">
        <v>115000</v>
      </c>
      <c r="F119" s="3">
        <f>(tblSalaries[[#This Row],[clean Salary (in local currency)]])*(VLOOKUP(tblSalaries[[#This Row],[Currency]],Sheet3!$A$2:$C$31,3,FALSE))*(VLOOKUP(tblSalaries[[#This Row],[Currency]],Sheet1!$N$4:$Q$186,4,FALSE))</f>
        <v>115000</v>
      </c>
      <c r="G119" s="4">
        <f>IF(Dashboard!$J$5=VLOOKUP(tblSalaries[[#This Row],[Currency]],Sheet3!$A$2:$B$31,2,FALSE),tblSalaries[[#This Row],[clean Salary (in local currency)]],(tblSalaries[[#This Row],[PPP Adjusted  USD]]/VLOOKUP(Dashboard!$J$5,Sheet3!$B$2:$C$31,2,FALSE)))</f>
        <v>115000</v>
      </c>
      <c r="H119" t="s">
        <v>2164</v>
      </c>
      <c r="I119" t="s">
        <v>603</v>
      </c>
      <c r="J119" t="s">
        <v>613</v>
      </c>
      <c r="K119" t="s">
        <v>605</v>
      </c>
      <c r="L119">
        <v>10</v>
      </c>
    </row>
    <row r="120" spans="2:12" ht="15" customHeight="1">
      <c r="B120" t="s">
        <v>3819</v>
      </c>
      <c r="C120">
        <v>115000</v>
      </c>
      <c r="D120" t="s">
        <v>252</v>
      </c>
      <c r="E120">
        <v>115000</v>
      </c>
      <c r="F120" s="3">
        <f>(tblSalaries[[#This Row],[clean Salary (in local currency)]])*(VLOOKUP(tblSalaries[[#This Row],[Currency]],Sheet3!$A$2:$C$31,3,FALSE))*(VLOOKUP(tblSalaries[[#This Row],[Currency]],Sheet1!$N$4:$Q$186,4,FALSE))</f>
        <v>115000</v>
      </c>
      <c r="G120" s="4">
        <f>IF(Dashboard!$J$5=VLOOKUP(tblSalaries[[#This Row],[Currency]],Sheet3!$A$2:$B$31,2,FALSE),tblSalaries[[#This Row],[clean Salary (in local currency)]],(tblSalaries[[#This Row],[PPP Adjusted  USD]]/VLOOKUP(Dashboard!$J$5,Sheet3!$B$2:$C$31,2,FALSE)))</f>
        <v>115000</v>
      </c>
      <c r="H120" t="s">
        <v>899</v>
      </c>
      <c r="I120" t="s">
        <v>603</v>
      </c>
      <c r="J120" t="s">
        <v>613</v>
      </c>
      <c r="K120" t="s">
        <v>610</v>
      </c>
      <c r="L120">
        <v>15</v>
      </c>
    </row>
    <row r="121" spans="2:12" ht="15" customHeight="1">
      <c r="B121" t="s">
        <v>1568</v>
      </c>
      <c r="C121">
        <v>78000</v>
      </c>
      <c r="D121" t="s">
        <v>204</v>
      </c>
      <c r="E121">
        <v>122941.90522124816</v>
      </c>
      <c r="F121" s="3">
        <f>(tblSalaries[[#This Row],[clean Salary (in local currency)]])*(VLOOKUP(tblSalaries[[#This Row],[Currency]],Sheet3!$A$2:$C$31,3,FALSE))*(VLOOKUP(tblSalaries[[#This Row],[Currency]],Sheet1!$N$4:$Q$186,4,FALSE))</f>
        <v>114969.75398847334</v>
      </c>
      <c r="G121" s="4">
        <f>IF(Dashboard!$J$5=VLOOKUP(tblSalaries[[#This Row],[Currency]],Sheet3!$A$2:$B$31,2,FALSE),tblSalaries[[#This Row],[clean Salary (in local currency)]],(tblSalaries[[#This Row],[PPP Adjusted  USD]]/VLOOKUP(Dashboard!$J$5,Sheet3!$B$2:$C$31,2,FALSE)))</f>
        <v>114969.75398847334</v>
      </c>
      <c r="H121" t="s">
        <v>1569</v>
      </c>
      <c r="I121" t="s">
        <v>603</v>
      </c>
      <c r="J121" t="s">
        <v>687</v>
      </c>
      <c r="K121" t="s">
        <v>627</v>
      </c>
      <c r="L121" t="s">
        <v>3847</v>
      </c>
    </row>
    <row r="122" spans="2:12" ht="15" customHeight="1">
      <c r="B122" t="s">
        <v>1069</v>
      </c>
      <c r="C122">
        <v>114000</v>
      </c>
      <c r="D122" t="s">
        <v>252</v>
      </c>
      <c r="E122">
        <v>114000</v>
      </c>
      <c r="F122" s="3">
        <f>(tblSalaries[[#This Row],[clean Salary (in local currency)]])*(VLOOKUP(tblSalaries[[#This Row],[Currency]],Sheet3!$A$2:$C$31,3,FALSE))*(VLOOKUP(tblSalaries[[#This Row],[Currency]],Sheet1!$N$4:$Q$186,4,FALSE))</f>
        <v>114000</v>
      </c>
      <c r="G122" s="4">
        <f>IF(Dashboard!$J$5=VLOOKUP(tblSalaries[[#This Row],[Currency]],Sheet3!$A$2:$B$31,2,FALSE),tblSalaries[[#This Row],[clean Salary (in local currency)]],(tblSalaries[[#This Row],[PPP Adjusted  USD]]/VLOOKUP(Dashboard!$J$5,Sheet3!$B$2:$C$31,2,FALSE)))</f>
        <v>114000</v>
      </c>
      <c r="H122" t="s">
        <v>789</v>
      </c>
      <c r="I122" t="s">
        <v>633</v>
      </c>
      <c r="J122" t="s">
        <v>613</v>
      </c>
      <c r="K122" t="s">
        <v>617</v>
      </c>
      <c r="L122" t="s">
        <v>3847</v>
      </c>
    </row>
    <row r="123" spans="2:12" ht="15" customHeight="1">
      <c r="B123" t="s">
        <v>2575</v>
      </c>
      <c r="C123">
        <v>2400000</v>
      </c>
      <c r="D123" t="s">
        <v>247</v>
      </c>
      <c r="E123">
        <v>42739.000049862167</v>
      </c>
      <c r="F123" s="3">
        <f>(tblSalaries[[#This Row],[clean Salary (in local currency)]])*(VLOOKUP(tblSalaries[[#This Row],[Currency]],Sheet3!$A$2:$C$31,3,FALSE))*(VLOOKUP(tblSalaries[[#This Row],[Currency]],Sheet1!$N$4:$Q$186,4,FALSE))</f>
        <v>113666.45363687631</v>
      </c>
      <c r="G123" s="4">
        <f>IF(Dashboard!$J$5=VLOOKUP(tblSalaries[[#This Row],[Currency]],Sheet3!$A$2:$B$31,2,FALSE),tblSalaries[[#This Row],[clean Salary (in local currency)]],(tblSalaries[[#This Row],[PPP Adjusted  USD]]/VLOOKUP(Dashboard!$J$5,Sheet3!$B$2:$C$31,2,FALSE)))</f>
        <v>113666.45363687631</v>
      </c>
      <c r="H123" t="s">
        <v>2576</v>
      </c>
      <c r="I123" t="s">
        <v>625</v>
      </c>
      <c r="J123" t="s">
        <v>604</v>
      </c>
      <c r="K123" t="s">
        <v>610</v>
      </c>
      <c r="L123">
        <v>10</v>
      </c>
    </row>
    <row r="124" spans="2:12" ht="15" customHeight="1">
      <c r="B124" t="s">
        <v>3732</v>
      </c>
      <c r="C124">
        <v>112000</v>
      </c>
      <c r="D124" t="s">
        <v>252</v>
      </c>
      <c r="E124">
        <v>112000</v>
      </c>
      <c r="F124" s="3">
        <f>(tblSalaries[[#This Row],[clean Salary (in local currency)]])*(VLOOKUP(tblSalaries[[#This Row],[Currency]],Sheet3!$A$2:$C$31,3,FALSE))*(VLOOKUP(tblSalaries[[#This Row],[Currency]],Sheet1!$N$4:$Q$186,4,FALSE))</f>
        <v>112000</v>
      </c>
      <c r="G124" s="4">
        <f>IF(Dashboard!$J$5=VLOOKUP(tblSalaries[[#This Row],[Currency]],Sheet3!$A$2:$B$31,2,FALSE),tblSalaries[[#This Row],[clean Salary (in local currency)]],(tblSalaries[[#This Row],[PPP Adjusted  USD]]/VLOOKUP(Dashboard!$J$5,Sheet3!$B$2:$C$31,2,FALSE)))</f>
        <v>112000</v>
      </c>
      <c r="H124" t="s">
        <v>1603</v>
      </c>
      <c r="I124" t="s">
        <v>625</v>
      </c>
      <c r="J124" t="s">
        <v>613</v>
      </c>
      <c r="K124" t="s">
        <v>617</v>
      </c>
      <c r="L124">
        <v>8</v>
      </c>
    </row>
    <row r="125" spans="2:12" ht="15" customHeight="1">
      <c r="B125" t="s">
        <v>978</v>
      </c>
      <c r="C125">
        <v>111680</v>
      </c>
      <c r="D125" t="s">
        <v>252</v>
      </c>
      <c r="E125">
        <v>111680</v>
      </c>
      <c r="F125" s="3">
        <f>(tblSalaries[[#This Row],[clean Salary (in local currency)]])*(VLOOKUP(tblSalaries[[#This Row],[Currency]],Sheet3!$A$2:$C$31,3,FALSE))*(VLOOKUP(tblSalaries[[#This Row],[Currency]],Sheet1!$N$4:$Q$186,4,FALSE))</f>
        <v>111680</v>
      </c>
      <c r="G125" s="4">
        <f>IF(Dashboard!$J$5=VLOOKUP(tblSalaries[[#This Row],[Currency]],Sheet3!$A$2:$B$31,2,FALSE),tblSalaries[[#This Row],[clean Salary (in local currency)]],(tblSalaries[[#This Row],[PPP Adjusted  USD]]/VLOOKUP(Dashboard!$J$5,Sheet3!$B$2:$C$31,2,FALSE)))</f>
        <v>111680</v>
      </c>
      <c r="H125" t="s">
        <v>979</v>
      </c>
      <c r="I125" t="s">
        <v>603</v>
      </c>
      <c r="J125" t="s">
        <v>613</v>
      </c>
      <c r="K125" t="s">
        <v>617</v>
      </c>
      <c r="L125" t="s">
        <v>3847</v>
      </c>
    </row>
    <row r="126" spans="2:12" ht="15" customHeight="1">
      <c r="B126" t="s">
        <v>1634</v>
      </c>
      <c r="C126">
        <v>111000</v>
      </c>
      <c r="D126" t="s">
        <v>252</v>
      </c>
      <c r="E126">
        <v>111000</v>
      </c>
      <c r="F126" s="3">
        <f>(tblSalaries[[#This Row],[clean Salary (in local currency)]])*(VLOOKUP(tblSalaries[[#This Row],[Currency]],Sheet3!$A$2:$C$31,3,FALSE))*(VLOOKUP(tblSalaries[[#This Row],[Currency]],Sheet1!$N$4:$Q$186,4,FALSE))</f>
        <v>111000</v>
      </c>
      <c r="G126" s="4">
        <f>IF(Dashboard!$J$5=VLOOKUP(tblSalaries[[#This Row],[Currency]],Sheet3!$A$2:$B$31,2,FALSE),tblSalaries[[#This Row],[clean Salary (in local currency)]],(tblSalaries[[#This Row],[PPP Adjusted  USD]]/VLOOKUP(Dashboard!$J$5,Sheet3!$B$2:$C$31,2,FALSE)))</f>
        <v>111000</v>
      </c>
      <c r="H126" t="s">
        <v>1268</v>
      </c>
      <c r="I126" t="s">
        <v>603</v>
      </c>
      <c r="J126" t="s">
        <v>1635</v>
      </c>
      <c r="K126" t="s">
        <v>610</v>
      </c>
      <c r="L126" t="s">
        <v>3847</v>
      </c>
    </row>
    <row r="127" spans="2:12" ht="15" customHeight="1">
      <c r="B127" t="s">
        <v>3066</v>
      </c>
      <c r="C127">
        <v>111000</v>
      </c>
      <c r="D127" t="s">
        <v>252</v>
      </c>
      <c r="E127">
        <v>111000</v>
      </c>
      <c r="F127" s="3">
        <f>(tblSalaries[[#This Row],[clean Salary (in local currency)]])*(VLOOKUP(tblSalaries[[#This Row],[Currency]],Sheet3!$A$2:$C$31,3,FALSE))*(VLOOKUP(tblSalaries[[#This Row],[Currency]],Sheet1!$N$4:$Q$186,4,FALSE))</f>
        <v>111000</v>
      </c>
      <c r="G127" s="4">
        <f>IF(Dashboard!$J$5=VLOOKUP(tblSalaries[[#This Row],[Currency]],Sheet3!$A$2:$B$31,2,FALSE),tblSalaries[[#This Row],[clean Salary (in local currency)]],(tblSalaries[[#This Row],[PPP Adjusted  USD]]/VLOOKUP(Dashboard!$J$5,Sheet3!$B$2:$C$31,2,FALSE)))</f>
        <v>111000</v>
      </c>
      <c r="H127" t="s">
        <v>3067</v>
      </c>
      <c r="I127" t="s">
        <v>625</v>
      </c>
      <c r="J127" t="s">
        <v>613</v>
      </c>
      <c r="K127" t="s">
        <v>617</v>
      </c>
      <c r="L127">
        <v>10</v>
      </c>
    </row>
    <row r="128" spans="2:12" ht="15" customHeight="1">
      <c r="B128" t="s">
        <v>3755</v>
      </c>
      <c r="C128">
        <v>2342342</v>
      </c>
      <c r="D128" t="s">
        <v>247</v>
      </c>
      <c r="E128">
        <v>41712.231189497601</v>
      </c>
      <c r="F128" s="3">
        <f>(tblSalaries[[#This Row],[clean Salary (in local currency)]])*(VLOOKUP(tblSalaries[[#This Row],[Currency]],Sheet3!$A$2:$C$31,3,FALSE))*(VLOOKUP(tblSalaries[[#This Row],[Currency]],Sheet1!$N$4:$Q$186,4,FALSE))</f>
        <v>110935.71181029503</v>
      </c>
      <c r="G128" s="4">
        <f>IF(Dashboard!$J$5=VLOOKUP(tblSalaries[[#This Row],[Currency]],Sheet3!$A$2:$B$31,2,FALSE),tblSalaries[[#This Row],[clean Salary (in local currency)]],(tblSalaries[[#This Row],[PPP Adjusted  USD]]/VLOOKUP(Dashboard!$J$5,Sheet3!$B$2:$C$31,2,FALSE)))</f>
        <v>110935.71181029503</v>
      </c>
      <c r="H128" t="s">
        <v>3756</v>
      </c>
      <c r="I128" t="s">
        <v>713</v>
      </c>
      <c r="J128" t="s">
        <v>604</v>
      </c>
      <c r="K128" t="s">
        <v>617</v>
      </c>
      <c r="L128">
        <v>12</v>
      </c>
    </row>
    <row r="129" spans="2:12" ht="15" customHeight="1">
      <c r="B129" t="s">
        <v>2541</v>
      </c>
      <c r="C129">
        <v>75000</v>
      </c>
      <c r="D129" t="s">
        <v>204</v>
      </c>
      <c r="E129">
        <v>118213.37040504631</v>
      </c>
      <c r="F129" s="3">
        <f>(tblSalaries[[#This Row],[clean Salary (in local currency)]])*(VLOOKUP(tblSalaries[[#This Row],[Currency]],Sheet3!$A$2:$C$31,3,FALSE))*(VLOOKUP(tblSalaries[[#This Row],[Currency]],Sheet1!$N$4:$Q$186,4,FALSE))</f>
        <v>110547.84037353206</v>
      </c>
      <c r="G129" s="4">
        <f>IF(Dashboard!$J$5=VLOOKUP(tblSalaries[[#This Row],[Currency]],Sheet3!$A$2:$B$31,2,FALSE),tblSalaries[[#This Row],[clean Salary (in local currency)]],(tblSalaries[[#This Row],[PPP Adjusted  USD]]/VLOOKUP(Dashboard!$J$5,Sheet3!$B$2:$C$31,2,FALSE)))</f>
        <v>110547.84037353206</v>
      </c>
      <c r="H129" t="s">
        <v>1449</v>
      </c>
      <c r="I129" t="s">
        <v>625</v>
      </c>
      <c r="J129" t="s">
        <v>687</v>
      </c>
      <c r="K129" t="s">
        <v>617</v>
      </c>
      <c r="L129">
        <v>10</v>
      </c>
    </row>
    <row r="130" spans="2:12" ht="15" customHeight="1">
      <c r="B130" t="s">
        <v>2751</v>
      </c>
      <c r="C130">
        <v>75000</v>
      </c>
      <c r="D130" t="s">
        <v>204</v>
      </c>
      <c r="E130">
        <v>118213.37040504631</v>
      </c>
      <c r="F130" s="3">
        <f>(tblSalaries[[#This Row],[clean Salary (in local currency)]])*(VLOOKUP(tblSalaries[[#This Row],[Currency]],Sheet3!$A$2:$C$31,3,FALSE))*(VLOOKUP(tblSalaries[[#This Row],[Currency]],Sheet1!$N$4:$Q$186,4,FALSE))</f>
        <v>110547.84037353206</v>
      </c>
      <c r="G130" s="4">
        <f>IF(Dashboard!$J$5=VLOOKUP(tblSalaries[[#This Row],[Currency]],Sheet3!$A$2:$B$31,2,FALSE),tblSalaries[[#This Row],[clean Salary (in local currency)]],(tblSalaries[[#This Row],[PPP Adjusted  USD]]/VLOOKUP(Dashboard!$J$5,Sheet3!$B$2:$C$31,2,FALSE)))</f>
        <v>110547.84037353206</v>
      </c>
      <c r="H130" t="s">
        <v>1611</v>
      </c>
      <c r="I130" t="s">
        <v>625</v>
      </c>
      <c r="J130" t="s">
        <v>687</v>
      </c>
      <c r="K130" t="s">
        <v>605</v>
      </c>
      <c r="L130">
        <v>20</v>
      </c>
    </row>
    <row r="131" spans="2:12" ht="15" customHeight="1">
      <c r="B131" t="s">
        <v>2578</v>
      </c>
      <c r="C131">
        <v>100000</v>
      </c>
      <c r="D131" t="s">
        <v>200</v>
      </c>
      <c r="E131">
        <v>127039.94389916077</v>
      </c>
      <c r="F131" s="3">
        <f>(tblSalaries[[#This Row],[clean Salary (in local currency)]])*(VLOOKUP(tblSalaries[[#This Row],[Currency]],Sheet3!$A$2:$C$31,3,FALSE))*(VLOOKUP(tblSalaries[[#This Row],[Currency]],Sheet1!$N$4:$Q$186,4,FALSE))</f>
        <v>110065.28859800521</v>
      </c>
      <c r="G131" s="4">
        <f>IF(Dashboard!$J$5=VLOOKUP(tblSalaries[[#This Row],[Currency]],Sheet3!$A$2:$B$31,2,FALSE),tblSalaries[[#This Row],[clean Salary (in local currency)]],(tblSalaries[[#This Row],[PPP Adjusted  USD]]/VLOOKUP(Dashboard!$J$5,Sheet3!$B$2:$C$31,2,FALSE)))</f>
        <v>110065.28859800521</v>
      </c>
      <c r="H131" t="s">
        <v>906</v>
      </c>
      <c r="I131" t="s">
        <v>633</v>
      </c>
      <c r="J131" t="s">
        <v>1557</v>
      </c>
      <c r="K131" t="s">
        <v>627</v>
      </c>
      <c r="L131">
        <v>20</v>
      </c>
    </row>
    <row r="132" spans="2:12" ht="15" customHeight="1">
      <c r="B132" t="s">
        <v>796</v>
      </c>
      <c r="C132">
        <v>110000</v>
      </c>
      <c r="D132" t="s">
        <v>252</v>
      </c>
      <c r="E132">
        <v>110000</v>
      </c>
      <c r="F132" s="3">
        <f>(tblSalaries[[#This Row],[clean Salary (in local currency)]])*(VLOOKUP(tblSalaries[[#This Row],[Currency]],Sheet3!$A$2:$C$31,3,FALSE))*(VLOOKUP(tblSalaries[[#This Row],[Currency]],Sheet1!$N$4:$Q$186,4,FALSE))</f>
        <v>110000</v>
      </c>
      <c r="G132" s="4">
        <f>IF(Dashboard!$J$5=VLOOKUP(tblSalaries[[#This Row],[Currency]],Sheet3!$A$2:$B$31,2,FALSE),tblSalaries[[#This Row],[clean Salary (in local currency)]],(tblSalaries[[#This Row],[PPP Adjusted  USD]]/VLOOKUP(Dashboard!$J$5,Sheet3!$B$2:$C$31,2,FALSE)))</f>
        <v>110000</v>
      </c>
      <c r="H132" t="s">
        <v>797</v>
      </c>
      <c r="I132" t="s">
        <v>620</v>
      </c>
      <c r="J132" t="s">
        <v>613</v>
      </c>
      <c r="K132" t="s">
        <v>617</v>
      </c>
      <c r="L132" t="s">
        <v>3847</v>
      </c>
    </row>
    <row r="133" spans="2:12" ht="15" customHeight="1">
      <c r="B133" t="s">
        <v>1517</v>
      </c>
      <c r="C133">
        <v>110000</v>
      </c>
      <c r="D133" t="s">
        <v>252</v>
      </c>
      <c r="E133">
        <v>110000</v>
      </c>
      <c r="F133" s="3">
        <f>(tblSalaries[[#This Row],[clean Salary (in local currency)]])*(VLOOKUP(tblSalaries[[#This Row],[Currency]],Sheet3!$A$2:$C$31,3,FALSE))*(VLOOKUP(tblSalaries[[#This Row],[Currency]],Sheet1!$N$4:$Q$186,4,FALSE))</f>
        <v>110000</v>
      </c>
      <c r="G133" s="4">
        <f>IF(Dashboard!$J$5=VLOOKUP(tblSalaries[[#This Row],[Currency]],Sheet3!$A$2:$B$31,2,FALSE),tblSalaries[[#This Row],[clean Salary (in local currency)]],(tblSalaries[[#This Row],[PPP Adjusted  USD]]/VLOOKUP(Dashboard!$J$5,Sheet3!$B$2:$C$31,2,FALSE)))</f>
        <v>110000</v>
      </c>
      <c r="H133" t="s">
        <v>1518</v>
      </c>
      <c r="I133" t="s">
        <v>637</v>
      </c>
      <c r="J133" t="s">
        <v>1519</v>
      </c>
      <c r="K133" t="s">
        <v>617</v>
      </c>
      <c r="L133" t="s">
        <v>3847</v>
      </c>
    </row>
    <row r="134" spans="2:12" ht="15" customHeight="1">
      <c r="B134" t="s">
        <v>2944</v>
      </c>
      <c r="C134">
        <v>110000</v>
      </c>
      <c r="D134" t="s">
        <v>252</v>
      </c>
      <c r="E134">
        <v>110000</v>
      </c>
      <c r="F134" s="3">
        <f>(tblSalaries[[#This Row],[clean Salary (in local currency)]])*(VLOOKUP(tblSalaries[[#This Row],[Currency]],Sheet3!$A$2:$C$31,3,FALSE))*(VLOOKUP(tblSalaries[[#This Row],[Currency]],Sheet1!$N$4:$Q$186,4,FALSE))</f>
        <v>110000</v>
      </c>
      <c r="G134" s="4">
        <f>IF(Dashboard!$J$5=VLOOKUP(tblSalaries[[#This Row],[Currency]],Sheet3!$A$2:$B$31,2,FALSE),tblSalaries[[#This Row],[clean Salary (in local currency)]],(tblSalaries[[#This Row],[PPP Adjusted  USD]]/VLOOKUP(Dashboard!$J$5,Sheet3!$B$2:$C$31,2,FALSE)))</f>
        <v>110000</v>
      </c>
      <c r="H134" t="s">
        <v>2945</v>
      </c>
      <c r="I134" t="s">
        <v>603</v>
      </c>
      <c r="J134" t="s">
        <v>613</v>
      </c>
      <c r="K134" t="s">
        <v>627</v>
      </c>
      <c r="L134">
        <v>10</v>
      </c>
    </row>
    <row r="135" spans="2:12" ht="15" customHeight="1">
      <c r="B135" t="s">
        <v>3258</v>
      </c>
      <c r="C135">
        <v>110000</v>
      </c>
      <c r="D135" t="s">
        <v>252</v>
      </c>
      <c r="E135">
        <v>110000</v>
      </c>
      <c r="F135" s="3">
        <f>(tblSalaries[[#This Row],[clean Salary (in local currency)]])*(VLOOKUP(tblSalaries[[#This Row],[Currency]],Sheet3!$A$2:$C$31,3,FALSE))*(VLOOKUP(tblSalaries[[#This Row],[Currency]],Sheet1!$N$4:$Q$186,4,FALSE))</f>
        <v>110000</v>
      </c>
      <c r="G135" s="4">
        <f>IF(Dashboard!$J$5=VLOOKUP(tblSalaries[[#This Row],[Currency]],Sheet3!$A$2:$B$31,2,FALSE),tblSalaries[[#This Row],[clean Salary (in local currency)]],(tblSalaries[[#This Row],[PPP Adjusted  USD]]/VLOOKUP(Dashboard!$J$5,Sheet3!$B$2:$C$31,2,FALSE)))</f>
        <v>110000</v>
      </c>
      <c r="H135" t="s">
        <v>1010</v>
      </c>
      <c r="I135" t="s">
        <v>608</v>
      </c>
      <c r="J135" t="s">
        <v>1519</v>
      </c>
      <c r="K135" t="s">
        <v>610</v>
      </c>
      <c r="L135">
        <v>5</v>
      </c>
    </row>
    <row r="136" spans="2:12" ht="15" customHeight="1">
      <c r="B136" t="s">
        <v>3813</v>
      </c>
      <c r="C136">
        <v>110000</v>
      </c>
      <c r="D136" t="s">
        <v>252</v>
      </c>
      <c r="E136">
        <v>110000</v>
      </c>
      <c r="F136" s="3">
        <f>(tblSalaries[[#This Row],[clean Salary (in local currency)]])*(VLOOKUP(tblSalaries[[#This Row],[Currency]],Sheet3!$A$2:$C$31,3,FALSE))*(VLOOKUP(tblSalaries[[#This Row],[Currency]],Sheet1!$N$4:$Q$186,4,FALSE))</f>
        <v>110000</v>
      </c>
      <c r="G136" s="4">
        <f>IF(Dashboard!$J$5=VLOOKUP(tblSalaries[[#This Row],[Currency]],Sheet3!$A$2:$B$31,2,FALSE),tblSalaries[[#This Row],[clean Salary (in local currency)]],(tblSalaries[[#This Row],[PPP Adjusted  USD]]/VLOOKUP(Dashboard!$J$5,Sheet3!$B$2:$C$31,2,FALSE)))</f>
        <v>110000</v>
      </c>
      <c r="H136" t="s">
        <v>3814</v>
      </c>
      <c r="I136" t="s">
        <v>633</v>
      </c>
      <c r="J136" t="s">
        <v>613</v>
      </c>
      <c r="K136" t="s">
        <v>605</v>
      </c>
      <c r="L136">
        <v>10</v>
      </c>
    </row>
    <row r="137" spans="2:12" ht="15" customHeight="1">
      <c r="B137" t="s">
        <v>1952</v>
      </c>
      <c r="C137">
        <v>74000</v>
      </c>
      <c r="D137" t="s">
        <v>204</v>
      </c>
      <c r="E137">
        <v>116637.19213297902</v>
      </c>
      <c r="F137" s="3">
        <f>(tblSalaries[[#This Row],[clean Salary (in local currency)]])*(VLOOKUP(tblSalaries[[#This Row],[Currency]],Sheet3!$A$2:$C$31,3,FALSE))*(VLOOKUP(tblSalaries[[#This Row],[Currency]],Sheet1!$N$4:$Q$186,4,FALSE))</f>
        <v>109073.86916855162</v>
      </c>
      <c r="G137" s="4">
        <f>IF(Dashboard!$J$5=VLOOKUP(tblSalaries[[#This Row],[Currency]],Sheet3!$A$2:$B$31,2,FALSE),tblSalaries[[#This Row],[clean Salary (in local currency)]],(tblSalaries[[#This Row],[PPP Adjusted  USD]]/VLOOKUP(Dashboard!$J$5,Sheet3!$B$2:$C$31,2,FALSE)))</f>
        <v>109073.86916855162</v>
      </c>
      <c r="H137" t="s">
        <v>1953</v>
      </c>
      <c r="I137" t="s">
        <v>625</v>
      </c>
      <c r="J137" t="s">
        <v>687</v>
      </c>
      <c r="K137" t="s">
        <v>605</v>
      </c>
      <c r="L137">
        <v>5</v>
      </c>
    </row>
    <row r="138" spans="2:12" ht="15" customHeight="1">
      <c r="B138" t="s">
        <v>3145</v>
      </c>
      <c r="C138">
        <v>109000</v>
      </c>
      <c r="D138" t="s">
        <v>252</v>
      </c>
      <c r="E138">
        <v>109000</v>
      </c>
      <c r="F138" s="3">
        <f>(tblSalaries[[#This Row],[clean Salary (in local currency)]])*(VLOOKUP(tblSalaries[[#This Row],[Currency]],Sheet3!$A$2:$C$31,3,FALSE))*(VLOOKUP(tblSalaries[[#This Row],[Currency]],Sheet1!$N$4:$Q$186,4,FALSE))</f>
        <v>109000</v>
      </c>
      <c r="G138" s="4">
        <f>IF(Dashboard!$J$5=VLOOKUP(tblSalaries[[#This Row],[Currency]],Sheet3!$A$2:$B$31,2,FALSE),tblSalaries[[#This Row],[clean Salary (in local currency)]],(tblSalaries[[#This Row],[PPP Adjusted  USD]]/VLOOKUP(Dashboard!$J$5,Sheet3!$B$2:$C$31,2,FALSE)))</f>
        <v>109000</v>
      </c>
      <c r="H138" t="s">
        <v>3146</v>
      </c>
      <c r="I138" t="s">
        <v>625</v>
      </c>
      <c r="J138" t="s">
        <v>613</v>
      </c>
      <c r="K138" t="s">
        <v>605</v>
      </c>
      <c r="L138">
        <v>15</v>
      </c>
    </row>
    <row r="139" spans="2:12" ht="15" customHeight="1">
      <c r="B139" t="s">
        <v>869</v>
      </c>
      <c r="C139">
        <v>2300000</v>
      </c>
      <c r="D139" t="s">
        <v>247</v>
      </c>
      <c r="E139">
        <v>40958.208381117904</v>
      </c>
      <c r="F139" s="3">
        <f>(tblSalaries[[#This Row],[clean Salary (in local currency)]])*(VLOOKUP(tblSalaries[[#This Row],[Currency]],Sheet3!$A$2:$C$31,3,FALSE))*(VLOOKUP(tblSalaries[[#This Row],[Currency]],Sheet1!$N$4:$Q$186,4,FALSE))</f>
        <v>108930.35140200643</v>
      </c>
      <c r="G139" s="4">
        <f>IF(Dashboard!$J$5=VLOOKUP(tblSalaries[[#This Row],[Currency]],Sheet3!$A$2:$B$31,2,FALSE),tblSalaries[[#This Row],[clean Salary (in local currency)]],(tblSalaries[[#This Row],[PPP Adjusted  USD]]/VLOOKUP(Dashboard!$J$5,Sheet3!$B$2:$C$31,2,FALSE)))</f>
        <v>108930.35140200643</v>
      </c>
      <c r="H139" t="s">
        <v>870</v>
      </c>
      <c r="I139" t="s">
        <v>603</v>
      </c>
      <c r="J139" t="s">
        <v>604</v>
      </c>
      <c r="K139" t="s">
        <v>627</v>
      </c>
      <c r="L139" t="s">
        <v>3847</v>
      </c>
    </row>
    <row r="140" spans="2:12" ht="15" customHeight="1">
      <c r="B140" t="s">
        <v>1892</v>
      </c>
      <c r="C140">
        <v>2300000</v>
      </c>
      <c r="D140" t="s">
        <v>247</v>
      </c>
      <c r="E140">
        <v>40958.208381117904</v>
      </c>
      <c r="F140" s="3">
        <f>(tblSalaries[[#This Row],[clean Salary (in local currency)]])*(VLOOKUP(tblSalaries[[#This Row],[Currency]],Sheet3!$A$2:$C$31,3,FALSE))*(VLOOKUP(tblSalaries[[#This Row],[Currency]],Sheet1!$N$4:$Q$186,4,FALSE))</f>
        <v>108930.35140200643</v>
      </c>
      <c r="G140" s="4">
        <f>IF(Dashboard!$J$5=VLOOKUP(tblSalaries[[#This Row],[Currency]],Sheet3!$A$2:$B$31,2,FALSE),tblSalaries[[#This Row],[clean Salary (in local currency)]],(tblSalaries[[#This Row],[PPP Adjusted  USD]]/VLOOKUP(Dashboard!$J$5,Sheet3!$B$2:$C$31,2,FALSE)))</f>
        <v>108930.35140200643</v>
      </c>
      <c r="H140" t="s">
        <v>987</v>
      </c>
      <c r="I140" t="s">
        <v>603</v>
      </c>
      <c r="J140" t="s">
        <v>604</v>
      </c>
      <c r="K140" t="s">
        <v>610</v>
      </c>
      <c r="L140">
        <v>5</v>
      </c>
    </row>
    <row r="141" spans="2:12" ht="15" customHeight="1">
      <c r="B141" t="s">
        <v>2204</v>
      </c>
      <c r="C141">
        <v>2300000</v>
      </c>
      <c r="D141" t="s">
        <v>247</v>
      </c>
      <c r="E141">
        <v>40958.208381117904</v>
      </c>
      <c r="F141" s="3">
        <f>(tblSalaries[[#This Row],[clean Salary (in local currency)]])*(VLOOKUP(tblSalaries[[#This Row],[Currency]],Sheet3!$A$2:$C$31,3,FALSE))*(VLOOKUP(tblSalaries[[#This Row],[Currency]],Sheet1!$N$4:$Q$186,4,FALSE))</f>
        <v>108930.35140200643</v>
      </c>
      <c r="G141" s="4">
        <f>IF(Dashboard!$J$5=VLOOKUP(tblSalaries[[#This Row],[Currency]],Sheet3!$A$2:$B$31,2,FALSE),tblSalaries[[#This Row],[clean Salary (in local currency)]],(tblSalaries[[#This Row],[PPP Adjusted  USD]]/VLOOKUP(Dashboard!$J$5,Sheet3!$B$2:$C$31,2,FALSE)))</f>
        <v>108930.35140200643</v>
      </c>
      <c r="H141" t="s">
        <v>2205</v>
      </c>
      <c r="I141" t="s">
        <v>625</v>
      </c>
      <c r="J141" t="s">
        <v>604</v>
      </c>
      <c r="K141" t="s">
        <v>617</v>
      </c>
      <c r="L141">
        <v>8</v>
      </c>
    </row>
    <row r="142" spans="2:12" ht="15" customHeight="1">
      <c r="B142" t="s">
        <v>2366</v>
      </c>
      <c r="C142">
        <v>180000</v>
      </c>
      <c r="D142" t="s">
        <v>295</v>
      </c>
      <c r="E142">
        <v>143565.85684888897</v>
      </c>
      <c r="F142" s="3">
        <f>(tblSalaries[[#This Row],[clean Salary (in local currency)]])*(VLOOKUP(tblSalaries[[#This Row],[Currency]],Sheet3!$A$2:$C$31,3,FALSE))*(VLOOKUP(tblSalaries[[#This Row],[Currency]],Sheet1!$N$4:$Q$186,4,FALSE))</f>
        <v>108388.22587402172</v>
      </c>
      <c r="G142" s="4">
        <f>IF(Dashboard!$J$5=VLOOKUP(tblSalaries[[#This Row],[Currency]],Sheet3!$A$2:$B$31,2,FALSE),tblSalaries[[#This Row],[clean Salary (in local currency)]],(tblSalaries[[#This Row],[PPP Adjusted  USD]]/VLOOKUP(Dashboard!$J$5,Sheet3!$B$2:$C$31,2,FALSE)))</f>
        <v>108388.22587402172</v>
      </c>
      <c r="H142" t="s">
        <v>1304</v>
      </c>
      <c r="I142" t="s">
        <v>625</v>
      </c>
      <c r="J142" t="s">
        <v>1604</v>
      </c>
      <c r="K142" t="s">
        <v>605</v>
      </c>
      <c r="L142">
        <v>25</v>
      </c>
    </row>
    <row r="143" spans="2:12" ht="15" customHeight="1">
      <c r="B143" t="s">
        <v>1025</v>
      </c>
      <c r="C143">
        <v>108160</v>
      </c>
      <c r="D143" t="s">
        <v>252</v>
      </c>
      <c r="E143">
        <v>108160</v>
      </c>
      <c r="F143" s="3">
        <f>(tblSalaries[[#This Row],[clean Salary (in local currency)]])*(VLOOKUP(tblSalaries[[#This Row],[Currency]],Sheet3!$A$2:$C$31,3,FALSE))*(VLOOKUP(tblSalaries[[#This Row],[Currency]],Sheet1!$N$4:$Q$186,4,FALSE))</f>
        <v>108160</v>
      </c>
      <c r="G143" s="4">
        <f>IF(Dashboard!$J$5=VLOOKUP(tblSalaries[[#This Row],[Currency]],Sheet3!$A$2:$B$31,2,FALSE),tblSalaries[[#This Row],[clean Salary (in local currency)]],(tblSalaries[[#This Row],[PPP Adjusted  USD]]/VLOOKUP(Dashboard!$J$5,Sheet3!$B$2:$C$31,2,FALSE)))</f>
        <v>108160</v>
      </c>
      <c r="H143" t="s">
        <v>1026</v>
      </c>
      <c r="I143" t="s">
        <v>603</v>
      </c>
      <c r="J143" t="s">
        <v>613</v>
      </c>
      <c r="K143" t="s">
        <v>605</v>
      </c>
      <c r="L143" t="s">
        <v>3847</v>
      </c>
    </row>
    <row r="144" spans="2:12" ht="15" customHeight="1">
      <c r="B144" t="s">
        <v>1242</v>
      </c>
      <c r="C144">
        <v>108000</v>
      </c>
      <c r="D144" t="s">
        <v>252</v>
      </c>
      <c r="E144">
        <v>108000</v>
      </c>
      <c r="F144" s="3">
        <f>(tblSalaries[[#This Row],[clean Salary (in local currency)]])*(VLOOKUP(tblSalaries[[#This Row],[Currency]],Sheet3!$A$2:$C$31,3,FALSE))*(VLOOKUP(tblSalaries[[#This Row],[Currency]],Sheet1!$N$4:$Q$186,4,FALSE))</f>
        <v>108000</v>
      </c>
      <c r="G144" s="4">
        <f>IF(Dashboard!$J$5=VLOOKUP(tblSalaries[[#This Row],[Currency]],Sheet3!$A$2:$B$31,2,FALSE),tblSalaries[[#This Row],[clean Salary (in local currency)]],(tblSalaries[[#This Row],[PPP Adjusted  USD]]/VLOOKUP(Dashboard!$J$5,Sheet3!$B$2:$C$31,2,FALSE)))</f>
        <v>108000</v>
      </c>
      <c r="H144" t="s">
        <v>1243</v>
      </c>
      <c r="I144" t="s">
        <v>625</v>
      </c>
      <c r="J144" t="s">
        <v>613</v>
      </c>
      <c r="K144" t="s">
        <v>617</v>
      </c>
      <c r="L144" t="s">
        <v>3847</v>
      </c>
    </row>
    <row r="145" spans="2:12" ht="15" customHeight="1">
      <c r="B145" t="s">
        <v>1538</v>
      </c>
      <c r="C145">
        <v>108000</v>
      </c>
      <c r="D145" t="s">
        <v>252</v>
      </c>
      <c r="E145">
        <v>108000</v>
      </c>
      <c r="F145" s="3">
        <f>(tblSalaries[[#This Row],[clean Salary (in local currency)]])*(VLOOKUP(tblSalaries[[#This Row],[Currency]],Sheet3!$A$2:$C$31,3,FALSE))*(VLOOKUP(tblSalaries[[#This Row],[Currency]],Sheet1!$N$4:$Q$186,4,FALSE))</f>
        <v>108000</v>
      </c>
      <c r="G145" s="4">
        <f>IF(Dashboard!$J$5=VLOOKUP(tblSalaries[[#This Row],[Currency]],Sheet3!$A$2:$B$31,2,FALSE),tblSalaries[[#This Row],[clean Salary (in local currency)]],(tblSalaries[[#This Row],[PPP Adjusted  USD]]/VLOOKUP(Dashboard!$J$5,Sheet3!$B$2:$C$31,2,FALSE)))</f>
        <v>108000</v>
      </c>
      <c r="H145" t="s">
        <v>625</v>
      </c>
      <c r="I145" t="s">
        <v>625</v>
      </c>
      <c r="J145" t="s">
        <v>1519</v>
      </c>
      <c r="K145" t="s">
        <v>605</v>
      </c>
      <c r="L145" t="s">
        <v>3847</v>
      </c>
    </row>
    <row r="146" spans="2:12" ht="15" customHeight="1">
      <c r="B146" t="s">
        <v>1703</v>
      </c>
      <c r="C146">
        <v>108000</v>
      </c>
      <c r="D146" t="s">
        <v>252</v>
      </c>
      <c r="E146">
        <v>108000</v>
      </c>
      <c r="F146" s="3">
        <f>(tblSalaries[[#This Row],[clean Salary (in local currency)]])*(VLOOKUP(tblSalaries[[#This Row],[Currency]],Sheet3!$A$2:$C$31,3,FALSE))*(VLOOKUP(tblSalaries[[#This Row],[Currency]],Sheet1!$N$4:$Q$186,4,FALSE))</f>
        <v>108000</v>
      </c>
      <c r="G146" s="4">
        <f>IF(Dashboard!$J$5=VLOOKUP(tblSalaries[[#This Row],[Currency]],Sheet3!$A$2:$B$31,2,FALSE),tblSalaries[[#This Row],[clean Salary (in local currency)]],(tblSalaries[[#This Row],[PPP Adjusted  USD]]/VLOOKUP(Dashboard!$J$5,Sheet3!$B$2:$C$31,2,FALSE)))</f>
        <v>108000</v>
      </c>
      <c r="H146" t="s">
        <v>1704</v>
      </c>
      <c r="I146" t="s">
        <v>692</v>
      </c>
      <c r="J146" t="s">
        <v>613</v>
      </c>
      <c r="K146" t="s">
        <v>617</v>
      </c>
      <c r="L146">
        <v>7</v>
      </c>
    </row>
    <row r="147" spans="2:12" ht="15" customHeight="1">
      <c r="B147" t="s">
        <v>1610</v>
      </c>
      <c r="C147">
        <v>73000</v>
      </c>
      <c r="D147" t="s">
        <v>204</v>
      </c>
      <c r="E147">
        <v>115061.01386091174</v>
      </c>
      <c r="F147" s="3">
        <f>(tblSalaries[[#This Row],[clean Salary (in local currency)]])*(VLOOKUP(tblSalaries[[#This Row],[Currency]],Sheet3!$A$2:$C$31,3,FALSE))*(VLOOKUP(tblSalaries[[#This Row],[Currency]],Sheet1!$N$4:$Q$186,4,FALSE))</f>
        <v>107599.8979635712</v>
      </c>
      <c r="G147" s="4">
        <f>IF(Dashboard!$J$5=VLOOKUP(tblSalaries[[#This Row],[Currency]],Sheet3!$A$2:$B$31,2,FALSE),tblSalaries[[#This Row],[clean Salary (in local currency)]],(tblSalaries[[#This Row],[PPP Adjusted  USD]]/VLOOKUP(Dashboard!$J$5,Sheet3!$B$2:$C$31,2,FALSE)))</f>
        <v>107599.8979635712</v>
      </c>
      <c r="H147" t="s">
        <v>1611</v>
      </c>
      <c r="I147" t="s">
        <v>625</v>
      </c>
      <c r="J147" t="s">
        <v>687</v>
      </c>
      <c r="K147" t="s">
        <v>605</v>
      </c>
      <c r="L147" t="s">
        <v>3847</v>
      </c>
    </row>
    <row r="148" spans="2:12" ht="15" customHeight="1">
      <c r="B148" t="s">
        <v>3538</v>
      </c>
      <c r="C148">
        <v>73000</v>
      </c>
      <c r="D148" t="s">
        <v>204</v>
      </c>
      <c r="E148">
        <v>115061.01386091174</v>
      </c>
      <c r="F148" s="3">
        <f>(tblSalaries[[#This Row],[clean Salary (in local currency)]])*(VLOOKUP(tblSalaries[[#This Row],[Currency]],Sheet3!$A$2:$C$31,3,FALSE))*(VLOOKUP(tblSalaries[[#This Row],[Currency]],Sheet1!$N$4:$Q$186,4,FALSE))</f>
        <v>107599.8979635712</v>
      </c>
      <c r="G148" s="4">
        <f>IF(Dashboard!$J$5=VLOOKUP(tblSalaries[[#This Row],[Currency]],Sheet3!$A$2:$B$31,2,FALSE),tblSalaries[[#This Row],[clean Salary (in local currency)]],(tblSalaries[[#This Row],[PPP Adjusted  USD]]/VLOOKUP(Dashboard!$J$5,Sheet3!$B$2:$C$31,2,FALSE)))</f>
        <v>107599.8979635712</v>
      </c>
      <c r="H148" t="s">
        <v>854</v>
      </c>
      <c r="I148" t="s">
        <v>608</v>
      </c>
      <c r="J148" t="s">
        <v>687</v>
      </c>
      <c r="K148" t="s">
        <v>605</v>
      </c>
      <c r="L148">
        <v>8</v>
      </c>
    </row>
    <row r="149" spans="2:12" ht="15" customHeight="1">
      <c r="B149" t="s">
        <v>653</v>
      </c>
      <c r="C149">
        <v>107000</v>
      </c>
      <c r="D149" t="s">
        <v>252</v>
      </c>
      <c r="E149">
        <v>107000</v>
      </c>
      <c r="F149" s="3">
        <f>(tblSalaries[[#This Row],[clean Salary (in local currency)]])*(VLOOKUP(tblSalaries[[#This Row],[Currency]],Sheet3!$A$2:$C$31,3,FALSE))*(VLOOKUP(tblSalaries[[#This Row],[Currency]],Sheet1!$N$4:$Q$186,4,FALSE))</f>
        <v>107000</v>
      </c>
      <c r="G149" s="4">
        <f>IF(Dashboard!$J$5=VLOOKUP(tblSalaries[[#This Row],[Currency]],Sheet3!$A$2:$B$31,2,FALSE),tblSalaries[[#This Row],[clean Salary (in local currency)]],(tblSalaries[[#This Row],[PPP Adjusted  USD]]/VLOOKUP(Dashboard!$J$5,Sheet3!$B$2:$C$31,2,FALSE)))</f>
        <v>107000</v>
      </c>
      <c r="H149" t="s">
        <v>654</v>
      </c>
      <c r="I149" t="s">
        <v>625</v>
      </c>
      <c r="J149" t="s">
        <v>655</v>
      </c>
      <c r="K149" t="s">
        <v>605</v>
      </c>
      <c r="L149" t="s">
        <v>3847</v>
      </c>
    </row>
    <row r="150" spans="2:12" ht="15" customHeight="1">
      <c r="B150" t="s">
        <v>2795</v>
      </c>
      <c r="C150">
        <v>107000</v>
      </c>
      <c r="D150" t="s">
        <v>252</v>
      </c>
      <c r="E150">
        <v>107000</v>
      </c>
      <c r="F150" s="3">
        <f>(tblSalaries[[#This Row],[clean Salary (in local currency)]])*(VLOOKUP(tblSalaries[[#This Row],[Currency]],Sheet3!$A$2:$C$31,3,FALSE))*(VLOOKUP(tblSalaries[[#This Row],[Currency]],Sheet1!$N$4:$Q$186,4,FALSE))</f>
        <v>107000</v>
      </c>
      <c r="G150" s="4">
        <f>IF(Dashboard!$J$5=VLOOKUP(tblSalaries[[#This Row],[Currency]],Sheet3!$A$2:$B$31,2,FALSE),tblSalaries[[#This Row],[clean Salary (in local currency)]],(tblSalaries[[#This Row],[PPP Adjusted  USD]]/VLOOKUP(Dashboard!$J$5,Sheet3!$B$2:$C$31,2,FALSE)))</f>
        <v>107000</v>
      </c>
      <c r="H150" t="s">
        <v>2796</v>
      </c>
      <c r="I150" t="s">
        <v>637</v>
      </c>
      <c r="J150" t="s">
        <v>613</v>
      </c>
      <c r="K150" t="s">
        <v>605</v>
      </c>
      <c r="L150">
        <v>12</v>
      </c>
    </row>
    <row r="151" spans="2:12" ht="15" customHeight="1">
      <c r="B151" t="s">
        <v>3039</v>
      </c>
      <c r="C151">
        <v>107000</v>
      </c>
      <c r="D151" t="s">
        <v>252</v>
      </c>
      <c r="E151">
        <v>107000</v>
      </c>
      <c r="F151" s="3">
        <f>(tblSalaries[[#This Row],[clean Salary (in local currency)]])*(VLOOKUP(tblSalaries[[#This Row],[Currency]],Sheet3!$A$2:$C$31,3,FALSE))*(VLOOKUP(tblSalaries[[#This Row],[Currency]],Sheet1!$N$4:$Q$186,4,FALSE))</f>
        <v>107000</v>
      </c>
      <c r="G151" s="4">
        <f>IF(Dashboard!$J$5=VLOOKUP(tblSalaries[[#This Row],[Currency]],Sheet3!$A$2:$B$31,2,FALSE),tblSalaries[[#This Row],[clean Salary (in local currency)]],(tblSalaries[[#This Row],[PPP Adjusted  USD]]/VLOOKUP(Dashboard!$J$5,Sheet3!$B$2:$C$31,2,FALSE)))</f>
        <v>107000</v>
      </c>
      <c r="H151" t="s">
        <v>3040</v>
      </c>
      <c r="I151" t="s">
        <v>625</v>
      </c>
      <c r="J151" t="s">
        <v>613</v>
      </c>
      <c r="K151" t="s">
        <v>610</v>
      </c>
      <c r="L151">
        <v>29</v>
      </c>
    </row>
    <row r="152" spans="2:12" ht="15" customHeight="1">
      <c r="B152" t="s">
        <v>2020</v>
      </c>
      <c r="C152">
        <v>2250000</v>
      </c>
      <c r="D152" t="s">
        <v>247</v>
      </c>
      <c r="E152">
        <v>40067.812546745779</v>
      </c>
      <c r="F152" s="3">
        <f>(tblSalaries[[#This Row],[clean Salary (in local currency)]])*(VLOOKUP(tblSalaries[[#This Row],[Currency]],Sheet3!$A$2:$C$31,3,FALSE))*(VLOOKUP(tblSalaries[[#This Row],[Currency]],Sheet1!$N$4:$Q$186,4,FALSE))</f>
        <v>106562.30028457152</v>
      </c>
      <c r="G152" s="4">
        <f>IF(Dashboard!$J$5=VLOOKUP(tblSalaries[[#This Row],[Currency]],Sheet3!$A$2:$B$31,2,FALSE),tblSalaries[[#This Row],[clean Salary (in local currency)]],(tblSalaries[[#This Row],[PPP Adjusted  USD]]/VLOOKUP(Dashboard!$J$5,Sheet3!$B$2:$C$31,2,FALSE)))</f>
        <v>106562.30028457152</v>
      </c>
      <c r="H152" t="s">
        <v>2021</v>
      </c>
      <c r="I152" t="s">
        <v>637</v>
      </c>
      <c r="J152" t="s">
        <v>604</v>
      </c>
      <c r="K152" t="s">
        <v>627</v>
      </c>
      <c r="L152">
        <v>5</v>
      </c>
    </row>
    <row r="153" spans="2:12" ht="15" customHeight="1">
      <c r="B153" t="s">
        <v>1765</v>
      </c>
      <c r="C153">
        <v>170000</v>
      </c>
      <c r="D153" t="s">
        <v>224</v>
      </c>
      <c r="E153">
        <v>173384.64158844808</v>
      </c>
      <c r="F153" s="3">
        <f>(tblSalaries[[#This Row],[clean Salary (in local currency)]])*(VLOOKUP(tblSalaries[[#This Row],[Currency]],Sheet3!$A$2:$C$31,3,FALSE))*(VLOOKUP(tblSalaries[[#This Row],[Currency]],Sheet1!$N$4:$Q$186,4,FALSE))</f>
        <v>106541.38989376387</v>
      </c>
      <c r="G153" s="4">
        <f>IF(Dashboard!$J$5=VLOOKUP(tblSalaries[[#This Row],[Currency]],Sheet3!$A$2:$B$31,2,FALSE),tblSalaries[[#This Row],[clean Salary (in local currency)]],(tblSalaries[[#This Row],[PPP Adjusted  USD]]/VLOOKUP(Dashboard!$J$5,Sheet3!$B$2:$C$31,2,FALSE)))</f>
        <v>106541.38989376387</v>
      </c>
      <c r="H153" t="s">
        <v>1766</v>
      </c>
      <c r="I153" t="s">
        <v>603</v>
      </c>
      <c r="J153" t="s">
        <v>703</v>
      </c>
      <c r="K153" t="s">
        <v>610</v>
      </c>
      <c r="L153">
        <v>10</v>
      </c>
    </row>
    <row r="154" spans="2:12" ht="15" customHeight="1">
      <c r="B154" t="s">
        <v>2378</v>
      </c>
      <c r="C154">
        <v>170000</v>
      </c>
      <c r="D154" t="s">
        <v>224</v>
      </c>
      <c r="E154">
        <v>173384.64158844808</v>
      </c>
      <c r="F154" s="3">
        <f>(tblSalaries[[#This Row],[clean Salary (in local currency)]])*(VLOOKUP(tblSalaries[[#This Row],[Currency]],Sheet3!$A$2:$C$31,3,FALSE))*(VLOOKUP(tblSalaries[[#This Row],[Currency]],Sheet1!$N$4:$Q$186,4,FALSE))</f>
        <v>106541.38989376387</v>
      </c>
      <c r="G154" s="4">
        <f>IF(Dashboard!$J$5=VLOOKUP(tblSalaries[[#This Row],[Currency]],Sheet3!$A$2:$B$31,2,FALSE),tblSalaries[[#This Row],[clean Salary (in local currency)]],(tblSalaries[[#This Row],[PPP Adjusted  USD]]/VLOOKUP(Dashboard!$J$5,Sheet3!$B$2:$C$31,2,FALSE)))</f>
        <v>106541.38989376387</v>
      </c>
      <c r="H154" t="s">
        <v>2379</v>
      </c>
      <c r="I154" t="s">
        <v>692</v>
      </c>
      <c r="J154" t="s">
        <v>703</v>
      </c>
      <c r="K154" t="s">
        <v>617</v>
      </c>
      <c r="L154">
        <v>8</v>
      </c>
    </row>
    <row r="155" spans="2:12" ht="15" customHeight="1">
      <c r="B155" t="s">
        <v>3381</v>
      </c>
      <c r="C155">
        <v>106000</v>
      </c>
      <c r="D155" t="s">
        <v>252</v>
      </c>
      <c r="E155">
        <v>106000</v>
      </c>
      <c r="F155" s="3">
        <f>(tblSalaries[[#This Row],[clean Salary (in local currency)]])*(VLOOKUP(tblSalaries[[#This Row],[Currency]],Sheet3!$A$2:$C$31,3,FALSE))*(VLOOKUP(tblSalaries[[#This Row],[Currency]],Sheet1!$N$4:$Q$186,4,FALSE))</f>
        <v>106000</v>
      </c>
      <c r="G155" s="4">
        <f>IF(Dashboard!$J$5=VLOOKUP(tblSalaries[[#This Row],[Currency]],Sheet3!$A$2:$B$31,2,FALSE),tblSalaries[[#This Row],[clean Salary (in local currency)]],(tblSalaries[[#This Row],[PPP Adjusted  USD]]/VLOOKUP(Dashboard!$J$5,Sheet3!$B$2:$C$31,2,FALSE)))</f>
        <v>106000</v>
      </c>
      <c r="H155" t="s">
        <v>3382</v>
      </c>
      <c r="I155" t="s">
        <v>603</v>
      </c>
      <c r="J155" t="s">
        <v>1984</v>
      </c>
      <c r="K155" t="s">
        <v>627</v>
      </c>
      <c r="L155">
        <v>7</v>
      </c>
    </row>
    <row r="156" spans="2:12" ht="15" customHeight="1">
      <c r="B156" t="s">
        <v>3523</v>
      </c>
      <c r="C156">
        <v>134000</v>
      </c>
      <c r="D156" t="s">
        <v>276</v>
      </c>
      <c r="E156">
        <v>131770.4440860638</v>
      </c>
      <c r="F156" s="3">
        <f>(tblSalaries[[#This Row],[clean Salary (in local currency)]])*(VLOOKUP(tblSalaries[[#This Row],[Currency]],Sheet3!$A$2:$C$31,3,FALSE))*(VLOOKUP(tblSalaries[[#This Row],[Currency]],Sheet1!$N$4:$Q$186,4,FALSE))</f>
        <v>105919.79122911418</v>
      </c>
      <c r="G156" s="4">
        <f>IF(Dashboard!$J$5=VLOOKUP(tblSalaries[[#This Row],[Currency]],Sheet3!$A$2:$B$31,2,FALSE),tblSalaries[[#This Row],[clean Salary (in local currency)]],(tblSalaries[[#This Row],[PPP Adjusted  USD]]/VLOOKUP(Dashboard!$J$5,Sheet3!$B$2:$C$31,2,FALSE)))</f>
        <v>105919.79122911418</v>
      </c>
      <c r="H156" t="s">
        <v>3524</v>
      </c>
      <c r="I156" t="s">
        <v>637</v>
      </c>
      <c r="J156" t="s">
        <v>708</v>
      </c>
      <c r="K156" t="s">
        <v>610</v>
      </c>
      <c r="L156">
        <v>20</v>
      </c>
    </row>
    <row r="157" spans="2:12" ht="15" customHeight="1">
      <c r="B157" t="s">
        <v>1836</v>
      </c>
      <c r="C157">
        <v>105000</v>
      </c>
      <c r="D157" t="s">
        <v>252</v>
      </c>
      <c r="E157">
        <v>105000</v>
      </c>
      <c r="F157" s="3">
        <f>(tblSalaries[[#This Row],[clean Salary (in local currency)]])*(VLOOKUP(tblSalaries[[#This Row],[Currency]],Sheet3!$A$2:$C$31,3,FALSE))*(VLOOKUP(tblSalaries[[#This Row],[Currency]],Sheet1!$N$4:$Q$186,4,FALSE))</f>
        <v>105000</v>
      </c>
      <c r="G157" s="4">
        <f>IF(Dashboard!$J$5=VLOOKUP(tblSalaries[[#This Row],[Currency]],Sheet3!$A$2:$B$31,2,FALSE),tblSalaries[[#This Row],[clean Salary (in local currency)]],(tblSalaries[[#This Row],[PPP Adjusted  USD]]/VLOOKUP(Dashboard!$J$5,Sheet3!$B$2:$C$31,2,FALSE)))</f>
        <v>105000</v>
      </c>
      <c r="H157" t="s">
        <v>691</v>
      </c>
      <c r="I157" t="s">
        <v>692</v>
      </c>
      <c r="J157" t="s">
        <v>613</v>
      </c>
      <c r="K157" t="s">
        <v>617</v>
      </c>
      <c r="L157">
        <v>15</v>
      </c>
    </row>
    <row r="158" spans="2:12" ht="15" customHeight="1">
      <c r="B158" t="s">
        <v>2261</v>
      </c>
      <c r="C158">
        <v>105000</v>
      </c>
      <c r="D158" t="s">
        <v>252</v>
      </c>
      <c r="E158">
        <v>105000</v>
      </c>
      <c r="F158" s="3">
        <f>(tblSalaries[[#This Row],[clean Salary (in local currency)]])*(VLOOKUP(tblSalaries[[#This Row],[Currency]],Sheet3!$A$2:$C$31,3,FALSE))*(VLOOKUP(tblSalaries[[#This Row],[Currency]],Sheet1!$N$4:$Q$186,4,FALSE))</f>
        <v>105000</v>
      </c>
      <c r="G158" s="4">
        <f>IF(Dashboard!$J$5=VLOOKUP(tblSalaries[[#This Row],[Currency]],Sheet3!$A$2:$B$31,2,FALSE),tblSalaries[[#This Row],[clean Salary (in local currency)]],(tblSalaries[[#This Row],[PPP Adjusted  USD]]/VLOOKUP(Dashboard!$J$5,Sheet3!$B$2:$C$31,2,FALSE)))</f>
        <v>105000</v>
      </c>
      <c r="H158" t="s">
        <v>648</v>
      </c>
      <c r="I158" t="s">
        <v>603</v>
      </c>
      <c r="J158" t="s">
        <v>613</v>
      </c>
      <c r="K158" t="s">
        <v>605</v>
      </c>
      <c r="L158">
        <v>20</v>
      </c>
    </row>
    <row r="159" spans="2:12" ht="15" customHeight="1">
      <c r="B159" t="s">
        <v>2937</v>
      </c>
      <c r="C159">
        <v>105000</v>
      </c>
      <c r="D159" t="s">
        <v>252</v>
      </c>
      <c r="E159">
        <v>105000</v>
      </c>
      <c r="F159" s="3">
        <f>(tblSalaries[[#This Row],[clean Salary (in local currency)]])*(VLOOKUP(tblSalaries[[#This Row],[Currency]],Sheet3!$A$2:$C$31,3,FALSE))*(VLOOKUP(tblSalaries[[#This Row],[Currency]],Sheet1!$N$4:$Q$186,4,FALSE))</f>
        <v>105000</v>
      </c>
      <c r="G159" s="4">
        <f>IF(Dashboard!$J$5=VLOOKUP(tblSalaries[[#This Row],[Currency]],Sheet3!$A$2:$B$31,2,FALSE),tblSalaries[[#This Row],[clean Salary (in local currency)]],(tblSalaries[[#This Row],[PPP Adjusted  USD]]/VLOOKUP(Dashboard!$J$5,Sheet3!$B$2:$C$31,2,FALSE)))</f>
        <v>105000</v>
      </c>
      <c r="H159" t="s">
        <v>2938</v>
      </c>
      <c r="I159" t="s">
        <v>633</v>
      </c>
      <c r="J159" t="s">
        <v>613</v>
      </c>
      <c r="K159" t="s">
        <v>627</v>
      </c>
      <c r="L159">
        <v>15</v>
      </c>
    </row>
    <row r="160" spans="2:12" ht="15" customHeight="1">
      <c r="B160" t="s">
        <v>3218</v>
      </c>
      <c r="C160">
        <v>105000</v>
      </c>
      <c r="D160" t="s">
        <v>252</v>
      </c>
      <c r="E160">
        <v>105000</v>
      </c>
      <c r="F160" s="3">
        <f>(tblSalaries[[#This Row],[clean Salary (in local currency)]])*(VLOOKUP(tblSalaries[[#This Row],[Currency]],Sheet3!$A$2:$C$31,3,FALSE))*(VLOOKUP(tblSalaries[[#This Row],[Currency]],Sheet1!$N$4:$Q$186,4,FALSE))</f>
        <v>105000</v>
      </c>
      <c r="G160" s="4">
        <f>IF(Dashboard!$J$5=VLOOKUP(tblSalaries[[#This Row],[Currency]],Sheet3!$A$2:$B$31,2,FALSE),tblSalaries[[#This Row],[clean Salary (in local currency)]],(tblSalaries[[#This Row],[PPP Adjusted  USD]]/VLOOKUP(Dashboard!$J$5,Sheet3!$B$2:$C$31,2,FALSE)))</f>
        <v>105000</v>
      </c>
      <c r="H160" t="s">
        <v>3219</v>
      </c>
      <c r="I160" t="s">
        <v>625</v>
      </c>
      <c r="J160" t="s">
        <v>613</v>
      </c>
      <c r="K160" t="s">
        <v>627</v>
      </c>
      <c r="L160">
        <v>30</v>
      </c>
    </row>
    <row r="161" spans="2:12" ht="15" customHeight="1">
      <c r="B161" t="s">
        <v>2953</v>
      </c>
      <c r="C161">
        <v>2210000</v>
      </c>
      <c r="D161" t="s">
        <v>247</v>
      </c>
      <c r="E161">
        <v>39355.495879248076</v>
      </c>
      <c r="F161" s="3">
        <f>(tblSalaries[[#This Row],[clean Salary (in local currency)]])*(VLOOKUP(tblSalaries[[#This Row],[Currency]],Sheet3!$A$2:$C$31,3,FALSE))*(VLOOKUP(tblSalaries[[#This Row],[Currency]],Sheet1!$N$4:$Q$186,4,FALSE))</f>
        <v>104667.85939062359</v>
      </c>
      <c r="G161" s="4">
        <f>IF(Dashboard!$J$5=VLOOKUP(tblSalaries[[#This Row],[Currency]],Sheet3!$A$2:$B$31,2,FALSE),tblSalaries[[#This Row],[clean Salary (in local currency)]],(tblSalaries[[#This Row],[PPP Adjusted  USD]]/VLOOKUP(Dashboard!$J$5,Sheet3!$B$2:$C$31,2,FALSE)))</f>
        <v>104667.85939062359</v>
      </c>
      <c r="H161" t="s">
        <v>1211</v>
      </c>
      <c r="I161" t="s">
        <v>603</v>
      </c>
      <c r="J161" t="s">
        <v>604</v>
      </c>
      <c r="K161" t="s">
        <v>627</v>
      </c>
      <c r="L161">
        <v>5.6</v>
      </c>
    </row>
    <row r="162" spans="2:12" ht="15" customHeight="1">
      <c r="B162" t="s">
        <v>905</v>
      </c>
      <c r="C162">
        <v>104000</v>
      </c>
      <c r="D162" t="s">
        <v>252</v>
      </c>
      <c r="E162">
        <v>104000</v>
      </c>
      <c r="F162" s="3">
        <f>(tblSalaries[[#This Row],[clean Salary (in local currency)]])*(VLOOKUP(tblSalaries[[#This Row],[Currency]],Sheet3!$A$2:$C$31,3,FALSE))*(VLOOKUP(tblSalaries[[#This Row],[Currency]],Sheet1!$N$4:$Q$186,4,FALSE))</f>
        <v>104000</v>
      </c>
      <c r="G162" s="4">
        <f>IF(Dashboard!$J$5=VLOOKUP(tblSalaries[[#This Row],[Currency]],Sheet3!$A$2:$B$31,2,FALSE),tblSalaries[[#This Row],[clean Salary (in local currency)]],(tblSalaries[[#This Row],[PPP Adjusted  USD]]/VLOOKUP(Dashboard!$J$5,Sheet3!$B$2:$C$31,2,FALSE)))</f>
        <v>104000</v>
      </c>
      <c r="H162" t="s">
        <v>906</v>
      </c>
      <c r="I162" t="s">
        <v>633</v>
      </c>
      <c r="J162" t="s">
        <v>613</v>
      </c>
      <c r="K162" t="s">
        <v>617</v>
      </c>
      <c r="L162" t="s">
        <v>3847</v>
      </c>
    </row>
    <row r="163" spans="2:12" ht="15" customHeight="1">
      <c r="B163" t="s">
        <v>1584</v>
      </c>
      <c r="C163">
        <v>104000</v>
      </c>
      <c r="D163" t="s">
        <v>252</v>
      </c>
      <c r="E163">
        <v>104000</v>
      </c>
      <c r="F163" s="3">
        <f>(tblSalaries[[#This Row],[clean Salary (in local currency)]])*(VLOOKUP(tblSalaries[[#This Row],[Currency]],Sheet3!$A$2:$C$31,3,FALSE))*(VLOOKUP(tblSalaries[[#This Row],[Currency]],Sheet1!$N$4:$Q$186,4,FALSE))</f>
        <v>104000</v>
      </c>
      <c r="G163" s="4">
        <f>IF(Dashboard!$J$5=VLOOKUP(tblSalaries[[#This Row],[Currency]],Sheet3!$A$2:$B$31,2,FALSE),tblSalaries[[#This Row],[clean Salary (in local currency)]],(tblSalaries[[#This Row],[PPP Adjusted  USD]]/VLOOKUP(Dashboard!$J$5,Sheet3!$B$2:$C$31,2,FALSE)))</f>
        <v>104000</v>
      </c>
      <c r="H163" t="s">
        <v>1585</v>
      </c>
      <c r="I163" t="s">
        <v>603</v>
      </c>
      <c r="J163" t="s">
        <v>613</v>
      </c>
      <c r="K163" t="s">
        <v>605</v>
      </c>
      <c r="L163" t="s">
        <v>3847</v>
      </c>
    </row>
    <row r="164" spans="2:12" ht="15" customHeight="1">
      <c r="B164" t="s">
        <v>3156</v>
      </c>
      <c r="C164">
        <v>165000</v>
      </c>
      <c r="D164" t="s">
        <v>224</v>
      </c>
      <c r="E164">
        <v>168285.09330643489</v>
      </c>
      <c r="F164" s="3">
        <f>(tblSalaries[[#This Row],[clean Salary (in local currency)]])*(VLOOKUP(tblSalaries[[#This Row],[Currency]],Sheet3!$A$2:$C$31,3,FALSE))*(VLOOKUP(tblSalaries[[#This Row],[Currency]],Sheet1!$N$4:$Q$186,4,FALSE))</f>
        <v>103407.81960277082</v>
      </c>
      <c r="G164" s="4">
        <f>IF(Dashboard!$J$5=VLOOKUP(tblSalaries[[#This Row],[Currency]],Sheet3!$A$2:$B$31,2,FALSE),tblSalaries[[#This Row],[clean Salary (in local currency)]],(tblSalaries[[#This Row],[PPP Adjusted  USD]]/VLOOKUP(Dashboard!$J$5,Sheet3!$B$2:$C$31,2,FALSE)))</f>
        <v>103407.81960277082</v>
      </c>
      <c r="H164" t="s">
        <v>620</v>
      </c>
      <c r="I164" t="s">
        <v>620</v>
      </c>
      <c r="J164" t="s">
        <v>703</v>
      </c>
      <c r="K164" t="s">
        <v>617</v>
      </c>
      <c r="L164">
        <v>17</v>
      </c>
    </row>
    <row r="165" spans="2:12" ht="15" customHeight="1">
      <c r="B165" t="s">
        <v>888</v>
      </c>
      <c r="C165">
        <v>70000</v>
      </c>
      <c r="D165" t="s">
        <v>204</v>
      </c>
      <c r="E165">
        <v>110332.47904470989</v>
      </c>
      <c r="F165" s="3">
        <f>(tblSalaries[[#This Row],[clean Salary (in local currency)]])*(VLOOKUP(tblSalaries[[#This Row],[Currency]],Sheet3!$A$2:$C$31,3,FALSE))*(VLOOKUP(tblSalaries[[#This Row],[Currency]],Sheet1!$N$4:$Q$186,4,FALSE))</f>
        <v>103177.98434862992</v>
      </c>
      <c r="G165" s="4">
        <f>IF(Dashboard!$J$5=VLOOKUP(tblSalaries[[#This Row],[Currency]],Sheet3!$A$2:$B$31,2,FALSE),tblSalaries[[#This Row],[clean Salary (in local currency)]],(tblSalaries[[#This Row],[PPP Adjusted  USD]]/VLOOKUP(Dashboard!$J$5,Sheet3!$B$2:$C$31,2,FALSE)))</f>
        <v>103177.98434862992</v>
      </c>
      <c r="H165" t="s">
        <v>889</v>
      </c>
      <c r="I165" t="s">
        <v>625</v>
      </c>
      <c r="J165" t="s">
        <v>687</v>
      </c>
      <c r="K165" t="s">
        <v>617</v>
      </c>
      <c r="L165" t="s">
        <v>3847</v>
      </c>
    </row>
    <row r="166" spans="2:12" ht="15" customHeight="1">
      <c r="B166" t="s">
        <v>2923</v>
      </c>
      <c r="C166">
        <v>70000</v>
      </c>
      <c r="D166" t="s">
        <v>204</v>
      </c>
      <c r="E166">
        <v>110332.47904470989</v>
      </c>
      <c r="F166" s="3">
        <f>(tblSalaries[[#This Row],[clean Salary (in local currency)]])*(VLOOKUP(tblSalaries[[#This Row],[Currency]],Sheet3!$A$2:$C$31,3,FALSE))*(VLOOKUP(tblSalaries[[#This Row],[Currency]],Sheet1!$N$4:$Q$186,4,FALSE))</f>
        <v>103177.98434862992</v>
      </c>
      <c r="G166" s="4">
        <f>IF(Dashboard!$J$5=VLOOKUP(tblSalaries[[#This Row],[Currency]],Sheet3!$A$2:$B$31,2,FALSE),tblSalaries[[#This Row],[clean Salary (in local currency)]],(tblSalaries[[#This Row],[PPP Adjusted  USD]]/VLOOKUP(Dashboard!$J$5,Sheet3!$B$2:$C$31,2,FALSE)))</f>
        <v>103177.98434862992</v>
      </c>
      <c r="H166" t="s">
        <v>692</v>
      </c>
      <c r="I166" t="s">
        <v>692</v>
      </c>
      <c r="J166" t="s">
        <v>687</v>
      </c>
      <c r="K166" t="s">
        <v>605</v>
      </c>
      <c r="L166">
        <v>15</v>
      </c>
    </row>
    <row r="167" spans="2:12" ht="15" customHeight="1">
      <c r="B167" t="s">
        <v>1134</v>
      </c>
      <c r="C167">
        <v>103000</v>
      </c>
      <c r="D167" t="s">
        <v>252</v>
      </c>
      <c r="E167">
        <v>103000</v>
      </c>
      <c r="F167" s="3">
        <f>(tblSalaries[[#This Row],[clean Salary (in local currency)]])*(VLOOKUP(tblSalaries[[#This Row],[Currency]],Sheet3!$A$2:$C$31,3,FALSE))*(VLOOKUP(tblSalaries[[#This Row],[Currency]],Sheet1!$N$4:$Q$186,4,FALSE))</f>
        <v>103000</v>
      </c>
      <c r="G167" s="4">
        <f>IF(Dashboard!$J$5=VLOOKUP(tblSalaries[[#This Row],[Currency]],Sheet3!$A$2:$B$31,2,FALSE),tblSalaries[[#This Row],[clean Salary (in local currency)]],(tblSalaries[[#This Row],[PPP Adjusted  USD]]/VLOOKUP(Dashboard!$J$5,Sheet3!$B$2:$C$31,2,FALSE)))</f>
        <v>103000</v>
      </c>
      <c r="H167" t="s">
        <v>1135</v>
      </c>
      <c r="I167" t="s">
        <v>633</v>
      </c>
      <c r="J167" t="s">
        <v>613</v>
      </c>
      <c r="K167" t="s">
        <v>617</v>
      </c>
      <c r="L167" t="s">
        <v>3847</v>
      </c>
    </row>
    <row r="168" spans="2:12" ht="15" customHeight="1">
      <c r="B168" t="s">
        <v>2973</v>
      </c>
      <c r="C168">
        <v>103000</v>
      </c>
      <c r="D168" t="s">
        <v>252</v>
      </c>
      <c r="E168">
        <v>103000</v>
      </c>
      <c r="F168" s="3">
        <f>(tblSalaries[[#This Row],[clean Salary (in local currency)]])*(VLOOKUP(tblSalaries[[#This Row],[Currency]],Sheet3!$A$2:$C$31,3,FALSE))*(VLOOKUP(tblSalaries[[#This Row],[Currency]],Sheet1!$N$4:$Q$186,4,FALSE))</f>
        <v>103000</v>
      </c>
      <c r="G168" s="4">
        <f>IF(Dashboard!$J$5=VLOOKUP(tblSalaries[[#This Row],[Currency]],Sheet3!$A$2:$B$31,2,FALSE),tblSalaries[[#This Row],[clean Salary (in local currency)]],(tblSalaries[[#This Row],[PPP Adjusted  USD]]/VLOOKUP(Dashboard!$J$5,Sheet3!$B$2:$C$31,2,FALSE)))</f>
        <v>103000</v>
      </c>
      <c r="H168" t="s">
        <v>608</v>
      </c>
      <c r="I168" t="s">
        <v>608</v>
      </c>
      <c r="J168" t="s">
        <v>613</v>
      </c>
      <c r="K168" t="s">
        <v>605</v>
      </c>
      <c r="L168">
        <v>22</v>
      </c>
    </row>
    <row r="169" spans="2:12" ht="15" customHeight="1">
      <c r="B169" t="s">
        <v>3083</v>
      </c>
      <c r="C169">
        <v>102000</v>
      </c>
      <c r="D169" t="s">
        <v>252</v>
      </c>
      <c r="E169">
        <v>102000</v>
      </c>
      <c r="F169" s="3">
        <f>(tblSalaries[[#This Row],[clean Salary (in local currency)]])*(VLOOKUP(tblSalaries[[#This Row],[Currency]],Sheet3!$A$2:$C$31,3,FALSE))*(VLOOKUP(tblSalaries[[#This Row],[Currency]],Sheet1!$N$4:$Q$186,4,FALSE))</f>
        <v>102000</v>
      </c>
      <c r="G169" s="4">
        <f>IF(Dashboard!$J$5=VLOOKUP(tblSalaries[[#This Row],[Currency]],Sheet3!$A$2:$B$31,2,FALSE),tblSalaries[[#This Row],[clean Salary (in local currency)]],(tblSalaries[[#This Row],[PPP Adjusted  USD]]/VLOOKUP(Dashboard!$J$5,Sheet3!$B$2:$C$31,2,FALSE)))</f>
        <v>102000</v>
      </c>
      <c r="H169" t="s">
        <v>745</v>
      </c>
      <c r="I169" t="s">
        <v>603</v>
      </c>
      <c r="J169" t="s">
        <v>613</v>
      </c>
      <c r="K169" t="s">
        <v>605</v>
      </c>
      <c r="L169">
        <v>5</v>
      </c>
    </row>
    <row r="170" spans="2:12" ht="15" customHeight="1">
      <c r="B170" t="s">
        <v>3234</v>
      </c>
      <c r="C170">
        <v>320000</v>
      </c>
      <c r="D170" t="s">
        <v>492</v>
      </c>
      <c r="E170">
        <v>85333.333333333328</v>
      </c>
      <c r="F170" s="3">
        <f>(tblSalaries[[#This Row],[clean Salary (in local currency)]])*(VLOOKUP(tblSalaries[[#This Row],[Currency]],Sheet3!$A$2:$C$31,3,FALSE))*(VLOOKUP(tblSalaries[[#This Row],[Currency]],Sheet1!$N$4:$Q$186,4,FALSE))</f>
        <v>100869.27576127448</v>
      </c>
      <c r="G170" s="4">
        <f>IF(Dashboard!$J$5=VLOOKUP(tblSalaries[[#This Row],[Currency]],Sheet3!$A$2:$B$31,2,FALSE),tblSalaries[[#This Row],[clean Salary (in local currency)]],(tblSalaries[[#This Row],[PPP Adjusted  USD]]/VLOOKUP(Dashboard!$J$5,Sheet3!$B$2:$C$31,2,FALSE)))</f>
        <v>100869.27576127448</v>
      </c>
      <c r="H170" t="s">
        <v>3235</v>
      </c>
      <c r="I170" t="s">
        <v>625</v>
      </c>
      <c r="J170" t="s">
        <v>780</v>
      </c>
      <c r="K170" t="s">
        <v>617</v>
      </c>
      <c r="L170">
        <v>15</v>
      </c>
    </row>
    <row r="171" spans="2:12" ht="15" customHeight="1">
      <c r="B171" t="s">
        <v>3825</v>
      </c>
      <c r="C171">
        <v>100800</v>
      </c>
      <c r="D171" t="s">
        <v>252</v>
      </c>
      <c r="E171">
        <v>100800</v>
      </c>
      <c r="F171" s="3">
        <f>(tblSalaries[[#This Row],[clean Salary (in local currency)]])*(VLOOKUP(tblSalaries[[#This Row],[Currency]],Sheet3!$A$2:$C$31,3,FALSE))*(VLOOKUP(tblSalaries[[#This Row],[Currency]],Sheet1!$N$4:$Q$186,4,FALSE))</f>
        <v>100800</v>
      </c>
      <c r="G171" s="4">
        <f>IF(Dashboard!$J$5=VLOOKUP(tblSalaries[[#This Row],[Currency]],Sheet3!$A$2:$B$31,2,FALSE),tblSalaries[[#This Row],[clean Salary (in local currency)]],(tblSalaries[[#This Row],[PPP Adjusted  USD]]/VLOOKUP(Dashboard!$J$5,Sheet3!$B$2:$C$31,2,FALSE)))</f>
        <v>100800</v>
      </c>
      <c r="H171" t="s">
        <v>3319</v>
      </c>
      <c r="I171" t="s">
        <v>633</v>
      </c>
      <c r="J171" t="s">
        <v>3826</v>
      </c>
      <c r="K171" t="s">
        <v>605</v>
      </c>
      <c r="L171">
        <v>4</v>
      </c>
    </row>
    <row r="172" spans="2:12" ht="15" customHeight="1">
      <c r="B172" t="s">
        <v>723</v>
      </c>
      <c r="C172">
        <v>100000</v>
      </c>
      <c r="D172" t="s">
        <v>252</v>
      </c>
      <c r="E172">
        <v>100000</v>
      </c>
      <c r="F172" s="3">
        <f>(tblSalaries[[#This Row],[clean Salary (in local currency)]])*(VLOOKUP(tblSalaries[[#This Row],[Currency]],Sheet3!$A$2:$C$31,3,FALSE))*(VLOOKUP(tblSalaries[[#This Row],[Currency]],Sheet1!$N$4:$Q$186,4,FALSE))</f>
        <v>100000</v>
      </c>
      <c r="G172" s="4">
        <f>IF(Dashboard!$J$5=VLOOKUP(tblSalaries[[#This Row],[Currency]],Sheet3!$A$2:$B$31,2,FALSE),tblSalaries[[#This Row],[clean Salary (in local currency)]],(tblSalaries[[#This Row],[PPP Adjusted  USD]]/VLOOKUP(Dashboard!$J$5,Sheet3!$B$2:$C$31,2,FALSE)))</f>
        <v>100000</v>
      </c>
      <c r="H172" t="s">
        <v>724</v>
      </c>
      <c r="I172" t="s">
        <v>603</v>
      </c>
      <c r="J172" t="s">
        <v>626</v>
      </c>
      <c r="K172" t="s">
        <v>610</v>
      </c>
      <c r="L172" t="s">
        <v>3847</v>
      </c>
    </row>
    <row r="173" spans="2:12" ht="15" customHeight="1">
      <c r="B173" t="s">
        <v>760</v>
      </c>
      <c r="C173">
        <v>100000</v>
      </c>
      <c r="D173" t="s">
        <v>252</v>
      </c>
      <c r="E173">
        <v>100000</v>
      </c>
      <c r="F173" s="3">
        <f>(tblSalaries[[#This Row],[clean Salary (in local currency)]])*(VLOOKUP(tblSalaries[[#This Row],[Currency]],Sheet3!$A$2:$C$31,3,FALSE))*(VLOOKUP(tblSalaries[[#This Row],[Currency]],Sheet1!$N$4:$Q$186,4,FALSE))</f>
        <v>100000</v>
      </c>
      <c r="G173" s="4">
        <f>IF(Dashboard!$J$5=VLOOKUP(tblSalaries[[#This Row],[Currency]],Sheet3!$A$2:$B$31,2,FALSE),tblSalaries[[#This Row],[clean Salary (in local currency)]],(tblSalaries[[#This Row],[PPP Adjusted  USD]]/VLOOKUP(Dashboard!$J$5,Sheet3!$B$2:$C$31,2,FALSE)))</f>
        <v>100000</v>
      </c>
      <c r="H173" t="s">
        <v>761</v>
      </c>
      <c r="I173" t="s">
        <v>625</v>
      </c>
      <c r="J173" t="s">
        <v>659</v>
      </c>
      <c r="K173" t="s">
        <v>605</v>
      </c>
      <c r="L173" t="s">
        <v>3847</v>
      </c>
    </row>
    <row r="174" spans="2:12" ht="15" customHeight="1">
      <c r="B174" t="s">
        <v>934</v>
      </c>
      <c r="C174">
        <v>100000</v>
      </c>
      <c r="D174" t="s">
        <v>252</v>
      </c>
      <c r="E174">
        <v>100000</v>
      </c>
      <c r="F174" s="3">
        <f>(tblSalaries[[#This Row],[clean Salary (in local currency)]])*(VLOOKUP(tblSalaries[[#This Row],[Currency]],Sheet3!$A$2:$C$31,3,FALSE))*(VLOOKUP(tblSalaries[[#This Row],[Currency]],Sheet1!$N$4:$Q$186,4,FALSE))</f>
        <v>100000</v>
      </c>
      <c r="G174" s="4">
        <f>IF(Dashboard!$J$5=VLOOKUP(tblSalaries[[#This Row],[Currency]],Sheet3!$A$2:$B$31,2,FALSE),tblSalaries[[#This Row],[clean Salary (in local currency)]],(tblSalaries[[#This Row],[PPP Adjusted  USD]]/VLOOKUP(Dashboard!$J$5,Sheet3!$B$2:$C$31,2,FALSE)))</f>
        <v>100000</v>
      </c>
      <c r="H174" t="s">
        <v>935</v>
      </c>
      <c r="I174" t="s">
        <v>637</v>
      </c>
      <c r="J174" t="s">
        <v>613</v>
      </c>
      <c r="K174" t="s">
        <v>610</v>
      </c>
      <c r="L174" t="s">
        <v>3847</v>
      </c>
    </row>
    <row r="175" spans="2:12" ht="15" customHeight="1">
      <c r="B175" t="s">
        <v>1018</v>
      </c>
      <c r="C175">
        <v>100000</v>
      </c>
      <c r="D175" t="s">
        <v>252</v>
      </c>
      <c r="E175">
        <v>100000</v>
      </c>
      <c r="F175" s="3">
        <f>(tblSalaries[[#This Row],[clean Salary (in local currency)]])*(VLOOKUP(tblSalaries[[#This Row],[Currency]],Sheet3!$A$2:$C$31,3,FALSE))*(VLOOKUP(tblSalaries[[#This Row],[Currency]],Sheet1!$N$4:$Q$186,4,FALSE))</f>
        <v>100000</v>
      </c>
      <c r="G175" s="4">
        <f>IF(Dashboard!$J$5=VLOOKUP(tblSalaries[[#This Row],[Currency]],Sheet3!$A$2:$B$31,2,FALSE),tblSalaries[[#This Row],[clean Salary (in local currency)]],(tblSalaries[[#This Row],[PPP Adjusted  USD]]/VLOOKUP(Dashboard!$J$5,Sheet3!$B$2:$C$31,2,FALSE)))</f>
        <v>100000</v>
      </c>
      <c r="H175" t="s">
        <v>1019</v>
      </c>
      <c r="I175" t="s">
        <v>625</v>
      </c>
      <c r="J175" t="s">
        <v>613</v>
      </c>
      <c r="K175" t="s">
        <v>610</v>
      </c>
      <c r="L175" t="s">
        <v>3847</v>
      </c>
    </row>
    <row r="176" spans="2:12" ht="15" customHeight="1">
      <c r="B176" t="s">
        <v>1038</v>
      </c>
      <c r="C176">
        <v>100000</v>
      </c>
      <c r="D176" t="s">
        <v>252</v>
      </c>
      <c r="E176">
        <v>100000</v>
      </c>
      <c r="F176" s="3">
        <f>(tblSalaries[[#This Row],[clean Salary (in local currency)]])*(VLOOKUP(tblSalaries[[#This Row],[Currency]],Sheet3!$A$2:$C$31,3,FALSE))*(VLOOKUP(tblSalaries[[#This Row],[Currency]],Sheet1!$N$4:$Q$186,4,FALSE))</f>
        <v>100000</v>
      </c>
      <c r="G176" s="4">
        <f>IF(Dashboard!$J$5=VLOOKUP(tblSalaries[[#This Row],[Currency]],Sheet3!$A$2:$B$31,2,FALSE),tblSalaries[[#This Row],[clean Salary (in local currency)]],(tblSalaries[[#This Row],[PPP Adjusted  USD]]/VLOOKUP(Dashboard!$J$5,Sheet3!$B$2:$C$31,2,FALSE)))</f>
        <v>100000</v>
      </c>
      <c r="H176" t="s">
        <v>1039</v>
      </c>
      <c r="I176" t="s">
        <v>633</v>
      </c>
      <c r="J176" t="s">
        <v>613</v>
      </c>
      <c r="K176" t="s">
        <v>605</v>
      </c>
      <c r="L176" t="s">
        <v>3847</v>
      </c>
    </row>
    <row r="177" spans="2:12" ht="15" customHeight="1">
      <c r="B177" t="s">
        <v>1269</v>
      </c>
      <c r="C177">
        <v>100000</v>
      </c>
      <c r="D177" t="s">
        <v>252</v>
      </c>
      <c r="E177">
        <v>100000</v>
      </c>
      <c r="F177" s="3">
        <f>(tblSalaries[[#This Row],[clean Salary (in local currency)]])*(VLOOKUP(tblSalaries[[#This Row],[Currency]],Sheet3!$A$2:$C$31,3,FALSE))*(VLOOKUP(tblSalaries[[#This Row],[Currency]],Sheet1!$N$4:$Q$186,4,FALSE))</f>
        <v>100000</v>
      </c>
      <c r="G177" s="4">
        <f>IF(Dashboard!$J$5=VLOOKUP(tblSalaries[[#This Row],[Currency]],Sheet3!$A$2:$B$31,2,FALSE),tblSalaries[[#This Row],[clean Salary (in local currency)]],(tblSalaries[[#This Row],[PPP Adjusted  USD]]/VLOOKUP(Dashboard!$J$5,Sheet3!$B$2:$C$31,2,FALSE)))</f>
        <v>100000</v>
      </c>
      <c r="H177" t="s">
        <v>1270</v>
      </c>
      <c r="I177" t="s">
        <v>603</v>
      </c>
      <c r="J177" t="s">
        <v>687</v>
      </c>
      <c r="K177" t="s">
        <v>605</v>
      </c>
      <c r="L177" t="s">
        <v>3847</v>
      </c>
    </row>
    <row r="178" spans="2:12" ht="15" customHeight="1">
      <c r="B178" t="s">
        <v>1358</v>
      </c>
      <c r="C178">
        <v>100000</v>
      </c>
      <c r="D178" t="s">
        <v>252</v>
      </c>
      <c r="E178">
        <v>100000</v>
      </c>
      <c r="F178" s="3">
        <f>(tblSalaries[[#This Row],[clean Salary (in local currency)]])*(VLOOKUP(tblSalaries[[#This Row],[Currency]],Sheet3!$A$2:$C$31,3,FALSE))*(VLOOKUP(tblSalaries[[#This Row],[Currency]],Sheet1!$N$4:$Q$186,4,FALSE))</f>
        <v>100000</v>
      </c>
      <c r="G178" s="4">
        <f>IF(Dashboard!$J$5=VLOOKUP(tblSalaries[[#This Row],[Currency]],Sheet3!$A$2:$B$31,2,FALSE),tblSalaries[[#This Row],[clean Salary (in local currency)]],(tblSalaries[[#This Row],[PPP Adjusted  USD]]/VLOOKUP(Dashboard!$J$5,Sheet3!$B$2:$C$31,2,FALSE)))</f>
        <v>100000</v>
      </c>
      <c r="H178" t="s">
        <v>1359</v>
      </c>
      <c r="I178" t="s">
        <v>603</v>
      </c>
      <c r="J178" t="s">
        <v>613</v>
      </c>
      <c r="K178" t="s">
        <v>610</v>
      </c>
      <c r="L178" t="s">
        <v>3847</v>
      </c>
    </row>
    <row r="179" spans="2:12" ht="15" customHeight="1">
      <c r="B179" t="s">
        <v>1552</v>
      </c>
      <c r="C179">
        <v>100000</v>
      </c>
      <c r="D179" t="s">
        <v>252</v>
      </c>
      <c r="E179">
        <v>100000</v>
      </c>
      <c r="F179" s="3">
        <f>(tblSalaries[[#This Row],[clean Salary (in local currency)]])*(VLOOKUP(tblSalaries[[#This Row],[Currency]],Sheet3!$A$2:$C$31,3,FALSE))*(VLOOKUP(tblSalaries[[#This Row],[Currency]],Sheet1!$N$4:$Q$186,4,FALSE))</f>
        <v>100000</v>
      </c>
      <c r="G179" s="4">
        <f>IF(Dashboard!$J$5=VLOOKUP(tblSalaries[[#This Row],[Currency]],Sheet3!$A$2:$B$31,2,FALSE),tblSalaries[[#This Row],[clean Salary (in local currency)]],(tblSalaries[[#This Row],[PPP Adjusted  USD]]/VLOOKUP(Dashboard!$J$5,Sheet3!$B$2:$C$31,2,FALSE)))</f>
        <v>100000</v>
      </c>
      <c r="H179" t="s">
        <v>603</v>
      </c>
      <c r="I179" t="s">
        <v>603</v>
      </c>
      <c r="J179" t="s">
        <v>613</v>
      </c>
      <c r="K179" t="s">
        <v>605</v>
      </c>
      <c r="L179" t="s">
        <v>3847</v>
      </c>
    </row>
    <row r="180" spans="2:12" ht="15" customHeight="1">
      <c r="B180" t="s">
        <v>1583</v>
      </c>
      <c r="C180">
        <v>100000</v>
      </c>
      <c r="D180" t="s">
        <v>252</v>
      </c>
      <c r="E180">
        <v>100000</v>
      </c>
      <c r="F180" s="3">
        <f>(tblSalaries[[#This Row],[clean Salary (in local currency)]])*(VLOOKUP(tblSalaries[[#This Row],[Currency]],Sheet3!$A$2:$C$31,3,FALSE))*(VLOOKUP(tblSalaries[[#This Row],[Currency]],Sheet1!$N$4:$Q$186,4,FALSE))</f>
        <v>100000</v>
      </c>
      <c r="G180" s="4">
        <f>IF(Dashboard!$J$5=VLOOKUP(tblSalaries[[#This Row],[Currency]],Sheet3!$A$2:$B$31,2,FALSE),tblSalaries[[#This Row],[clean Salary (in local currency)]],(tblSalaries[[#This Row],[PPP Adjusted  USD]]/VLOOKUP(Dashboard!$J$5,Sheet3!$B$2:$C$31,2,FALSE)))</f>
        <v>100000</v>
      </c>
      <c r="H180" t="s">
        <v>789</v>
      </c>
      <c r="I180" t="s">
        <v>633</v>
      </c>
      <c r="J180" t="s">
        <v>613</v>
      </c>
      <c r="K180" t="s">
        <v>617</v>
      </c>
      <c r="L180" t="s">
        <v>3847</v>
      </c>
    </row>
    <row r="181" spans="2:12" ht="15" customHeight="1">
      <c r="B181" t="s">
        <v>2095</v>
      </c>
      <c r="C181">
        <v>100000</v>
      </c>
      <c r="D181" t="s">
        <v>252</v>
      </c>
      <c r="E181">
        <v>100000</v>
      </c>
      <c r="F181" s="3">
        <f>(tblSalaries[[#This Row],[clean Salary (in local currency)]])*(VLOOKUP(tblSalaries[[#This Row],[Currency]],Sheet3!$A$2:$C$31,3,FALSE))*(VLOOKUP(tblSalaries[[#This Row],[Currency]],Sheet1!$N$4:$Q$186,4,FALSE))</f>
        <v>100000</v>
      </c>
      <c r="G181" s="4">
        <f>IF(Dashboard!$J$5=VLOOKUP(tblSalaries[[#This Row],[Currency]],Sheet3!$A$2:$B$31,2,FALSE),tblSalaries[[#This Row],[clean Salary (in local currency)]],(tblSalaries[[#This Row],[PPP Adjusted  USD]]/VLOOKUP(Dashboard!$J$5,Sheet3!$B$2:$C$31,2,FALSE)))</f>
        <v>100000</v>
      </c>
      <c r="H181" t="s">
        <v>1319</v>
      </c>
      <c r="I181" t="s">
        <v>633</v>
      </c>
      <c r="J181" t="s">
        <v>613</v>
      </c>
      <c r="K181" t="s">
        <v>605</v>
      </c>
      <c r="L181">
        <v>10</v>
      </c>
    </row>
    <row r="182" spans="2:12" ht="15" customHeight="1">
      <c r="B182" t="s">
        <v>2201</v>
      </c>
      <c r="C182">
        <v>100000</v>
      </c>
      <c r="D182" t="s">
        <v>252</v>
      </c>
      <c r="E182">
        <v>100000</v>
      </c>
      <c r="F182" s="3">
        <f>(tblSalaries[[#This Row],[clean Salary (in local currency)]])*(VLOOKUP(tblSalaries[[#This Row],[Currency]],Sheet3!$A$2:$C$31,3,FALSE))*(VLOOKUP(tblSalaries[[#This Row],[Currency]],Sheet1!$N$4:$Q$186,4,FALSE))</f>
        <v>100000</v>
      </c>
      <c r="G182" s="4">
        <f>IF(Dashboard!$J$5=VLOOKUP(tblSalaries[[#This Row],[Currency]],Sheet3!$A$2:$B$31,2,FALSE),tblSalaries[[#This Row],[clean Salary (in local currency)]],(tblSalaries[[#This Row],[PPP Adjusted  USD]]/VLOOKUP(Dashboard!$J$5,Sheet3!$B$2:$C$31,2,FALSE)))</f>
        <v>100000</v>
      </c>
      <c r="H182" t="s">
        <v>789</v>
      </c>
      <c r="I182" t="s">
        <v>633</v>
      </c>
      <c r="J182" t="s">
        <v>833</v>
      </c>
      <c r="K182" t="s">
        <v>610</v>
      </c>
      <c r="L182">
        <v>10</v>
      </c>
    </row>
    <row r="183" spans="2:12" ht="15" customHeight="1">
      <c r="B183" t="s">
        <v>2732</v>
      </c>
      <c r="C183">
        <v>100000</v>
      </c>
      <c r="D183" t="s">
        <v>252</v>
      </c>
      <c r="E183">
        <v>100000</v>
      </c>
      <c r="F183" s="3">
        <f>(tblSalaries[[#This Row],[clean Salary (in local currency)]])*(VLOOKUP(tblSalaries[[#This Row],[Currency]],Sheet3!$A$2:$C$31,3,FALSE))*(VLOOKUP(tblSalaries[[#This Row],[Currency]],Sheet1!$N$4:$Q$186,4,FALSE))</f>
        <v>100000</v>
      </c>
      <c r="G183" s="4">
        <f>IF(Dashboard!$J$5=VLOOKUP(tblSalaries[[#This Row],[Currency]],Sheet3!$A$2:$B$31,2,FALSE),tblSalaries[[#This Row],[clean Salary (in local currency)]],(tblSalaries[[#This Row],[PPP Adjusted  USD]]/VLOOKUP(Dashboard!$J$5,Sheet3!$B$2:$C$31,2,FALSE)))</f>
        <v>100000</v>
      </c>
      <c r="H183" t="s">
        <v>1611</v>
      </c>
      <c r="I183" t="s">
        <v>625</v>
      </c>
      <c r="J183" t="s">
        <v>613</v>
      </c>
      <c r="K183" t="s">
        <v>605</v>
      </c>
      <c r="L183">
        <v>11</v>
      </c>
    </row>
    <row r="184" spans="2:12" ht="15" customHeight="1">
      <c r="B184" t="s">
        <v>2744</v>
      </c>
      <c r="C184">
        <v>100000</v>
      </c>
      <c r="D184" t="s">
        <v>252</v>
      </c>
      <c r="E184">
        <v>100000</v>
      </c>
      <c r="F184" s="3">
        <f>(tblSalaries[[#This Row],[clean Salary (in local currency)]])*(VLOOKUP(tblSalaries[[#This Row],[Currency]],Sheet3!$A$2:$C$31,3,FALSE))*(VLOOKUP(tblSalaries[[#This Row],[Currency]],Sheet1!$N$4:$Q$186,4,FALSE))</f>
        <v>100000</v>
      </c>
      <c r="G184" s="4">
        <f>IF(Dashboard!$J$5=VLOOKUP(tblSalaries[[#This Row],[Currency]],Sheet3!$A$2:$B$31,2,FALSE),tblSalaries[[#This Row],[clean Salary (in local currency)]],(tblSalaries[[#This Row],[PPP Adjusted  USD]]/VLOOKUP(Dashboard!$J$5,Sheet3!$B$2:$C$31,2,FALSE)))</f>
        <v>100000</v>
      </c>
      <c r="H184" t="s">
        <v>608</v>
      </c>
      <c r="I184" t="s">
        <v>608</v>
      </c>
      <c r="J184" t="s">
        <v>1519</v>
      </c>
      <c r="K184" t="s">
        <v>605</v>
      </c>
      <c r="L184">
        <v>12</v>
      </c>
    </row>
    <row r="185" spans="2:12" ht="15" customHeight="1">
      <c r="B185" t="s">
        <v>2854</v>
      </c>
      <c r="C185">
        <v>100000</v>
      </c>
      <c r="D185" t="s">
        <v>252</v>
      </c>
      <c r="E185">
        <v>100000</v>
      </c>
      <c r="F185" s="3">
        <f>(tblSalaries[[#This Row],[clean Salary (in local currency)]])*(VLOOKUP(tblSalaries[[#This Row],[Currency]],Sheet3!$A$2:$C$31,3,FALSE))*(VLOOKUP(tblSalaries[[#This Row],[Currency]],Sheet1!$N$4:$Q$186,4,FALSE))</f>
        <v>100000</v>
      </c>
      <c r="G185" s="4">
        <f>IF(Dashboard!$J$5=VLOOKUP(tblSalaries[[#This Row],[Currency]],Sheet3!$A$2:$B$31,2,FALSE),tblSalaries[[#This Row],[clean Salary (in local currency)]],(tblSalaries[[#This Row],[PPP Adjusted  USD]]/VLOOKUP(Dashboard!$J$5,Sheet3!$B$2:$C$31,2,FALSE)))</f>
        <v>100000</v>
      </c>
      <c r="H185" t="s">
        <v>899</v>
      </c>
      <c r="I185" t="s">
        <v>603</v>
      </c>
      <c r="J185" t="s">
        <v>2855</v>
      </c>
      <c r="K185" t="s">
        <v>605</v>
      </c>
      <c r="L185">
        <v>17</v>
      </c>
    </row>
    <row r="186" spans="2:12" ht="15" customHeight="1">
      <c r="B186" t="s">
        <v>2966</v>
      </c>
      <c r="C186">
        <v>100000</v>
      </c>
      <c r="D186" t="s">
        <v>252</v>
      </c>
      <c r="E186">
        <v>100000</v>
      </c>
      <c r="F186" s="3">
        <f>(tblSalaries[[#This Row],[clean Salary (in local currency)]])*(VLOOKUP(tblSalaries[[#This Row],[Currency]],Sheet3!$A$2:$C$31,3,FALSE))*(VLOOKUP(tblSalaries[[#This Row],[Currency]],Sheet1!$N$4:$Q$186,4,FALSE))</f>
        <v>100000</v>
      </c>
      <c r="G186" s="4">
        <f>IF(Dashboard!$J$5=VLOOKUP(tblSalaries[[#This Row],[Currency]],Sheet3!$A$2:$B$31,2,FALSE),tblSalaries[[#This Row],[clean Salary (in local currency)]],(tblSalaries[[#This Row],[PPP Adjusted  USD]]/VLOOKUP(Dashboard!$J$5,Sheet3!$B$2:$C$31,2,FALSE)))</f>
        <v>100000</v>
      </c>
      <c r="H186" t="s">
        <v>1268</v>
      </c>
      <c r="I186" t="s">
        <v>603</v>
      </c>
      <c r="J186" t="s">
        <v>613</v>
      </c>
      <c r="K186" t="s">
        <v>605</v>
      </c>
      <c r="L186">
        <v>1</v>
      </c>
    </row>
    <row r="187" spans="2:12" ht="15" customHeight="1">
      <c r="B187" t="s">
        <v>2976</v>
      </c>
      <c r="C187">
        <v>100000</v>
      </c>
      <c r="D187" t="s">
        <v>252</v>
      </c>
      <c r="E187">
        <v>100000</v>
      </c>
      <c r="F187" s="3">
        <f>(tblSalaries[[#This Row],[clean Salary (in local currency)]])*(VLOOKUP(tblSalaries[[#This Row],[Currency]],Sheet3!$A$2:$C$31,3,FALSE))*(VLOOKUP(tblSalaries[[#This Row],[Currency]],Sheet1!$N$4:$Q$186,4,FALSE))</f>
        <v>100000</v>
      </c>
      <c r="G187" s="4">
        <f>IF(Dashboard!$J$5=VLOOKUP(tblSalaries[[#This Row],[Currency]],Sheet3!$A$2:$B$31,2,FALSE),tblSalaries[[#This Row],[clean Salary (in local currency)]],(tblSalaries[[#This Row],[PPP Adjusted  USD]]/VLOOKUP(Dashboard!$J$5,Sheet3!$B$2:$C$31,2,FALSE)))</f>
        <v>100000</v>
      </c>
      <c r="H187" t="s">
        <v>2977</v>
      </c>
      <c r="I187" t="s">
        <v>633</v>
      </c>
      <c r="J187" t="s">
        <v>1301</v>
      </c>
      <c r="K187" t="s">
        <v>617</v>
      </c>
      <c r="L187">
        <v>20</v>
      </c>
    </row>
    <row r="188" spans="2:12" ht="15" customHeight="1">
      <c r="B188" t="s">
        <v>3391</v>
      </c>
      <c r="C188">
        <v>100000</v>
      </c>
      <c r="D188" t="s">
        <v>252</v>
      </c>
      <c r="E188">
        <v>100000</v>
      </c>
      <c r="F188" s="3">
        <f>(tblSalaries[[#This Row],[clean Salary (in local currency)]])*(VLOOKUP(tblSalaries[[#This Row],[Currency]],Sheet3!$A$2:$C$31,3,FALSE))*(VLOOKUP(tblSalaries[[#This Row],[Currency]],Sheet1!$N$4:$Q$186,4,FALSE))</f>
        <v>100000</v>
      </c>
      <c r="G188" s="4">
        <f>IF(Dashboard!$J$5=VLOOKUP(tblSalaries[[#This Row],[Currency]],Sheet3!$A$2:$B$31,2,FALSE),tblSalaries[[#This Row],[clean Salary (in local currency)]],(tblSalaries[[#This Row],[PPP Adjusted  USD]]/VLOOKUP(Dashboard!$J$5,Sheet3!$B$2:$C$31,2,FALSE)))</f>
        <v>100000</v>
      </c>
      <c r="H188" t="s">
        <v>692</v>
      </c>
      <c r="I188" t="s">
        <v>692</v>
      </c>
      <c r="J188" t="s">
        <v>613</v>
      </c>
      <c r="K188" t="s">
        <v>617</v>
      </c>
      <c r="L188">
        <v>4</v>
      </c>
    </row>
    <row r="189" spans="2:12" ht="15" customHeight="1">
      <c r="B189" t="s">
        <v>3513</v>
      </c>
      <c r="C189">
        <v>100000</v>
      </c>
      <c r="D189" t="s">
        <v>252</v>
      </c>
      <c r="E189">
        <v>100000</v>
      </c>
      <c r="F189" s="3">
        <f>(tblSalaries[[#This Row],[clean Salary (in local currency)]])*(VLOOKUP(tblSalaries[[#This Row],[Currency]],Sheet3!$A$2:$C$31,3,FALSE))*(VLOOKUP(tblSalaries[[#This Row],[Currency]],Sheet1!$N$4:$Q$186,4,FALSE))</f>
        <v>100000</v>
      </c>
      <c r="G189" s="4">
        <f>IF(Dashboard!$J$5=VLOOKUP(tblSalaries[[#This Row],[Currency]],Sheet3!$A$2:$B$31,2,FALSE),tblSalaries[[#This Row],[clean Salary (in local currency)]],(tblSalaries[[#This Row],[PPP Adjusted  USD]]/VLOOKUP(Dashboard!$J$5,Sheet3!$B$2:$C$31,2,FALSE)))</f>
        <v>100000</v>
      </c>
      <c r="H189" t="s">
        <v>3514</v>
      </c>
      <c r="I189" t="s">
        <v>603</v>
      </c>
      <c r="J189" t="s">
        <v>683</v>
      </c>
      <c r="K189" t="s">
        <v>610</v>
      </c>
      <c r="L189">
        <v>6</v>
      </c>
    </row>
    <row r="190" spans="2:12" ht="15" customHeight="1">
      <c r="B190" t="s">
        <v>3629</v>
      </c>
      <c r="C190">
        <v>100000</v>
      </c>
      <c r="D190" t="s">
        <v>252</v>
      </c>
      <c r="E190">
        <v>100000</v>
      </c>
      <c r="F190" s="3">
        <f>(tblSalaries[[#This Row],[clean Salary (in local currency)]])*(VLOOKUP(tblSalaries[[#This Row],[Currency]],Sheet3!$A$2:$C$31,3,FALSE))*(VLOOKUP(tblSalaries[[#This Row],[Currency]],Sheet1!$N$4:$Q$186,4,FALSE))</f>
        <v>100000</v>
      </c>
      <c r="G190" s="4">
        <f>IF(Dashboard!$J$5=VLOOKUP(tblSalaries[[#This Row],[Currency]],Sheet3!$A$2:$B$31,2,FALSE),tblSalaries[[#This Row],[clean Salary (in local currency)]],(tblSalaries[[#This Row],[PPP Adjusted  USD]]/VLOOKUP(Dashboard!$J$5,Sheet3!$B$2:$C$31,2,FALSE)))</f>
        <v>100000</v>
      </c>
      <c r="H190" t="s">
        <v>987</v>
      </c>
      <c r="I190" t="s">
        <v>603</v>
      </c>
      <c r="J190" t="s">
        <v>613</v>
      </c>
      <c r="K190" t="s">
        <v>610</v>
      </c>
      <c r="L190">
        <v>12</v>
      </c>
    </row>
    <row r="191" spans="2:12" ht="15" customHeight="1">
      <c r="B191" t="s">
        <v>3762</v>
      </c>
      <c r="C191">
        <v>100000</v>
      </c>
      <c r="D191" t="s">
        <v>252</v>
      </c>
      <c r="E191">
        <v>100000</v>
      </c>
      <c r="F191" s="3">
        <f>(tblSalaries[[#This Row],[clean Salary (in local currency)]])*(VLOOKUP(tblSalaries[[#This Row],[Currency]],Sheet3!$A$2:$C$31,3,FALSE))*(VLOOKUP(tblSalaries[[#This Row],[Currency]],Sheet1!$N$4:$Q$186,4,FALSE))</f>
        <v>100000</v>
      </c>
      <c r="G191" s="4">
        <f>IF(Dashboard!$J$5=VLOOKUP(tblSalaries[[#This Row],[Currency]],Sheet3!$A$2:$B$31,2,FALSE),tblSalaries[[#This Row],[clean Salary (in local currency)]],(tblSalaries[[#This Row],[PPP Adjusted  USD]]/VLOOKUP(Dashboard!$J$5,Sheet3!$B$2:$C$31,2,FALSE)))</f>
        <v>100000</v>
      </c>
      <c r="H191" t="s">
        <v>3763</v>
      </c>
      <c r="I191" t="s">
        <v>625</v>
      </c>
      <c r="J191" t="s">
        <v>770</v>
      </c>
      <c r="K191" t="s">
        <v>610</v>
      </c>
      <c r="L191">
        <v>15</v>
      </c>
    </row>
    <row r="192" spans="2:12" ht="15" customHeight="1">
      <c r="B192" t="s">
        <v>1352</v>
      </c>
      <c r="C192">
        <v>99147</v>
      </c>
      <c r="D192" t="s">
        <v>252</v>
      </c>
      <c r="E192">
        <v>99147</v>
      </c>
      <c r="F192" s="3">
        <f>(tblSalaries[[#This Row],[clean Salary (in local currency)]])*(VLOOKUP(tblSalaries[[#This Row],[Currency]],Sheet3!$A$2:$C$31,3,FALSE))*(VLOOKUP(tblSalaries[[#This Row],[Currency]],Sheet1!$N$4:$Q$186,4,FALSE))</f>
        <v>99147</v>
      </c>
      <c r="G192" s="4">
        <f>IF(Dashboard!$J$5=VLOOKUP(tblSalaries[[#This Row],[Currency]],Sheet3!$A$2:$B$31,2,FALSE),tblSalaries[[#This Row],[clean Salary (in local currency)]],(tblSalaries[[#This Row],[PPP Adjusted  USD]]/VLOOKUP(Dashboard!$J$5,Sheet3!$B$2:$C$31,2,FALSE)))</f>
        <v>99147</v>
      </c>
      <c r="H192" t="s">
        <v>1353</v>
      </c>
      <c r="I192" t="s">
        <v>640</v>
      </c>
      <c r="J192" t="s">
        <v>683</v>
      </c>
      <c r="K192" t="s">
        <v>605</v>
      </c>
      <c r="L192" t="s">
        <v>3847</v>
      </c>
    </row>
    <row r="193" spans="2:12" ht="15" customHeight="1">
      <c r="B193" t="s">
        <v>2594</v>
      </c>
      <c r="C193">
        <v>90000</v>
      </c>
      <c r="D193" t="s">
        <v>200</v>
      </c>
      <c r="E193">
        <v>114335.9495092447</v>
      </c>
      <c r="F193" s="3">
        <f>(tblSalaries[[#This Row],[clean Salary (in local currency)]])*(VLOOKUP(tblSalaries[[#This Row],[Currency]],Sheet3!$A$2:$C$31,3,FALSE))*(VLOOKUP(tblSalaries[[#This Row],[Currency]],Sheet1!$N$4:$Q$186,4,FALSE))</f>
        <v>99058.759738204695</v>
      </c>
      <c r="G193" s="4">
        <f>IF(Dashboard!$J$5=VLOOKUP(tblSalaries[[#This Row],[Currency]],Sheet3!$A$2:$B$31,2,FALSE),tblSalaries[[#This Row],[clean Salary (in local currency)]],(tblSalaries[[#This Row],[PPP Adjusted  USD]]/VLOOKUP(Dashboard!$J$5,Sheet3!$B$2:$C$31,2,FALSE)))</f>
        <v>99058.759738204695</v>
      </c>
      <c r="H193" t="s">
        <v>2595</v>
      </c>
      <c r="I193" t="s">
        <v>625</v>
      </c>
      <c r="J193" t="s">
        <v>2596</v>
      </c>
      <c r="K193" t="s">
        <v>617</v>
      </c>
      <c r="L193">
        <v>20</v>
      </c>
    </row>
    <row r="194" spans="2:12" ht="15" customHeight="1">
      <c r="B194" t="s">
        <v>3734</v>
      </c>
      <c r="C194">
        <v>90000</v>
      </c>
      <c r="D194" t="s">
        <v>200</v>
      </c>
      <c r="E194">
        <v>114335.9495092447</v>
      </c>
      <c r="F194" s="3">
        <f>(tblSalaries[[#This Row],[clean Salary (in local currency)]])*(VLOOKUP(tblSalaries[[#This Row],[Currency]],Sheet3!$A$2:$C$31,3,FALSE))*(VLOOKUP(tblSalaries[[#This Row],[Currency]],Sheet1!$N$4:$Q$186,4,FALSE))</f>
        <v>99058.759738204695</v>
      </c>
      <c r="G194" s="4">
        <f>IF(Dashboard!$J$5=VLOOKUP(tblSalaries[[#This Row],[Currency]],Sheet3!$A$2:$B$31,2,FALSE),tblSalaries[[#This Row],[clean Salary (in local currency)]],(tblSalaries[[#This Row],[PPP Adjusted  USD]]/VLOOKUP(Dashboard!$J$5,Sheet3!$B$2:$C$31,2,FALSE)))</f>
        <v>99058.759738204695</v>
      </c>
      <c r="H194" t="s">
        <v>608</v>
      </c>
      <c r="I194" t="s">
        <v>608</v>
      </c>
      <c r="J194" t="s">
        <v>2999</v>
      </c>
      <c r="K194" t="s">
        <v>617</v>
      </c>
      <c r="L194">
        <v>20</v>
      </c>
    </row>
    <row r="195" spans="2:12" ht="15" customHeight="1">
      <c r="B195" t="s">
        <v>1009</v>
      </c>
      <c r="C195">
        <v>99000</v>
      </c>
      <c r="D195" t="s">
        <v>252</v>
      </c>
      <c r="E195">
        <v>99000</v>
      </c>
      <c r="F195" s="3">
        <f>(tblSalaries[[#This Row],[clean Salary (in local currency)]])*(VLOOKUP(tblSalaries[[#This Row],[Currency]],Sheet3!$A$2:$C$31,3,FALSE))*(VLOOKUP(tblSalaries[[#This Row],[Currency]],Sheet1!$N$4:$Q$186,4,FALSE))</f>
        <v>99000</v>
      </c>
      <c r="G195" s="4">
        <f>IF(Dashboard!$J$5=VLOOKUP(tblSalaries[[#This Row],[Currency]],Sheet3!$A$2:$B$31,2,FALSE),tblSalaries[[#This Row],[clean Salary (in local currency)]],(tblSalaries[[#This Row],[PPP Adjusted  USD]]/VLOOKUP(Dashboard!$J$5,Sheet3!$B$2:$C$31,2,FALSE)))</f>
        <v>99000</v>
      </c>
      <c r="H195" t="s">
        <v>1010</v>
      </c>
      <c r="I195" t="s">
        <v>608</v>
      </c>
      <c r="J195" t="s">
        <v>613</v>
      </c>
      <c r="K195" t="s">
        <v>605</v>
      </c>
      <c r="L195" t="s">
        <v>3847</v>
      </c>
    </row>
    <row r="196" spans="2:12" ht="15" customHeight="1">
      <c r="B196" t="s">
        <v>1143</v>
      </c>
      <c r="C196">
        <v>99000</v>
      </c>
      <c r="D196" t="s">
        <v>252</v>
      </c>
      <c r="E196">
        <v>99000</v>
      </c>
      <c r="F196" s="3">
        <f>(tblSalaries[[#This Row],[clean Salary (in local currency)]])*(VLOOKUP(tblSalaries[[#This Row],[Currency]],Sheet3!$A$2:$C$31,3,FALSE))*(VLOOKUP(tblSalaries[[#This Row],[Currency]],Sheet1!$N$4:$Q$186,4,FALSE))</f>
        <v>99000</v>
      </c>
      <c r="G196" s="4">
        <f>IF(Dashboard!$J$5=VLOOKUP(tblSalaries[[#This Row],[Currency]],Sheet3!$A$2:$B$31,2,FALSE),tblSalaries[[#This Row],[clean Salary (in local currency)]],(tblSalaries[[#This Row],[PPP Adjusted  USD]]/VLOOKUP(Dashboard!$J$5,Sheet3!$B$2:$C$31,2,FALSE)))</f>
        <v>99000</v>
      </c>
      <c r="H196" t="s">
        <v>899</v>
      </c>
      <c r="I196" t="s">
        <v>603</v>
      </c>
      <c r="J196" t="s">
        <v>613</v>
      </c>
      <c r="K196" t="s">
        <v>617</v>
      </c>
      <c r="L196" t="s">
        <v>3847</v>
      </c>
    </row>
    <row r="197" spans="2:12" ht="15" customHeight="1">
      <c r="B197" t="s">
        <v>2153</v>
      </c>
      <c r="C197">
        <v>98000</v>
      </c>
      <c r="D197" t="s">
        <v>252</v>
      </c>
      <c r="E197">
        <v>98000</v>
      </c>
      <c r="F197" s="3">
        <f>(tblSalaries[[#This Row],[clean Salary (in local currency)]])*(VLOOKUP(tblSalaries[[#This Row],[Currency]],Sheet3!$A$2:$C$31,3,FALSE))*(VLOOKUP(tblSalaries[[#This Row],[Currency]],Sheet1!$N$4:$Q$186,4,FALSE))</f>
        <v>98000</v>
      </c>
      <c r="G197" s="4">
        <f>IF(Dashboard!$J$5=VLOOKUP(tblSalaries[[#This Row],[Currency]],Sheet3!$A$2:$B$31,2,FALSE),tblSalaries[[#This Row],[clean Salary (in local currency)]],(tblSalaries[[#This Row],[PPP Adjusted  USD]]/VLOOKUP(Dashboard!$J$5,Sheet3!$B$2:$C$31,2,FALSE)))</f>
        <v>98000</v>
      </c>
      <c r="H197" t="s">
        <v>2154</v>
      </c>
      <c r="I197" t="s">
        <v>625</v>
      </c>
      <c r="J197" t="s">
        <v>1758</v>
      </c>
      <c r="K197" t="s">
        <v>617</v>
      </c>
      <c r="L197">
        <v>14</v>
      </c>
    </row>
    <row r="198" spans="2:12" ht="15" customHeight="1">
      <c r="B198" t="s">
        <v>3646</v>
      </c>
      <c r="C198">
        <v>156000</v>
      </c>
      <c r="D198" t="s">
        <v>224</v>
      </c>
      <c r="E198">
        <v>159105.90639881117</v>
      </c>
      <c r="F198" s="3">
        <f>(tblSalaries[[#This Row],[clean Salary (in local currency)]])*(VLOOKUP(tblSalaries[[#This Row],[Currency]],Sheet3!$A$2:$C$31,3,FALSE))*(VLOOKUP(tblSalaries[[#This Row],[Currency]],Sheet1!$N$4:$Q$186,4,FALSE))</f>
        <v>97767.39307898331</v>
      </c>
      <c r="G198" s="4">
        <f>IF(Dashboard!$J$5=VLOOKUP(tblSalaries[[#This Row],[Currency]],Sheet3!$A$2:$B$31,2,FALSE),tblSalaries[[#This Row],[clean Salary (in local currency)]],(tblSalaries[[#This Row],[PPP Adjusted  USD]]/VLOOKUP(Dashboard!$J$5,Sheet3!$B$2:$C$31,2,FALSE)))</f>
        <v>97767.39307898331</v>
      </c>
      <c r="H198" t="s">
        <v>3647</v>
      </c>
      <c r="I198" t="s">
        <v>620</v>
      </c>
      <c r="J198" t="s">
        <v>703</v>
      </c>
      <c r="K198" t="s">
        <v>617</v>
      </c>
      <c r="L198">
        <v>12</v>
      </c>
    </row>
    <row r="199" spans="2:12" ht="15" customHeight="1">
      <c r="B199" t="s">
        <v>1401</v>
      </c>
      <c r="C199">
        <v>66000</v>
      </c>
      <c r="D199" t="s">
        <v>204</v>
      </c>
      <c r="E199">
        <v>104027.76595644075</v>
      </c>
      <c r="F199" s="3">
        <f>(tblSalaries[[#This Row],[clean Salary (in local currency)]])*(VLOOKUP(tblSalaries[[#This Row],[Currency]],Sheet3!$A$2:$C$31,3,FALSE))*(VLOOKUP(tblSalaries[[#This Row],[Currency]],Sheet1!$N$4:$Q$186,4,FALSE))</f>
        <v>97282.099528708204</v>
      </c>
      <c r="G199" s="4">
        <f>IF(Dashboard!$J$5=VLOOKUP(tblSalaries[[#This Row],[Currency]],Sheet3!$A$2:$B$31,2,FALSE),tblSalaries[[#This Row],[clean Salary (in local currency)]],(tblSalaries[[#This Row],[PPP Adjusted  USD]]/VLOOKUP(Dashboard!$J$5,Sheet3!$B$2:$C$31,2,FALSE)))</f>
        <v>97282.099528708204</v>
      </c>
      <c r="H199" t="s">
        <v>1402</v>
      </c>
      <c r="I199" t="s">
        <v>625</v>
      </c>
      <c r="J199" t="s">
        <v>687</v>
      </c>
      <c r="K199" t="s">
        <v>627</v>
      </c>
      <c r="L199" t="s">
        <v>3847</v>
      </c>
    </row>
    <row r="200" spans="2:12" ht="15" customHeight="1">
      <c r="B200" t="s">
        <v>1660</v>
      </c>
      <c r="C200">
        <v>155000</v>
      </c>
      <c r="D200" t="s">
        <v>224</v>
      </c>
      <c r="E200">
        <v>158085.99674240855</v>
      </c>
      <c r="F200" s="3">
        <f>(tblSalaries[[#This Row],[clean Salary (in local currency)]])*(VLOOKUP(tblSalaries[[#This Row],[Currency]],Sheet3!$A$2:$C$31,3,FALSE))*(VLOOKUP(tblSalaries[[#This Row],[Currency]],Sheet1!$N$4:$Q$186,4,FALSE))</f>
        <v>97140.679020784708</v>
      </c>
      <c r="G200" s="4">
        <f>IF(Dashboard!$J$5=VLOOKUP(tblSalaries[[#This Row],[Currency]],Sheet3!$A$2:$B$31,2,FALSE),tblSalaries[[#This Row],[clean Salary (in local currency)]],(tblSalaries[[#This Row],[PPP Adjusted  USD]]/VLOOKUP(Dashboard!$J$5,Sheet3!$B$2:$C$31,2,FALSE)))</f>
        <v>97140.679020784708</v>
      </c>
      <c r="H200" t="s">
        <v>1661</v>
      </c>
      <c r="I200" t="s">
        <v>625</v>
      </c>
      <c r="J200" t="s">
        <v>703</v>
      </c>
      <c r="K200" t="s">
        <v>605</v>
      </c>
      <c r="L200">
        <v>20</v>
      </c>
    </row>
    <row r="201" spans="2:12" ht="15" customHeight="1">
      <c r="B201" t="s">
        <v>1169</v>
      </c>
      <c r="C201">
        <v>97000</v>
      </c>
      <c r="D201" t="s">
        <v>252</v>
      </c>
      <c r="E201">
        <v>97000</v>
      </c>
      <c r="F201" s="3">
        <f>(tblSalaries[[#This Row],[clean Salary (in local currency)]])*(VLOOKUP(tblSalaries[[#This Row],[Currency]],Sheet3!$A$2:$C$31,3,FALSE))*(VLOOKUP(tblSalaries[[#This Row],[Currency]],Sheet1!$N$4:$Q$186,4,FALSE))</f>
        <v>97000</v>
      </c>
      <c r="G201" s="4">
        <f>IF(Dashboard!$J$5=VLOOKUP(tblSalaries[[#This Row],[Currency]],Sheet3!$A$2:$B$31,2,FALSE),tblSalaries[[#This Row],[clean Salary (in local currency)]],(tblSalaries[[#This Row],[PPP Adjusted  USD]]/VLOOKUP(Dashboard!$J$5,Sheet3!$B$2:$C$31,2,FALSE)))</f>
        <v>97000</v>
      </c>
      <c r="H201" t="s">
        <v>648</v>
      </c>
      <c r="I201" t="s">
        <v>603</v>
      </c>
      <c r="J201" t="s">
        <v>613</v>
      </c>
      <c r="K201" t="s">
        <v>610</v>
      </c>
      <c r="L201" t="s">
        <v>3847</v>
      </c>
    </row>
    <row r="202" spans="2:12" ht="15" customHeight="1">
      <c r="B202" t="s">
        <v>2985</v>
      </c>
      <c r="C202">
        <v>97000</v>
      </c>
      <c r="D202" t="s">
        <v>252</v>
      </c>
      <c r="E202">
        <v>97000</v>
      </c>
      <c r="F202" s="3">
        <f>(tblSalaries[[#This Row],[clean Salary (in local currency)]])*(VLOOKUP(tblSalaries[[#This Row],[Currency]],Sheet3!$A$2:$C$31,3,FALSE))*(VLOOKUP(tblSalaries[[#This Row],[Currency]],Sheet1!$N$4:$Q$186,4,FALSE))</f>
        <v>97000</v>
      </c>
      <c r="G202" s="4">
        <f>IF(Dashboard!$J$5=VLOOKUP(tblSalaries[[#This Row],[Currency]],Sheet3!$A$2:$B$31,2,FALSE),tblSalaries[[#This Row],[clean Salary (in local currency)]],(tblSalaries[[#This Row],[PPP Adjusted  USD]]/VLOOKUP(Dashboard!$J$5,Sheet3!$B$2:$C$31,2,FALSE)))</f>
        <v>97000</v>
      </c>
      <c r="H202" t="s">
        <v>2986</v>
      </c>
      <c r="I202" t="s">
        <v>625</v>
      </c>
      <c r="J202" t="s">
        <v>613</v>
      </c>
      <c r="K202" t="s">
        <v>605</v>
      </c>
      <c r="L202">
        <v>14</v>
      </c>
    </row>
    <row r="203" spans="2:12" ht="15" customHeight="1">
      <c r="B203" t="s">
        <v>3080</v>
      </c>
      <c r="C203">
        <v>96230</v>
      </c>
      <c r="D203" t="s">
        <v>252</v>
      </c>
      <c r="E203">
        <v>96230</v>
      </c>
      <c r="F203" s="3">
        <f>(tblSalaries[[#This Row],[clean Salary (in local currency)]])*(VLOOKUP(tblSalaries[[#This Row],[Currency]],Sheet3!$A$2:$C$31,3,FALSE))*(VLOOKUP(tblSalaries[[#This Row],[Currency]],Sheet1!$N$4:$Q$186,4,FALSE))</f>
        <v>96230</v>
      </c>
      <c r="G203" s="4">
        <f>IF(Dashboard!$J$5=VLOOKUP(tblSalaries[[#This Row],[Currency]],Sheet3!$A$2:$B$31,2,FALSE),tblSalaries[[#This Row],[clean Salary (in local currency)]],(tblSalaries[[#This Row],[PPP Adjusted  USD]]/VLOOKUP(Dashboard!$J$5,Sheet3!$B$2:$C$31,2,FALSE)))</f>
        <v>96230</v>
      </c>
      <c r="H203" t="s">
        <v>3081</v>
      </c>
      <c r="I203" t="s">
        <v>625</v>
      </c>
      <c r="J203" t="s">
        <v>613</v>
      </c>
      <c r="K203" t="s">
        <v>605</v>
      </c>
      <c r="L203">
        <v>18</v>
      </c>
    </row>
    <row r="204" spans="2:12" ht="15" customHeight="1">
      <c r="B204" t="s">
        <v>666</v>
      </c>
      <c r="C204">
        <v>96000</v>
      </c>
      <c r="D204" t="s">
        <v>252</v>
      </c>
      <c r="E204">
        <v>96000</v>
      </c>
      <c r="F204" s="3">
        <f>(tblSalaries[[#This Row],[clean Salary (in local currency)]])*(VLOOKUP(tblSalaries[[#This Row],[Currency]],Sheet3!$A$2:$C$31,3,FALSE))*(VLOOKUP(tblSalaries[[#This Row],[Currency]],Sheet1!$N$4:$Q$186,4,FALSE))</f>
        <v>96000</v>
      </c>
      <c r="G204" s="4">
        <f>IF(Dashboard!$J$5=VLOOKUP(tblSalaries[[#This Row],[Currency]],Sheet3!$A$2:$B$31,2,FALSE),tblSalaries[[#This Row],[clean Salary (in local currency)]],(tblSalaries[[#This Row],[PPP Adjusted  USD]]/VLOOKUP(Dashboard!$J$5,Sheet3!$B$2:$C$31,2,FALSE)))</f>
        <v>96000</v>
      </c>
      <c r="H204" t="s">
        <v>603</v>
      </c>
      <c r="I204" t="s">
        <v>603</v>
      </c>
      <c r="J204" t="s">
        <v>613</v>
      </c>
      <c r="K204" t="s">
        <v>617</v>
      </c>
      <c r="L204" t="s">
        <v>3847</v>
      </c>
    </row>
    <row r="205" spans="2:12" ht="15" customHeight="1">
      <c r="B205" t="s">
        <v>923</v>
      </c>
      <c r="C205">
        <v>96000</v>
      </c>
      <c r="D205" t="s">
        <v>252</v>
      </c>
      <c r="E205">
        <v>96000</v>
      </c>
      <c r="F205" s="3">
        <f>(tblSalaries[[#This Row],[clean Salary (in local currency)]])*(VLOOKUP(tblSalaries[[#This Row],[Currency]],Sheet3!$A$2:$C$31,3,FALSE))*(VLOOKUP(tblSalaries[[#This Row],[Currency]],Sheet1!$N$4:$Q$186,4,FALSE))</f>
        <v>96000</v>
      </c>
      <c r="G205" s="4">
        <f>IF(Dashboard!$J$5=VLOOKUP(tblSalaries[[#This Row],[Currency]],Sheet3!$A$2:$B$31,2,FALSE),tblSalaries[[#This Row],[clean Salary (in local currency)]],(tblSalaries[[#This Row],[PPP Adjusted  USD]]/VLOOKUP(Dashboard!$J$5,Sheet3!$B$2:$C$31,2,FALSE)))</f>
        <v>96000</v>
      </c>
      <c r="H205" t="s">
        <v>924</v>
      </c>
      <c r="I205" t="s">
        <v>603</v>
      </c>
      <c r="J205" t="s">
        <v>613</v>
      </c>
      <c r="K205" t="s">
        <v>605</v>
      </c>
      <c r="L205" t="s">
        <v>3847</v>
      </c>
    </row>
    <row r="206" spans="2:12" ht="15" customHeight="1">
      <c r="B206" t="s">
        <v>1002</v>
      </c>
      <c r="C206">
        <v>96000</v>
      </c>
      <c r="D206" t="s">
        <v>252</v>
      </c>
      <c r="E206">
        <v>96000</v>
      </c>
      <c r="F206" s="3">
        <f>(tblSalaries[[#This Row],[clean Salary (in local currency)]])*(VLOOKUP(tblSalaries[[#This Row],[Currency]],Sheet3!$A$2:$C$31,3,FALSE))*(VLOOKUP(tblSalaries[[#This Row],[Currency]],Sheet1!$N$4:$Q$186,4,FALSE))</f>
        <v>96000</v>
      </c>
      <c r="G206" s="4">
        <f>IF(Dashboard!$J$5=VLOOKUP(tblSalaries[[#This Row],[Currency]],Sheet3!$A$2:$B$31,2,FALSE),tblSalaries[[#This Row],[clean Salary (in local currency)]],(tblSalaries[[#This Row],[PPP Adjusted  USD]]/VLOOKUP(Dashboard!$J$5,Sheet3!$B$2:$C$31,2,FALSE)))</f>
        <v>96000</v>
      </c>
      <c r="H206" t="s">
        <v>1003</v>
      </c>
      <c r="I206" t="s">
        <v>640</v>
      </c>
      <c r="J206" t="s">
        <v>613</v>
      </c>
      <c r="K206" t="s">
        <v>617</v>
      </c>
      <c r="L206" t="s">
        <v>3847</v>
      </c>
    </row>
    <row r="207" spans="2:12" ht="15" customHeight="1">
      <c r="B207" t="s">
        <v>1097</v>
      </c>
      <c r="C207">
        <v>96000</v>
      </c>
      <c r="D207" t="s">
        <v>252</v>
      </c>
      <c r="E207">
        <v>96000</v>
      </c>
      <c r="F207" s="3">
        <f>(tblSalaries[[#This Row],[clean Salary (in local currency)]])*(VLOOKUP(tblSalaries[[#This Row],[Currency]],Sheet3!$A$2:$C$31,3,FALSE))*(VLOOKUP(tblSalaries[[#This Row],[Currency]],Sheet1!$N$4:$Q$186,4,FALSE))</f>
        <v>96000</v>
      </c>
      <c r="G207" s="4">
        <f>IF(Dashboard!$J$5=VLOOKUP(tblSalaries[[#This Row],[Currency]],Sheet3!$A$2:$B$31,2,FALSE),tblSalaries[[#This Row],[clean Salary (in local currency)]],(tblSalaries[[#This Row],[PPP Adjusted  USD]]/VLOOKUP(Dashboard!$J$5,Sheet3!$B$2:$C$31,2,FALSE)))</f>
        <v>96000</v>
      </c>
      <c r="H207" t="s">
        <v>1098</v>
      </c>
      <c r="I207" t="s">
        <v>692</v>
      </c>
      <c r="J207" t="s">
        <v>689</v>
      </c>
      <c r="K207" t="s">
        <v>617</v>
      </c>
      <c r="L207" t="s">
        <v>3847</v>
      </c>
    </row>
    <row r="208" spans="2:12" ht="15" customHeight="1">
      <c r="B208" t="s">
        <v>2038</v>
      </c>
      <c r="C208">
        <v>96000</v>
      </c>
      <c r="D208" t="s">
        <v>252</v>
      </c>
      <c r="E208">
        <v>96000</v>
      </c>
      <c r="F208" s="3">
        <f>(tblSalaries[[#This Row],[clean Salary (in local currency)]])*(VLOOKUP(tblSalaries[[#This Row],[Currency]],Sheet3!$A$2:$C$31,3,FALSE))*(VLOOKUP(tblSalaries[[#This Row],[Currency]],Sheet1!$N$4:$Q$186,4,FALSE))</f>
        <v>96000</v>
      </c>
      <c r="G208" s="4">
        <f>IF(Dashboard!$J$5=VLOOKUP(tblSalaries[[#This Row],[Currency]],Sheet3!$A$2:$B$31,2,FALSE),tblSalaries[[#This Row],[clean Salary (in local currency)]],(tblSalaries[[#This Row],[PPP Adjusted  USD]]/VLOOKUP(Dashboard!$J$5,Sheet3!$B$2:$C$31,2,FALSE)))</f>
        <v>96000</v>
      </c>
      <c r="H208" t="s">
        <v>1747</v>
      </c>
      <c r="I208" t="s">
        <v>658</v>
      </c>
      <c r="J208" t="s">
        <v>604</v>
      </c>
      <c r="K208" t="s">
        <v>610</v>
      </c>
      <c r="L208">
        <v>8</v>
      </c>
    </row>
    <row r="209" spans="2:12" ht="15" customHeight="1">
      <c r="B209" t="s">
        <v>2718</v>
      </c>
      <c r="C209">
        <v>95856</v>
      </c>
      <c r="D209" t="s">
        <v>252</v>
      </c>
      <c r="E209">
        <v>95856</v>
      </c>
      <c r="F209" s="3">
        <f>(tblSalaries[[#This Row],[clean Salary (in local currency)]])*(VLOOKUP(tblSalaries[[#This Row],[Currency]],Sheet3!$A$2:$C$31,3,FALSE))*(VLOOKUP(tblSalaries[[#This Row],[Currency]],Sheet1!$N$4:$Q$186,4,FALSE))</f>
        <v>95856</v>
      </c>
      <c r="G209" s="4">
        <f>IF(Dashboard!$J$5=VLOOKUP(tblSalaries[[#This Row],[Currency]],Sheet3!$A$2:$B$31,2,FALSE),tblSalaries[[#This Row],[clean Salary (in local currency)]],(tblSalaries[[#This Row],[PPP Adjusted  USD]]/VLOOKUP(Dashboard!$J$5,Sheet3!$B$2:$C$31,2,FALSE)))</f>
        <v>95856</v>
      </c>
      <c r="H209" t="s">
        <v>603</v>
      </c>
      <c r="I209" t="s">
        <v>603</v>
      </c>
      <c r="J209" t="s">
        <v>613</v>
      </c>
      <c r="K209" t="s">
        <v>617</v>
      </c>
      <c r="L209">
        <v>13</v>
      </c>
    </row>
    <row r="210" spans="2:12" ht="15" customHeight="1">
      <c r="B210" t="s">
        <v>1426</v>
      </c>
      <c r="C210">
        <v>65000</v>
      </c>
      <c r="D210" t="s">
        <v>204</v>
      </c>
      <c r="E210">
        <v>102451.58768437347</v>
      </c>
      <c r="F210" s="3">
        <f>(tblSalaries[[#This Row],[clean Salary (in local currency)]])*(VLOOKUP(tblSalaries[[#This Row],[Currency]],Sheet3!$A$2:$C$31,3,FALSE))*(VLOOKUP(tblSalaries[[#This Row],[Currency]],Sheet1!$N$4:$Q$186,4,FALSE))</f>
        <v>95808.128323727782</v>
      </c>
      <c r="G210" s="4">
        <f>IF(Dashboard!$J$5=VLOOKUP(tblSalaries[[#This Row],[Currency]],Sheet3!$A$2:$B$31,2,FALSE),tblSalaries[[#This Row],[clean Salary (in local currency)]],(tblSalaries[[#This Row],[PPP Adjusted  USD]]/VLOOKUP(Dashboard!$J$5,Sheet3!$B$2:$C$31,2,FALSE)))</f>
        <v>95808.128323727782</v>
      </c>
      <c r="H210" t="s">
        <v>854</v>
      </c>
      <c r="I210" t="s">
        <v>608</v>
      </c>
      <c r="J210" t="s">
        <v>687</v>
      </c>
      <c r="K210" t="s">
        <v>617</v>
      </c>
      <c r="L210" t="s">
        <v>3847</v>
      </c>
    </row>
    <row r="211" spans="2:12" ht="15" customHeight="1">
      <c r="B211" t="s">
        <v>1955</v>
      </c>
      <c r="C211">
        <v>65000</v>
      </c>
      <c r="D211" t="s">
        <v>204</v>
      </c>
      <c r="E211">
        <v>102451.58768437347</v>
      </c>
      <c r="F211" s="3">
        <f>(tblSalaries[[#This Row],[clean Salary (in local currency)]])*(VLOOKUP(tblSalaries[[#This Row],[Currency]],Sheet3!$A$2:$C$31,3,FALSE))*(VLOOKUP(tblSalaries[[#This Row],[Currency]],Sheet1!$N$4:$Q$186,4,FALSE))</f>
        <v>95808.128323727782</v>
      </c>
      <c r="G211" s="4">
        <f>IF(Dashboard!$J$5=VLOOKUP(tblSalaries[[#This Row],[Currency]],Sheet3!$A$2:$B$31,2,FALSE),tblSalaries[[#This Row],[clean Salary (in local currency)]],(tblSalaries[[#This Row],[PPP Adjusted  USD]]/VLOOKUP(Dashboard!$J$5,Sheet3!$B$2:$C$31,2,FALSE)))</f>
        <v>95808.128323727782</v>
      </c>
      <c r="H211" t="s">
        <v>1956</v>
      </c>
      <c r="I211" t="s">
        <v>625</v>
      </c>
      <c r="J211" t="s">
        <v>687</v>
      </c>
      <c r="K211" t="s">
        <v>605</v>
      </c>
      <c r="L211">
        <v>15</v>
      </c>
    </row>
    <row r="212" spans="2:12" ht="15" customHeight="1">
      <c r="B212" t="s">
        <v>2238</v>
      </c>
      <c r="C212">
        <v>65000</v>
      </c>
      <c r="D212" t="s">
        <v>204</v>
      </c>
      <c r="E212">
        <v>102451.58768437347</v>
      </c>
      <c r="F212" s="3">
        <f>(tblSalaries[[#This Row],[clean Salary (in local currency)]])*(VLOOKUP(tblSalaries[[#This Row],[Currency]],Sheet3!$A$2:$C$31,3,FALSE))*(VLOOKUP(tblSalaries[[#This Row],[Currency]],Sheet1!$N$4:$Q$186,4,FALSE))</f>
        <v>95808.128323727782</v>
      </c>
      <c r="G212" s="4">
        <f>IF(Dashboard!$J$5=VLOOKUP(tblSalaries[[#This Row],[Currency]],Sheet3!$A$2:$B$31,2,FALSE),tblSalaries[[#This Row],[clean Salary (in local currency)]],(tblSalaries[[#This Row],[PPP Adjusted  USD]]/VLOOKUP(Dashboard!$J$5,Sheet3!$B$2:$C$31,2,FALSE)))</f>
        <v>95808.128323727782</v>
      </c>
      <c r="H212" t="s">
        <v>625</v>
      </c>
      <c r="I212" t="s">
        <v>625</v>
      </c>
      <c r="J212" t="s">
        <v>687</v>
      </c>
      <c r="K212" t="s">
        <v>627</v>
      </c>
      <c r="L212">
        <v>15</v>
      </c>
    </row>
    <row r="213" spans="2:12" ht="15" customHeight="1">
      <c r="B213" t="s">
        <v>812</v>
      </c>
      <c r="C213">
        <v>95000</v>
      </c>
      <c r="D213" t="s">
        <v>252</v>
      </c>
      <c r="E213">
        <v>95000</v>
      </c>
      <c r="F213" s="3">
        <f>(tblSalaries[[#This Row],[clean Salary (in local currency)]])*(VLOOKUP(tblSalaries[[#This Row],[Currency]],Sheet3!$A$2:$C$31,3,FALSE))*(VLOOKUP(tblSalaries[[#This Row],[Currency]],Sheet1!$N$4:$Q$186,4,FALSE))</f>
        <v>95000</v>
      </c>
      <c r="G213" s="4">
        <f>IF(Dashboard!$J$5=VLOOKUP(tblSalaries[[#This Row],[Currency]],Sheet3!$A$2:$B$31,2,FALSE),tblSalaries[[#This Row],[clean Salary (in local currency)]],(tblSalaries[[#This Row],[PPP Adjusted  USD]]/VLOOKUP(Dashboard!$J$5,Sheet3!$B$2:$C$31,2,FALSE)))</f>
        <v>95000</v>
      </c>
      <c r="H213" t="s">
        <v>632</v>
      </c>
      <c r="I213" t="s">
        <v>633</v>
      </c>
      <c r="J213" t="s">
        <v>613</v>
      </c>
      <c r="K213" t="s">
        <v>605</v>
      </c>
      <c r="L213" t="s">
        <v>3847</v>
      </c>
    </row>
    <row r="214" spans="2:12" ht="15" customHeight="1">
      <c r="B214" t="s">
        <v>1070</v>
      </c>
      <c r="C214">
        <v>95000</v>
      </c>
      <c r="D214" t="s">
        <v>252</v>
      </c>
      <c r="E214">
        <v>95000</v>
      </c>
      <c r="F214" s="3">
        <f>(tblSalaries[[#This Row],[clean Salary (in local currency)]])*(VLOOKUP(tblSalaries[[#This Row],[Currency]],Sheet3!$A$2:$C$31,3,FALSE))*(VLOOKUP(tblSalaries[[#This Row],[Currency]],Sheet1!$N$4:$Q$186,4,FALSE))</f>
        <v>95000</v>
      </c>
      <c r="G214" s="4">
        <f>IF(Dashboard!$J$5=VLOOKUP(tblSalaries[[#This Row],[Currency]],Sheet3!$A$2:$B$31,2,FALSE),tblSalaries[[#This Row],[clean Salary (in local currency)]],(tblSalaries[[#This Row],[PPP Adjusted  USD]]/VLOOKUP(Dashboard!$J$5,Sheet3!$B$2:$C$31,2,FALSE)))</f>
        <v>95000</v>
      </c>
      <c r="H214" t="s">
        <v>1071</v>
      </c>
      <c r="I214" t="s">
        <v>633</v>
      </c>
      <c r="J214" t="s">
        <v>613</v>
      </c>
      <c r="K214" t="s">
        <v>605</v>
      </c>
      <c r="L214" t="s">
        <v>3847</v>
      </c>
    </row>
    <row r="215" spans="2:12" ht="15" customHeight="1">
      <c r="B215" t="s">
        <v>1267</v>
      </c>
      <c r="C215">
        <v>95000</v>
      </c>
      <c r="D215" t="s">
        <v>252</v>
      </c>
      <c r="E215">
        <v>95000</v>
      </c>
      <c r="F215" s="3">
        <f>(tblSalaries[[#This Row],[clean Salary (in local currency)]])*(VLOOKUP(tblSalaries[[#This Row],[Currency]],Sheet3!$A$2:$C$31,3,FALSE))*(VLOOKUP(tblSalaries[[#This Row],[Currency]],Sheet1!$N$4:$Q$186,4,FALSE))</f>
        <v>95000</v>
      </c>
      <c r="G215" s="4">
        <f>IF(Dashboard!$J$5=VLOOKUP(tblSalaries[[#This Row],[Currency]],Sheet3!$A$2:$B$31,2,FALSE),tblSalaries[[#This Row],[clean Salary (in local currency)]],(tblSalaries[[#This Row],[PPP Adjusted  USD]]/VLOOKUP(Dashboard!$J$5,Sheet3!$B$2:$C$31,2,FALSE)))</f>
        <v>95000</v>
      </c>
      <c r="H215" t="s">
        <v>1268</v>
      </c>
      <c r="I215" t="s">
        <v>603</v>
      </c>
      <c r="J215" t="s">
        <v>613</v>
      </c>
      <c r="K215" t="s">
        <v>605</v>
      </c>
      <c r="L215" t="s">
        <v>3847</v>
      </c>
    </row>
    <row r="216" spans="2:12" ht="15" customHeight="1">
      <c r="B216" t="s">
        <v>1329</v>
      </c>
      <c r="C216">
        <v>95000</v>
      </c>
      <c r="D216" t="s">
        <v>252</v>
      </c>
      <c r="E216">
        <v>95000</v>
      </c>
      <c r="F216" s="3">
        <f>(tblSalaries[[#This Row],[clean Salary (in local currency)]])*(VLOOKUP(tblSalaries[[#This Row],[Currency]],Sheet3!$A$2:$C$31,3,FALSE))*(VLOOKUP(tblSalaries[[#This Row],[Currency]],Sheet1!$N$4:$Q$186,4,FALSE))</f>
        <v>95000</v>
      </c>
      <c r="G216" s="4">
        <f>IF(Dashboard!$J$5=VLOOKUP(tblSalaries[[#This Row],[Currency]],Sheet3!$A$2:$B$31,2,FALSE),tblSalaries[[#This Row],[clean Salary (in local currency)]],(tblSalaries[[#This Row],[PPP Adjusted  USD]]/VLOOKUP(Dashboard!$J$5,Sheet3!$B$2:$C$31,2,FALSE)))</f>
        <v>95000</v>
      </c>
      <c r="H216" t="s">
        <v>1268</v>
      </c>
      <c r="I216" t="s">
        <v>603</v>
      </c>
      <c r="J216" t="s">
        <v>613</v>
      </c>
      <c r="K216" t="s">
        <v>610</v>
      </c>
      <c r="L216" t="s">
        <v>3847</v>
      </c>
    </row>
    <row r="217" spans="2:12" ht="15" customHeight="1">
      <c r="B217" t="s">
        <v>1595</v>
      </c>
      <c r="C217">
        <v>95000</v>
      </c>
      <c r="D217" t="s">
        <v>252</v>
      </c>
      <c r="E217">
        <v>95000</v>
      </c>
      <c r="F217" s="3">
        <f>(tblSalaries[[#This Row],[clean Salary (in local currency)]])*(VLOOKUP(tblSalaries[[#This Row],[Currency]],Sheet3!$A$2:$C$31,3,FALSE))*(VLOOKUP(tblSalaries[[#This Row],[Currency]],Sheet1!$N$4:$Q$186,4,FALSE))</f>
        <v>95000</v>
      </c>
      <c r="G217" s="4">
        <f>IF(Dashboard!$J$5=VLOOKUP(tblSalaries[[#This Row],[Currency]],Sheet3!$A$2:$B$31,2,FALSE),tblSalaries[[#This Row],[clean Salary (in local currency)]],(tblSalaries[[#This Row],[PPP Adjusted  USD]]/VLOOKUP(Dashboard!$J$5,Sheet3!$B$2:$C$31,2,FALSE)))</f>
        <v>95000</v>
      </c>
      <c r="H217" t="s">
        <v>1596</v>
      </c>
      <c r="I217" t="s">
        <v>692</v>
      </c>
      <c r="J217" t="s">
        <v>613</v>
      </c>
      <c r="K217" t="s">
        <v>605</v>
      </c>
      <c r="L217" t="s">
        <v>3847</v>
      </c>
    </row>
    <row r="218" spans="2:12" ht="15" customHeight="1">
      <c r="B218" t="s">
        <v>1605</v>
      </c>
      <c r="C218">
        <v>95000</v>
      </c>
      <c r="D218" t="s">
        <v>252</v>
      </c>
      <c r="E218">
        <v>95000</v>
      </c>
      <c r="F218" s="3">
        <f>(tblSalaries[[#This Row],[clean Salary (in local currency)]])*(VLOOKUP(tblSalaries[[#This Row],[Currency]],Sheet3!$A$2:$C$31,3,FALSE))*(VLOOKUP(tblSalaries[[#This Row],[Currency]],Sheet1!$N$4:$Q$186,4,FALSE))</f>
        <v>95000</v>
      </c>
      <c r="G218" s="4">
        <f>IF(Dashboard!$J$5=VLOOKUP(tblSalaries[[#This Row],[Currency]],Sheet3!$A$2:$B$31,2,FALSE),tblSalaries[[#This Row],[clean Salary (in local currency)]],(tblSalaries[[#This Row],[PPP Adjusted  USD]]/VLOOKUP(Dashboard!$J$5,Sheet3!$B$2:$C$31,2,FALSE)))</f>
        <v>95000</v>
      </c>
      <c r="H218" t="s">
        <v>1606</v>
      </c>
      <c r="I218" t="s">
        <v>633</v>
      </c>
      <c r="J218" t="s">
        <v>1607</v>
      </c>
      <c r="K218" t="s">
        <v>617</v>
      </c>
      <c r="L218" t="s">
        <v>3847</v>
      </c>
    </row>
    <row r="219" spans="2:12" ht="15" customHeight="1">
      <c r="B219" t="s">
        <v>1659</v>
      </c>
      <c r="C219">
        <v>95000</v>
      </c>
      <c r="D219" t="s">
        <v>252</v>
      </c>
      <c r="E219">
        <v>95000</v>
      </c>
      <c r="F219" s="3">
        <f>(tblSalaries[[#This Row],[clean Salary (in local currency)]])*(VLOOKUP(tblSalaries[[#This Row],[Currency]],Sheet3!$A$2:$C$31,3,FALSE))*(VLOOKUP(tblSalaries[[#This Row],[Currency]],Sheet1!$N$4:$Q$186,4,FALSE))</f>
        <v>95000</v>
      </c>
      <c r="G219" s="4">
        <f>IF(Dashboard!$J$5=VLOOKUP(tblSalaries[[#This Row],[Currency]],Sheet3!$A$2:$B$31,2,FALSE),tblSalaries[[#This Row],[clean Salary (in local currency)]],(tblSalaries[[#This Row],[PPP Adjusted  USD]]/VLOOKUP(Dashboard!$J$5,Sheet3!$B$2:$C$31,2,FALSE)))</f>
        <v>95000</v>
      </c>
      <c r="H219" t="s">
        <v>899</v>
      </c>
      <c r="I219" t="s">
        <v>603</v>
      </c>
      <c r="J219" t="s">
        <v>703</v>
      </c>
      <c r="K219" t="s">
        <v>617</v>
      </c>
      <c r="L219">
        <v>11</v>
      </c>
    </row>
    <row r="220" spans="2:12" ht="15" customHeight="1">
      <c r="B220" t="s">
        <v>1755</v>
      </c>
      <c r="C220">
        <v>95000</v>
      </c>
      <c r="D220" t="s">
        <v>252</v>
      </c>
      <c r="E220">
        <v>95000</v>
      </c>
      <c r="F220" s="3">
        <f>(tblSalaries[[#This Row],[clean Salary (in local currency)]])*(VLOOKUP(tblSalaries[[#This Row],[Currency]],Sheet3!$A$2:$C$31,3,FALSE))*(VLOOKUP(tblSalaries[[#This Row],[Currency]],Sheet1!$N$4:$Q$186,4,FALSE))</f>
        <v>95000</v>
      </c>
      <c r="G220" s="4">
        <f>IF(Dashboard!$J$5=VLOOKUP(tblSalaries[[#This Row],[Currency]],Sheet3!$A$2:$B$31,2,FALSE),tblSalaries[[#This Row],[clean Salary (in local currency)]],(tblSalaries[[#This Row],[PPP Adjusted  USD]]/VLOOKUP(Dashboard!$J$5,Sheet3!$B$2:$C$31,2,FALSE)))</f>
        <v>95000</v>
      </c>
      <c r="H220" t="s">
        <v>1487</v>
      </c>
      <c r="I220" t="s">
        <v>625</v>
      </c>
      <c r="J220" t="s">
        <v>613</v>
      </c>
      <c r="K220" t="s">
        <v>627</v>
      </c>
      <c r="L220">
        <v>10</v>
      </c>
    </row>
    <row r="221" spans="2:12" ht="15" customHeight="1">
      <c r="B221" t="s">
        <v>2072</v>
      </c>
      <c r="C221">
        <v>95000</v>
      </c>
      <c r="D221" t="s">
        <v>252</v>
      </c>
      <c r="E221">
        <v>95000</v>
      </c>
      <c r="F221" s="3">
        <f>(tblSalaries[[#This Row],[clean Salary (in local currency)]])*(VLOOKUP(tblSalaries[[#This Row],[Currency]],Sheet3!$A$2:$C$31,3,FALSE))*(VLOOKUP(tblSalaries[[#This Row],[Currency]],Sheet1!$N$4:$Q$186,4,FALSE))</f>
        <v>95000</v>
      </c>
      <c r="G221" s="4">
        <f>IF(Dashboard!$J$5=VLOOKUP(tblSalaries[[#This Row],[Currency]],Sheet3!$A$2:$B$31,2,FALSE),tblSalaries[[#This Row],[clean Salary (in local currency)]],(tblSalaries[[#This Row],[PPP Adjusted  USD]]/VLOOKUP(Dashboard!$J$5,Sheet3!$B$2:$C$31,2,FALSE)))</f>
        <v>95000</v>
      </c>
      <c r="H221" t="s">
        <v>899</v>
      </c>
      <c r="I221" t="s">
        <v>603</v>
      </c>
      <c r="J221" t="s">
        <v>613</v>
      </c>
      <c r="K221" t="s">
        <v>617</v>
      </c>
      <c r="L221">
        <v>13</v>
      </c>
    </row>
    <row r="222" spans="2:12" ht="15" customHeight="1">
      <c r="B222" t="s">
        <v>2968</v>
      </c>
      <c r="C222">
        <v>95000</v>
      </c>
      <c r="D222" t="s">
        <v>252</v>
      </c>
      <c r="E222">
        <v>95000</v>
      </c>
      <c r="F222" s="3">
        <f>(tblSalaries[[#This Row],[clean Salary (in local currency)]])*(VLOOKUP(tblSalaries[[#This Row],[Currency]],Sheet3!$A$2:$C$31,3,FALSE))*(VLOOKUP(tblSalaries[[#This Row],[Currency]],Sheet1!$N$4:$Q$186,4,FALSE))</f>
        <v>95000</v>
      </c>
      <c r="G222" s="4">
        <f>IF(Dashboard!$J$5=VLOOKUP(tblSalaries[[#This Row],[Currency]],Sheet3!$A$2:$B$31,2,FALSE),tblSalaries[[#This Row],[clean Salary (in local currency)]],(tblSalaries[[#This Row],[PPP Adjusted  USD]]/VLOOKUP(Dashboard!$J$5,Sheet3!$B$2:$C$31,2,FALSE)))</f>
        <v>95000</v>
      </c>
      <c r="H222" t="s">
        <v>1632</v>
      </c>
      <c r="I222" t="s">
        <v>603</v>
      </c>
      <c r="J222" t="s">
        <v>613</v>
      </c>
      <c r="K222" t="s">
        <v>617</v>
      </c>
      <c r="L222">
        <v>7</v>
      </c>
    </row>
    <row r="223" spans="2:12" ht="15" customHeight="1">
      <c r="B223" t="s">
        <v>3009</v>
      </c>
      <c r="C223">
        <v>95000</v>
      </c>
      <c r="D223" t="s">
        <v>252</v>
      </c>
      <c r="E223">
        <v>95000</v>
      </c>
      <c r="F223" s="3">
        <f>(tblSalaries[[#This Row],[clean Salary (in local currency)]])*(VLOOKUP(tblSalaries[[#This Row],[Currency]],Sheet3!$A$2:$C$31,3,FALSE))*(VLOOKUP(tblSalaries[[#This Row],[Currency]],Sheet1!$N$4:$Q$186,4,FALSE))</f>
        <v>95000</v>
      </c>
      <c r="G223" s="4">
        <f>IF(Dashboard!$J$5=VLOOKUP(tblSalaries[[#This Row],[Currency]],Sheet3!$A$2:$B$31,2,FALSE),tblSalaries[[#This Row],[clean Salary (in local currency)]],(tblSalaries[[#This Row],[PPP Adjusted  USD]]/VLOOKUP(Dashboard!$J$5,Sheet3!$B$2:$C$31,2,FALSE)))</f>
        <v>95000</v>
      </c>
      <c r="H223" t="s">
        <v>3010</v>
      </c>
      <c r="I223" t="s">
        <v>620</v>
      </c>
      <c r="J223" t="s">
        <v>613</v>
      </c>
      <c r="K223" t="s">
        <v>605</v>
      </c>
      <c r="L223">
        <v>14</v>
      </c>
    </row>
    <row r="224" spans="2:12" ht="15" customHeight="1">
      <c r="B224" t="s">
        <v>3192</v>
      </c>
      <c r="C224">
        <v>95000</v>
      </c>
      <c r="D224" t="s">
        <v>252</v>
      </c>
      <c r="E224">
        <v>95000</v>
      </c>
      <c r="F224" s="3">
        <f>(tblSalaries[[#This Row],[clean Salary (in local currency)]])*(VLOOKUP(tblSalaries[[#This Row],[Currency]],Sheet3!$A$2:$C$31,3,FALSE))*(VLOOKUP(tblSalaries[[#This Row],[Currency]],Sheet1!$N$4:$Q$186,4,FALSE))</f>
        <v>95000</v>
      </c>
      <c r="G224" s="4">
        <f>IF(Dashboard!$J$5=VLOOKUP(tblSalaries[[#This Row],[Currency]],Sheet3!$A$2:$B$31,2,FALSE),tblSalaries[[#This Row],[clean Salary (in local currency)]],(tblSalaries[[#This Row],[PPP Adjusted  USD]]/VLOOKUP(Dashboard!$J$5,Sheet3!$B$2:$C$31,2,FALSE)))</f>
        <v>95000</v>
      </c>
      <c r="H224" t="s">
        <v>1006</v>
      </c>
      <c r="I224" t="s">
        <v>603</v>
      </c>
      <c r="J224" t="s">
        <v>613</v>
      </c>
      <c r="K224" t="s">
        <v>605</v>
      </c>
      <c r="L224">
        <v>15</v>
      </c>
    </row>
    <row r="225" spans="2:12" ht="15" customHeight="1">
      <c r="B225" t="s">
        <v>2241</v>
      </c>
      <c r="C225">
        <v>64210</v>
      </c>
      <c r="D225" t="s">
        <v>204</v>
      </c>
      <c r="E225">
        <v>101206.40684944032</v>
      </c>
      <c r="F225" s="3">
        <f>(tblSalaries[[#This Row],[clean Salary (in local currency)]])*(VLOOKUP(tblSalaries[[#This Row],[Currency]],Sheet3!$A$2:$C$31,3,FALSE))*(VLOOKUP(tblSalaries[[#This Row],[Currency]],Sheet1!$N$4:$Q$186,4,FALSE))</f>
        <v>94643.691071793248</v>
      </c>
      <c r="G225" s="4">
        <f>IF(Dashboard!$J$5=VLOOKUP(tblSalaries[[#This Row],[Currency]],Sheet3!$A$2:$B$31,2,FALSE),tblSalaries[[#This Row],[clean Salary (in local currency)]],(tblSalaries[[#This Row],[PPP Adjusted  USD]]/VLOOKUP(Dashboard!$J$5,Sheet3!$B$2:$C$31,2,FALSE)))</f>
        <v>94643.691071793248</v>
      </c>
      <c r="H225" t="s">
        <v>2242</v>
      </c>
      <c r="I225" t="s">
        <v>692</v>
      </c>
      <c r="J225" t="s">
        <v>687</v>
      </c>
      <c r="K225" t="s">
        <v>605</v>
      </c>
      <c r="L225">
        <v>16</v>
      </c>
    </row>
    <row r="226" spans="2:12" ht="15" customHeight="1">
      <c r="B226" t="s">
        <v>2747</v>
      </c>
      <c r="C226">
        <v>150000</v>
      </c>
      <c r="D226" t="s">
        <v>224</v>
      </c>
      <c r="E226">
        <v>152986.44846039536</v>
      </c>
      <c r="F226" s="3">
        <f>(tblSalaries[[#This Row],[clean Salary (in local currency)]])*(VLOOKUP(tblSalaries[[#This Row],[Currency]],Sheet3!$A$2:$C$31,3,FALSE))*(VLOOKUP(tblSalaries[[#This Row],[Currency]],Sheet1!$N$4:$Q$186,4,FALSE))</f>
        <v>94007.108729791653</v>
      </c>
      <c r="G226" s="4">
        <f>IF(Dashboard!$J$5=VLOOKUP(tblSalaries[[#This Row],[Currency]],Sheet3!$A$2:$B$31,2,FALSE),tblSalaries[[#This Row],[clean Salary (in local currency)]],(tblSalaries[[#This Row],[PPP Adjusted  USD]]/VLOOKUP(Dashboard!$J$5,Sheet3!$B$2:$C$31,2,FALSE)))</f>
        <v>94007.108729791653</v>
      </c>
      <c r="H226" t="s">
        <v>603</v>
      </c>
      <c r="I226" t="s">
        <v>603</v>
      </c>
      <c r="J226" t="s">
        <v>703</v>
      </c>
      <c r="K226" t="s">
        <v>617</v>
      </c>
      <c r="L226">
        <v>10</v>
      </c>
    </row>
    <row r="227" spans="2:12" ht="15" customHeight="1">
      <c r="B227" t="s">
        <v>2931</v>
      </c>
      <c r="C227">
        <v>150000</v>
      </c>
      <c r="D227" t="s">
        <v>224</v>
      </c>
      <c r="E227">
        <v>152986.44846039536</v>
      </c>
      <c r="F227" s="3">
        <f>(tblSalaries[[#This Row],[clean Salary (in local currency)]])*(VLOOKUP(tblSalaries[[#This Row],[Currency]],Sheet3!$A$2:$C$31,3,FALSE))*(VLOOKUP(tblSalaries[[#This Row],[Currency]],Sheet1!$N$4:$Q$186,4,FALSE))</f>
        <v>94007.108729791653</v>
      </c>
      <c r="G227" s="4">
        <f>IF(Dashboard!$J$5=VLOOKUP(tblSalaries[[#This Row],[Currency]],Sheet3!$A$2:$B$31,2,FALSE),tblSalaries[[#This Row],[clean Salary (in local currency)]],(tblSalaries[[#This Row],[PPP Adjusted  USD]]/VLOOKUP(Dashboard!$J$5,Sheet3!$B$2:$C$31,2,FALSE)))</f>
        <v>94007.108729791653</v>
      </c>
      <c r="H227" t="s">
        <v>2932</v>
      </c>
      <c r="I227" t="s">
        <v>603</v>
      </c>
      <c r="J227" t="s">
        <v>703</v>
      </c>
      <c r="K227" t="s">
        <v>627</v>
      </c>
      <c r="L227">
        <v>5.5</v>
      </c>
    </row>
    <row r="228" spans="2:12" ht="15" customHeight="1">
      <c r="B228" t="s">
        <v>2498</v>
      </c>
      <c r="C228">
        <v>63000</v>
      </c>
      <c r="D228" t="s">
        <v>204</v>
      </c>
      <c r="E228">
        <v>99299.231140238902</v>
      </c>
      <c r="F228" s="3">
        <f>(tblSalaries[[#This Row],[clean Salary (in local currency)]])*(VLOOKUP(tblSalaries[[#This Row],[Currency]],Sheet3!$A$2:$C$31,3,FALSE))*(VLOOKUP(tblSalaries[[#This Row],[Currency]],Sheet1!$N$4:$Q$186,4,FALSE))</f>
        <v>92860.185913766938</v>
      </c>
      <c r="G228" s="4">
        <f>IF(Dashboard!$J$5=VLOOKUP(tblSalaries[[#This Row],[Currency]],Sheet3!$A$2:$B$31,2,FALSE),tblSalaries[[#This Row],[clean Salary (in local currency)]],(tblSalaries[[#This Row],[PPP Adjusted  USD]]/VLOOKUP(Dashboard!$J$5,Sheet3!$B$2:$C$31,2,FALSE)))</f>
        <v>92860.185913766938</v>
      </c>
      <c r="H228" t="s">
        <v>2499</v>
      </c>
      <c r="I228" t="s">
        <v>640</v>
      </c>
      <c r="J228" t="s">
        <v>687</v>
      </c>
      <c r="K228" t="s">
        <v>617</v>
      </c>
      <c r="L228">
        <v>1</v>
      </c>
    </row>
    <row r="229" spans="2:12" ht="15" customHeight="1">
      <c r="B229" t="s">
        <v>2130</v>
      </c>
      <c r="C229">
        <v>92500</v>
      </c>
      <c r="D229" t="s">
        <v>252</v>
      </c>
      <c r="E229">
        <v>92500</v>
      </c>
      <c r="F229" s="3">
        <f>(tblSalaries[[#This Row],[clean Salary (in local currency)]])*(VLOOKUP(tblSalaries[[#This Row],[Currency]],Sheet3!$A$2:$C$31,3,FALSE))*(VLOOKUP(tblSalaries[[#This Row],[Currency]],Sheet1!$N$4:$Q$186,4,FALSE))</f>
        <v>92500</v>
      </c>
      <c r="G229" s="4">
        <f>IF(Dashboard!$J$5=VLOOKUP(tblSalaries[[#This Row],[Currency]],Sheet3!$A$2:$B$31,2,FALSE),tblSalaries[[#This Row],[clean Salary (in local currency)]],(tblSalaries[[#This Row],[PPP Adjusted  USD]]/VLOOKUP(Dashboard!$J$5,Sheet3!$B$2:$C$31,2,FALSE)))</f>
        <v>92500</v>
      </c>
      <c r="H229" t="s">
        <v>2131</v>
      </c>
      <c r="I229" t="s">
        <v>603</v>
      </c>
      <c r="J229" t="s">
        <v>613</v>
      </c>
      <c r="K229" t="s">
        <v>617</v>
      </c>
      <c r="L229">
        <v>15</v>
      </c>
    </row>
    <row r="230" spans="2:12" ht="15" customHeight="1">
      <c r="B230" t="s">
        <v>911</v>
      </c>
      <c r="C230">
        <v>92000</v>
      </c>
      <c r="D230" t="s">
        <v>252</v>
      </c>
      <c r="E230">
        <v>92000</v>
      </c>
      <c r="F230" s="3">
        <f>(tblSalaries[[#This Row],[clean Salary (in local currency)]])*(VLOOKUP(tblSalaries[[#This Row],[Currency]],Sheet3!$A$2:$C$31,3,FALSE))*(VLOOKUP(tblSalaries[[#This Row],[Currency]],Sheet1!$N$4:$Q$186,4,FALSE))</f>
        <v>92000</v>
      </c>
      <c r="G230" s="4">
        <f>IF(Dashboard!$J$5=VLOOKUP(tblSalaries[[#This Row],[Currency]],Sheet3!$A$2:$B$31,2,FALSE),tblSalaries[[#This Row],[clean Salary (in local currency)]],(tblSalaries[[#This Row],[PPP Adjusted  USD]]/VLOOKUP(Dashboard!$J$5,Sheet3!$B$2:$C$31,2,FALSE)))</f>
        <v>92000</v>
      </c>
      <c r="H230" t="s">
        <v>912</v>
      </c>
      <c r="I230" t="s">
        <v>603</v>
      </c>
      <c r="J230" t="s">
        <v>613</v>
      </c>
      <c r="K230" t="s">
        <v>605</v>
      </c>
      <c r="L230" t="s">
        <v>3847</v>
      </c>
    </row>
    <row r="231" spans="2:12" ht="15" customHeight="1">
      <c r="B231" t="s">
        <v>969</v>
      </c>
      <c r="C231">
        <v>92000</v>
      </c>
      <c r="D231" t="s">
        <v>252</v>
      </c>
      <c r="E231">
        <v>92000</v>
      </c>
      <c r="F231" s="3">
        <f>(tblSalaries[[#This Row],[clean Salary (in local currency)]])*(VLOOKUP(tblSalaries[[#This Row],[Currency]],Sheet3!$A$2:$C$31,3,FALSE))*(VLOOKUP(tblSalaries[[#This Row],[Currency]],Sheet1!$N$4:$Q$186,4,FALSE))</f>
        <v>92000</v>
      </c>
      <c r="G231" s="4">
        <f>IF(Dashboard!$J$5=VLOOKUP(tblSalaries[[#This Row],[Currency]],Sheet3!$A$2:$B$31,2,FALSE),tblSalaries[[#This Row],[clean Salary (in local currency)]],(tblSalaries[[#This Row],[PPP Adjusted  USD]]/VLOOKUP(Dashboard!$J$5,Sheet3!$B$2:$C$31,2,FALSE)))</f>
        <v>92000</v>
      </c>
      <c r="H231" t="s">
        <v>970</v>
      </c>
      <c r="I231" t="s">
        <v>620</v>
      </c>
      <c r="J231" t="s">
        <v>613</v>
      </c>
      <c r="K231" t="s">
        <v>605</v>
      </c>
      <c r="L231" t="s">
        <v>3847</v>
      </c>
    </row>
    <row r="232" spans="2:12" ht="15" customHeight="1">
      <c r="B232" t="s">
        <v>1238</v>
      </c>
      <c r="C232">
        <v>92000</v>
      </c>
      <c r="D232" t="s">
        <v>252</v>
      </c>
      <c r="E232">
        <v>92000</v>
      </c>
      <c r="F232" s="3">
        <f>(tblSalaries[[#This Row],[clean Salary (in local currency)]])*(VLOOKUP(tblSalaries[[#This Row],[Currency]],Sheet3!$A$2:$C$31,3,FALSE))*(VLOOKUP(tblSalaries[[#This Row],[Currency]],Sheet1!$N$4:$Q$186,4,FALSE))</f>
        <v>92000</v>
      </c>
      <c r="G232" s="4">
        <f>IF(Dashboard!$J$5=VLOOKUP(tblSalaries[[#This Row],[Currency]],Sheet3!$A$2:$B$31,2,FALSE),tblSalaries[[#This Row],[clean Salary (in local currency)]],(tblSalaries[[#This Row],[PPP Adjusted  USD]]/VLOOKUP(Dashboard!$J$5,Sheet3!$B$2:$C$31,2,FALSE)))</f>
        <v>92000</v>
      </c>
      <c r="H232" t="s">
        <v>1239</v>
      </c>
      <c r="I232" t="s">
        <v>625</v>
      </c>
      <c r="J232" t="s">
        <v>613</v>
      </c>
      <c r="K232" t="s">
        <v>605</v>
      </c>
      <c r="L232" t="s">
        <v>3847</v>
      </c>
    </row>
    <row r="233" spans="2:12" ht="15" customHeight="1">
      <c r="B233" t="s">
        <v>1511</v>
      </c>
      <c r="C233">
        <v>92000</v>
      </c>
      <c r="D233" t="s">
        <v>252</v>
      </c>
      <c r="E233">
        <v>92000</v>
      </c>
      <c r="F233" s="3">
        <f>(tblSalaries[[#This Row],[clean Salary (in local currency)]])*(VLOOKUP(tblSalaries[[#This Row],[Currency]],Sheet3!$A$2:$C$31,3,FALSE))*(VLOOKUP(tblSalaries[[#This Row],[Currency]],Sheet1!$N$4:$Q$186,4,FALSE))</f>
        <v>92000</v>
      </c>
      <c r="G233" s="4">
        <f>IF(Dashboard!$J$5=VLOOKUP(tblSalaries[[#This Row],[Currency]],Sheet3!$A$2:$B$31,2,FALSE),tblSalaries[[#This Row],[clean Salary (in local currency)]],(tblSalaries[[#This Row],[PPP Adjusted  USD]]/VLOOKUP(Dashboard!$J$5,Sheet3!$B$2:$C$31,2,FALSE)))</f>
        <v>92000</v>
      </c>
      <c r="H233" t="s">
        <v>1512</v>
      </c>
      <c r="I233" t="s">
        <v>620</v>
      </c>
      <c r="J233" t="s">
        <v>613</v>
      </c>
      <c r="K233" t="s">
        <v>627</v>
      </c>
      <c r="L233" t="s">
        <v>3847</v>
      </c>
    </row>
    <row r="234" spans="2:12" ht="15" customHeight="1">
      <c r="B234" t="s">
        <v>3062</v>
      </c>
      <c r="C234">
        <v>92000</v>
      </c>
      <c r="D234" t="s">
        <v>252</v>
      </c>
      <c r="E234">
        <v>92000</v>
      </c>
      <c r="F234" s="3">
        <f>(tblSalaries[[#This Row],[clean Salary (in local currency)]])*(VLOOKUP(tblSalaries[[#This Row],[Currency]],Sheet3!$A$2:$C$31,3,FALSE))*(VLOOKUP(tblSalaries[[#This Row],[Currency]],Sheet1!$N$4:$Q$186,4,FALSE))</f>
        <v>92000</v>
      </c>
      <c r="G234" s="4">
        <f>IF(Dashboard!$J$5=VLOOKUP(tblSalaries[[#This Row],[Currency]],Sheet3!$A$2:$B$31,2,FALSE),tblSalaries[[#This Row],[clean Salary (in local currency)]],(tblSalaries[[#This Row],[PPP Adjusted  USD]]/VLOOKUP(Dashboard!$J$5,Sheet3!$B$2:$C$31,2,FALSE)))</f>
        <v>92000</v>
      </c>
      <c r="H234" t="s">
        <v>608</v>
      </c>
      <c r="I234" t="s">
        <v>608</v>
      </c>
      <c r="J234" t="s">
        <v>613</v>
      </c>
      <c r="K234" t="s">
        <v>617</v>
      </c>
      <c r="L234">
        <v>9</v>
      </c>
    </row>
    <row r="235" spans="2:12" ht="15" customHeight="1">
      <c r="B235" t="s">
        <v>3430</v>
      </c>
      <c r="C235">
        <v>92000</v>
      </c>
      <c r="D235" t="s">
        <v>252</v>
      </c>
      <c r="E235">
        <v>92000</v>
      </c>
      <c r="F235" s="3">
        <f>(tblSalaries[[#This Row],[clean Salary (in local currency)]])*(VLOOKUP(tblSalaries[[#This Row],[Currency]],Sheet3!$A$2:$C$31,3,FALSE))*(VLOOKUP(tblSalaries[[#This Row],[Currency]],Sheet1!$N$4:$Q$186,4,FALSE))</f>
        <v>92000</v>
      </c>
      <c r="G235" s="4">
        <f>IF(Dashboard!$J$5=VLOOKUP(tblSalaries[[#This Row],[Currency]],Sheet3!$A$2:$B$31,2,FALSE),tblSalaries[[#This Row],[clean Salary (in local currency)]],(tblSalaries[[#This Row],[PPP Adjusted  USD]]/VLOOKUP(Dashboard!$J$5,Sheet3!$B$2:$C$31,2,FALSE)))</f>
        <v>92000</v>
      </c>
      <c r="H235" t="s">
        <v>3431</v>
      </c>
      <c r="I235" t="s">
        <v>658</v>
      </c>
      <c r="J235" t="s">
        <v>613</v>
      </c>
      <c r="K235" t="s">
        <v>617</v>
      </c>
      <c r="L235">
        <v>12</v>
      </c>
    </row>
    <row r="236" spans="2:12" ht="15" customHeight="1">
      <c r="B236" t="s">
        <v>3477</v>
      </c>
      <c r="C236">
        <v>92000</v>
      </c>
      <c r="D236" t="s">
        <v>252</v>
      </c>
      <c r="E236">
        <v>92000</v>
      </c>
      <c r="F236" s="3">
        <f>(tblSalaries[[#This Row],[clean Salary (in local currency)]])*(VLOOKUP(tblSalaries[[#This Row],[Currency]],Sheet3!$A$2:$C$31,3,FALSE))*(VLOOKUP(tblSalaries[[#This Row],[Currency]],Sheet1!$N$4:$Q$186,4,FALSE))</f>
        <v>92000</v>
      </c>
      <c r="G236" s="4">
        <f>IF(Dashboard!$J$5=VLOOKUP(tblSalaries[[#This Row],[Currency]],Sheet3!$A$2:$B$31,2,FALSE),tblSalaries[[#This Row],[clean Salary (in local currency)]],(tblSalaries[[#This Row],[PPP Adjusted  USD]]/VLOOKUP(Dashboard!$J$5,Sheet3!$B$2:$C$31,2,FALSE)))</f>
        <v>92000</v>
      </c>
      <c r="H236" t="s">
        <v>3478</v>
      </c>
      <c r="I236" t="s">
        <v>603</v>
      </c>
      <c r="J236" t="s">
        <v>613</v>
      </c>
      <c r="K236" t="s">
        <v>605</v>
      </c>
      <c r="L236">
        <v>9</v>
      </c>
    </row>
    <row r="237" spans="2:12" ht="15" customHeight="1">
      <c r="B237" t="s">
        <v>815</v>
      </c>
      <c r="C237">
        <v>91000</v>
      </c>
      <c r="D237" t="s">
        <v>252</v>
      </c>
      <c r="E237">
        <v>91000</v>
      </c>
      <c r="F237" s="3">
        <f>(tblSalaries[[#This Row],[clean Salary (in local currency)]])*(VLOOKUP(tblSalaries[[#This Row],[Currency]],Sheet3!$A$2:$C$31,3,FALSE))*(VLOOKUP(tblSalaries[[#This Row],[Currency]],Sheet1!$N$4:$Q$186,4,FALSE))</f>
        <v>91000</v>
      </c>
      <c r="G237" s="4">
        <f>IF(Dashboard!$J$5=VLOOKUP(tblSalaries[[#This Row],[Currency]],Sheet3!$A$2:$B$31,2,FALSE),tblSalaries[[#This Row],[clean Salary (in local currency)]],(tblSalaries[[#This Row],[PPP Adjusted  USD]]/VLOOKUP(Dashboard!$J$5,Sheet3!$B$2:$C$31,2,FALSE)))</f>
        <v>91000</v>
      </c>
      <c r="H237" t="s">
        <v>816</v>
      </c>
      <c r="I237" t="s">
        <v>625</v>
      </c>
      <c r="J237" t="s">
        <v>613</v>
      </c>
      <c r="K237" t="s">
        <v>627</v>
      </c>
      <c r="L237" t="s">
        <v>3847</v>
      </c>
    </row>
    <row r="238" spans="2:12" ht="15" customHeight="1">
      <c r="B238" t="s">
        <v>1118</v>
      </c>
      <c r="C238">
        <v>1920000</v>
      </c>
      <c r="D238" t="s">
        <v>247</v>
      </c>
      <c r="E238">
        <v>34191.200039889729</v>
      </c>
      <c r="F238" s="3">
        <f>(tblSalaries[[#This Row],[clean Salary (in local currency)]])*(VLOOKUP(tblSalaries[[#This Row],[Currency]],Sheet3!$A$2:$C$31,3,FALSE))*(VLOOKUP(tblSalaries[[#This Row],[Currency]],Sheet1!$N$4:$Q$186,4,FALSE))</f>
        <v>90933.162909501028</v>
      </c>
      <c r="G238" s="4">
        <f>IF(Dashboard!$J$5=VLOOKUP(tblSalaries[[#This Row],[Currency]],Sheet3!$A$2:$B$31,2,FALSE),tblSalaries[[#This Row],[clean Salary (in local currency)]],(tblSalaries[[#This Row],[PPP Adjusted  USD]]/VLOOKUP(Dashboard!$J$5,Sheet3!$B$2:$C$31,2,FALSE)))</f>
        <v>90933.162909501028</v>
      </c>
      <c r="H238" t="s">
        <v>889</v>
      </c>
      <c r="I238" t="s">
        <v>625</v>
      </c>
      <c r="J238" t="s">
        <v>604</v>
      </c>
      <c r="K238" t="s">
        <v>617</v>
      </c>
      <c r="L238" t="s">
        <v>3847</v>
      </c>
    </row>
    <row r="239" spans="2:12" ht="15" customHeight="1">
      <c r="B239" t="s">
        <v>3655</v>
      </c>
      <c r="C239">
        <v>145000</v>
      </c>
      <c r="D239" t="s">
        <v>224</v>
      </c>
      <c r="E239">
        <v>147886.90017838217</v>
      </c>
      <c r="F239" s="3">
        <f>(tblSalaries[[#This Row],[clean Salary (in local currency)]])*(VLOOKUP(tblSalaries[[#This Row],[Currency]],Sheet3!$A$2:$C$31,3,FALSE))*(VLOOKUP(tblSalaries[[#This Row],[Currency]],Sheet1!$N$4:$Q$186,4,FALSE))</f>
        <v>90873.538438798583</v>
      </c>
      <c r="G239" s="4">
        <f>IF(Dashboard!$J$5=VLOOKUP(tblSalaries[[#This Row],[Currency]],Sheet3!$A$2:$B$31,2,FALSE),tblSalaries[[#This Row],[clean Salary (in local currency)]],(tblSalaries[[#This Row],[PPP Adjusted  USD]]/VLOOKUP(Dashboard!$J$5,Sheet3!$B$2:$C$31,2,FALSE)))</f>
        <v>90873.538438798583</v>
      </c>
      <c r="H239" t="s">
        <v>2080</v>
      </c>
      <c r="I239" t="s">
        <v>608</v>
      </c>
      <c r="J239" t="s">
        <v>703</v>
      </c>
      <c r="K239" t="s">
        <v>617</v>
      </c>
      <c r="L239">
        <v>15</v>
      </c>
    </row>
    <row r="240" spans="2:12" ht="15" customHeight="1">
      <c r="B240" t="s">
        <v>2680</v>
      </c>
      <c r="C240">
        <v>82000</v>
      </c>
      <c r="D240" t="s">
        <v>200</v>
      </c>
      <c r="E240">
        <v>104172.75399731184</v>
      </c>
      <c r="F240" s="3">
        <f>(tblSalaries[[#This Row],[clean Salary (in local currency)]])*(VLOOKUP(tblSalaries[[#This Row],[Currency]],Sheet3!$A$2:$C$31,3,FALSE))*(VLOOKUP(tblSalaries[[#This Row],[Currency]],Sheet1!$N$4:$Q$186,4,FALSE))</f>
        <v>90253.536650364273</v>
      </c>
      <c r="G240" s="4">
        <f>IF(Dashboard!$J$5=VLOOKUP(tblSalaries[[#This Row],[Currency]],Sheet3!$A$2:$B$31,2,FALSE),tblSalaries[[#This Row],[clean Salary (in local currency)]],(tblSalaries[[#This Row],[PPP Adjusted  USD]]/VLOOKUP(Dashboard!$J$5,Sheet3!$B$2:$C$31,2,FALSE)))</f>
        <v>90253.536650364273</v>
      </c>
      <c r="H240" t="s">
        <v>2681</v>
      </c>
      <c r="I240" t="s">
        <v>625</v>
      </c>
      <c r="J240" t="s">
        <v>722</v>
      </c>
      <c r="K240" t="s">
        <v>610</v>
      </c>
      <c r="L240">
        <v>25</v>
      </c>
    </row>
    <row r="241" spans="2:12" ht="15" customHeight="1">
      <c r="B241" t="s">
        <v>711</v>
      </c>
      <c r="C241">
        <v>90000</v>
      </c>
      <c r="D241" t="s">
        <v>252</v>
      </c>
      <c r="E241">
        <v>90000</v>
      </c>
      <c r="F241" s="3">
        <f>(tblSalaries[[#This Row],[clean Salary (in local currency)]])*(VLOOKUP(tblSalaries[[#This Row],[Currency]],Sheet3!$A$2:$C$31,3,FALSE))*(VLOOKUP(tblSalaries[[#This Row],[Currency]],Sheet1!$N$4:$Q$186,4,FALSE))</f>
        <v>90000</v>
      </c>
      <c r="G241" s="4">
        <f>IF(Dashboard!$J$5=VLOOKUP(tblSalaries[[#This Row],[Currency]],Sheet3!$A$2:$B$31,2,FALSE),tblSalaries[[#This Row],[clean Salary (in local currency)]],(tblSalaries[[#This Row],[PPP Adjusted  USD]]/VLOOKUP(Dashboard!$J$5,Sheet3!$B$2:$C$31,2,FALSE)))</f>
        <v>90000</v>
      </c>
      <c r="H241" t="s">
        <v>712</v>
      </c>
      <c r="I241" t="s">
        <v>713</v>
      </c>
      <c r="J241" t="s">
        <v>613</v>
      </c>
      <c r="K241" t="s">
        <v>627</v>
      </c>
      <c r="L241" t="s">
        <v>3847</v>
      </c>
    </row>
    <row r="242" spans="2:12" ht="15" customHeight="1">
      <c r="B242" t="s">
        <v>824</v>
      </c>
      <c r="C242">
        <v>90000</v>
      </c>
      <c r="D242" t="s">
        <v>252</v>
      </c>
      <c r="E242">
        <v>90000</v>
      </c>
      <c r="F242" s="3">
        <f>(tblSalaries[[#This Row],[clean Salary (in local currency)]])*(VLOOKUP(tblSalaries[[#This Row],[Currency]],Sheet3!$A$2:$C$31,3,FALSE))*(VLOOKUP(tblSalaries[[#This Row],[Currency]],Sheet1!$N$4:$Q$186,4,FALSE))</f>
        <v>90000</v>
      </c>
      <c r="G242" s="4">
        <f>IF(Dashboard!$J$5=VLOOKUP(tblSalaries[[#This Row],[Currency]],Sheet3!$A$2:$B$31,2,FALSE),tblSalaries[[#This Row],[clean Salary (in local currency)]],(tblSalaries[[#This Row],[PPP Adjusted  USD]]/VLOOKUP(Dashboard!$J$5,Sheet3!$B$2:$C$31,2,FALSE)))</f>
        <v>90000</v>
      </c>
      <c r="H242" t="s">
        <v>825</v>
      </c>
      <c r="I242" t="s">
        <v>640</v>
      </c>
      <c r="J242" t="s">
        <v>613</v>
      </c>
      <c r="K242" t="s">
        <v>605</v>
      </c>
      <c r="L242" t="s">
        <v>3847</v>
      </c>
    </row>
    <row r="243" spans="2:12" ht="15" customHeight="1">
      <c r="B243" t="s">
        <v>930</v>
      </c>
      <c r="C243">
        <v>90000</v>
      </c>
      <c r="D243" t="s">
        <v>252</v>
      </c>
      <c r="E243">
        <v>90000</v>
      </c>
      <c r="F243" s="3">
        <f>(tblSalaries[[#This Row],[clean Salary (in local currency)]])*(VLOOKUP(tblSalaries[[#This Row],[Currency]],Sheet3!$A$2:$C$31,3,FALSE))*(VLOOKUP(tblSalaries[[#This Row],[Currency]],Sheet1!$N$4:$Q$186,4,FALSE))</f>
        <v>90000</v>
      </c>
      <c r="G243" s="4">
        <f>IF(Dashboard!$J$5=VLOOKUP(tblSalaries[[#This Row],[Currency]],Sheet3!$A$2:$B$31,2,FALSE),tblSalaries[[#This Row],[clean Salary (in local currency)]],(tblSalaries[[#This Row],[PPP Adjusted  USD]]/VLOOKUP(Dashboard!$J$5,Sheet3!$B$2:$C$31,2,FALSE)))</f>
        <v>90000</v>
      </c>
      <c r="H243" t="s">
        <v>931</v>
      </c>
      <c r="I243" t="s">
        <v>603</v>
      </c>
      <c r="J243" t="s">
        <v>613</v>
      </c>
      <c r="K243" t="s">
        <v>617</v>
      </c>
      <c r="L243" t="s">
        <v>3847</v>
      </c>
    </row>
    <row r="244" spans="2:12" ht="15" customHeight="1">
      <c r="B244" t="s">
        <v>1011</v>
      </c>
      <c r="C244">
        <v>90000</v>
      </c>
      <c r="D244" t="s">
        <v>252</v>
      </c>
      <c r="E244">
        <v>90000</v>
      </c>
      <c r="F244" s="3">
        <f>(tblSalaries[[#This Row],[clean Salary (in local currency)]])*(VLOOKUP(tblSalaries[[#This Row],[Currency]],Sheet3!$A$2:$C$31,3,FALSE))*(VLOOKUP(tblSalaries[[#This Row],[Currency]],Sheet1!$N$4:$Q$186,4,FALSE))</f>
        <v>90000</v>
      </c>
      <c r="G244" s="4">
        <f>IF(Dashboard!$J$5=VLOOKUP(tblSalaries[[#This Row],[Currency]],Sheet3!$A$2:$B$31,2,FALSE),tblSalaries[[#This Row],[clean Salary (in local currency)]],(tblSalaries[[#This Row],[PPP Adjusted  USD]]/VLOOKUP(Dashboard!$J$5,Sheet3!$B$2:$C$31,2,FALSE)))</f>
        <v>90000</v>
      </c>
      <c r="H244" t="s">
        <v>889</v>
      </c>
      <c r="I244" t="s">
        <v>625</v>
      </c>
      <c r="J244" t="s">
        <v>613</v>
      </c>
      <c r="K244" t="s">
        <v>617</v>
      </c>
      <c r="L244" t="s">
        <v>3847</v>
      </c>
    </row>
    <row r="245" spans="2:12" ht="15" customHeight="1">
      <c r="B245" t="s">
        <v>1089</v>
      </c>
      <c r="C245">
        <v>90000</v>
      </c>
      <c r="D245" t="s">
        <v>252</v>
      </c>
      <c r="E245">
        <v>90000</v>
      </c>
      <c r="F245" s="3">
        <f>(tblSalaries[[#This Row],[clean Salary (in local currency)]])*(VLOOKUP(tblSalaries[[#This Row],[Currency]],Sheet3!$A$2:$C$31,3,FALSE))*(VLOOKUP(tblSalaries[[#This Row],[Currency]],Sheet1!$N$4:$Q$186,4,FALSE))</f>
        <v>90000</v>
      </c>
      <c r="G245" s="4">
        <f>IF(Dashboard!$J$5=VLOOKUP(tblSalaries[[#This Row],[Currency]],Sheet3!$A$2:$B$31,2,FALSE),tblSalaries[[#This Row],[clean Salary (in local currency)]],(tblSalaries[[#This Row],[PPP Adjusted  USD]]/VLOOKUP(Dashboard!$J$5,Sheet3!$B$2:$C$31,2,FALSE)))</f>
        <v>90000</v>
      </c>
      <c r="H245" t="s">
        <v>1090</v>
      </c>
      <c r="I245" t="s">
        <v>625</v>
      </c>
      <c r="J245" t="s">
        <v>613</v>
      </c>
      <c r="K245" t="s">
        <v>605</v>
      </c>
      <c r="L245" t="s">
        <v>3847</v>
      </c>
    </row>
    <row r="246" spans="2:12" ht="15" customHeight="1">
      <c r="B246" t="s">
        <v>1406</v>
      </c>
      <c r="C246">
        <v>90000</v>
      </c>
      <c r="D246" t="s">
        <v>252</v>
      </c>
      <c r="E246">
        <v>90000</v>
      </c>
      <c r="F246" s="3">
        <f>(tblSalaries[[#This Row],[clean Salary (in local currency)]])*(VLOOKUP(tblSalaries[[#This Row],[Currency]],Sheet3!$A$2:$C$31,3,FALSE))*(VLOOKUP(tblSalaries[[#This Row],[Currency]],Sheet1!$N$4:$Q$186,4,FALSE))</f>
        <v>90000</v>
      </c>
      <c r="G246" s="4">
        <f>IF(Dashboard!$J$5=VLOOKUP(tblSalaries[[#This Row],[Currency]],Sheet3!$A$2:$B$31,2,FALSE),tblSalaries[[#This Row],[clean Salary (in local currency)]],(tblSalaries[[#This Row],[PPP Adjusted  USD]]/VLOOKUP(Dashboard!$J$5,Sheet3!$B$2:$C$31,2,FALSE)))</f>
        <v>90000</v>
      </c>
      <c r="H246" t="s">
        <v>612</v>
      </c>
      <c r="I246" t="s">
        <v>603</v>
      </c>
      <c r="J246" t="s">
        <v>613</v>
      </c>
      <c r="K246" t="s">
        <v>610</v>
      </c>
      <c r="L246" t="s">
        <v>3847</v>
      </c>
    </row>
    <row r="247" spans="2:12" ht="15" customHeight="1">
      <c r="B247" t="s">
        <v>1429</v>
      </c>
      <c r="C247">
        <v>90000</v>
      </c>
      <c r="D247" t="s">
        <v>252</v>
      </c>
      <c r="E247">
        <v>90000</v>
      </c>
      <c r="F247" s="3">
        <f>(tblSalaries[[#This Row],[clean Salary (in local currency)]])*(VLOOKUP(tblSalaries[[#This Row],[Currency]],Sheet3!$A$2:$C$31,3,FALSE))*(VLOOKUP(tblSalaries[[#This Row],[Currency]],Sheet1!$N$4:$Q$186,4,FALSE))</f>
        <v>90000</v>
      </c>
      <c r="G247" s="4">
        <f>IF(Dashboard!$J$5=VLOOKUP(tblSalaries[[#This Row],[Currency]],Sheet3!$A$2:$B$31,2,FALSE),tblSalaries[[#This Row],[clean Salary (in local currency)]],(tblSalaries[[#This Row],[PPP Adjusted  USD]]/VLOOKUP(Dashboard!$J$5,Sheet3!$B$2:$C$31,2,FALSE)))</f>
        <v>90000</v>
      </c>
      <c r="H247" t="s">
        <v>1430</v>
      </c>
      <c r="I247" t="s">
        <v>603</v>
      </c>
      <c r="J247" t="s">
        <v>613</v>
      </c>
      <c r="K247" t="s">
        <v>627</v>
      </c>
      <c r="L247" t="s">
        <v>3847</v>
      </c>
    </row>
    <row r="248" spans="2:12" ht="15" customHeight="1">
      <c r="B248" t="s">
        <v>1666</v>
      </c>
      <c r="C248">
        <v>90000</v>
      </c>
      <c r="D248" t="s">
        <v>252</v>
      </c>
      <c r="E248">
        <v>90000</v>
      </c>
      <c r="F248" s="3">
        <f>(tblSalaries[[#This Row],[clean Salary (in local currency)]])*(VLOOKUP(tblSalaries[[#This Row],[Currency]],Sheet3!$A$2:$C$31,3,FALSE))*(VLOOKUP(tblSalaries[[#This Row],[Currency]],Sheet1!$N$4:$Q$186,4,FALSE))</f>
        <v>90000</v>
      </c>
      <c r="G248" s="4">
        <f>IF(Dashboard!$J$5=VLOOKUP(tblSalaries[[#This Row],[Currency]],Sheet3!$A$2:$B$31,2,FALSE),tblSalaries[[#This Row],[clean Salary (in local currency)]],(tblSalaries[[#This Row],[PPP Adjusted  USD]]/VLOOKUP(Dashboard!$J$5,Sheet3!$B$2:$C$31,2,FALSE)))</f>
        <v>90000</v>
      </c>
      <c r="H248" t="s">
        <v>1667</v>
      </c>
      <c r="I248" t="s">
        <v>625</v>
      </c>
      <c r="J248" t="s">
        <v>613</v>
      </c>
      <c r="K248" t="s">
        <v>605</v>
      </c>
      <c r="L248">
        <v>6</v>
      </c>
    </row>
    <row r="249" spans="2:12" ht="15" customHeight="1">
      <c r="B249" t="s">
        <v>1676</v>
      </c>
      <c r="C249">
        <v>90000</v>
      </c>
      <c r="D249" t="s">
        <v>252</v>
      </c>
      <c r="E249">
        <v>90000</v>
      </c>
      <c r="F249" s="3">
        <f>(tblSalaries[[#This Row],[clean Salary (in local currency)]])*(VLOOKUP(tblSalaries[[#This Row],[Currency]],Sheet3!$A$2:$C$31,3,FALSE))*(VLOOKUP(tblSalaries[[#This Row],[Currency]],Sheet1!$N$4:$Q$186,4,FALSE))</f>
        <v>90000</v>
      </c>
      <c r="G249" s="4">
        <f>IF(Dashboard!$J$5=VLOOKUP(tblSalaries[[#This Row],[Currency]],Sheet3!$A$2:$B$31,2,FALSE),tblSalaries[[#This Row],[clean Salary (in local currency)]],(tblSalaries[[#This Row],[PPP Adjusted  USD]]/VLOOKUP(Dashboard!$J$5,Sheet3!$B$2:$C$31,2,FALSE)))</f>
        <v>90000</v>
      </c>
      <c r="H249" t="s">
        <v>625</v>
      </c>
      <c r="I249" t="s">
        <v>625</v>
      </c>
      <c r="J249" t="s">
        <v>613</v>
      </c>
      <c r="K249" t="s">
        <v>617</v>
      </c>
      <c r="L249">
        <v>15</v>
      </c>
    </row>
    <row r="250" spans="2:12" ht="15" customHeight="1">
      <c r="B250" t="s">
        <v>1714</v>
      </c>
      <c r="C250">
        <v>90000</v>
      </c>
      <c r="D250" t="s">
        <v>252</v>
      </c>
      <c r="E250">
        <v>90000</v>
      </c>
      <c r="F250" s="3">
        <f>(tblSalaries[[#This Row],[clean Salary (in local currency)]])*(VLOOKUP(tblSalaries[[#This Row],[Currency]],Sheet3!$A$2:$C$31,3,FALSE))*(VLOOKUP(tblSalaries[[#This Row],[Currency]],Sheet1!$N$4:$Q$186,4,FALSE))</f>
        <v>90000</v>
      </c>
      <c r="G250" s="4">
        <f>IF(Dashboard!$J$5=VLOOKUP(tblSalaries[[#This Row],[Currency]],Sheet3!$A$2:$B$31,2,FALSE),tblSalaries[[#This Row],[clean Salary (in local currency)]],(tblSalaries[[#This Row],[PPP Adjusted  USD]]/VLOOKUP(Dashboard!$J$5,Sheet3!$B$2:$C$31,2,FALSE)))</f>
        <v>90000</v>
      </c>
      <c r="H250" t="s">
        <v>1715</v>
      </c>
      <c r="I250" t="s">
        <v>625</v>
      </c>
      <c r="J250" t="s">
        <v>613</v>
      </c>
      <c r="K250" t="s">
        <v>617</v>
      </c>
      <c r="L250">
        <v>20</v>
      </c>
    </row>
    <row r="251" spans="2:12" ht="15" customHeight="1">
      <c r="B251" t="s">
        <v>2579</v>
      </c>
      <c r="C251">
        <v>90000</v>
      </c>
      <c r="D251" t="s">
        <v>252</v>
      </c>
      <c r="E251">
        <v>90000</v>
      </c>
      <c r="F251" s="3">
        <f>(tblSalaries[[#This Row],[clean Salary (in local currency)]])*(VLOOKUP(tblSalaries[[#This Row],[Currency]],Sheet3!$A$2:$C$31,3,FALSE))*(VLOOKUP(tblSalaries[[#This Row],[Currency]],Sheet1!$N$4:$Q$186,4,FALSE))</f>
        <v>90000</v>
      </c>
      <c r="G251" s="4">
        <f>IF(Dashboard!$J$5=VLOOKUP(tblSalaries[[#This Row],[Currency]],Sheet3!$A$2:$B$31,2,FALSE),tblSalaries[[#This Row],[clean Salary (in local currency)]],(tblSalaries[[#This Row],[PPP Adjusted  USD]]/VLOOKUP(Dashboard!$J$5,Sheet3!$B$2:$C$31,2,FALSE)))</f>
        <v>90000</v>
      </c>
      <c r="H251" t="s">
        <v>2580</v>
      </c>
      <c r="I251" t="s">
        <v>625</v>
      </c>
      <c r="J251" t="s">
        <v>613</v>
      </c>
      <c r="K251" t="s">
        <v>605</v>
      </c>
      <c r="L251">
        <v>5</v>
      </c>
    </row>
    <row r="252" spans="2:12" ht="15" customHeight="1">
      <c r="B252" t="s">
        <v>2724</v>
      </c>
      <c r="C252">
        <v>90000</v>
      </c>
      <c r="D252" t="s">
        <v>252</v>
      </c>
      <c r="E252">
        <v>90000</v>
      </c>
      <c r="F252" s="3">
        <f>(tblSalaries[[#This Row],[clean Salary (in local currency)]])*(VLOOKUP(tblSalaries[[#This Row],[Currency]],Sheet3!$A$2:$C$31,3,FALSE))*(VLOOKUP(tblSalaries[[#This Row],[Currency]],Sheet1!$N$4:$Q$186,4,FALSE))</f>
        <v>90000</v>
      </c>
      <c r="G252" s="4">
        <f>IF(Dashboard!$J$5=VLOOKUP(tblSalaries[[#This Row],[Currency]],Sheet3!$A$2:$B$31,2,FALSE),tblSalaries[[#This Row],[clean Salary (in local currency)]],(tblSalaries[[#This Row],[PPP Adjusted  USD]]/VLOOKUP(Dashboard!$J$5,Sheet3!$B$2:$C$31,2,FALSE)))</f>
        <v>90000</v>
      </c>
      <c r="H252" t="s">
        <v>740</v>
      </c>
      <c r="I252" t="s">
        <v>603</v>
      </c>
      <c r="J252" t="s">
        <v>613</v>
      </c>
      <c r="K252" t="s">
        <v>605</v>
      </c>
      <c r="L252">
        <v>30</v>
      </c>
    </row>
    <row r="253" spans="2:12" ht="15" customHeight="1">
      <c r="B253" t="s">
        <v>3272</v>
      </c>
      <c r="C253">
        <v>90000</v>
      </c>
      <c r="D253" t="s">
        <v>252</v>
      </c>
      <c r="E253">
        <v>90000</v>
      </c>
      <c r="F253" s="3">
        <f>(tblSalaries[[#This Row],[clean Salary (in local currency)]])*(VLOOKUP(tblSalaries[[#This Row],[Currency]],Sheet3!$A$2:$C$31,3,FALSE))*(VLOOKUP(tblSalaries[[#This Row],[Currency]],Sheet1!$N$4:$Q$186,4,FALSE))</f>
        <v>90000</v>
      </c>
      <c r="G253" s="4">
        <f>IF(Dashboard!$J$5=VLOOKUP(tblSalaries[[#This Row],[Currency]],Sheet3!$A$2:$B$31,2,FALSE),tblSalaries[[#This Row],[clean Salary (in local currency)]],(tblSalaries[[#This Row],[PPP Adjusted  USD]]/VLOOKUP(Dashboard!$J$5,Sheet3!$B$2:$C$31,2,FALSE)))</f>
        <v>90000</v>
      </c>
      <c r="H253" t="s">
        <v>3273</v>
      </c>
      <c r="I253" t="s">
        <v>625</v>
      </c>
      <c r="J253" t="s">
        <v>613</v>
      </c>
      <c r="K253" t="s">
        <v>605</v>
      </c>
      <c r="L253">
        <v>25</v>
      </c>
    </row>
    <row r="254" spans="2:12" ht="15" customHeight="1">
      <c r="B254" t="s">
        <v>3468</v>
      </c>
      <c r="C254">
        <v>90000</v>
      </c>
      <c r="D254" t="s">
        <v>252</v>
      </c>
      <c r="E254">
        <v>90000</v>
      </c>
      <c r="F254" s="3">
        <f>(tblSalaries[[#This Row],[clean Salary (in local currency)]])*(VLOOKUP(tblSalaries[[#This Row],[Currency]],Sheet3!$A$2:$C$31,3,FALSE))*(VLOOKUP(tblSalaries[[#This Row],[Currency]],Sheet1!$N$4:$Q$186,4,FALSE))</f>
        <v>90000</v>
      </c>
      <c r="G254" s="4">
        <f>IF(Dashboard!$J$5=VLOOKUP(tblSalaries[[#This Row],[Currency]],Sheet3!$A$2:$B$31,2,FALSE),tblSalaries[[#This Row],[clean Salary (in local currency)]],(tblSalaries[[#This Row],[PPP Adjusted  USD]]/VLOOKUP(Dashboard!$J$5,Sheet3!$B$2:$C$31,2,FALSE)))</f>
        <v>90000</v>
      </c>
      <c r="H254" t="s">
        <v>3469</v>
      </c>
      <c r="I254" t="s">
        <v>603</v>
      </c>
      <c r="J254" t="s">
        <v>613</v>
      </c>
      <c r="K254" t="s">
        <v>617</v>
      </c>
      <c r="L254">
        <v>8</v>
      </c>
    </row>
    <row r="255" spans="2:12" ht="15" customHeight="1">
      <c r="B255" t="s">
        <v>1305</v>
      </c>
      <c r="C255">
        <v>89000</v>
      </c>
      <c r="D255" t="s">
        <v>252</v>
      </c>
      <c r="E255">
        <v>89000</v>
      </c>
      <c r="F255" s="3">
        <f>(tblSalaries[[#This Row],[clean Salary (in local currency)]])*(VLOOKUP(tblSalaries[[#This Row],[Currency]],Sheet3!$A$2:$C$31,3,FALSE))*(VLOOKUP(tblSalaries[[#This Row],[Currency]],Sheet1!$N$4:$Q$186,4,FALSE))</f>
        <v>89000</v>
      </c>
      <c r="G255" s="4">
        <f>IF(Dashboard!$J$5=VLOOKUP(tblSalaries[[#This Row],[Currency]],Sheet3!$A$2:$B$31,2,FALSE),tblSalaries[[#This Row],[clean Salary (in local currency)]],(tblSalaries[[#This Row],[PPP Adjusted  USD]]/VLOOKUP(Dashboard!$J$5,Sheet3!$B$2:$C$31,2,FALSE)))</f>
        <v>89000</v>
      </c>
      <c r="H255" t="s">
        <v>1306</v>
      </c>
      <c r="I255" t="s">
        <v>625</v>
      </c>
      <c r="J255" t="s">
        <v>613</v>
      </c>
      <c r="K255" t="s">
        <v>605</v>
      </c>
      <c r="L255" t="s">
        <v>3847</v>
      </c>
    </row>
    <row r="256" spans="2:12" ht="15" customHeight="1">
      <c r="B256" t="s">
        <v>3196</v>
      </c>
      <c r="C256">
        <v>89000</v>
      </c>
      <c r="D256" t="s">
        <v>252</v>
      </c>
      <c r="E256">
        <v>89000</v>
      </c>
      <c r="F256" s="3">
        <f>(tblSalaries[[#This Row],[clean Salary (in local currency)]])*(VLOOKUP(tblSalaries[[#This Row],[Currency]],Sheet3!$A$2:$C$31,3,FALSE))*(VLOOKUP(tblSalaries[[#This Row],[Currency]],Sheet1!$N$4:$Q$186,4,FALSE))</f>
        <v>89000</v>
      </c>
      <c r="G256" s="4">
        <f>IF(Dashboard!$J$5=VLOOKUP(tblSalaries[[#This Row],[Currency]],Sheet3!$A$2:$B$31,2,FALSE),tblSalaries[[#This Row],[clean Salary (in local currency)]],(tblSalaries[[#This Row],[PPP Adjusted  USD]]/VLOOKUP(Dashboard!$J$5,Sheet3!$B$2:$C$31,2,FALSE)))</f>
        <v>89000</v>
      </c>
      <c r="H256" t="s">
        <v>1611</v>
      </c>
      <c r="I256" t="s">
        <v>625</v>
      </c>
      <c r="J256" t="s">
        <v>613</v>
      </c>
      <c r="K256" t="s">
        <v>617</v>
      </c>
      <c r="L256">
        <v>10</v>
      </c>
    </row>
    <row r="257" spans="2:12" ht="15" customHeight="1">
      <c r="B257" t="s">
        <v>3211</v>
      </c>
      <c r="C257">
        <v>89000</v>
      </c>
      <c r="D257" t="s">
        <v>252</v>
      </c>
      <c r="E257">
        <v>89000</v>
      </c>
      <c r="F257" s="3">
        <f>(tblSalaries[[#This Row],[clean Salary (in local currency)]])*(VLOOKUP(tblSalaries[[#This Row],[Currency]],Sheet3!$A$2:$C$31,3,FALSE))*(VLOOKUP(tblSalaries[[#This Row],[Currency]],Sheet1!$N$4:$Q$186,4,FALSE))</f>
        <v>89000</v>
      </c>
      <c r="G257" s="4">
        <f>IF(Dashboard!$J$5=VLOOKUP(tblSalaries[[#This Row],[Currency]],Sheet3!$A$2:$B$31,2,FALSE),tblSalaries[[#This Row],[clean Salary (in local currency)]],(tblSalaries[[#This Row],[PPP Adjusted  USD]]/VLOOKUP(Dashboard!$J$5,Sheet3!$B$2:$C$31,2,FALSE)))</f>
        <v>89000</v>
      </c>
      <c r="H257" t="s">
        <v>2606</v>
      </c>
      <c r="I257" t="s">
        <v>603</v>
      </c>
      <c r="J257" t="s">
        <v>613</v>
      </c>
      <c r="K257" t="s">
        <v>610</v>
      </c>
      <c r="L257">
        <v>14</v>
      </c>
    </row>
    <row r="258" spans="2:12" ht="15" customHeight="1">
      <c r="B258" t="s">
        <v>1116</v>
      </c>
      <c r="C258">
        <v>60000</v>
      </c>
      <c r="D258" t="s">
        <v>204</v>
      </c>
      <c r="E258">
        <v>94570.696324037053</v>
      </c>
      <c r="F258" s="3">
        <f>(tblSalaries[[#This Row],[clean Salary (in local currency)]])*(VLOOKUP(tblSalaries[[#This Row],[Currency]],Sheet3!$A$2:$C$31,3,FALSE))*(VLOOKUP(tblSalaries[[#This Row],[Currency]],Sheet1!$N$4:$Q$186,4,FALSE))</f>
        <v>88438.272298825657</v>
      </c>
      <c r="G258" s="4">
        <f>IF(Dashboard!$J$5=VLOOKUP(tblSalaries[[#This Row],[Currency]],Sheet3!$A$2:$B$31,2,FALSE),tblSalaries[[#This Row],[clean Salary (in local currency)]],(tblSalaries[[#This Row],[PPP Adjusted  USD]]/VLOOKUP(Dashboard!$J$5,Sheet3!$B$2:$C$31,2,FALSE)))</f>
        <v>88438.272298825657</v>
      </c>
      <c r="H258" t="s">
        <v>1117</v>
      </c>
      <c r="I258" t="s">
        <v>603</v>
      </c>
      <c r="J258" t="s">
        <v>687</v>
      </c>
      <c r="K258" t="s">
        <v>610</v>
      </c>
      <c r="L258" t="s">
        <v>3847</v>
      </c>
    </row>
    <row r="259" spans="2:12" ht="15" customHeight="1">
      <c r="B259" t="s">
        <v>1327</v>
      </c>
      <c r="C259">
        <v>60000</v>
      </c>
      <c r="D259" t="s">
        <v>204</v>
      </c>
      <c r="E259">
        <v>94570.696324037053</v>
      </c>
      <c r="F259" s="3">
        <f>(tblSalaries[[#This Row],[clean Salary (in local currency)]])*(VLOOKUP(tblSalaries[[#This Row],[Currency]],Sheet3!$A$2:$C$31,3,FALSE))*(VLOOKUP(tblSalaries[[#This Row],[Currency]],Sheet1!$N$4:$Q$186,4,FALSE))</f>
        <v>88438.272298825657</v>
      </c>
      <c r="G259" s="4">
        <f>IF(Dashboard!$J$5=VLOOKUP(tblSalaries[[#This Row],[Currency]],Sheet3!$A$2:$B$31,2,FALSE),tblSalaries[[#This Row],[clean Salary (in local currency)]],(tblSalaries[[#This Row],[PPP Adjusted  USD]]/VLOOKUP(Dashboard!$J$5,Sheet3!$B$2:$C$31,2,FALSE)))</f>
        <v>88438.272298825657</v>
      </c>
      <c r="H259" t="s">
        <v>1328</v>
      </c>
      <c r="I259" t="s">
        <v>633</v>
      </c>
      <c r="J259" t="s">
        <v>687</v>
      </c>
      <c r="K259" t="s">
        <v>617</v>
      </c>
      <c r="L259" t="s">
        <v>3847</v>
      </c>
    </row>
    <row r="260" spans="2:12" ht="15" customHeight="1">
      <c r="B260" t="s">
        <v>1457</v>
      </c>
      <c r="C260">
        <v>60000</v>
      </c>
      <c r="D260" t="s">
        <v>204</v>
      </c>
      <c r="E260">
        <v>94570.696324037053</v>
      </c>
      <c r="F260" s="3">
        <f>(tblSalaries[[#This Row],[clean Salary (in local currency)]])*(VLOOKUP(tblSalaries[[#This Row],[Currency]],Sheet3!$A$2:$C$31,3,FALSE))*(VLOOKUP(tblSalaries[[#This Row],[Currency]],Sheet1!$N$4:$Q$186,4,FALSE))</f>
        <v>88438.272298825657</v>
      </c>
      <c r="G260" s="4">
        <f>IF(Dashboard!$J$5=VLOOKUP(tblSalaries[[#This Row],[Currency]],Sheet3!$A$2:$B$31,2,FALSE),tblSalaries[[#This Row],[clean Salary (in local currency)]],(tblSalaries[[#This Row],[PPP Adjusted  USD]]/VLOOKUP(Dashboard!$J$5,Sheet3!$B$2:$C$31,2,FALSE)))</f>
        <v>88438.272298825657</v>
      </c>
      <c r="H260" t="s">
        <v>1109</v>
      </c>
      <c r="I260" t="s">
        <v>692</v>
      </c>
      <c r="J260" t="s">
        <v>687</v>
      </c>
      <c r="K260" t="s">
        <v>605</v>
      </c>
      <c r="L260" t="s">
        <v>3847</v>
      </c>
    </row>
    <row r="261" spans="2:12" ht="15" customHeight="1">
      <c r="B261" t="s">
        <v>2987</v>
      </c>
      <c r="C261">
        <v>60000</v>
      </c>
      <c r="D261" t="s">
        <v>204</v>
      </c>
      <c r="E261">
        <v>94570.696324037053</v>
      </c>
      <c r="F261" s="3">
        <f>(tblSalaries[[#This Row],[clean Salary (in local currency)]])*(VLOOKUP(tblSalaries[[#This Row],[Currency]],Sheet3!$A$2:$C$31,3,FALSE))*(VLOOKUP(tblSalaries[[#This Row],[Currency]],Sheet1!$N$4:$Q$186,4,FALSE))</f>
        <v>88438.272298825657</v>
      </c>
      <c r="G261" s="4">
        <f>IF(Dashboard!$J$5=VLOOKUP(tblSalaries[[#This Row],[Currency]],Sheet3!$A$2:$B$31,2,FALSE),tblSalaries[[#This Row],[clean Salary (in local currency)]],(tblSalaries[[#This Row],[PPP Adjusted  USD]]/VLOOKUP(Dashboard!$J$5,Sheet3!$B$2:$C$31,2,FALSE)))</f>
        <v>88438.272298825657</v>
      </c>
      <c r="H261" t="s">
        <v>603</v>
      </c>
      <c r="I261" t="s">
        <v>603</v>
      </c>
      <c r="J261" t="s">
        <v>687</v>
      </c>
      <c r="K261" t="s">
        <v>605</v>
      </c>
      <c r="L261">
        <v>7</v>
      </c>
    </row>
    <row r="262" spans="2:12" ht="15" customHeight="1">
      <c r="B262" t="s">
        <v>3375</v>
      </c>
      <c r="C262">
        <v>60000</v>
      </c>
      <c r="D262" t="s">
        <v>204</v>
      </c>
      <c r="E262">
        <v>94570.696324037053</v>
      </c>
      <c r="F262" s="3">
        <f>(tblSalaries[[#This Row],[clean Salary (in local currency)]])*(VLOOKUP(tblSalaries[[#This Row],[Currency]],Sheet3!$A$2:$C$31,3,FALSE))*(VLOOKUP(tblSalaries[[#This Row],[Currency]],Sheet1!$N$4:$Q$186,4,FALSE))</f>
        <v>88438.272298825657</v>
      </c>
      <c r="G262" s="4">
        <f>IF(Dashboard!$J$5=VLOOKUP(tblSalaries[[#This Row],[Currency]],Sheet3!$A$2:$B$31,2,FALSE),tblSalaries[[#This Row],[clean Salary (in local currency)]],(tblSalaries[[#This Row],[PPP Adjusted  USD]]/VLOOKUP(Dashboard!$J$5,Sheet3!$B$2:$C$31,2,FALSE)))</f>
        <v>88438.272298825657</v>
      </c>
      <c r="H262" t="s">
        <v>811</v>
      </c>
      <c r="I262" t="s">
        <v>603</v>
      </c>
      <c r="J262" t="s">
        <v>687</v>
      </c>
      <c r="K262" t="s">
        <v>605</v>
      </c>
      <c r="L262">
        <v>5</v>
      </c>
    </row>
    <row r="263" spans="2:12" ht="15" customHeight="1">
      <c r="B263" t="s">
        <v>913</v>
      </c>
      <c r="C263">
        <v>88000</v>
      </c>
      <c r="D263" t="s">
        <v>252</v>
      </c>
      <c r="E263">
        <v>88000</v>
      </c>
      <c r="F263" s="3">
        <f>(tblSalaries[[#This Row],[clean Salary (in local currency)]])*(VLOOKUP(tblSalaries[[#This Row],[Currency]],Sheet3!$A$2:$C$31,3,FALSE))*(VLOOKUP(tblSalaries[[#This Row],[Currency]],Sheet1!$N$4:$Q$186,4,FALSE))</f>
        <v>88000</v>
      </c>
      <c r="G263" s="4">
        <f>IF(Dashboard!$J$5=VLOOKUP(tblSalaries[[#This Row],[Currency]],Sheet3!$A$2:$B$31,2,FALSE),tblSalaries[[#This Row],[clean Salary (in local currency)]],(tblSalaries[[#This Row],[PPP Adjusted  USD]]/VLOOKUP(Dashboard!$J$5,Sheet3!$B$2:$C$31,2,FALSE)))</f>
        <v>88000</v>
      </c>
      <c r="H263" t="s">
        <v>914</v>
      </c>
      <c r="I263" t="s">
        <v>625</v>
      </c>
      <c r="J263" t="s">
        <v>613</v>
      </c>
      <c r="K263" t="s">
        <v>605</v>
      </c>
      <c r="L263" t="s">
        <v>3847</v>
      </c>
    </row>
    <row r="264" spans="2:12" ht="15" customHeight="1">
      <c r="B264" t="s">
        <v>2682</v>
      </c>
      <c r="C264">
        <v>88000</v>
      </c>
      <c r="D264" t="s">
        <v>252</v>
      </c>
      <c r="E264">
        <v>88000</v>
      </c>
      <c r="F264" s="3">
        <f>(tblSalaries[[#This Row],[clean Salary (in local currency)]])*(VLOOKUP(tblSalaries[[#This Row],[Currency]],Sheet3!$A$2:$C$31,3,FALSE))*(VLOOKUP(tblSalaries[[#This Row],[Currency]],Sheet1!$N$4:$Q$186,4,FALSE))</f>
        <v>88000</v>
      </c>
      <c r="G264" s="4">
        <f>IF(Dashboard!$J$5=VLOOKUP(tblSalaries[[#This Row],[Currency]],Sheet3!$A$2:$B$31,2,FALSE),tblSalaries[[#This Row],[clean Salary (in local currency)]],(tblSalaries[[#This Row],[PPP Adjusted  USD]]/VLOOKUP(Dashboard!$J$5,Sheet3!$B$2:$C$31,2,FALSE)))</f>
        <v>88000</v>
      </c>
      <c r="H264" t="s">
        <v>2683</v>
      </c>
      <c r="I264" t="s">
        <v>625</v>
      </c>
      <c r="J264" t="s">
        <v>613</v>
      </c>
      <c r="K264" t="s">
        <v>605</v>
      </c>
      <c r="L264">
        <v>2</v>
      </c>
    </row>
    <row r="265" spans="2:12" ht="15" customHeight="1">
      <c r="B265" t="s">
        <v>3030</v>
      </c>
      <c r="C265">
        <v>88000</v>
      </c>
      <c r="D265" t="s">
        <v>252</v>
      </c>
      <c r="E265">
        <v>88000</v>
      </c>
      <c r="F265" s="3">
        <f>(tblSalaries[[#This Row],[clean Salary (in local currency)]])*(VLOOKUP(tblSalaries[[#This Row],[Currency]],Sheet3!$A$2:$C$31,3,FALSE))*(VLOOKUP(tblSalaries[[#This Row],[Currency]],Sheet1!$N$4:$Q$186,4,FALSE))</f>
        <v>88000</v>
      </c>
      <c r="G265" s="4">
        <f>IF(Dashboard!$J$5=VLOOKUP(tblSalaries[[#This Row],[Currency]],Sheet3!$A$2:$B$31,2,FALSE),tblSalaries[[#This Row],[clean Salary (in local currency)]],(tblSalaries[[#This Row],[PPP Adjusted  USD]]/VLOOKUP(Dashboard!$J$5,Sheet3!$B$2:$C$31,2,FALSE)))</f>
        <v>88000</v>
      </c>
      <c r="H265" t="s">
        <v>3031</v>
      </c>
      <c r="I265" t="s">
        <v>625</v>
      </c>
      <c r="J265" t="s">
        <v>613</v>
      </c>
      <c r="K265" t="s">
        <v>605</v>
      </c>
      <c r="L265">
        <v>21</v>
      </c>
    </row>
    <row r="266" spans="2:12" ht="15" customHeight="1">
      <c r="B266" t="s">
        <v>3545</v>
      </c>
      <c r="C266">
        <v>88000</v>
      </c>
      <c r="D266" t="s">
        <v>252</v>
      </c>
      <c r="E266">
        <v>88000</v>
      </c>
      <c r="F266" s="3">
        <f>(tblSalaries[[#This Row],[clean Salary (in local currency)]])*(VLOOKUP(tblSalaries[[#This Row],[Currency]],Sheet3!$A$2:$C$31,3,FALSE))*(VLOOKUP(tblSalaries[[#This Row],[Currency]],Sheet1!$N$4:$Q$186,4,FALSE))</f>
        <v>88000</v>
      </c>
      <c r="G266" s="4">
        <f>IF(Dashboard!$J$5=VLOOKUP(tblSalaries[[#This Row],[Currency]],Sheet3!$A$2:$B$31,2,FALSE),tblSalaries[[#This Row],[clean Salary (in local currency)]],(tblSalaries[[#This Row],[PPP Adjusted  USD]]/VLOOKUP(Dashboard!$J$5,Sheet3!$B$2:$C$31,2,FALSE)))</f>
        <v>88000</v>
      </c>
      <c r="H266" t="s">
        <v>3546</v>
      </c>
      <c r="I266" t="s">
        <v>603</v>
      </c>
      <c r="J266" t="s">
        <v>613</v>
      </c>
      <c r="K266" t="s">
        <v>610</v>
      </c>
      <c r="L266">
        <v>10</v>
      </c>
    </row>
    <row r="267" spans="2:12" ht="15" customHeight="1">
      <c r="B267" t="s">
        <v>2168</v>
      </c>
      <c r="C267">
        <v>87456</v>
      </c>
      <c r="D267" t="s">
        <v>252</v>
      </c>
      <c r="E267">
        <v>87456</v>
      </c>
      <c r="F267" s="3">
        <f>(tblSalaries[[#This Row],[clean Salary (in local currency)]])*(VLOOKUP(tblSalaries[[#This Row],[Currency]],Sheet3!$A$2:$C$31,3,FALSE))*(VLOOKUP(tblSalaries[[#This Row],[Currency]],Sheet1!$N$4:$Q$186,4,FALSE))</f>
        <v>87456</v>
      </c>
      <c r="G267" s="4">
        <f>IF(Dashboard!$J$5=VLOOKUP(tblSalaries[[#This Row],[Currency]],Sheet3!$A$2:$B$31,2,FALSE),tblSalaries[[#This Row],[clean Salary (in local currency)]],(tblSalaries[[#This Row],[PPP Adjusted  USD]]/VLOOKUP(Dashboard!$J$5,Sheet3!$B$2:$C$31,2,FALSE)))</f>
        <v>87456</v>
      </c>
      <c r="H267" t="s">
        <v>2169</v>
      </c>
      <c r="I267" t="s">
        <v>625</v>
      </c>
      <c r="J267" t="s">
        <v>613</v>
      </c>
      <c r="K267" t="s">
        <v>617</v>
      </c>
      <c r="L267">
        <v>12</v>
      </c>
    </row>
    <row r="268" spans="2:12" ht="15" customHeight="1">
      <c r="B268" t="s">
        <v>3640</v>
      </c>
      <c r="C268">
        <v>87000</v>
      </c>
      <c r="D268" t="s">
        <v>252</v>
      </c>
      <c r="E268">
        <v>87000</v>
      </c>
      <c r="F268" s="3">
        <f>(tblSalaries[[#This Row],[clean Salary (in local currency)]])*(VLOOKUP(tblSalaries[[#This Row],[Currency]],Sheet3!$A$2:$C$31,3,FALSE))*(VLOOKUP(tblSalaries[[#This Row],[Currency]],Sheet1!$N$4:$Q$186,4,FALSE))</f>
        <v>87000</v>
      </c>
      <c r="G268" s="4">
        <f>IF(Dashboard!$J$5=VLOOKUP(tblSalaries[[#This Row],[Currency]],Sheet3!$A$2:$B$31,2,FALSE),tblSalaries[[#This Row],[clean Salary (in local currency)]],(tblSalaries[[#This Row],[PPP Adjusted  USD]]/VLOOKUP(Dashboard!$J$5,Sheet3!$B$2:$C$31,2,FALSE)))</f>
        <v>87000</v>
      </c>
      <c r="H268" t="s">
        <v>3641</v>
      </c>
      <c r="I268" t="s">
        <v>713</v>
      </c>
      <c r="J268" t="s">
        <v>613</v>
      </c>
      <c r="K268" t="s">
        <v>605</v>
      </c>
      <c r="L268">
        <v>3</v>
      </c>
    </row>
    <row r="269" spans="2:12" ht="15" customHeight="1">
      <c r="B269" t="s">
        <v>1522</v>
      </c>
      <c r="C269">
        <v>59000</v>
      </c>
      <c r="D269" t="s">
        <v>204</v>
      </c>
      <c r="E269">
        <v>92994.518051969761</v>
      </c>
      <c r="F269" s="3">
        <f>(tblSalaries[[#This Row],[clean Salary (in local currency)]])*(VLOOKUP(tblSalaries[[#This Row],[Currency]],Sheet3!$A$2:$C$31,3,FALSE))*(VLOOKUP(tblSalaries[[#This Row],[Currency]],Sheet1!$N$4:$Q$186,4,FALSE))</f>
        <v>86964.301093845221</v>
      </c>
      <c r="G269" s="4">
        <f>IF(Dashboard!$J$5=VLOOKUP(tblSalaries[[#This Row],[Currency]],Sheet3!$A$2:$B$31,2,FALSE),tblSalaries[[#This Row],[clean Salary (in local currency)]],(tblSalaries[[#This Row],[PPP Adjusted  USD]]/VLOOKUP(Dashboard!$J$5,Sheet3!$B$2:$C$31,2,FALSE)))</f>
        <v>86964.301093845221</v>
      </c>
      <c r="H269" t="s">
        <v>1523</v>
      </c>
      <c r="I269" t="s">
        <v>692</v>
      </c>
      <c r="J269" t="s">
        <v>687</v>
      </c>
      <c r="K269" t="s">
        <v>617</v>
      </c>
      <c r="L269" t="s">
        <v>3847</v>
      </c>
    </row>
    <row r="270" spans="2:12" ht="15" customHeight="1">
      <c r="B270" t="s">
        <v>1450</v>
      </c>
      <c r="C270">
        <v>110000</v>
      </c>
      <c r="D270" t="s">
        <v>276</v>
      </c>
      <c r="E270">
        <v>108169.76753333595</v>
      </c>
      <c r="F270" s="3">
        <f>(tblSalaries[[#This Row],[clean Salary (in local currency)]])*(VLOOKUP(tblSalaries[[#This Row],[Currency]],Sheet3!$A$2:$C$31,3,FALSE))*(VLOOKUP(tblSalaries[[#This Row],[Currency]],Sheet1!$N$4:$Q$186,4,FALSE))</f>
        <v>86949.082352257916</v>
      </c>
      <c r="G270" s="4">
        <f>IF(Dashboard!$J$5=VLOOKUP(tblSalaries[[#This Row],[Currency]],Sheet3!$A$2:$B$31,2,FALSE),tblSalaries[[#This Row],[clean Salary (in local currency)]],(tblSalaries[[#This Row],[PPP Adjusted  USD]]/VLOOKUP(Dashboard!$J$5,Sheet3!$B$2:$C$31,2,FALSE)))</f>
        <v>86949.082352257916</v>
      </c>
      <c r="H270" t="s">
        <v>1451</v>
      </c>
      <c r="I270" t="s">
        <v>608</v>
      </c>
      <c r="J270" t="s">
        <v>708</v>
      </c>
      <c r="K270" t="s">
        <v>617</v>
      </c>
      <c r="L270" t="s">
        <v>3847</v>
      </c>
    </row>
    <row r="271" spans="2:12" ht="15" customHeight="1">
      <c r="B271" t="s">
        <v>3403</v>
      </c>
      <c r="C271">
        <v>86000</v>
      </c>
      <c r="D271" t="s">
        <v>252</v>
      </c>
      <c r="E271">
        <v>86000</v>
      </c>
      <c r="F271" s="3">
        <f>(tblSalaries[[#This Row],[clean Salary (in local currency)]])*(VLOOKUP(tblSalaries[[#This Row],[Currency]],Sheet3!$A$2:$C$31,3,FALSE))*(VLOOKUP(tblSalaries[[#This Row],[Currency]],Sheet1!$N$4:$Q$186,4,FALSE))</f>
        <v>86000</v>
      </c>
      <c r="G271" s="4">
        <f>IF(Dashboard!$J$5=VLOOKUP(tblSalaries[[#This Row],[Currency]],Sheet3!$A$2:$B$31,2,FALSE),tblSalaries[[#This Row],[clean Salary (in local currency)]],(tblSalaries[[#This Row],[PPP Adjusted  USD]]/VLOOKUP(Dashboard!$J$5,Sheet3!$B$2:$C$31,2,FALSE)))</f>
        <v>86000</v>
      </c>
      <c r="H271" t="s">
        <v>603</v>
      </c>
      <c r="I271" t="s">
        <v>603</v>
      </c>
      <c r="J271" t="s">
        <v>1146</v>
      </c>
      <c r="K271" t="s">
        <v>610</v>
      </c>
      <c r="L271">
        <v>3</v>
      </c>
    </row>
    <row r="272" spans="2:12" ht="15" customHeight="1">
      <c r="B272" t="s">
        <v>1549</v>
      </c>
      <c r="C272">
        <v>58000</v>
      </c>
      <c r="D272" t="s">
        <v>204</v>
      </c>
      <c r="E272">
        <v>91418.339779902482</v>
      </c>
      <c r="F272" s="3">
        <f>(tblSalaries[[#This Row],[clean Salary (in local currency)]])*(VLOOKUP(tblSalaries[[#This Row],[Currency]],Sheet3!$A$2:$C$31,3,FALSE))*(VLOOKUP(tblSalaries[[#This Row],[Currency]],Sheet1!$N$4:$Q$186,4,FALSE))</f>
        <v>85490.329888864799</v>
      </c>
      <c r="G272" s="4">
        <f>IF(Dashboard!$J$5=VLOOKUP(tblSalaries[[#This Row],[Currency]],Sheet3!$A$2:$B$31,2,FALSE),tblSalaries[[#This Row],[clean Salary (in local currency)]],(tblSalaries[[#This Row],[PPP Adjusted  USD]]/VLOOKUP(Dashboard!$J$5,Sheet3!$B$2:$C$31,2,FALSE)))</f>
        <v>85490.329888864799</v>
      </c>
      <c r="H272" t="s">
        <v>1550</v>
      </c>
      <c r="I272" t="s">
        <v>625</v>
      </c>
      <c r="J272" t="s">
        <v>687</v>
      </c>
      <c r="K272" t="s">
        <v>610</v>
      </c>
      <c r="L272" t="s">
        <v>3847</v>
      </c>
    </row>
    <row r="273" spans="2:12" ht="15" customHeight="1">
      <c r="B273" t="s">
        <v>2522</v>
      </c>
      <c r="C273">
        <v>58000</v>
      </c>
      <c r="D273" t="s">
        <v>204</v>
      </c>
      <c r="E273">
        <v>91418.339779902482</v>
      </c>
      <c r="F273" s="3">
        <f>(tblSalaries[[#This Row],[clean Salary (in local currency)]])*(VLOOKUP(tblSalaries[[#This Row],[Currency]],Sheet3!$A$2:$C$31,3,FALSE))*(VLOOKUP(tblSalaries[[#This Row],[Currency]],Sheet1!$N$4:$Q$186,4,FALSE))</f>
        <v>85490.329888864799</v>
      </c>
      <c r="G273" s="4">
        <f>IF(Dashboard!$J$5=VLOOKUP(tblSalaries[[#This Row],[Currency]],Sheet3!$A$2:$B$31,2,FALSE),tblSalaries[[#This Row],[clean Salary (in local currency)]],(tblSalaries[[#This Row],[PPP Adjusted  USD]]/VLOOKUP(Dashboard!$J$5,Sheet3!$B$2:$C$31,2,FALSE)))</f>
        <v>85490.329888864799</v>
      </c>
      <c r="H273" t="s">
        <v>2523</v>
      </c>
      <c r="I273" t="s">
        <v>603</v>
      </c>
      <c r="J273" t="s">
        <v>687</v>
      </c>
      <c r="K273" t="s">
        <v>610</v>
      </c>
      <c r="L273">
        <v>8</v>
      </c>
    </row>
    <row r="274" spans="2:12" ht="15" customHeight="1">
      <c r="B274" t="s">
        <v>1020</v>
      </c>
      <c r="C274">
        <v>1800000</v>
      </c>
      <c r="D274" t="s">
        <v>247</v>
      </c>
      <c r="E274">
        <v>32054.250037396621</v>
      </c>
      <c r="F274" s="3">
        <f>(tblSalaries[[#This Row],[clean Salary (in local currency)]])*(VLOOKUP(tblSalaries[[#This Row],[Currency]],Sheet3!$A$2:$C$31,3,FALSE))*(VLOOKUP(tblSalaries[[#This Row],[Currency]],Sheet1!$N$4:$Q$186,4,FALSE))</f>
        <v>85249.840227657216</v>
      </c>
      <c r="G274" s="4">
        <f>IF(Dashboard!$J$5=VLOOKUP(tblSalaries[[#This Row],[Currency]],Sheet3!$A$2:$B$31,2,FALSE),tblSalaries[[#This Row],[clean Salary (in local currency)]],(tblSalaries[[#This Row],[PPP Adjusted  USD]]/VLOOKUP(Dashboard!$J$5,Sheet3!$B$2:$C$31,2,FALSE)))</f>
        <v>85249.840227657216</v>
      </c>
      <c r="H274" t="s">
        <v>1021</v>
      </c>
      <c r="I274" t="s">
        <v>625</v>
      </c>
      <c r="J274" t="s">
        <v>604</v>
      </c>
      <c r="K274" t="s">
        <v>627</v>
      </c>
      <c r="L274" t="s">
        <v>3847</v>
      </c>
    </row>
    <row r="275" spans="2:12" ht="15" customHeight="1">
      <c r="B275" t="s">
        <v>1740</v>
      </c>
      <c r="C275">
        <v>1800000</v>
      </c>
      <c r="D275" t="s">
        <v>247</v>
      </c>
      <c r="E275">
        <v>32054.250037396621</v>
      </c>
      <c r="F275" s="3">
        <f>(tblSalaries[[#This Row],[clean Salary (in local currency)]])*(VLOOKUP(tblSalaries[[#This Row],[Currency]],Sheet3!$A$2:$C$31,3,FALSE))*(VLOOKUP(tblSalaries[[#This Row],[Currency]],Sheet1!$N$4:$Q$186,4,FALSE))</f>
        <v>85249.840227657216</v>
      </c>
      <c r="G275" s="4">
        <f>IF(Dashboard!$J$5=VLOOKUP(tblSalaries[[#This Row],[Currency]],Sheet3!$A$2:$B$31,2,FALSE),tblSalaries[[#This Row],[clean Salary (in local currency)]],(tblSalaries[[#This Row],[PPP Adjusted  USD]]/VLOOKUP(Dashboard!$J$5,Sheet3!$B$2:$C$31,2,FALSE)))</f>
        <v>85249.840227657216</v>
      </c>
      <c r="H275" t="s">
        <v>1741</v>
      </c>
      <c r="I275" t="s">
        <v>625</v>
      </c>
      <c r="J275" t="s">
        <v>604</v>
      </c>
      <c r="K275" t="s">
        <v>617</v>
      </c>
      <c r="L275">
        <v>10</v>
      </c>
    </row>
    <row r="276" spans="2:12" ht="15" customHeight="1">
      <c r="B276" t="s">
        <v>3343</v>
      </c>
      <c r="C276">
        <v>1800000</v>
      </c>
      <c r="D276" t="s">
        <v>247</v>
      </c>
      <c r="E276">
        <v>32054.250037396621</v>
      </c>
      <c r="F276" s="3">
        <f>(tblSalaries[[#This Row],[clean Salary (in local currency)]])*(VLOOKUP(tblSalaries[[#This Row],[Currency]],Sheet3!$A$2:$C$31,3,FALSE))*(VLOOKUP(tblSalaries[[#This Row],[Currency]],Sheet1!$N$4:$Q$186,4,FALSE))</f>
        <v>85249.840227657216</v>
      </c>
      <c r="G276" s="4">
        <f>IF(Dashboard!$J$5=VLOOKUP(tblSalaries[[#This Row],[Currency]],Sheet3!$A$2:$B$31,2,FALSE),tblSalaries[[#This Row],[clean Salary (in local currency)]],(tblSalaries[[#This Row],[PPP Adjusted  USD]]/VLOOKUP(Dashboard!$J$5,Sheet3!$B$2:$C$31,2,FALSE)))</f>
        <v>85249.840227657216</v>
      </c>
      <c r="H276" t="s">
        <v>987</v>
      </c>
      <c r="I276" t="s">
        <v>603</v>
      </c>
      <c r="J276" t="s">
        <v>604</v>
      </c>
      <c r="K276" t="s">
        <v>610</v>
      </c>
      <c r="L276">
        <v>1</v>
      </c>
    </row>
    <row r="277" spans="2:12" ht="15" customHeight="1">
      <c r="B277" t="s">
        <v>756</v>
      </c>
      <c r="C277">
        <v>85087</v>
      </c>
      <c r="D277" t="s">
        <v>252</v>
      </c>
      <c r="E277">
        <v>85087</v>
      </c>
      <c r="F277" s="3">
        <f>(tblSalaries[[#This Row],[clean Salary (in local currency)]])*(VLOOKUP(tblSalaries[[#This Row],[Currency]],Sheet3!$A$2:$C$31,3,FALSE))*(VLOOKUP(tblSalaries[[#This Row],[Currency]],Sheet1!$N$4:$Q$186,4,FALSE))</f>
        <v>85087</v>
      </c>
      <c r="G277" s="4">
        <f>IF(Dashboard!$J$5=VLOOKUP(tblSalaries[[#This Row],[Currency]],Sheet3!$A$2:$B$31,2,FALSE),tblSalaries[[#This Row],[clean Salary (in local currency)]],(tblSalaries[[#This Row],[PPP Adjusted  USD]]/VLOOKUP(Dashboard!$J$5,Sheet3!$B$2:$C$31,2,FALSE)))</f>
        <v>85087</v>
      </c>
      <c r="H277" t="s">
        <v>757</v>
      </c>
      <c r="I277" t="s">
        <v>603</v>
      </c>
      <c r="J277" t="s">
        <v>613</v>
      </c>
      <c r="K277" t="s">
        <v>617</v>
      </c>
      <c r="L277" t="s">
        <v>3847</v>
      </c>
    </row>
    <row r="278" spans="2:12" ht="15" customHeight="1">
      <c r="B278" t="s">
        <v>649</v>
      </c>
      <c r="C278">
        <v>85000</v>
      </c>
      <c r="D278" t="s">
        <v>252</v>
      </c>
      <c r="E278">
        <v>85000</v>
      </c>
      <c r="F278" s="3">
        <f>(tblSalaries[[#This Row],[clean Salary (in local currency)]])*(VLOOKUP(tblSalaries[[#This Row],[Currency]],Sheet3!$A$2:$C$31,3,FALSE))*(VLOOKUP(tblSalaries[[#This Row],[Currency]],Sheet1!$N$4:$Q$186,4,FALSE))</f>
        <v>85000</v>
      </c>
      <c r="G278" s="4">
        <f>IF(Dashboard!$J$5=VLOOKUP(tblSalaries[[#This Row],[Currency]],Sheet3!$A$2:$B$31,2,FALSE),tblSalaries[[#This Row],[clean Salary (in local currency)]],(tblSalaries[[#This Row],[PPP Adjusted  USD]]/VLOOKUP(Dashboard!$J$5,Sheet3!$B$2:$C$31,2,FALSE)))</f>
        <v>85000</v>
      </c>
      <c r="H278" t="s">
        <v>650</v>
      </c>
      <c r="I278" t="s">
        <v>620</v>
      </c>
      <c r="J278" t="s">
        <v>613</v>
      </c>
      <c r="K278" t="s">
        <v>627</v>
      </c>
      <c r="L278" t="s">
        <v>3847</v>
      </c>
    </row>
    <row r="279" spans="2:12" ht="15" customHeight="1">
      <c r="B279" t="s">
        <v>751</v>
      </c>
      <c r="C279">
        <v>85000</v>
      </c>
      <c r="D279" t="s">
        <v>252</v>
      </c>
      <c r="E279">
        <v>85000</v>
      </c>
      <c r="F279" s="3">
        <f>(tblSalaries[[#This Row],[clean Salary (in local currency)]])*(VLOOKUP(tblSalaries[[#This Row],[Currency]],Sheet3!$A$2:$C$31,3,FALSE))*(VLOOKUP(tblSalaries[[#This Row],[Currency]],Sheet1!$N$4:$Q$186,4,FALSE))</f>
        <v>85000</v>
      </c>
      <c r="G279" s="4">
        <f>IF(Dashboard!$J$5=VLOOKUP(tblSalaries[[#This Row],[Currency]],Sheet3!$A$2:$B$31,2,FALSE),tblSalaries[[#This Row],[clean Salary (in local currency)]],(tblSalaries[[#This Row],[PPP Adjusted  USD]]/VLOOKUP(Dashboard!$J$5,Sheet3!$B$2:$C$31,2,FALSE)))</f>
        <v>85000</v>
      </c>
      <c r="H279" t="s">
        <v>625</v>
      </c>
      <c r="I279" t="s">
        <v>625</v>
      </c>
      <c r="J279" t="s">
        <v>613</v>
      </c>
      <c r="K279" t="s">
        <v>605</v>
      </c>
      <c r="L279" t="s">
        <v>3847</v>
      </c>
    </row>
    <row r="280" spans="2:12" ht="15" customHeight="1">
      <c r="B280" t="s">
        <v>841</v>
      </c>
      <c r="C280">
        <v>85000</v>
      </c>
      <c r="D280" t="s">
        <v>252</v>
      </c>
      <c r="E280">
        <v>85000</v>
      </c>
      <c r="F280" s="3">
        <f>(tblSalaries[[#This Row],[clean Salary (in local currency)]])*(VLOOKUP(tblSalaries[[#This Row],[Currency]],Sheet3!$A$2:$C$31,3,FALSE))*(VLOOKUP(tblSalaries[[#This Row],[Currency]],Sheet1!$N$4:$Q$186,4,FALSE))</f>
        <v>85000</v>
      </c>
      <c r="G280" s="4">
        <f>IF(Dashboard!$J$5=VLOOKUP(tblSalaries[[#This Row],[Currency]],Sheet3!$A$2:$B$31,2,FALSE),tblSalaries[[#This Row],[clean Salary (in local currency)]],(tblSalaries[[#This Row],[PPP Adjusted  USD]]/VLOOKUP(Dashboard!$J$5,Sheet3!$B$2:$C$31,2,FALSE)))</f>
        <v>85000</v>
      </c>
      <c r="H280" t="s">
        <v>842</v>
      </c>
      <c r="I280" t="s">
        <v>603</v>
      </c>
      <c r="J280" t="s">
        <v>613</v>
      </c>
      <c r="K280" t="s">
        <v>605</v>
      </c>
      <c r="L280" t="s">
        <v>3847</v>
      </c>
    </row>
    <row r="281" spans="2:12" ht="15" customHeight="1">
      <c r="B281" t="s">
        <v>853</v>
      </c>
      <c r="C281">
        <v>85000</v>
      </c>
      <c r="D281" t="s">
        <v>252</v>
      </c>
      <c r="E281">
        <v>85000</v>
      </c>
      <c r="F281" s="3">
        <f>(tblSalaries[[#This Row],[clean Salary (in local currency)]])*(VLOOKUP(tblSalaries[[#This Row],[Currency]],Sheet3!$A$2:$C$31,3,FALSE))*(VLOOKUP(tblSalaries[[#This Row],[Currency]],Sheet1!$N$4:$Q$186,4,FALSE))</f>
        <v>85000</v>
      </c>
      <c r="G281" s="4">
        <f>IF(Dashboard!$J$5=VLOOKUP(tblSalaries[[#This Row],[Currency]],Sheet3!$A$2:$B$31,2,FALSE),tblSalaries[[#This Row],[clean Salary (in local currency)]],(tblSalaries[[#This Row],[PPP Adjusted  USD]]/VLOOKUP(Dashboard!$J$5,Sheet3!$B$2:$C$31,2,FALSE)))</f>
        <v>85000</v>
      </c>
      <c r="H281" t="s">
        <v>854</v>
      </c>
      <c r="I281" t="s">
        <v>608</v>
      </c>
      <c r="J281" t="s">
        <v>770</v>
      </c>
      <c r="K281" t="s">
        <v>605</v>
      </c>
      <c r="L281" t="s">
        <v>3847</v>
      </c>
    </row>
    <row r="282" spans="2:12" ht="15" customHeight="1">
      <c r="B282" t="s">
        <v>1200</v>
      </c>
      <c r="C282">
        <v>85000</v>
      </c>
      <c r="D282" t="s">
        <v>252</v>
      </c>
      <c r="E282">
        <v>85000</v>
      </c>
      <c r="F282" s="3">
        <f>(tblSalaries[[#This Row],[clean Salary (in local currency)]])*(VLOOKUP(tblSalaries[[#This Row],[Currency]],Sheet3!$A$2:$C$31,3,FALSE))*(VLOOKUP(tblSalaries[[#This Row],[Currency]],Sheet1!$N$4:$Q$186,4,FALSE))</f>
        <v>85000</v>
      </c>
      <c r="G282" s="4">
        <f>IF(Dashboard!$J$5=VLOOKUP(tblSalaries[[#This Row],[Currency]],Sheet3!$A$2:$B$31,2,FALSE),tblSalaries[[#This Row],[clean Salary (in local currency)]],(tblSalaries[[#This Row],[PPP Adjusted  USD]]/VLOOKUP(Dashboard!$J$5,Sheet3!$B$2:$C$31,2,FALSE)))</f>
        <v>85000</v>
      </c>
      <c r="H282" t="s">
        <v>1201</v>
      </c>
      <c r="I282" t="s">
        <v>608</v>
      </c>
      <c r="J282" t="s">
        <v>613</v>
      </c>
      <c r="K282" t="s">
        <v>610</v>
      </c>
      <c r="L282" t="s">
        <v>3847</v>
      </c>
    </row>
    <row r="283" spans="2:12" ht="15" customHeight="1">
      <c r="B283" t="s">
        <v>1302</v>
      </c>
      <c r="C283">
        <v>85000</v>
      </c>
      <c r="D283" t="s">
        <v>252</v>
      </c>
      <c r="E283">
        <v>85000</v>
      </c>
      <c r="F283" s="3">
        <f>(tblSalaries[[#This Row],[clean Salary (in local currency)]])*(VLOOKUP(tblSalaries[[#This Row],[Currency]],Sheet3!$A$2:$C$31,3,FALSE))*(VLOOKUP(tblSalaries[[#This Row],[Currency]],Sheet1!$N$4:$Q$186,4,FALSE))</f>
        <v>85000</v>
      </c>
      <c r="G283" s="4">
        <f>IF(Dashboard!$J$5=VLOOKUP(tblSalaries[[#This Row],[Currency]],Sheet3!$A$2:$B$31,2,FALSE),tblSalaries[[#This Row],[clean Salary (in local currency)]],(tblSalaries[[#This Row],[PPP Adjusted  USD]]/VLOOKUP(Dashboard!$J$5,Sheet3!$B$2:$C$31,2,FALSE)))</f>
        <v>85000</v>
      </c>
      <c r="H283" t="s">
        <v>1026</v>
      </c>
      <c r="I283" t="s">
        <v>603</v>
      </c>
      <c r="J283" t="s">
        <v>613</v>
      </c>
      <c r="K283" t="s">
        <v>605</v>
      </c>
      <c r="L283" t="s">
        <v>3847</v>
      </c>
    </row>
    <row r="284" spans="2:12" ht="15" customHeight="1">
      <c r="B284" t="s">
        <v>1363</v>
      </c>
      <c r="C284">
        <v>85000</v>
      </c>
      <c r="D284" t="s">
        <v>252</v>
      </c>
      <c r="E284">
        <v>85000</v>
      </c>
      <c r="F284" s="3">
        <f>(tblSalaries[[#This Row],[clean Salary (in local currency)]])*(VLOOKUP(tblSalaries[[#This Row],[Currency]],Sheet3!$A$2:$C$31,3,FALSE))*(VLOOKUP(tblSalaries[[#This Row],[Currency]],Sheet1!$N$4:$Q$186,4,FALSE))</f>
        <v>85000</v>
      </c>
      <c r="G284" s="4">
        <f>IF(Dashboard!$J$5=VLOOKUP(tblSalaries[[#This Row],[Currency]],Sheet3!$A$2:$B$31,2,FALSE),tblSalaries[[#This Row],[clean Salary (in local currency)]],(tblSalaries[[#This Row],[PPP Adjusted  USD]]/VLOOKUP(Dashboard!$J$5,Sheet3!$B$2:$C$31,2,FALSE)))</f>
        <v>85000</v>
      </c>
      <c r="H284" t="s">
        <v>1364</v>
      </c>
      <c r="I284" t="s">
        <v>620</v>
      </c>
      <c r="J284" t="s">
        <v>613</v>
      </c>
      <c r="K284" t="s">
        <v>617</v>
      </c>
      <c r="L284" t="s">
        <v>3847</v>
      </c>
    </row>
    <row r="285" spans="2:12" ht="15" customHeight="1">
      <c r="B285" t="s">
        <v>2056</v>
      </c>
      <c r="C285">
        <v>85000</v>
      </c>
      <c r="D285" t="s">
        <v>252</v>
      </c>
      <c r="E285">
        <v>85000</v>
      </c>
      <c r="F285" s="3">
        <f>(tblSalaries[[#This Row],[clean Salary (in local currency)]])*(VLOOKUP(tblSalaries[[#This Row],[Currency]],Sheet3!$A$2:$C$31,3,FALSE))*(VLOOKUP(tblSalaries[[#This Row],[Currency]],Sheet1!$N$4:$Q$186,4,FALSE))</f>
        <v>85000</v>
      </c>
      <c r="G285" s="4">
        <f>IF(Dashboard!$J$5=VLOOKUP(tblSalaries[[#This Row],[Currency]],Sheet3!$A$2:$B$31,2,FALSE),tblSalaries[[#This Row],[clean Salary (in local currency)]],(tblSalaries[[#This Row],[PPP Adjusted  USD]]/VLOOKUP(Dashboard!$J$5,Sheet3!$B$2:$C$31,2,FALSE)))</f>
        <v>85000</v>
      </c>
      <c r="H285" t="s">
        <v>2057</v>
      </c>
      <c r="I285" t="s">
        <v>633</v>
      </c>
      <c r="J285" t="s">
        <v>613</v>
      </c>
      <c r="K285" t="s">
        <v>605</v>
      </c>
      <c r="L285">
        <v>15</v>
      </c>
    </row>
    <row r="286" spans="2:12" ht="15" customHeight="1">
      <c r="B286" t="s">
        <v>2111</v>
      </c>
      <c r="C286">
        <v>85000</v>
      </c>
      <c r="D286" t="s">
        <v>252</v>
      </c>
      <c r="E286">
        <v>85000</v>
      </c>
      <c r="F286" s="3">
        <f>(tblSalaries[[#This Row],[clean Salary (in local currency)]])*(VLOOKUP(tblSalaries[[#This Row],[Currency]],Sheet3!$A$2:$C$31,3,FALSE))*(VLOOKUP(tblSalaries[[#This Row],[Currency]],Sheet1!$N$4:$Q$186,4,FALSE))</f>
        <v>85000</v>
      </c>
      <c r="G286" s="4">
        <f>IF(Dashboard!$J$5=VLOOKUP(tblSalaries[[#This Row],[Currency]],Sheet3!$A$2:$B$31,2,FALSE),tblSalaries[[#This Row],[clean Salary (in local currency)]],(tblSalaries[[#This Row],[PPP Adjusted  USD]]/VLOOKUP(Dashboard!$J$5,Sheet3!$B$2:$C$31,2,FALSE)))</f>
        <v>85000</v>
      </c>
      <c r="H286" t="s">
        <v>2112</v>
      </c>
      <c r="I286" t="s">
        <v>637</v>
      </c>
      <c r="J286" t="s">
        <v>613</v>
      </c>
      <c r="K286" t="s">
        <v>610</v>
      </c>
      <c r="L286">
        <v>1</v>
      </c>
    </row>
    <row r="287" spans="2:12" ht="15" customHeight="1">
      <c r="B287" t="s">
        <v>2340</v>
      </c>
      <c r="C287">
        <v>85000</v>
      </c>
      <c r="D287" t="s">
        <v>252</v>
      </c>
      <c r="E287">
        <v>85000</v>
      </c>
      <c r="F287" s="3">
        <f>(tblSalaries[[#This Row],[clean Salary (in local currency)]])*(VLOOKUP(tblSalaries[[#This Row],[Currency]],Sheet3!$A$2:$C$31,3,FALSE))*(VLOOKUP(tblSalaries[[#This Row],[Currency]],Sheet1!$N$4:$Q$186,4,FALSE))</f>
        <v>85000</v>
      </c>
      <c r="G287" s="4">
        <f>IF(Dashboard!$J$5=VLOOKUP(tblSalaries[[#This Row],[Currency]],Sheet3!$A$2:$B$31,2,FALSE),tblSalaries[[#This Row],[clean Salary (in local currency)]],(tblSalaries[[#This Row],[PPP Adjusted  USD]]/VLOOKUP(Dashboard!$J$5,Sheet3!$B$2:$C$31,2,FALSE)))</f>
        <v>85000</v>
      </c>
      <c r="H287" t="s">
        <v>2341</v>
      </c>
      <c r="I287" t="s">
        <v>658</v>
      </c>
      <c r="J287" t="s">
        <v>703</v>
      </c>
      <c r="K287" t="s">
        <v>605</v>
      </c>
      <c r="L287">
        <v>8</v>
      </c>
    </row>
    <row r="288" spans="2:12" ht="15" customHeight="1">
      <c r="B288" t="s">
        <v>2764</v>
      </c>
      <c r="C288">
        <v>85000</v>
      </c>
      <c r="D288" t="s">
        <v>252</v>
      </c>
      <c r="E288">
        <v>85000</v>
      </c>
      <c r="F288" s="3">
        <f>(tblSalaries[[#This Row],[clean Salary (in local currency)]])*(VLOOKUP(tblSalaries[[#This Row],[Currency]],Sheet3!$A$2:$C$31,3,FALSE))*(VLOOKUP(tblSalaries[[#This Row],[Currency]],Sheet1!$N$4:$Q$186,4,FALSE))</f>
        <v>85000</v>
      </c>
      <c r="G288" s="4">
        <f>IF(Dashboard!$J$5=VLOOKUP(tblSalaries[[#This Row],[Currency]],Sheet3!$A$2:$B$31,2,FALSE),tblSalaries[[#This Row],[clean Salary (in local currency)]],(tblSalaries[[#This Row],[PPP Adjusted  USD]]/VLOOKUP(Dashboard!$J$5,Sheet3!$B$2:$C$31,2,FALSE)))</f>
        <v>85000</v>
      </c>
      <c r="H288" t="s">
        <v>2765</v>
      </c>
      <c r="I288" t="s">
        <v>603</v>
      </c>
      <c r="J288" t="s">
        <v>613</v>
      </c>
      <c r="K288" t="s">
        <v>605</v>
      </c>
      <c r="L288">
        <v>5</v>
      </c>
    </row>
    <row r="289" spans="2:12" ht="15" customHeight="1">
      <c r="B289" t="s">
        <v>2821</v>
      </c>
      <c r="C289">
        <v>85000</v>
      </c>
      <c r="D289" t="s">
        <v>252</v>
      </c>
      <c r="E289">
        <v>85000</v>
      </c>
      <c r="F289" s="3">
        <f>(tblSalaries[[#This Row],[clean Salary (in local currency)]])*(VLOOKUP(tblSalaries[[#This Row],[Currency]],Sheet3!$A$2:$C$31,3,FALSE))*(VLOOKUP(tblSalaries[[#This Row],[Currency]],Sheet1!$N$4:$Q$186,4,FALSE))</f>
        <v>85000</v>
      </c>
      <c r="G289" s="4">
        <f>IF(Dashboard!$J$5=VLOOKUP(tblSalaries[[#This Row],[Currency]],Sheet3!$A$2:$B$31,2,FALSE),tblSalaries[[#This Row],[clean Salary (in local currency)]],(tblSalaries[[#This Row],[PPP Adjusted  USD]]/VLOOKUP(Dashboard!$J$5,Sheet3!$B$2:$C$31,2,FALSE)))</f>
        <v>85000</v>
      </c>
      <c r="H289" t="s">
        <v>2822</v>
      </c>
      <c r="I289" t="s">
        <v>625</v>
      </c>
      <c r="J289" t="s">
        <v>1738</v>
      </c>
      <c r="K289" t="s">
        <v>610</v>
      </c>
      <c r="L289">
        <v>10</v>
      </c>
    </row>
    <row r="290" spans="2:12" ht="15" customHeight="1">
      <c r="B290" t="s">
        <v>2975</v>
      </c>
      <c r="C290">
        <v>85000</v>
      </c>
      <c r="D290" t="s">
        <v>252</v>
      </c>
      <c r="E290">
        <v>85000</v>
      </c>
      <c r="F290" s="3">
        <f>(tblSalaries[[#This Row],[clean Salary (in local currency)]])*(VLOOKUP(tblSalaries[[#This Row],[Currency]],Sheet3!$A$2:$C$31,3,FALSE))*(VLOOKUP(tblSalaries[[#This Row],[Currency]],Sheet1!$N$4:$Q$186,4,FALSE))</f>
        <v>85000</v>
      </c>
      <c r="G290" s="4">
        <f>IF(Dashboard!$J$5=VLOOKUP(tblSalaries[[#This Row],[Currency]],Sheet3!$A$2:$B$31,2,FALSE),tblSalaries[[#This Row],[clean Salary (in local currency)]],(tblSalaries[[#This Row],[PPP Adjusted  USD]]/VLOOKUP(Dashboard!$J$5,Sheet3!$B$2:$C$31,2,FALSE)))</f>
        <v>85000</v>
      </c>
      <c r="H290" t="s">
        <v>740</v>
      </c>
      <c r="I290" t="s">
        <v>603</v>
      </c>
      <c r="J290" t="s">
        <v>613</v>
      </c>
      <c r="K290" t="s">
        <v>605</v>
      </c>
      <c r="L290">
        <v>17</v>
      </c>
    </row>
    <row r="291" spans="2:12" ht="15" customHeight="1">
      <c r="B291" t="s">
        <v>2980</v>
      </c>
      <c r="C291">
        <v>85000</v>
      </c>
      <c r="D291" t="s">
        <v>252</v>
      </c>
      <c r="E291">
        <v>85000</v>
      </c>
      <c r="F291" s="3">
        <f>(tblSalaries[[#This Row],[clean Salary (in local currency)]])*(VLOOKUP(tblSalaries[[#This Row],[Currency]],Sheet3!$A$2:$C$31,3,FALSE))*(VLOOKUP(tblSalaries[[#This Row],[Currency]],Sheet1!$N$4:$Q$186,4,FALSE))</f>
        <v>85000</v>
      </c>
      <c r="G291" s="4">
        <f>IF(Dashboard!$J$5=VLOOKUP(tblSalaries[[#This Row],[Currency]],Sheet3!$A$2:$B$31,2,FALSE),tblSalaries[[#This Row],[clean Salary (in local currency)]],(tblSalaries[[#This Row],[PPP Adjusted  USD]]/VLOOKUP(Dashboard!$J$5,Sheet3!$B$2:$C$31,2,FALSE)))</f>
        <v>85000</v>
      </c>
      <c r="H291" t="s">
        <v>2981</v>
      </c>
      <c r="I291" t="s">
        <v>620</v>
      </c>
      <c r="J291" t="s">
        <v>613</v>
      </c>
      <c r="K291" t="s">
        <v>617</v>
      </c>
      <c r="L291">
        <v>25</v>
      </c>
    </row>
    <row r="292" spans="2:12" ht="15" customHeight="1">
      <c r="B292" t="s">
        <v>3143</v>
      </c>
      <c r="C292">
        <v>85000</v>
      </c>
      <c r="D292" t="s">
        <v>252</v>
      </c>
      <c r="E292">
        <v>85000</v>
      </c>
      <c r="F292" s="3">
        <f>(tblSalaries[[#This Row],[clean Salary (in local currency)]])*(VLOOKUP(tblSalaries[[#This Row],[Currency]],Sheet3!$A$2:$C$31,3,FALSE))*(VLOOKUP(tblSalaries[[#This Row],[Currency]],Sheet1!$N$4:$Q$186,4,FALSE))</f>
        <v>85000</v>
      </c>
      <c r="G292" s="4">
        <f>IF(Dashboard!$J$5=VLOOKUP(tblSalaries[[#This Row],[Currency]],Sheet3!$A$2:$B$31,2,FALSE),tblSalaries[[#This Row],[clean Salary (in local currency)]],(tblSalaries[[#This Row],[PPP Adjusted  USD]]/VLOOKUP(Dashboard!$J$5,Sheet3!$B$2:$C$31,2,FALSE)))</f>
        <v>85000</v>
      </c>
      <c r="H292" t="s">
        <v>3144</v>
      </c>
      <c r="I292" t="s">
        <v>603</v>
      </c>
      <c r="J292" t="s">
        <v>613</v>
      </c>
      <c r="K292" t="s">
        <v>605</v>
      </c>
      <c r="L292">
        <v>9</v>
      </c>
    </row>
    <row r="293" spans="2:12" ht="15" customHeight="1">
      <c r="B293" t="s">
        <v>3303</v>
      </c>
      <c r="C293">
        <v>85000</v>
      </c>
      <c r="D293" t="s">
        <v>252</v>
      </c>
      <c r="E293">
        <v>85000</v>
      </c>
      <c r="F293" s="3">
        <f>(tblSalaries[[#This Row],[clean Salary (in local currency)]])*(VLOOKUP(tblSalaries[[#This Row],[Currency]],Sheet3!$A$2:$C$31,3,FALSE))*(VLOOKUP(tblSalaries[[#This Row],[Currency]],Sheet1!$N$4:$Q$186,4,FALSE))</f>
        <v>85000</v>
      </c>
      <c r="G293" s="4">
        <f>IF(Dashboard!$J$5=VLOOKUP(tblSalaries[[#This Row],[Currency]],Sheet3!$A$2:$B$31,2,FALSE),tblSalaries[[#This Row],[clean Salary (in local currency)]],(tblSalaries[[#This Row],[PPP Adjusted  USD]]/VLOOKUP(Dashboard!$J$5,Sheet3!$B$2:$C$31,2,FALSE)))</f>
        <v>85000</v>
      </c>
      <c r="H293" t="s">
        <v>3304</v>
      </c>
      <c r="I293" t="s">
        <v>658</v>
      </c>
      <c r="J293" t="s">
        <v>613</v>
      </c>
      <c r="K293" t="s">
        <v>605</v>
      </c>
      <c r="L293">
        <v>10</v>
      </c>
    </row>
    <row r="294" spans="2:12" ht="15" customHeight="1">
      <c r="B294" t="s">
        <v>3353</v>
      </c>
      <c r="C294">
        <v>85000</v>
      </c>
      <c r="D294" t="s">
        <v>252</v>
      </c>
      <c r="E294">
        <v>85000</v>
      </c>
      <c r="F294" s="3">
        <f>(tblSalaries[[#This Row],[clean Salary (in local currency)]])*(VLOOKUP(tblSalaries[[#This Row],[Currency]],Sheet3!$A$2:$C$31,3,FALSE))*(VLOOKUP(tblSalaries[[#This Row],[Currency]],Sheet1!$N$4:$Q$186,4,FALSE))</f>
        <v>85000</v>
      </c>
      <c r="G294" s="4">
        <f>IF(Dashboard!$J$5=VLOOKUP(tblSalaries[[#This Row],[Currency]],Sheet3!$A$2:$B$31,2,FALSE),tblSalaries[[#This Row],[clean Salary (in local currency)]],(tblSalaries[[#This Row],[PPP Adjusted  USD]]/VLOOKUP(Dashboard!$J$5,Sheet3!$B$2:$C$31,2,FALSE)))</f>
        <v>85000</v>
      </c>
      <c r="H294" t="s">
        <v>710</v>
      </c>
      <c r="I294" t="s">
        <v>637</v>
      </c>
      <c r="J294" t="s">
        <v>613</v>
      </c>
      <c r="K294" t="s">
        <v>617</v>
      </c>
      <c r="L294">
        <v>8</v>
      </c>
    </row>
    <row r="295" spans="2:12" ht="15" customHeight="1">
      <c r="B295" t="s">
        <v>3432</v>
      </c>
      <c r="C295">
        <v>85000</v>
      </c>
      <c r="D295" t="s">
        <v>252</v>
      </c>
      <c r="E295">
        <v>85000</v>
      </c>
      <c r="F295" s="3">
        <f>(tblSalaries[[#This Row],[clean Salary (in local currency)]])*(VLOOKUP(tblSalaries[[#This Row],[Currency]],Sheet3!$A$2:$C$31,3,FALSE))*(VLOOKUP(tblSalaries[[#This Row],[Currency]],Sheet1!$N$4:$Q$186,4,FALSE))</f>
        <v>85000</v>
      </c>
      <c r="G295" s="4">
        <f>IF(Dashboard!$J$5=VLOOKUP(tblSalaries[[#This Row],[Currency]],Sheet3!$A$2:$B$31,2,FALSE),tblSalaries[[#This Row],[clean Salary (in local currency)]],(tblSalaries[[#This Row],[PPP Adjusted  USD]]/VLOOKUP(Dashboard!$J$5,Sheet3!$B$2:$C$31,2,FALSE)))</f>
        <v>85000</v>
      </c>
      <c r="H295" t="s">
        <v>3433</v>
      </c>
      <c r="I295" t="s">
        <v>625</v>
      </c>
      <c r="J295" t="s">
        <v>613</v>
      </c>
      <c r="K295" t="s">
        <v>610</v>
      </c>
      <c r="L295">
        <v>10</v>
      </c>
    </row>
    <row r="296" spans="2:12" ht="15" customHeight="1">
      <c r="B296" t="s">
        <v>3472</v>
      </c>
      <c r="C296">
        <v>85000</v>
      </c>
      <c r="D296" t="s">
        <v>252</v>
      </c>
      <c r="E296">
        <v>85000</v>
      </c>
      <c r="F296" s="3">
        <f>(tblSalaries[[#This Row],[clean Salary (in local currency)]])*(VLOOKUP(tblSalaries[[#This Row],[Currency]],Sheet3!$A$2:$C$31,3,FALSE))*(VLOOKUP(tblSalaries[[#This Row],[Currency]],Sheet1!$N$4:$Q$186,4,FALSE))</f>
        <v>85000</v>
      </c>
      <c r="G296" s="4">
        <f>IF(Dashboard!$J$5=VLOOKUP(tblSalaries[[#This Row],[Currency]],Sheet3!$A$2:$B$31,2,FALSE),tblSalaries[[#This Row],[clean Salary (in local currency)]],(tblSalaries[[#This Row],[PPP Adjusted  USD]]/VLOOKUP(Dashboard!$J$5,Sheet3!$B$2:$C$31,2,FALSE)))</f>
        <v>85000</v>
      </c>
      <c r="H296" t="s">
        <v>612</v>
      </c>
      <c r="I296" t="s">
        <v>603</v>
      </c>
      <c r="J296" t="s">
        <v>613</v>
      </c>
      <c r="K296" t="s">
        <v>605</v>
      </c>
      <c r="L296">
        <v>12</v>
      </c>
    </row>
    <row r="297" spans="2:12" ht="15" customHeight="1">
      <c r="B297" t="s">
        <v>3556</v>
      </c>
      <c r="C297">
        <v>85000</v>
      </c>
      <c r="D297" t="s">
        <v>252</v>
      </c>
      <c r="E297">
        <v>85000</v>
      </c>
      <c r="F297" s="3">
        <f>(tblSalaries[[#This Row],[clean Salary (in local currency)]])*(VLOOKUP(tblSalaries[[#This Row],[Currency]],Sheet3!$A$2:$C$31,3,FALSE))*(VLOOKUP(tblSalaries[[#This Row],[Currency]],Sheet1!$N$4:$Q$186,4,FALSE))</f>
        <v>85000</v>
      </c>
      <c r="G297" s="4">
        <f>IF(Dashboard!$J$5=VLOOKUP(tblSalaries[[#This Row],[Currency]],Sheet3!$A$2:$B$31,2,FALSE),tblSalaries[[#This Row],[clean Salary (in local currency)]],(tblSalaries[[#This Row],[PPP Adjusted  USD]]/VLOOKUP(Dashboard!$J$5,Sheet3!$B$2:$C$31,2,FALSE)))</f>
        <v>85000</v>
      </c>
      <c r="H297" t="s">
        <v>873</v>
      </c>
      <c r="I297" t="s">
        <v>637</v>
      </c>
      <c r="J297" t="s">
        <v>613</v>
      </c>
      <c r="K297" t="s">
        <v>605</v>
      </c>
      <c r="L297">
        <v>20</v>
      </c>
    </row>
    <row r="298" spans="2:12" ht="15" customHeight="1">
      <c r="B298" t="s">
        <v>3592</v>
      </c>
      <c r="C298">
        <v>85000</v>
      </c>
      <c r="D298" t="s">
        <v>252</v>
      </c>
      <c r="E298">
        <v>85000</v>
      </c>
      <c r="F298" s="3">
        <f>(tblSalaries[[#This Row],[clean Salary (in local currency)]])*(VLOOKUP(tblSalaries[[#This Row],[Currency]],Sheet3!$A$2:$C$31,3,FALSE))*(VLOOKUP(tblSalaries[[#This Row],[Currency]],Sheet1!$N$4:$Q$186,4,FALSE))</f>
        <v>85000</v>
      </c>
      <c r="G298" s="4">
        <f>IF(Dashboard!$J$5=VLOOKUP(tblSalaries[[#This Row],[Currency]],Sheet3!$A$2:$B$31,2,FALSE),tblSalaries[[#This Row],[clean Salary (in local currency)]],(tblSalaries[[#This Row],[PPP Adjusted  USD]]/VLOOKUP(Dashboard!$J$5,Sheet3!$B$2:$C$31,2,FALSE)))</f>
        <v>85000</v>
      </c>
      <c r="H298" t="s">
        <v>3593</v>
      </c>
      <c r="I298" t="s">
        <v>625</v>
      </c>
      <c r="J298" t="s">
        <v>613</v>
      </c>
      <c r="K298" t="s">
        <v>617</v>
      </c>
      <c r="L298">
        <v>15</v>
      </c>
    </row>
    <row r="299" spans="2:12" ht="15" customHeight="1">
      <c r="B299" t="s">
        <v>3644</v>
      </c>
      <c r="C299">
        <v>85000</v>
      </c>
      <c r="D299" t="s">
        <v>252</v>
      </c>
      <c r="E299">
        <v>85000</v>
      </c>
      <c r="F299" s="3">
        <f>(tblSalaries[[#This Row],[clean Salary (in local currency)]])*(VLOOKUP(tblSalaries[[#This Row],[Currency]],Sheet3!$A$2:$C$31,3,FALSE))*(VLOOKUP(tblSalaries[[#This Row],[Currency]],Sheet1!$N$4:$Q$186,4,FALSE))</f>
        <v>85000</v>
      </c>
      <c r="G299" s="4">
        <f>IF(Dashboard!$J$5=VLOOKUP(tblSalaries[[#This Row],[Currency]],Sheet3!$A$2:$B$31,2,FALSE),tblSalaries[[#This Row],[clean Salary (in local currency)]],(tblSalaries[[#This Row],[PPP Adjusted  USD]]/VLOOKUP(Dashboard!$J$5,Sheet3!$B$2:$C$31,2,FALSE)))</f>
        <v>85000</v>
      </c>
      <c r="H299" t="s">
        <v>3645</v>
      </c>
      <c r="I299" t="s">
        <v>603</v>
      </c>
      <c r="J299" t="s">
        <v>613</v>
      </c>
      <c r="K299" t="s">
        <v>610</v>
      </c>
      <c r="L299">
        <v>3</v>
      </c>
    </row>
    <row r="300" spans="2:12" ht="15" customHeight="1">
      <c r="B300" t="s">
        <v>3713</v>
      </c>
      <c r="C300">
        <v>85000</v>
      </c>
      <c r="D300" t="s">
        <v>252</v>
      </c>
      <c r="E300">
        <v>85000</v>
      </c>
      <c r="F300" s="3">
        <f>(tblSalaries[[#This Row],[clean Salary (in local currency)]])*(VLOOKUP(tblSalaries[[#This Row],[Currency]],Sheet3!$A$2:$C$31,3,FALSE))*(VLOOKUP(tblSalaries[[#This Row],[Currency]],Sheet1!$N$4:$Q$186,4,FALSE))</f>
        <v>85000</v>
      </c>
      <c r="G300" s="4">
        <f>IF(Dashboard!$J$5=VLOOKUP(tblSalaries[[#This Row],[Currency]],Sheet3!$A$2:$B$31,2,FALSE),tblSalaries[[#This Row],[clean Salary (in local currency)]],(tblSalaries[[#This Row],[PPP Adjusted  USD]]/VLOOKUP(Dashboard!$J$5,Sheet3!$B$2:$C$31,2,FALSE)))</f>
        <v>85000</v>
      </c>
      <c r="H300" t="s">
        <v>3714</v>
      </c>
      <c r="I300" t="s">
        <v>633</v>
      </c>
      <c r="J300" t="s">
        <v>613</v>
      </c>
      <c r="K300" t="s">
        <v>617</v>
      </c>
      <c r="L300">
        <v>15</v>
      </c>
    </row>
    <row r="301" spans="2:12" ht="15" customHeight="1">
      <c r="B301" t="s">
        <v>949</v>
      </c>
      <c r="C301">
        <v>107000</v>
      </c>
      <c r="D301" t="s">
        <v>276</v>
      </c>
      <c r="E301">
        <v>105219.68296424497</v>
      </c>
      <c r="F301" s="3">
        <f>(tblSalaries[[#This Row],[clean Salary (in local currency)]])*(VLOOKUP(tblSalaries[[#This Row],[Currency]],Sheet3!$A$2:$C$31,3,FALSE))*(VLOOKUP(tblSalaries[[#This Row],[Currency]],Sheet1!$N$4:$Q$186,4,FALSE))</f>
        <v>84577.743742650884</v>
      </c>
      <c r="G301" s="4">
        <f>IF(Dashboard!$J$5=VLOOKUP(tblSalaries[[#This Row],[Currency]],Sheet3!$A$2:$B$31,2,FALSE),tblSalaries[[#This Row],[clean Salary (in local currency)]],(tblSalaries[[#This Row],[PPP Adjusted  USD]]/VLOOKUP(Dashboard!$J$5,Sheet3!$B$2:$C$31,2,FALSE)))</f>
        <v>84577.743742650884</v>
      </c>
      <c r="H301" t="s">
        <v>950</v>
      </c>
      <c r="I301" t="s">
        <v>625</v>
      </c>
      <c r="J301" t="s">
        <v>708</v>
      </c>
      <c r="K301" t="s">
        <v>617</v>
      </c>
      <c r="L301" t="s">
        <v>3847</v>
      </c>
    </row>
    <row r="302" spans="2:12" ht="15" customHeight="1">
      <c r="B302" t="s">
        <v>1541</v>
      </c>
      <c r="C302">
        <v>84000</v>
      </c>
      <c r="D302" t="s">
        <v>252</v>
      </c>
      <c r="E302">
        <v>84000</v>
      </c>
      <c r="F302" s="3">
        <f>(tblSalaries[[#This Row],[clean Salary (in local currency)]])*(VLOOKUP(tblSalaries[[#This Row],[Currency]],Sheet3!$A$2:$C$31,3,FALSE))*(VLOOKUP(tblSalaries[[#This Row],[Currency]],Sheet1!$N$4:$Q$186,4,FALSE))</f>
        <v>84000</v>
      </c>
      <c r="G302" s="4">
        <f>IF(Dashboard!$J$5=VLOOKUP(tblSalaries[[#This Row],[Currency]],Sheet3!$A$2:$B$31,2,FALSE),tblSalaries[[#This Row],[clean Salary (in local currency)]],(tblSalaries[[#This Row],[PPP Adjusted  USD]]/VLOOKUP(Dashboard!$J$5,Sheet3!$B$2:$C$31,2,FALSE)))</f>
        <v>84000</v>
      </c>
      <c r="H302" t="s">
        <v>740</v>
      </c>
      <c r="I302" t="s">
        <v>603</v>
      </c>
      <c r="J302" t="s">
        <v>613</v>
      </c>
      <c r="K302" t="s">
        <v>610</v>
      </c>
      <c r="L302" t="s">
        <v>3847</v>
      </c>
    </row>
    <row r="303" spans="2:12" ht="15" customHeight="1">
      <c r="B303" t="s">
        <v>2978</v>
      </c>
      <c r="C303">
        <v>83000</v>
      </c>
      <c r="D303" t="s">
        <v>252</v>
      </c>
      <c r="E303">
        <v>83000</v>
      </c>
      <c r="F303" s="3">
        <f>(tblSalaries[[#This Row],[clean Salary (in local currency)]])*(VLOOKUP(tblSalaries[[#This Row],[Currency]],Sheet3!$A$2:$C$31,3,FALSE))*(VLOOKUP(tblSalaries[[#This Row],[Currency]],Sheet1!$N$4:$Q$186,4,FALSE))</f>
        <v>83000</v>
      </c>
      <c r="G303" s="4">
        <f>IF(Dashboard!$J$5=VLOOKUP(tblSalaries[[#This Row],[Currency]],Sheet3!$A$2:$B$31,2,FALSE),tblSalaries[[#This Row],[clean Salary (in local currency)]],(tblSalaries[[#This Row],[PPP Adjusted  USD]]/VLOOKUP(Dashboard!$J$5,Sheet3!$B$2:$C$31,2,FALSE)))</f>
        <v>83000</v>
      </c>
      <c r="H303" t="s">
        <v>2979</v>
      </c>
      <c r="I303" t="s">
        <v>603</v>
      </c>
      <c r="J303" t="s">
        <v>708</v>
      </c>
      <c r="K303" t="s">
        <v>605</v>
      </c>
      <c r="L303">
        <v>12</v>
      </c>
    </row>
    <row r="304" spans="2:12" ht="15" customHeight="1">
      <c r="B304" t="s">
        <v>2298</v>
      </c>
      <c r="C304">
        <v>75000</v>
      </c>
      <c r="D304" t="s">
        <v>200</v>
      </c>
      <c r="E304">
        <v>95279.957924370581</v>
      </c>
      <c r="F304" s="3">
        <f>(tblSalaries[[#This Row],[clean Salary (in local currency)]])*(VLOOKUP(tblSalaries[[#This Row],[Currency]],Sheet3!$A$2:$C$31,3,FALSE))*(VLOOKUP(tblSalaries[[#This Row],[Currency]],Sheet1!$N$4:$Q$186,4,FALSE))</f>
        <v>82548.96644850391</v>
      </c>
      <c r="G304" s="4">
        <f>IF(Dashboard!$J$5=VLOOKUP(tblSalaries[[#This Row],[Currency]],Sheet3!$A$2:$B$31,2,FALSE),tblSalaries[[#This Row],[clean Salary (in local currency)]],(tblSalaries[[#This Row],[PPP Adjusted  USD]]/VLOOKUP(Dashboard!$J$5,Sheet3!$B$2:$C$31,2,FALSE)))</f>
        <v>82548.96644850391</v>
      </c>
      <c r="H304" t="s">
        <v>2299</v>
      </c>
      <c r="I304" t="s">
        <v>603</v>
      </c>
      <c r="J304" t="s">
        <v>722</v>
      </c>
      <c r="K304" t="s">
        <v>605</v>
      </c>
      <c r="L304">
        <v>4</v>
      </c>
    </row>
    <row r="305" spans="2:12" ht="15" customHeight="1">
      <c r="B305" t="s">
        <v>2895</v>
      </c>
      <c r="C305">
        <v>75000</v>
      </c>
      <c r="D305" t="s">
        <v>200</v>
      </c>
      <c r="E305">
        <v>95279.957924370581</v>
      </c>
      <c r="F305" s="3">
        <f>(tblSalaries[[#This Row],[clean Salary (in local currency)]])*(VLOOKUP(tblSalaries[[#This Row],[Currency]],Sheet3!$A$2:$C$31,3,FALSE))*(VLOOKUP(tblSalaries[[#This Row],[Currency]],Sheet1!$N$4:$Q$186,4,FALSE))</f>
        <v>82548.96644850391</v>
      </c>
      <c r="G305" s="4">
        <f>IF(Dashboard!$J$5=VLOOKUP(tblSalaries[[#This Row],[Currency]],Sheet3!$A$2:$B$31,2,FALSE),tblSalaries[[#This Row],[clean Salary (in local currency)]],(tblSalaries[[#This Row],[PPP Adjusted  USD]]/VLOOKUP(Dashboard!$J$5,Sheet3!$B$2:$C$31,2,FALSE)))</f>
        <v>82548.96644850391</v>
      </c>
      <c r="H305" t="s">
        <v>612</v>
      </c>
      <c r="I305" t="s">
        <v>603</v>
      </c>
      <c r="J305" t="s">
        <v>722</v>
      </c>
      <c r="K305" t="s">
        <v>610</v>
      </c>
      <c r="L305">
        <v>16</v>
      </c>
    </row>
    <row r="306" spans="2:12" ht="15" customHeight="1">
      <c r="B306" t="s">
        <v>1593</v>
      </c>
      <c r="C306">
        <v>82300</v>
      </c>
      <c r="D306" t="s">
        <v>252</v>
      </c>
      <c r="E306">
        <v>82300</v>
      </c>
      <c r="F306" s="3">
        <f>(tblSalaries[[#This Row],[clean Salary (in local currency)]])*(VLOOKUP(tblSalaries[[#This Row],[Currency]],Sheet3!$A$2:$C$31,3,FALSE))*(VLOOKUP(tblSalaries[[#This Row],[Currency]],Sheet1!$N$4:$Q$186,4,FALSE))</f>
        <v>82300</v>
      </c>
      <c r="G306" s="4">
        <f>IF(Dashboard!$J$5=VLOOKUP(tblSalaries[[#This Row],[Currency]],Sheet3!$A$2:$B$31,2,FALSE),tblSalaries[[#This Row],[clean Salary (in local currency)]],(tblSalaries[[#This Row],[PPP Adjusted  USD]]/VLOOKUP(Dashboard!$J$5,Sheet3!$B$2:$C$31,2,FALSE)))</f>
        <v>82300</v>
      </c>
      <c r="H306" t="s">
        <v>1594</v>
      </c>
      <c r="I306" t="s">
        <v>625</v>
      </c>
      <c r="J306" t="s">
        <v>613</v>
      </c>
      <c r="K306" t="s">
        <v>617</v>
      </c>
      <c r="L306" t="s">
        <v>3847</v>
      </c>
    </row>
    <row r="307" spans="2:12" ht="15" customHeight="1">
      <c r="B307" t="s">
        <v>2797</v>
      </c>
      <c r="C307">
        <v>82000</v>
      </c>
      <c r="D307" t="s">
        <v>252</v>
      </c>
      <c r="E307">
        <v>82000</v>
      </c>
      <c r="F307" s="3">
        <f>(tblSalaries[[#This Row],[clean Salary (in local currency)]])*(VLOOKUP(tblSalaries[[#This Row],[Currency]],Sheet3!$A$2:$C$31,3,FALSE))*(VLOOKUP(tblSalaries[[#This Row],[Currency]],Sheet1!$N$4:$Q$186,4,FALSE))</f>
        <v>82000</v>
      </c>
      <c r="G307" s="4">
        <f>IF(Dashboard!$J$5=VLOOKUP(tblSalaries[[#This Row],[Currency]],Sheet3!$A$2:$B$31,2,FALSE),tblSalaries[[#This Row],[clean Salary (in local currency)]],(tblSalaries[[#This Row],[PPP Adjusted  USD]]/VLOOKUP(Dashboard!$J$5,Sheet3!$B$2:$C$31,2,FALSE)))</f>
        <v>82000</v>
      </c>
      <c r="H307" t="s">
        <v>2798</v>
      </c>
      <c r="I307" t="s">
        <v>625</v>
      </c>
      <c r="J307" t="s">
        <v>613</v>
      </c>
      <c r="K307" t="s">
        <v>605</v>
      </c>
      <c r="L307">
        <v>10</v>
      </c>
    </row>
    <row r="308" spans="2:12" ht="15" customHeight="1">
      <c r="B308" t="s">
        <v>2887</v>
      </c>
      <c r="C308">
        <v>82000</v>
      </c>
      <c r="D308" t="s">
        <v>252</v>
      </c>
      <c r="E308">
        <v>82000</v>
      </c>
      <c r="F308" s="3">
        <f>(tblSalaries[[#This Row],[clean Salary (in local currency)]])*(VLOOKUP(tblSalaries[[#This Row],[Currency]],Sheet3!$A$2:$C$31,3,FALSE))*(VLOOKUP(tblSalaries[[#This Row],[Currency]],Sheet1!$N$4:$Q$186,4,FALSE))</f>
        <v>82000</v>
      </c>
      <c r="G308" s="4">
        <f>IF(Dashboard!$J$5=VLOOKUP(tblSalaries[[#This Row],[Currency]],Sheet3!$A$2:$B$31,2,FALSE),tblSalaries[[#This Row],[clean Salary (in local currency)]],(tblSalaries[[#This Row],[PPP Adjusted  USD]]/VLOOKUP(Dashboard!$J$5,Sheet3!$B$2:$C$31,2,FALSE)))</f>
        <v>82000</v>
      </c>
      <c r="H308" t="s">
        <v>692</v>
      </c>
      <c r="I308" t="s">
        <v>692</v>
      </c>
      <c r="J308" t="s">
        <v>659</v>
      </c>
      <c r="K308" t="s">
        <v>605</v>
      </c>
      <c r="L308">
        <v>10</v>
      </c>
    </row>
    <row r="309" spans="2:12" ht="15" customHeight="1">
      <c r="B309" t="s">
        <v>2627</v>
      </c>
      <c r="C309">
        <v>81600</v>
      </c>
      <c r="D309" t="s">
        <v>252</v>
      </c>
      <c r="E309">
        <v>81600</v>
      </c>
      <c r="F309" s="3">
        <f>(tblSalaries[[#This Row],[clean Salary (in local currency)]])*(VLOOKUP(tblSalaries[[#This Row],[Currency]],Sheet3!$A$2:$C$31,3,FALSE))*(VLOOKUP(tblSalaries[[#This Row],[Currency]],Sheet1!$N$4:$Q$186,4,FALSE))</f>
        <v>81600</v>
      </c>
      <c r="G309" s="4">
        <f>IF(Dashboard!$J$5=VLOOKUP(tblSalaries[[#This Row],[Currency]],Sheet3!$A$2:$B$31,2,FALSE),tblSalaries[[#This Row],[clean Salary (in local currency)]],(tblSalaries[[#This Row],[PPP Adjusted  USD]]/VLOOKUP(Dashboard!$J$5,Sheet3!$B$2:$C$31,2,FALSE)))</f>
        <v>81600</v>
      </c>
      <c r="H309" t="s">
        <v>2628</v>
      </c>
      <c r="I309" t="s">
        <v>603</v>
      </c>
      <c r="J309" t="s">
        <v>687</v>
      </c>
      <c r="K309" t="s">
        <v>605</v>
      </c>
      <c r="L309">
        <v>4</v>
      </c>
    </row>
    <row r="310" spans="2:12" ht="15" customHeight="1">
      <c r="B310" t="s">
        <v>1678</v>
      </c>
      <c r="C310">
        <v>130000</v>
      </c>
      <c r="D310" t="s">
        <v>224</v>
      </c>
      <c r="E310">
        <v>132588.25533234264</v>
      </c>
      <c r="F310" s="3">
        <f>(tblSalaries[[#This Row],[clean Salary (in local currency)]])*(VLOOKUP(tblSalaries[[#This Row],[Currency]],Sheet3!$A$2:$C$31,3,FALSE))*(VLOOKUP(tblSalaries[[#This Row],[Currency]],Sheet1!$N$4:$Q$186,4,FALSE))</f>
        <v>81472.827565819432</v>
      </c>
      <c r="G310" s="4">
        <f>IF(Dashboard!$J$5=VLOOKUP(tblSalaries[[#This Row],[Currency]],Sheet3!$A$2:$B$31,2,FALSE),tblSalaries[[#This Row],[clean Salary (in local currency)]],(tblSalaries[[#This Row],[PPP Adjusted  USD]]/VLOOKUP(Dashboard!$J$5,Sheet3!$B$2:$C$31,2,FALSE)))</f>
        <v>81472.827565819432</v>
      </c>
      <c r="H310" t="s">
        <v>637</v>
      </c>
      <c r="I310" t="s">
        <v>637</v>
      </c>
      <c r="J310" t="s">
        <v>703</v>
      </c>
      <c r="K310" t="s">
        <v>617</v>
      </c>
      <c r="L310">
        <v>27</v>
      </c>
    </row>
    <row r="311" spans="2:12" ht="15" customHeight="1">
      <c r="B311" t="s">
        <v>2079</v>
      </c>
      <c r="C311">
        <v>55000</v>
      </c>
      <c r="D311" t="s">
        <v>204</v>
      </c>
      <c r="E311">
        <v>86689.804963700633</v>
      </c>
      <c r="F311" s="3">
        <f>(tblSalaries[[#This Row],[clean Salary (in local currency)]])*(VLOOKUP(tblSalaries[[#This Row],[Currency]],Sheet3!$A$2:$C$31,3,FALSE))*(VLOOKUP(tblSalaries[[#This Row],[Currency]],Sheet1!$N$4:$Q$186,4,FALSE))</f>
        <v>81068.416273923518</v>
      </c>
      <c r="G311" s="4">
        <f>IF(Dashboard!$J$5=VLOOKUP(tblSalaries[[#This Row],[Currency]],Sheet3!$A$2:$B$31,2,FALSE),tblSalaries[[#This Row],[clean Salary (in local currency)]],(tblSalaries[[#This Row],[PPP Adjusted  USD]]/VLOOKUP(Dashboard!$J$5,Sheet3!$B$2:$C$31,2,FALSE)))</f>
        <v>81068.416273923518</v>
      </c>
      <c r="H311" t="s">
        <v>2080</v>
      </c>
      <c r="I311" t="s">
        <v>608</v>
      </c>
      <c r="J311" t="s">
        <v>687</v>
      </c>
      <c r="K311" t="s">
        <v>605</v>
      </c>
      <c r="L311">
        <v>12</v>
      </c>
    </row>
    <row r="312" spans="2:12" ht="15" customHeight="1">
      <c r="B312" t="s">
        <v>2500</v>
      </c>
      <c r="C312">
        <v>55000</v>
      </c>
      <c r="D312" t="s">
        <v>204</v>
      </c>
      <c r="E312">
        <v>86689.804963700633</v>
      </c>
      <c r="F312" s="3">
        <f>(tblSalaries[[#This Row],[clean Salary (in local currency)]])*(VLOOKUP(tblSalaries[[#This Row],[Currency]],Sheet3!$A$2:$C$31,3,FALSE))*(VLOOKUP(tblSalaries[[#This Row],[Currency]],Sheet1!$N$4:$Q$186,4,FALSE))</f>
        <v>81068.416273923518</v>
      </c>
      <c r="G312" s="4">
        <f>IF(Dashboard!$J$5=VLOOKUP(tblSalaries[[#This Row],[Currency]],Sheet3!$A$2:$B$31,2,FALSE),tblSalaries[[#This Row],[clean Salary (in local currency)]],(tblSalaries[[#This Row],[PPP Adjusted  USD]]/VLOOKUP(Dashboard!$J$5,Sheet3!$B$2:$C$31,2,FALSE)))</f>
        <v>81068.416273923518</v>
      </c>
      <c r="H312" t="s">
        <v>906</v>
      </c>
      <c r="I312" t="s">
        <v>633</v>
      </c>
      <c r="J312" t="s">
        <v>687</v>
      </c>
      <c r="K312" t="s">
        <v>617</v>
      </c>
      <c r="L312">
        <v>22</v>
      </c>
    </row>
    <row r="313" spans="2:12" ht="15" customHeight="1">
      <c r="B313" t="s">
        <v>798</v>
      </c>
      <c r="C313">
        <v>81000</v>
      </c>
      <c r="D313" t="s">
        <v>252</v>
      </c>
      <c r="E313">
        <v>81000</v>
      </c>
      <c r="F313" s="3">
        <f>(tblSalaries[[#This Row],[clean Salary (in local currency)]])*(VLOOKUP(tblSalaries[[#This Row],[Currency]],Sheet3!$A$2:$C$31,3,FALSE))*(VLOOKUP(tblSalaries[[#This Row],[Currency]],Sheet1!$N$4:$Q$186,4,FALSE))</f>
        <v>81000</v>
      </c>
      <c r="G313" s="4">
        <f>IF(Dashboard!$J$5=VLOOKUP(tblSalaries[[#This Row],[Currency]],Sheet3!$A$2:$B$31,2,FALSE),tblSalaries[[#This Row],[clean Salary (in local currency)]],(tblSalaries[[#This Row],[PPP Adjusted  USD]]/VLOOKUP(Dashboard!$J$5,Sheet3!$B$2:$C$31,2,FALSE)))</f>
        <v>81000</v>
      </c>
      <c r="H313" t="s">
        <v>799</v>
      </c>
      <c r="I313" t="s">
        <v>692</v>
      </c>
      <c r="J313" t="s">
        <v>687</v>
      </c>
      <c r="K313" t="s">
        <v>605</v>
      </c>
      <c r="L313" t="s">
        <v>3847</v>
      </c>
    </row>
    <row r="314" spans="2:12" ht="15" customHeight="1">
      <c r="B314" t="s">
        <v>3042</v>
      </c>
      <c r="C314">
        <v>81000</v>
      </c>
      <c r="D314" t="s">
        <v>252</v>
      </c>
      <c r="E314">
        <v>81000</v>
      </c>
      <c r="F314" s="3">
        <f>(tblSalaries[[#This Row],[clean Salary (in local currency)]])*(VLOOKUP(tblSalaries[[#This Row],[Currency]],Sheet3!$A$2:$C$31,3,FALSE))*(VLOOKUP(tblSalaries[[#This Row],[Currency]],Sheet1!$N$4:$Q$186,4,FALSE))</f>
        <v>81000</v>
      </c>
      <c r="G314" s="4">
        <f>IF(Dashboard!$J$5=VLOOKUP(tblSalaries[[#This Row],[Currency]],Sheet3!$A$2:$B$31,2,FALSE),tblSalaries[[#This Row],[clean Salary (in local currency)]],(tblSalaries[[#This Row],[PPP Adjusted  USD]]/VLOOKUP(Dashboard!$J$5,Sheet3!$B$2:$C$31,2,FALSE)))</f>
        <v>81000</v>
      </c>
      <c r="H314" t="s">
        <v>3043</v>
      </c>
      <c r="I314" t="s">
        <v>625</v>
      </c>
      <c r="J314" t="s">
        <v>613</v>
      </c>
      <c r="K314" t="s">
        <v>627</v>
      </c>
      <c r="L314">
        <v>12</v>
      </c>
    </row>
    <row r="315" spans="2:12" ht="15" customHeight="1">
      <c r="B315" t="s">
        <v>3493</v>
      </c>
      <c r="C315">
        <v>81000</v>
      </c>
      <c r="D315" t="s">
        <v>252</v>
      </c>
      <c r="E315">
        <v>81000</v>
      </c>
      <c r="F315" s="3">
        <f>(tblSalaries[[#This Row],[clean Salary (in local currency)]])*(VLOOKUP(tblSalaries[[#This Row],[Currency]],Sheet3!$A$2:$C$31,3,FALSE))*(VLOOKUP(tblSalaries[[#This Row],[Currency]],Sheet1!$N$4:$Q$186,4,FALSE))</f>
        <v>81000</v>
      </c>
      <c r="G315" s="4">
        <f>IF(Dashboard!$J$5=VLOOKUP(tblSalaries[[#This Row],[Currency]],Sheet3!$A$2:$B$31,2,FALSE),tblSalaries[[#This Row],[clean Salary (in local currency)]],(tblSalaries[[#This Row],[PPP Adjusted  USD]]/VLOOKUP(Dashboard!$J$5,Sheet3!$B$2:$C$31,2,FALSE)))</f>
        <v>81000</v>
      </c>
      <c r="H315" t="s">
        <v>3494</v>
      </c>
      <c r="I315" t="s">
        <v>603</v>
      </c>
      <c r="J315" t="s">
        <v>613</v>
      </c>
      <c r="K315" t="s">
        <v>605</v>
      </c>
      <c r="L315">
        <v>6</v>
      </c>
    </row>
    <row r="316" spans="2:12" ht="15" customHeight="1">
      <c r="B316" t="s">
        <v>2089</v>
      </c>
      <c r="C316">
        <v>1700000</v>
      </c>
      <c r="D316" t="s">
        <v>247</v>
      </c>
      <c r="E316">
        <v>30273.458368652366</v>
      </c>
      <c r="F316" s="3">
        <f>(tblSalaries[[#This Row],[clean Salary (in local currency)]])*(VLOOKUP(tblSalaries[[#This Row],[Currency]],Sheet3!$A$2:$C$31,3,FALSE))*(VLOOKUP(tblSalaries[[#This Row],[Currency]],Sheet1!$N$4:$Q$186,4,FALSE))</f>
        <v>80513.73799278737</v>
      </c>
      <c r="G316" s="4">
        <f>IF(Dashboard!$J$5=VLOOKUP(tblSalaries[[#This Row],[Currency]],Sheet3!$A$2:$B$31,2,FALSE),tblSalaries[[#This Row],[clean Salary (in local currency)]],(tblSalaries[[#This Row],[PPP Adjusted  USD]]/VLOOKUP(Dashboard!$J$5,Sheet3!$B$2:$C$31,2,FALSE)))</f>
        <v>80513.73799278737</v>
      </c>
      <c r="H316" t="s">
        <v>2090</v>
      </c>
      <c r="I316" t="s">
        <v>625</v>
      </c>
      <c r="J316" t="s">
        <v>604</v>
      </c>
      <c r="K316" t="s">
        <v>610</v>
      </c>
      <c r="L316">
        <v>1.1000000000000001</v>
      </c>
    </row>
    <row r="317" spans="2:12" ht="15" customHeight="1">
      <c r="B317" t="s">
        <v>3318</v>
      </c>
      <c r="C317">
        <v>1700000</v>
      </c>
      <c r="D317" t="s">
        <v>247</v>
      </c>
      <c r="E317">
        <v>30273.458368652366</v>
      </c>
      <c r="F317" s="3">
        <f>(tblSalaries[[#This Row],[clean Salary (in local currency)]])*(VLOOKUP(tblSalaries[[#This Row],[Currency]],Sheet3!$A$2:$C$31,3,FALSE))*(VLOOKUP(tblSalaries[[#This Row],[Currency]],Sheet1!$N$4:$Q$186,4,FALSE))</f>
        <v>80513.73799278737</v>
      </c>
      <c r="G317" s="4">
        <f>IF(Dashboard!$J$5=VLOOKUP(tblSalaries[[#This Row],[Currency]],Sheet3!$A$2:$B$31,2,FALSE),tblSalaries[[#This Row],[clean Salary (in local currency)]],(tblSalaries[[#This Row],[PPP Adjusted  USD]]/VLOOKUP(Dashboard!$J$5,Sheet3!$B$2:$C$31,2,FALSE)))</f>
        <v>80513.73799278737</v>
      </c>
      <c r="H317" t="s">
        <v>3319</v>
      </c>
      <c r="I317" t="s">
        <v>633</v>
      </c>
      <c r="J317" t="s">
        <v>604</v>
      </c>
      <c r="K317" t="s">
        <v>605</v>
      </c>
      <c r="L317">
        <v>6</v>
      </c>
    </row>
    <row r="318" spans="2:12" ht="15" customHeight="1">
      <c r="B318" t="s">
        <v>3054</v>
      </c>
      <c r="C318">
        <v>80442</v>
      </c>
      <c r="D318" t="s">
        <v>252</v>
      </c>
      <c r="E318">
        <v>80442</v>
      </c>
      <c r="F318" s="3">
        <f>(tblSalaries[[#This Row],[clean Salary (in local currency)]])*(VLOOKUP(tblSalaries[[#This Row],[Currency]],Sheet3!$A$2:$C$31,3,FALSE))*(VLOOKUP(tblSalaries[[#This Row],[Currency]],Sheet1!$N$4:$Q$186,4,FALSE))</f>
        <v>80442</v>
      </c>
      <c r="G318" s="4">
        <f>IF(Dashboard!$J$5=VLOOKUP(tblSalaries[[#This Row],[Currency]],Sheet3!$A$2:$B$31,2,FALSE),tblSalaries[[#This Row],[clean Salary (in local currency)]],(tblSalaries[[#This Row],[PPP Adjusted  USD]]/VLOOKUP(Dashboard!$J$5,Sheet3!$B$2:$C$31,2,FALSE)))</f>
        <v>80442</v>
      </c>
      <c r="H318" t="s">
        <v>3055</v>
      </c>
      <c r="I318" t="s">
        <v>603</v>
      </c>
      <c r="J318" t="s">
        <v>613</v>
      </c>
      <c r="K318" t="s">
        <v>605</v>
      </c>
      <c r="L318">
        <v>16</v>
      </c>
    </row>
    <row r="319" spans="2:12" ht="15" customHeight="1">
      <c r="B319" t="s">
        <v>822</v>
      </c>
      <c r="C319">
        <v>80000</v>
      </c>
      <c r="D319" t="s">
        <v>252</v>
      </c>
      <c r="E319">
        <v>80000</v>
      </c>
      <c r="F319" s="3">
        <f>(tblSalaries[[#This Row],[clean Salary (in local currency)]])*(VLOOKUP(tblSalaries[[#This Row],[Currency]],Sheet3!$A$2:$C$31,3,FALSE))*(VLOOKUP(tblSalaries[[#This Row],[Currency]],Sheet1!$N$4:$Q$186,4,FALSE))</f>
        <v>80000</v>
      </c>
      <c r="G319" s="4">
        <f>IF(Dashboard!$J$5=VLOOKUP(tblSalaries[[#This Row],[Currency]],Sheet3!$A$2:$B$31,2,FALSE),tblSalaries[[#This Row],[clean Salary (in local currency)]],(tblSalaries[[#This Row],[PPP Adjusted  USD]]/VLOOKUP(Dashboard!$J$5,Sheet3!$B$2:$C$31,2,FALSE)))</f>
        <v>80000</v>
      </c>
      <c r="H319" t="s">
        <v>823</v>
      </c>
      <c r="I319" t="s">
        <v>603</v>
      </c>
      <c r="J319" t="s">
        <v>613</v>
      </c>
      <c r="K319" t="s">
        <v>605</v>
      </c>
      <c r="L319" t="s">
        <v>3847</v>
      </c>
    </row>
    <row r="320" spans="2:12" ht="15" customHeight="1">
      <c r="B320" t="s">
        <v>871</v>
      </c>
      <c r="C320">
        <v>80000</v>
      </c>
      <c r="D320" t="s">
        <v>252</v>
      </c>
      <c r="E320">
        <v>80000</v>
      </c>
      <c r="F320" s="3">
        <f>(tblSalaries[[#This Row],[clean Salary (in local currency)]])*(VLOOKUP(tblSalaries[[#This Row],[Currency]],Sheet3!$A$2:$C$31,3,FALSE))*(VLOOKUP(tblSalaries[[#This Row],[Currency]],Sheet1!$N$4:$Q$186,4,FALSE))</f>
        <v>80000</v>
      </c>
      <c r="G320" s="4">
        <f>IF(Dashboard!$J$5=VLOOKUP(tblSalaries[[#This Row],[Currency]],Sheet3!$A$2:$B$31,2,FALSE),tblSalaries[[#This Row],[clean Salary (in local currency)]],(tblSalaries[[#This Row],[PPP Adjusted  USD]]/VLOOKUP(Dashboard!$J$5,Sheet3!$B$2:$C$31,2,FALSE)))</f>
        <v>80000</v>
      </c>
      <c r="H320" t="s">
        <v>612</v>
      </c>
      <c r="I320" t="s">
        <v>603</v>
      </c>
      <c r="J320" t="s">
        <v>613</v>
      </c>
      <c r="K320" t="s">
        <v>605</v>
      </c>
      <c r="L320" t="s">
        <v>3847</v>
      </c>
    </row>
    <row r="321" spans="2:12" ht="15" customHeight="1">
      <c r="B321" t="s">
        <v>915</v>
      </c>
      <c r="C321">
        <v>80000</v>
      </c>
      <c r="D321" t="s">
        <v>252</v>
      </c>
      <c r="E321">
        <v>80000</v>
      </c>
      <c r="F321" s="3">
        <f>(tblSalaries[[#This Row],[clean Salary (in local currency)]])*(VLOOKUP(tblSalaries[[#This Row],[Currency]],Sheet3!$A$2:$C$31,3,FALSE))*(VLOOKUP(tblSalaries[[#This Row],[Currency]],Sheet1!$N$4:$Q$186,4,FALSE))</f>
        <v>80000</v>
      </c>
      <c r="G321" s="4">
        <f>IF(Dashboard!$J$5=VLOOKUP(tblSalaries[[#This Row],[Currency]],Sheet3!$A$2:$B$31,2,FALSE),tblSalaries[[#This Row],[clean Salary (in local currency)]],(tblSalaries[[#This Row],[PPP Adjusted  USD]]/VLOOKUP(Dashboard!$J$5,Sheet3!$B$2:$C$31,2,FALSE)))</f>
        <v>80000</v>
      </c>
      <c r="H321" t="s">
        <v>916</v>
      </c>
      <c r="I321" t="s">
        <v>603</v>
      </c>
      <c r="J321" t="s">
        <v>613</v>
      </c>
      <c r="K321" t="s">
        <v>617</v>
      </c>
      <c r="L321" t="s">
        <v>3847</v>
      </c>
    </row>
    <row r="322" spans="2:12" ht="15" customHeight="1">
      <c r="B322" t="s">
        <v>955</v>
      </c>
      <c r="C322">
        <v>80000</v>
      </c>
      <c r="D322" t="s">
        <v>252</v>
      </c>
      <c r="E322">
        <v>80000</v>
      </c>
      <c r="F322" s="3">
        <f>(tblSalaries[[#This Row],[clean Salary (in local currency)]])*(VLOOKUP(tblSalaries[[#This Row],[Currency]],Sheet3!$A$2:$C$31,3,FALSE))*(VLOOKUP(tblSalaries[[#This Row],[Currency]],Sheet1!$N$4:$Q$186,4,FALSE))</f>
        <v>80000</v>
      </c>
      <c r="G322" s="4">
        <f>IF(Dashboard!$J$5=VLOOKUP(tblSalaries[[#This Row],[Currency]],Sheet3!$A$2:$B$31,2,FALSE),tblSalaries[[#This Row],[clean Salary (in local currency)]],(tblSalaries[[#This Row],[PPP Adjusted  USD]]/VLOOKUP(Dashboard!$J$5,Sheet3!$B$2:$C$31,2,FALSE)))</f>
        <v>80000</v>
      </c>
      <c r="H322" t="s">
        <v>956</v>
      </c>
      <c r="I322" t="s">
        <v>692</v>
      </c>
      <c r="J322" t="s">
        <v>613</v>
      </c>
      <c r="K322" t="s">
        <v>605</v>
      </c>
      <c r="L322" t="s">
        <v>3847</v>
      </c>
    </row>
    <row r="323" spans="2:12" ht="15" customHeight="1">
      <c r="B323" t="s">
        <v>994</v>
      </c>
      <c r="C323">
        <v>80000</v>
      </c>
      <c r="D323" t="s">
        <v>252</v>
      </c>
      <c r="E323">
        <v>80000</v>
      </c>
      <c r="F323" s="3">
        <f>(tblSalaries[[#This Row],[clean Salary (in local currency)]])*(VLOOKUP(tblSalaries[[#This Row],[Currency]],Sheet3!$A$2:$C$31,3,FALSE))*(VLOOKUP(tblSalaries[[#This Row],[Currency]],Sheet1!$N$4:$Q$186,4,FALSE))</f>
        <v>80000</v>
      </c>
      <c r="G323" s="4">
        <f>IF(Dashboard!$J$5=VLOOKUP(tblSalaries[[#This Row],[Currency]],Sheet3!$A$2:$B$31,2,FALSE),tblSalaries[[#This Row],[clean Salary (in local currency)]],(tblSalaries[[#This Row],[PPP Adjusted  USD]]/VLOOKUP(Dashboard!$J$5,Sheet3!$B$2:$C$31,2,FALSE)))</f>
        <v>80000</v>
      </c>
      <c r="H323" t="s">
        <v>995</v>
      </c>
      <c r="I323" t="s">
        <v>625</v>
      </c>
      <c r="J323" t="s">
        <v>613</v>
      </c>
      <c r="K323" t="s">
        <v>617</v>
      </c>
      <c r="L323" t="s">
        <v>3847</v>
      </c>
    </row>
    <row r="324" spans="2:12" ht="15" customHeight="1">
      <c r="B324" t="s">
        <v>1042</v>
      </c>
      <c r="C324">
        <v>80000</v>
      </c>
      <c r="D324" t="s">
        <v>252</v>
      </c>
      <c r="E324">
        <v>80000</v>
      </c>
      <c r="F324" s="3">
        <f>(tblSalaries[[#This Row],[clean Salary (in local currency)]])*(VLOOKUP(tblSalaries[[#This Row],[Currency]],Sheet3!$A$2:$C$31,3,FALSE))*(VLOOKUP(tblSalaries[[#This Row],[Currency]],Sheet1!$N$4:$Q$186,4,FALSE))</f>
        <v>80000</v>
      </c>
      <c r="G324" s="4">
        <f>IF(Dashboard!$J$5=VLOOKUP(tblSalaries[[#This Row],[Currency]],Sheet3!$A$2:$B$31,2,FALSE),tblSalaries[[#This Row],[clean Salary (in local currency)]],(tblSalaries[[#This Row],[PPP Adjusted  USD]]/VLOOKUP(Dashboard!$J$5,Sheet3!$B$2:$C$31,2,FALSE)))</f>
        <v>80000</v>
      </c>
      <c r="H324" t="s">
        <v>784</v>
      </c>
      <c r="I324" t="s">
        <v>603</v>
      </c>
      <c r="J324" t="s">
        <v>613</v>
      </c>
      <c r="K324" t="s">
        <v>605</v>
      </c>
      <c r="L324" t="s">
        <v>3847</v>
      </c>
    </row>
    <row r="325" spans="2:12" ht="15" customHeight="1">
      <c r="B325" t="s">
        <v>1059</v>
      </c>
      <c r="C325">
        <v>80000</v>
      </c>
      <c r="D325" t="s">
        <v>252</v>
      </c>
      <c r="E325">
        <v>80000</v>
      </c>
      <c r="F325" s="3">
        <f>(tblSalaries[[#This Row],[clean Salary (in local currency)]])*(VLOOKUP(tblSalaries[[#This Row],[Currency]],Sheet3!$A$2:$C$31,3,FALSE))*(VLOOKUP(tblSalaries[[#This Row],[Currency]],Sheet1!$N$4:$Q$186,4,FALSE))</f>
        <v>80000</v>
      </c>
      <c r="G325" s="4">
        <f>IF(Dashboard!$J$5=VLOOKUP(tblSalaries[[#This Row],[Currency]],Sheet3!$A$2:$B$31,2,FALSE),tblSalaries[[#This Row],[clean Salary (in local currency)]],(tblSalaries[[#This Row],[PPP Adjusted  USD]]/VLOOKUP(Dashboard!$J$5,Sheet3!$B$2:$C$31,2,FALSE)))</f>
        <v>80000</v>
      </c>
      <c r="H325" t="s">
        <v>740</v>
      </c>
      <c r="I325" t="s">
        <v>603</v>
      </c>
      <c r="J325" t="s">
        <v>613</v>
      </c>
      <c r="K325" t="s">
        <v>605</v>
      </c>
      <c r="L325" t="s">
        <v>3847</v>
      </c>
    </row>
    <row r="326" spans="2:12" ht="15" customHeight="1">
      <c r="B326" t="s">
        <v>1095</v>
      </c>
      <c r="C326">
        <v>80000</v>
      </c>
      <c r="D326" t="s">
        <v>252</v>
      </c>
      <c r="E326">
        <v>80000</v>
      </c>
      <c r="F326" s="3">
        <f>(tblSalaries[[#This Row],[clean Salary (in local currency)]])*(VLOOKUP(tblSalaries[[#This Row],[Currency]],Sheet3!$A$2:$C$31,3,FALSE))*(VLOOKUP(tblSalaries[[#This Row],[Currency]],Sheet1!$N$4:$Q$186,4,FALSE))</f>
        <v>80000</v>
      </c>
      <c r="G326" s="4">
        <f>IF(Dashboard!$J$5=VLOOKUP(tblSalaries[[#This Row],[Currency]],Sheet3!$A$2:$B$31,2,FALSE),tblSalaries[[#This Row],[clean Salary (in local currency)]],(tblSalaries[[#This Row],[PPP Adjusted  USD]]/VLOOKUP(Dashboard!$J$5,Sheet3!$B$2:$C$31,2,FALSE)))</f>
        <v>80000</v>
      </c>
      <c r="H326" t="s">
        <v>603</v>
      </c>
      <c r="I326" t="s">
        <v>603</v>
      </c>
      <c r="J326" t="s">
        <v>613</v>
      </c>
      <c r="K326" t="s">
        <v>605</v>
      </c>
      <c r="L326" t="s">
        <v>3847</v>
      </c>
    </row>
    <row r="327" spans="2:12" ht="15" customHeight="1">
      <c r="B327" t="s">
        <v>1140</v>
      </c>
      <c r="C327">
        <v>80000</v>
      </c>
      <c r="D327" t="s">
        <v>252</v>
      </c>
      <c r="E327">
        <v>80000</v>
      </c>
      <c r="F327" s="3">
        <f>(tblSalaries[[#This Row],[clean Salary (in local currency)]])*(VLOOKUP(tblSalaries[[#This Row],[Currency]],Sheet3!$A$2:$C$31,3,FALSE))*(VLOOKUP(tblSalaries[[#This Row],[Currency]],Sheet1!$N$4:$Q$186,4,FALSE))</f>
        <v>80000</v>
      </c>
      <c r="G327" s="4">
        <f>IF(Dashboard!$J$5=VLOOKUP(tblSalaries[[#This Row],[Currency]],Sheet3!$A$2:$B$31,2,FALSE),tblSalaries[[#This Row],[clean Salary (in local currency)]],(tblSalaries[[#This Row],[PPP Adjusted  USD]]/VLOOKUP(Dashboard!$J$5,Sheet3!$B$2:$C$31,2,FALSE)))</f>
        <v>80000</v>
      </c>
      <c r="H327" t="s">
        <v>1141</v>
      </c>
      <c r="I327" t="s">
        <v>633</v>
      </c>
      <c r="J327" t="s">
        <v>613</v>
      </c>
      <c r="K327" t="s">
        <v>617</v>
      </c>
      <c r="L327" t="s">
        <v>3847</v>
      </c>
    </row>
    <row r="328" spans="2:12" ht="15" customHeight="1">
      <c r="B328" t="s">
        <v>1148</v>
      </c>
      <c r="C328">
        <v>80000</v>
      </c>
      <c r="D328" t="s">
        <v>252</v>
      </c>
      <c r="E328">
        <v>80000</v>
      </c>
      <c r="F328" s="3">
        <f>(tblSalaries[[#This Row],[clean Salary (in local currency)]])*(VLOOKUP(tblSalaries[[#This Row],[Currency]],Sheet3!$A$2:$C$31,3,FALSE))*(VLOOKUP(tblSalaries[[#This Row],[Currency]],Sheet1!$N$4:$Q$186,4,FALSE))</f>
        <v>80000</v>
      </c>
      <c r="G328" s="4">
        <f>IF(Dashboard!$J$5=VLOOKUP(tblSalaries[[#This Row],[Currency]],Sheet3!$A$2:$B$31,2,FALSE),tblSalaries[[#This Row],[clean Salary (in local currency)]],(tblSalaries[[#This Row],[PPP Adjusted  USD]]/VLOOKUP(Dashboard!$J$5,Sheet3!$B$2:$C$31,2,FALSE)))</f>
        <v>80000</v>
      </c>
      <c r="H328" t="s">
        <v>1149</v>
      </c>
      <c r="I328" t="s">
        <v>625</v>
      </c>
      <c r="J328" t="s">
        <v>613</v>
      </c>
      <c r="K328" t="s">
        <v>617</v>
      </c>
      <c r="L328" t="s">
        <v>3847</v>
      </c>
    </row>
    <row r="329" spans="2:12" ht="15" customHeight="1">
      <c r="B329" t="s">
        <v>1446</v>
      </c>
      <c r="C329">
        <v>80000</v>
      </c>
      <c r="D329" t="s">
        <v>252</v>
      </c>
      <c r="E329">
        <v>80000</v>
      </c>
      <c r="F329" s="3">
        <f>(tblSalaries[[#This Row],[clean Salary (in local currency)]])*(VLOOKUP(tblSalaries[[#This Row],[Currency]],Sheet3!$A$2:$C$31,3,FALSE))*(VLOOKUP(tblSalaries[[#This Row],[Currency]],Sheet1!$N$4:$Q$186,4,FALSE))</f>
        <v>80000</v>
      </c>
      <c r="G329" s="4">
        <f>IF(Dashboard!$J$5=VLOOKUP(tblSalaries[[#This Row],[Currency]],Sheet3!$A$2:$B$31,2,FALSE),tblSalaries[[#This Row],[clean Salary (in local currency)]],(tblSalaries[[#This Row],[PPP Adjusted  USD]]/VLOOKUP(Dashboard!$J$5,Sheet3!$B$2:$C$31,2,FALSE)))</f>
        <v>80000</v>
      </c>
      <c r="H329" t="s">
        <v>1447</v>
      </c>
      <c r="I329" t="s">
        <v>603</v>
      </c>
      <c r="J329" t="s">
        <v>613</v>
      </c>
      <c r="K329" t="s">
        <v>605</v>
      </c>
      <c r="L329" t="s">
        <v>3847</v>
      </c>
    </row>
    <row r="330" spans="2:12" ht="15" customHeight="1">
      <c r="B330" t="s">
        <v>1472</v>
      </c>
      <c r="C330">
        <v>80000</v>
      </c>
      <c r="D330" t="s">
        <v>252</v>
      </c>
      <c r="E330">
        <v>80000</v>
      </c>
      <c r="F330" s="3">
        <f>(tblSalaries[[#This Row],[clean Salary (in local currency)]])*(VLOOKUP(tblSalaries[[#This Row],[Currency]],Sheet3!$A$2:$C$31,3,FALSE))*(VLOOKUP(tblSalaries[[#This Row],[Currency]],Sheet1!$N$4:$Q$186,4,FALSE))</f>
        <v>80000</v>
      </c>
      <c r="G330" s="4">
        <f>IF(Dashboard!$J$5=VLOOKUP(tblSalaries[[#This Row],[Currency]],Sheet3!$A$2:$B$31,2,FALSE),tblSalaries[[#This Row],[clean Salary (in local currency)]],(tblSalaries[[#This Row],[PPP Adjusted  USD]]/VLOOKUP(Dashboard!$J$5,Sheet3!$B$2:$C$31,2,FALSE)))</f>
        <v>80000</v>
      </c>
      <c r="H330" t="s">
        <v>1473</v>
      </c>
      <c r="I330" t="s">
        <v>625</v>
      </c>
      <c r="J330" t="s">
        <v>613</v>
      </c>
      <c r="K330" t="s">
        <v>627</v>
      </c>
      <c r="L330" t="s">
        <v>3847</v>
      </c>
    </row>
    <row r="331" spans="2:12" ht="15" customHeight="1">
      <c r="B331" t="s">
        <v>1631</v>
      </c>
      <c r="C331">
        <v>80000</v>
      </c>
      <c r="D331" t="s">
        <v>252</v>
      </c>
      <c r="E331">
        <v>80000</v>
      </c>
      <c r="F331" s="3">
        <f>(tblSalaries[[#This Row],[clean Salary (in local currency)]])*(VLOOKUP(tblSalaries[[#This Row],[Currency]],Sheet3!$A$2:$C$31,3,FALSE))*(VLOOKUP(tblSalaries[[#This Row],[Currency]],Sheet1!$N$4:$Q$186,4,FALSE))</f>
        <v>80000</v>
      </c>
      <c r="G331" s="4">
        <f>IF(Dashboard!$J$5=VLOOKUP(tblSalaries[[#This Row],[Currency]],Sheet3!$A$2:$B$31,2,FALSE),tblSalaries[[#This Row],[clean Salary (in local currency)]],(tblSalaries[[#This Row],[PPP Adjusted  USD]]/VLOOKUP(Dashboard!$J$5,Sheet3!$B$2:$C$31,2,FALSE)))</f>
        <v>80000</v>
      </c>
      <c r="H331" t="s">
        <v>1632</v>
      </c>
      <c r="I331" t="s">
        <v>603</v>
      </c>
      <c r="J331" t="s">
        <v>613</v>
      </c>
      <c r="K331" t="s">
        <v>610</v>
      </c>
      <c r="L331" t="s">
        <v>3847</v>
      </c>
    </row>
    <row r="332" spans="2:12" ht="15" customHeight="1">
      <c r="B332" t="s">
        <v>1742</v>
      </c>
      <c r="C332">
        <v>80000</v>
      </c>
      <c r="D332" t="s">
        <v>252</v>
      </c>
      <c r="E332">
        <v>80000</v>
      </c>
      <c r="F332" s="3">
        <f>(tblSalaries[[#This Row],[clean Salary (in local currency)]])*(VLOOKUP(tblSalaries[[#This Row],[Currency]],Sheet3!$A$2:$C$31,3,FALSE))*(VLOOKUP(tblSalaries[[#This Row],[Currency]],Sheet1!$N$4:$Q$186,4,FALSE))</f>
        <v>80000</v>
      </c>
      <c r="G332" s="4">
        <f>IF(Dashboard!$J$5=VLOOKUP(tblSalaries[[#This Row],[Currency]],Sheet3!$A$2:$B$31,2,FALSE),tblSalaries[[#This Row],[clean Salary (in local currency)]],(tblSalaries[[#This Row],[PPP Adjusted  USD]]/VLOOKUP(Dashboard!$J$5,Sheet3!$B$2:$C$31,2,FALSE)))</f>
        <v>80000</v>
      </c>
      <c r="H332" t="s">
        <v>1743</v>
      </c>
      <c r="I332" t="s">
        <v>608</v>
      </c>
      <c r="J332" t="s">
        <v>613</v>
      </c>
      <c r="K332" t="s">
        <v>605</v>
      </c>
      <c r="L332">
        <v>15</v>
      </c>
    </row>
    <row r="333" spans="2:12" ht="15" customHeight="1">
      <c r="B333" t="s">
        <v>1772</v>
      </c>
      <c r="C333">
        <v>80000</v>
      </c>
      <c r="D333" t="s">
        <v>252</v>
      </c>
      <c r="E333">
        <v>80000</v>
      </c>
      <c r="F333" s="3">
        <f>(tblSalaries[[#This Row],[clean Salary (in local currency)]])*(VLOOKUP(tblSalaries[[#This Row],[Currency]],Sheet3!$A$2:$C$31,3,FALSE))*(VLOOKUP(tblSalaries[[#This Row],[Currency]],Sheet1!$N$4:$Q$186,4,FALSE))</f>
        <v>80000</v>
      </c>
      <c r="G333" s="4">
        <f>IF(Dashboard!$J$5=VLOOKUP(tblSalaries[[#This Row],[Currency]],Sheet3!$A$2:$B$31,2,FALSE),tblSalaries[[#This Row],[clean Salary (in local currency)]],(tblSalaries[[#This Row],[PPP Adjusted  USD]]/VLOOKUP(Dashboard!$J$5,Sheet3!$B$2:$C$31,2,FALSE)))</f>
        <v>80000</v>
      </c>
      <c r="H333" t="s">
        <v>1773</v>
      </c>
      <c r="I333" t="s">
        <v>625</v>
      </c>
      <c r="J333" t="s">
        <v>613</v>
      </c>
      <c r="K333" t="s">
        <v>605</v>
      </c>
      <c r="L333">
        <v>8</v>
      </c>
    </row>
    <row r="334" spans="2:12" ht="15" customHeight="1">
      <c r="B334" t="s">
        <v>2684</v>
      </c>
      <c r="C334">
        <v>80000</v>
      </c>
      <c r="D334" t="s">
        <v>252</v>
      </c>
      <c r="E334">
        <v>80000</v>
      </c>
      <c r="F334" s="3">
        <f>(tblSalaries[[#This Row],[clean Salary (in local currency)]])*(VLOOKUP(tblSalaries[[#This Row],[Currency]],Sheet3!$A$2:$C$31,3,FALSE))*(VLOOKUP(tblSalaries[[#This Row],[Currency]],Sheet1!$N$4:$Q$186,4,FALSE))</f>
        <v>80000</v>
      </c>
      <c r="G334" s="4">
        <f>IF(Dashboard!$J$5=VLOOKUP(tblSalaries[[#This Row],[Currency]],Sheet3!$A$2:$B$31,2,FALSE),tblSalaries[[#This Row],[clean Salary (in local currency)]],(tblSalaries[[#This Row],[PPP Adjusted  USD]]/VLOOKUP(Dashboard!$J$5,Sheet3!$B$2:$C$31,2,FALSE)))</f>
        <v>80000</v>
      </c>
      <c r="H334" t="s">
        <v>2685</v>
      </c>
      <c r="I334" t="s">
        <v>603</v>
      </c>
      <c r="J334" t="s">
        <v>613</v>
      </c>
      <c r="K334" t="s">
        <v>605</v>
      </c>
      <c r="L334">
        <v>6</v>
      </c>
    </row>
    <row r="335" spans="2:12" ht="15" customHeight="1">
      <c r="B335" t="s">
        <v>2730</v>
      </c>
      <c r="C335">
        <v>80000</v>
      </c>
      <c r="D335" t="s">
        <v>252</v>
      </c>
      <c r="E335">
        <v>80000</v>
      </c>
      <c r="F335" s="3">
        <f>(tblSalaries[[#This Row],[clean Salary (in local currency)]])*(VLOOKUP(tblSalaries[[#This Row],[Currency]],Sheet3!$A$2:$C$31,3,FALSE))*(VLOOKUP(tblSalaries[[#This Row],[Currency]],Sheet1!$N$4:$Q$186,4,FALSE))</f>
        <v>80000</v>
      </c>
      <c r="G335" s="4">
        <f>IF(Dashboard!$J$5=VLOOKUP(tblSalaries[[#This Row],[Currency]],Sheet3!$A$2:$B$31,2,FALSE),tblSalaries[[#This Row],[clean Salary (in local currency)]],(tblSalaries[[#This Row],[PPP Adjusted  USD]]/VLOOKUP(Dashboard!$J$5,Sheet3!$B$2:$C$31,2,FALSE)))</f>
        <v>80000</v>
      </c>
      <c r="H335" t="s">
        <v>2731</v>
      </c>
      <c r="I335" t="s">
        <v>603</v>
      </c>
      <c r="J335" t="s">
        <v>1035</v>
      </c>
      <c r="K335" t="s">
        <v>627</v>
      </c>
      <c r="L335">
        <v>6</v>
      </c>
    </row>
    <row r="336" spans="2:12" ht="15" customHeight="1">
      <c r="B336" t="s">
        <v>2852</v>
      </c>
      <c r="C336">
        <v>80000</v>
      </c>
      <c r="D336" t="s">
        <v>252</v>
      </c>
      <c r="E336">
        <v>80000</v>
      </c>
      <c r="F336" s="3">
        <f>(tblSalaries[[#This Row],[clean Salary (in local currency)]])*(VLOOKUP(tblSalaries[[#This Row],[Currency]],Sheet3!$A$2:$C$31,3,FALSE))*(VLOOKUP(tblSalaries[[#This Row],[Currency]],Sheet1!$N$4:$Q$186,4,FALSE))</f>
        <v>80000</v>
      </c>
      <c r="G336" s="4">
        <f>IF(Dashboard!$J$5=VLOOKUP(tblSalaries[[#This Row],[Currency]],Sheet3!$A$2:$B$31,2,FALSE),tblSalaries[[#This Row],[clean Salary (in local currency)]],(tblSalaries[[#This Row],[PPP Adjusted  USD]]/VLOOKUP(Dashboard!$J$5,Sheet3!$B$2:$C$31,2,FALSE)))</f>
        <v>80000</v>
      </c>
      <c r="H336" t="s">
        <v>625</v>
      </c>
      <c r="I336" t="s">
        <v>625</v>
      </c>
      <c r="J336" t="s">
        <v>613</v>
      </c>
      <c r="K336" t="s">
        <v>627</v>
      </c>
      <c r="L336">
        <v>6</v>
      </c>
    </row>
    <row r="337" spans="2:12" ht="15" customHeight="1">
      <c r="B337" t="s">
        <v>2928</v>
      </c>
      <c r="C337">
        <v>80000</v>
      </c>
      <c r="D337" t="s">
        <v>252</v>
      </c>
      <c r="E337">
        <v>80000</v>
      </c>
      <c r="F337" s="3">
        <f>(tblSalaries[[#This Row],[clean Salary (in local currency)]])*(VLOOKUP(tblSalaries[[#This Row],[Currency]],Sheet3!$A$2:$C$31,3,FALSE))*(VLOOKUP(tblSalaries[[#This Row],[Currency]],Sheet1!$N$4:$Q$186,4,FALSE))</f>
        <v>80000</v>
      </c>
      <c r="G337" s="4">
        <f>IF(Dashboard!$J$5=VLOOKUP(tblSalaries[[#This Row],[Currency]],Sheet3!$A$2:$B$31,2,FALSE),tblSalaries[[#This Row],[clean Salary (in local currency)]],(tblSalaries[[#This Row],[PPP Adjusted  USD]]/VLOOKUP(Dashboard!$J$5,Sheet3!$B$2:$C$31,2,FALSE)))</f>
        <v>80000</v>
      </c>
      <c r="H337" t="s">
        <v>2547</v>
      </c>
      <c r="I337" t="s">
        <v>603</v>
      </c>
      <c r="J337" t="s">
        <v>613</v>
      </c>
      <c r="K337" t="s">
        <v>627</v>
      </c>
      <c r="L337">
        <v>14</v>
      </c>
    </row>
    <row r="338" spans="2:12" ht="15" customHeight="1">
      <c r="B338" t="s">
        <v>2961</v>
      </c>
      <c r="C338">
        <v>80000</v>
      </c>
      <c r="D338" t="s">
        <v>252</v>
      </c>
      <c r="E338">
        <v>80000</v>
      </c>
      <c r="F338" s="3">
        <f>(tblSalaries[[#This Row],[clean Salary (in local currency)]])*(VLOOKUP(tblSalaries[[#This Row],[Currency]],Sheet3!$A$2:$C$31,3,FALSE))*(VLOOKUP(tblSalaries[[#This Row],[Currency]],Sheet1!$N$4:$Q$186,4,FALSE))</f>
        <v>80000</v>
      </c>
      <c r="G338" s="4">
        <f>IF(Dashboard!$J$5=VLOOKUP(tblSalaries[[#This Row],[Currency]],Sheet3!$A$2:$B$31,2,FALSE),tblSalaries[[#This Row],[clean Salary (in local currency)]],(tblSalaries[[#This Row],[PPP Adjusted  USD]]/VLOOKUP(Dashboard!$J$5,Sheet3!$B$2:$C$31,2,FALSE)))</f>
        <v>80000</v>
      </c>
      <c r="H338" t="s">
        <v>2962</v>
      </c>
      <c r="I338" t="s">
        <v>625</v>
      </c>
      <c r="J338" t="s">
        <v>613</v>
      </c>
      <c r="K338" t="s">
        <v>605</v>
      </c>
      <c r="L338">
        <v>10</v>
      </c>
    </row>
    <row r="339" spans="2:12" ht="15" customHeight="1">
      <c r="B339" t="s">
        <v>3014</v>
      </c>
      <c r="C339">
        <v>80000</v>
      </c>
      <c r="D339" t="s">
        <v>252</v>
      </c>
      <c r="E339">
        <v>80000</v>
      </c>
      <c r="F339" s="3">
        <f>(tblSalaries[[#This Row],[clean Salary (in local currency)]])*(VLOOKUP(tblSalaries[[#This Row],[Currency]],Sheet3!$A$2:$C$31,3,FALSE))*(VLOOKUP(tblSalaries[[#This Row],[Currency]],Sheet1!$N$4:$Q$186,4,FALSE))</f>
        <v>80000</v>
      </c>
      <c r="G339" s="4">
        <f>IF(Dashboard!$J$5=VLOOKUP(tblSalaries[[#This Row],[Currency]],Sheet3!$A$2:$B$31,2,FALSE),tblSalaries[[#This Row],[clean Salary (in local currency)]],(tblSalaries[[#This Row],[PPP Adjusted  USD]]/VLOOKUP(Dashboard!$J$5,Sheet3!$B$2:$C$31,2,FALSE)))</f>
        <v>80000</v>
      </c>
      <c r="H339" t="s">
        <v>3015</v>
      </c>
      <c r="I339" t="s">
        <v>692</v>
      </c>
      <c r="J339" t="s">
        <v>613</v>
      </c>
      <c r="K339" t="s">
        <v>617</v>
      </c>
      <c r="L339">
        <v>8</v>
      </c>
    </row>
    <row r="340" spans="2:12" ht="15" customHeight="1">
      <c r="B340" t="s">
        <v>3068</v>
      </c>
      <c r="C340">
        <v>80000</v>
      </c>
      <c r="D340" t="s">
        <v>252</v>
      </c>
      <c r="E340">
        <v>80000</v>
      </c>
      <c r="F340" s="3">
        <f>(tblSalaries[[#This Row],[clean Salary (in local currency)]])*(VLOOKUP(tblSalaries[[#This Row],[Currency]],Sheet3!$A$2:$C$31,3,FALSE))*(VLOOKUP(tblSalaries[[#This Row],[Currency]],Sheet1!$N$4:$Q$186,4,FALSE))</f>
        <v>80000</v>
      </c>
      <c r="G340" s="4">
        <f>IF(Dashboard!$J$5=VLOOKUP(tblSalaries[[#This Row],[Currency]],Sheet3!$A$2:$B$31,2,FALSE),tblSalaries[[#This Row],[clean Salary (in local currency)]],(tblSalaries[[#This Row],[PPP Adjusted  USD]]/VLOOKUP(Dashboard!$J$5,Sheet3!$B$2:$C$31,2,FALSE)))</f>
        <v>80000</v>
      </c>
      <c r="H340" t="s">
        <v>3069</v>
      </c>
      <c r="I340" t="s">
        <v>603</v>
      </c>
      <c r="J340" t="s">
        <v>613</v>
      </c>
      <c r="K340" t="s">
        <v>605</v>
      </c>
      <c r="L340">
        <v>20</v>
      </c>
    </row>
    <row r="341" spans="2:12" ht="15" customHeight="1">
      <c r="B341" t="s">
        <v>3449</v>
      </c>
      <c r="C341">
        <v>80000</v>
      </c>
      <c r="D341" t="s">
        <v>252</v>
      </c>
      <c r="E341">
        <v>80000</v>
      </c>
      <c r="F341" s="3">
        <f>(tblSalaries[[#This Row],[clean Salary (in local currency)]])*(VLOOKUP(tblSalaries[[#This Row],[Currency]],Sheet3!$A$2:$C$31,3,FALSE))*(VLOOKUP(tblSalaries[[#This Row],[Currency]],Sheet1!$N$4:$Q$186,4,FALSE))</f>
        <v>80000</v>
      </c>
      <c r="G341" s="4">
        <f>IF(Dashboard!$J$5=VLOOKUP(tblSalaries[[#This Row],[Currency]],Sheet3!$A$2:$B$31,2,FALSE),tblSalaries[[#This Row],[clean Salary (in local currency)]],(tblSalaries[[#This Row],[PPP Adjusted  USD]]/VLOOKUP(Dashboard!$J$5,Sheet3!$B$2:$C$31,2,FALSE)))</f>
        <v>80000</v>
      </c>
      <c r="H341" t="s">
        <v>3450</v>
      </c>
      <c r="I341" t="s">
        <v>640</v>
      </c>
      <c r="J341" t="s">
        <v>613</v>
      </c>
      <c r="K341" t="s">
        <v>617</v>
      </c>
      <c r="L341">
        <v>2</v>
      </c>
    </row>
    <row r="342" spans="2:12" ht="15" customHeight="1">
      <c r="B342" t="s">
        <v>3552</v>
      </c>
      <c r="C342">
        <v>80000</v>
      </c>
      <c r="D342" t="s">
        <v>252</v>
      </c>
      <c r="E342">
        <v>80000</v>
      </c>
      <c r="F342" s="3">
        <f>(tblSalaries[[#This Row],[clean Salary (in local currency)]])*(VLOOKUP(tblSalaries[[#This Row],[Currency]],Sheet3!$A$2:$C$31,3,FALSE))*(VLOOKUP(tblSalaries[[#This Row],[Currency]],Sheet1!$N$4:$Q$186,4,FALSE))</f>
        <v>80000</v>
      </c>
      <c r="G342" s="4">
        <f>IF(Dashboard!$J$5=VLOOKUP(tblSalaries[[#This Row],[Currency]],Sheet3!$A$2:$B$31,2,FALSE),tblSalaries[[#This Row],[clean Salary (in local currency)]],(tblSalaries[[#This Row],[PPP Adjusted  USD]]/VLOOKUP(Dashboard!$J$5,Sheet3!$B$2:$C$31,2,FALSE)))</f>
        <v>80000</v>
      </c>
      <c r="H342" t="s">
        <v>3553</v>
      </c>
      <c r="I342" t="s">
        <v>625</v>
      </c>
      <c r="J342" t="s">
        <v>613</v>
      </c>
      <c r="K342" t="s">
        <v>605</v>
      </c>
      <c r="L342">
        <v>7</v>
      </c>
    </row>
    <row r="343" spans="2:12" ht="15" customHeight="1">
      <c r="B343" t="s">
        <v>3594</v>
      </c>
      <c r="C343">
        <v>80000</v>
      </c>
      <c r="D343" t="s">
        <v>252</v>
      </c>
      <c r="E343">
        <v>80000</v>
      </c>
      <c r="F343" s="3">
        <f>(tblSalaries[[#This Row],[clean Salary (in local currency)]])*(VLOOKUP(tblSalaries[[#This Row],[Currency]],Sheet3!$A$2:$C$31,3,FALSE))*(VLOOKUP(tblSalaries[[#This Row],[Currency]],Sheet1!$N$4:$Q$186,4,FALSE))</f>
        <v>80000</v>
      </c>
      <c r="G343" s="4">
        <f>IF(Dashboard!$J$5=VLOOKUP(tblSalaries[[#This Row],[Currency]],Sheet3!$A$2:$B$31,2,FALSE),tblSalaries[[#This Row],[clean Salary (in local currency)]],(tblSalaries[[#This Row],[PPP Adjusted  USD]]/VLOOKUP(Dashboard!$J$5,Sheet3!$B$2:$C$31,2,FALSE)))</f>
        <v>80000</v>
      </c>
      <c r="H343" t="s">
        <v>620</v>
      </c>
      <c r="I343" t="s">
        <v>620</v>
      </c>
      <c r="J343" t="s">
        <v>795</v>
      </c>
      <c r="K343" t="s">
        <v>627</v>
      </c>
      <c r="L343">
        <v>9</v>
      </c>
    </row>
    <row r="344" spans="2:12" ht="15" customHeight="1">
      <c r="B344" t="s">
        <v>3661</v>
      </c>
      <c r="C344">
        <v>80000</v>
      </c>
      <c r="D344" t="s">
        <v>252</v>
      </c>
      <c r="E344">
        <v>80000</v>
      </c>
      <c r="F344" s="3">
        <f>(tblSalaries[[#This Row],[clean Salary (in local currency)]])*(VLOOKUP(tblSalaries[[#This Row],[Currency]],Sheet3!$A$2:$C$31,3,FALSE))*(VLOOKUP(tblSalaries[[#This Row],[Currency]],Sheet1!$N$4:$Q$186,4,FALSE))</f>
        <v>80000</v>
      </c>
      <c r="G344" s="4">
        <f>IF(Dashboard!$J$5=VLOOKUP(tblSalaries[[#This Row],[Currency]],Sheet3!$A$2:$B$31,2,FALSE),tblSalaries[[#This Row],[clean Salary (in local currency)]],(tblSalaries[[#This Row],[PPP Adjusted  USD]]/VLOOKUP(Dashboard!$J$5,Sheet3!$B$2:$C$31,2,FALSE)))</f>
        <v>80000</v>
      </c>
      <c r="H344" t="s">
        <v>3662</v>
      </c>
      <c r="I344" t="s">
        <v>625</v>
      </c>
      <c r="J344" t="s">
        <v>613</v>
      </c>
      <c r="K344" t="s">
        <v>605</v>
      </c>
      <c r="L344">
        <v>2</v>
      </c>
    </row>
    <row r="345" spans="2:12" ht="15" customHeight="1">
      <c r="B345" t="s">
        <v>3698</v>
      </c>
      <c r="C345">
        <v>80000</v>
      </c>
      <c r="D345" t="s">
        <v>252</v>
      </c>
      <c r="E345">
        <v>80000</v>
      </c>
      <c r="F345" s="3">
        <f>(tblSalaries[[#This Row],[clean Salary (in local currency)]])*(VLOOKUP(tblSalaries[[#This Row],[Currency]],Sheet3!$A$2:$C$31,3,FALSE))*(VLOOKUP(tblSalaries[[#This Row],[Currency]],Sheet1!$N$4:$Q$186,4,FALSE))</f>
        <v>80000</v>
      </c>
      <c r="G345" s="4">
        <f>IF(Dashboard!$J$5=VLOOKUP(tblSalaries[[#This Row],[Currency]],Sheet3!$A$2:$B$31,2,FALSE),tblSalaries[[#This Row],[clean Salary (in local currency)]],(tblSalaries[[#This Row],[PPP Adjusted  USD]]/VLOOKUP(Dashboard!$J$5,Sheet3!$B$2:$C$31,2,FALSE)))</f>
        <v>80000</v>
      </c>
      <c r="H345" t="s">
        <v>3699</v>
      </c>
      <c r="I345" t="s">
        <v>608</v>
      </c>
      <c r="J345" t="s">
        <v>613</v>
      </c>
      <c r="K345" t="s">
        <v>605</v>
      </c>
      <c r="L345">
        <v>9</v>
      </c>
    </row>
    <row r="346" spans="2:12" ht="15" customHeight="1">
      <c r="B346" t="s">
        <v>3603</v>
      </c>
      <c r="C346">
        <v>72000</v>
      </c>
      <c r="D346" t="s">
        <v>200</v>
      </c>
      <c r="E346">
        <v>91468.759607395754</v>
      </c>
      <c r="F346" s="3">
        <f>(tblSalaries[[#This Row],[clean Salary (in local currency)]])*(VLOOKUP(tblSalaries[[#This Row],[Currency]],Sheet3!$A$2:$C$31,3,FALSE))*(VLOOKUP(tblSalaries[[#This Row],[Currency]],Sheet1!$N$4:$Q$186,4,FALSE))</f>
        <v>79247.007790563744</v>
      </c>
      <c r="G346" s="4">
        <f>IF(Dashboard!$J$5=VLOOKUP(tblSalaries[[#This Row],[Currency]],Sheet3!$A$2:$B$31,2,FALSE),tblSalaries[[#This Row],[clean Salary (in local currency)]],(tblSalaries[[#This Row],[PPP Adjusted  USD]]/VLOOKUP(Dashboard!$J$5,Sheet3!$B$2:$C$31,2,FALSE)))</f>
        <v>79247.007790563744</v>
      </c>
      <c r="H346" t="s">
        <v>3604</v>
      </c>
      <c r="I346" t="s">
        <v>625</v>
      </c>
      <c r="J346" t="s">
        <v>609</v>
      </c>
      <c r="K346" t="s">
        <v>627</v>
      </c>
      <c r="L346">
        <v>3</v>
      </c>
    </row>
    <row r="347" spans="2:12" ht="15" customHeight="1">
      <c r="B347" t="s">
        <v>3574</v>
      </c>
      <c r="C347">
        <v>140000</v>
      </c>
      <c r="D347" t="s">
        <v>407</v>
      </c>
      <c r="E347">
        <v>148102.22862117883</v>
      </c>
      <c r="F347" s="3">
        <f>(tblSalaries[[#This Row],[clean Salary (in local currency)]])*(VLOOKUP(tblSalaries[[#This Row],[Currency]],Sheet3!$A$2:$C$31,3,FALSE))*(VLOOKUP(tblSalaries[[#This Row],[Currency]],Sheet1!$N$4:$Q$186,4,FALSE))</f>
        <v>79141.190496561598</v>
      </c>
      <c r="G347" s="4">
        <f>IF(Dashboard!$J$5=VLOOKUP(tblSalaries[[#This Row],[Currency]],Sheet3!$A$2:$B$31,2,FALSE),tblSalaries[[#This Row],[clean Salary (in local currency)]],(tblSalaries[[#This Row],[PPP Adjusted  USD]]/VLOOKUP(Dashboard!$J$5,Sheet3!$B$2:$C$31,2,FALSE)))</f>
        <v>79141.190496561598</v>
      </c>
      <c r="H347" t="s">
        <v>3575</v>
      </c>
      <c r="I347" t="s">
        <v>625</v>
      </c>
      <c r="J347" t="s">
        <v>655</v>
      </c>
      <c r="K347" t="s">
        <v>617</v>
      </c>
      <c r="L347">
        <v>6</v>
      </c>
    </row>
    <row r="348" spans="2:12" ht="15" customHeight="1">
      <c r="B348" t="s">
        <v>1081</v>
      </c>
      <c r="C348">
        <v>100000</v>
      </c>
      <c r="D348" t="s">
        <v>276</v>
      </c>
      <c r="E348">
        <v>98336.152303032693</v>
      </c>
      <c r="F348" s="3">
        <f>(tblSalaries[[#This Row],[clean Salary (in local currency)]])*(VLOOKUP(tblSalaries[[#This Row],[Currency]],Sheet3!$A$2:$C$31,3,FALSE))*(VLOOKUP(tblSalaries[[#This Row],[Currency]],Sheet1!$N$4:$Q$186,4,FALSE))</f>
        <v>79044.620320234477</v>
      </c>
      <c r="G348" s="4">
        <f>IF(Dashboard!$J$5=VLOOKUP(tblSalaries[[#This Row],[Currency]],Sheet3!$A$2:$B$31,2,FALSE),tblSalaries[[#This Row],[clean Salary (in local currency)]],(tblSalaries[[#This Row],[PPP Adjusted  USD]]/VLOOKUP(Dashboard!$J$5,Sheet3!$B$2:$C$31,2,FALSE)))</f>
        <v>79044.620320234477</v>
      </c>
      <c r="H348" t="s">
        <v>1082</v>
      </c>
      <c r="I348" t="s">
        <v>625</v>
      </c>
      <c r="J348" t="s">
        <v>708</v>
      </c>
      <c r="K348" t="s">
        <v>617</v>
      </c>
      <c r="L348" t="s">
        <v>3847</v>
      </c>
    </row>
    <row r="349" spans="2:12" ht="15" customHeight="1">
      <c r="B349" t="s">
        <v>2034</v>
      </c>
      <c r="C349">
        <v>100000</v>
      </c>
      <c r="D349" t="s">
        <v>276</v>
      </c>
      <c r="E349">
        <v>98336.152303032693</v>
      </c>
      <c r="F349" s="3">
        <f>(tblSalaries[[#This Row],[clean Salary (in local currency)]])*(VLOOKUP(tblSalaries[[#This Row],[Currency]],Sheet3!$A$2:$C$31,3,FALSE))*(VLOOKUP(tblSalaries[[#This Row],[Currency]],Sheet1!$N$4:$Q$186,4,FALSE))</f>
        <v>79044.620320234477</v>
      </c>
      <c r="G349" s="4">
        <f>IF(Dashboard!$J$5=VLOOKUP(tblSalaries[[#This Row],[Currency]],Sheet3!$A$2:$B$31,2,FALSE),tblSalaries[[#This Row],[clean Salary (in local currency)]],(tblSalaries[[#This Row],[PPP Adjusted  USD]]/VLOOKUP(Dashboard!$J$5,Sheet3!$B$2:$C$31,2,FALSE)))</f>
        <v>79044.620320234477</v>
      </c>
      <c r="H349" t="s">
        <v>2035</v>
      </c>
      <c r="I349" t="s">
        <v>633</v>
      </c>
      <c r="J349" t="s">
        <v>708</v>
      </c>
      <c r="K349" t="s">
        <v>605</v>
      </c>
      <c r="L349">
        <v>5</v>
      </c>
    </row>
    <row r="350" spans="2:12" ht="15" customHeight="1">
      <c r="B350" t="s">
        <v>2128</v>
      </c>
      <c r="C350">
        <v>100000</v>
      </c>
      <c r="D350" t="s">
        <v>276</v>
      </c>
      <c r="E350">
        <v>98336.152303032693</v>
      </c>
      <c r="F350" s="3">
        <f>(tblSalaries[[#This Row],[clean Salary (in local currency)]])*(VLOOKUP(tblSalaries[[#This Row],[Currency]],Sheet3!$A$2:$C$31,3,FALSE))*(VLOOKUP(tblSalaries[[#This Row],[Currency]],Sheet1!$N$4:$Q$186,4,FALSE))</f>
        <v>79044.620320234477</v>
      </c>
      <c r="G350" s="4">
        <f>IF(Dashboard!$J$5=VLOOKUP(tblSalaries[[#This Row],[Currency]],Sheet3!$A$2:$B$31,2,FALSE),tblSalaries[[#This Row],[clean Salary (in local currency)]],(tblSalaries[[#This Row],[PPP Adjusted  USD]]/VLOOKUP(Dashboard!$J$5,Sheet3!$B$2:$C$31,2,FALSE)))</f>
        <v>79044.620320234477</v>
      </c>
      <c r="H350" t="s">
        <v>2129</v>
      </c>
      <c r="I350" t="s">
        <v>625</v>
      </c>
      <c r="J350" t="s">
        <v>708</v>
      </c>
      <c r="K350" t="s">
        <v>617</v>
      </c>
      <c r="L350">
        <v>10</v>
      </c>
    </row>
    <row r="351" spans="2:12" ht="15" customHeight="1">
      <c r="B351" t="s">
        <v>1087</v>
      </c>
      <c r="C351">
        <v>79000</v>
      </c>
      <c r="D351" t="s">
        <v>252</v>
      </c>
      <c r="E351">
        <v>79000</v>
      </c>
      <c r="F351" s="3">
        <f>(tblSalaries[[#This Row],[clean Salary (in local currency)]])*(VLOOKUP(tblSalaries[[#This Row],[Currency]],Sheet3!$A$2:$C$31,3,FALSE))*(VLOOKUP(tblSalaries[[#This Row],[Currency]],Sheet1!$N$4:$Q$186,4,FALSE))</f>
        <v>79000</v>
      </c>
      <c r="G351" s="4">
        <f>IF(Dashboard!$J$5=VLOOKUP(tblSalaries[[#This Row],[Currency]],Sheet3!$A$2:$B$31,2,FALSE),tblSalaries[[#This Row],[clean Salary (in local currency)]],(tblSalaries[[#This Row],[PPP Adjusted  USD]]/VLOOKUP(Dashboard!$J$5,Sheet3!$B$2:$C$31,2,FALSE)))</f>
        <v>79000</v>
      </c>
      <c r="H351" t="s">
        <v>1088</v>
      </c>
      <c r="I351" t="s">
        <v>637</v>
      </c>
      <c r="J351" t="s">
        <v>613</v>
      </c>
      <c r="K351" t="s">
        <v>617</v>
      </c>
      <c r="L351" t="s">
        <v>3847</v>
      </c>
    </row>
    <row r="352" spans="2:12" ht="15" customHeight="1">
      <c r="B352" t="s">
        <v>2332</v>
      </c>
      <c r="C352">
        <v>125000</v>
      </c>
      <c r="D352" t="s">
        <v>224</v>
      </c>
      <c r="E352">
        <v>127488.70705032947</v>
      </c>
      <c r="F352" s="3">
        <f>(tblSalaries[[#This Row],[clean Salary (in local currency)]])*(VLOOKUP(tblSalaries[[#This Row],[Currency]],Sheet3!$A$2:$C$31,3,FALSE))*(VLOOKUP(tblSalaries[[#This Row],[Currency]],Sheet1!$N$4:$Q$186,4,FALSE))</f>
        <v>78339.257274826377</v>
      </c>
      <c r="G352" s="4">
        <f>IF(Dashboard!$J$5=VLOOKUP(tblSalaries[[#This Row],[Currency]],Sheet3!$A$2:$B$31,2,FALSE),tblSalaries[[#This Row],[clean Salary (in local currency)]],(tblSalaries[[#This Row],[PPP Adjusted  USD]]/VLOOKUP(Dashboard!$J$5,Sheet3!$B$2:$C$31,2,FALSE)))</f>
        <v>78339.257274826377</v>
      </c>
      <c r="H352" t="s">
        <v>2333</v>
      </c>
      <c r="I352" t="s">
        <v>633</v>
      </c>
      <c r="J352" t="s">
        <v>703</v>
      </c>
      <c r="K352" t="s">
        <v>605</v>
      </c>
      <c r="L352">
        <v>15</v>
      </c>
    </row>
    <row r="353" spans="2:12" ht="15" customHeight="1">
      <c r="B353" t="s">
        <v>3127</v>
      </c>
      <c r="C353">
        <v>125000</v>
      </c>
      <c r="D353" t="s">
        <v>224</v>
      </c>
      <c r="E353">
        <v>127488.70705032947</v>
      </c>
      <c r="F353" s="3">
        <f>(tblSalaries[[#This Row],[clean Salary (in local currency)]])*(VLOOKUP(tblSalaries[[#This Row],[Currency]],Sheet3!$A$2:$C$31,3,FALSE))*(VLOOKUP(tblSalaries[[#This Row],[Currency]],Sheet1!$N$4:$Q$186,4,FALSE))</f>
        <v>78339.257274826377</v>
      </c>
      <c r="G353" s="4">
        <f>IF(Dashboard!$J$5=VLOOKUP(tblSalaries[[#This Row],[Currency]],Sheet3!$A$2:$B$31,2,FALSE),tblSalaries[[#This Row],[clean Salary (in local currency)]],(tblSalaries[[#This Row],[PPP Adjusted  USD]]/VLOOKUP(Dashboard!$J$5,Sheet3!$B$2:$C$31,2,FALSE)))</f>
        <v>78339.257274826377</v>
      </c>
      <c r="H353" t="s">
        <v>3128</v>
      </c>
      <c r="I353" t="s">
        <v>637</v>
      </c>
      <c r="J353" t="s">
        <v>703</v>
      </c>
      <c r="K353" t="s">
        <v>605</v>
      </c>
      <c r="L353">
        <v>7</v>
      </c>
    </row>
    <row r="354" spans="2:12" ht="15" customHeight="1">
      <c r="B354" t="s">
        <v>2754</v>
      </c>
      <c r="C354">
        <v>71000</v>
      </c>
      <c r="D354" t="s">
        <v>200</v>
      </c>
      <c r="E354">
        <v>90198.36016840415</v>
      </c>
      <c r="F354" s="3">
        <f>(tblSalaries[[#This Row],[clean Salary (in local currency)]])*(VLOOKUP(tblSalaries[[#This Row],[Currency]],Sheet3!$A$2:$C$31,3,FALSE))*(VLOOKUP(tblSalaries[[#This Row],[Currency]],Sheet1!$N$4:$Q$186,4,FALSE))</f>
        <v>78146.354904583699</v>
      </c>
      <c r="G354" s="4">
        <f>IF(Dashboard!$J$5=VLOOKUP(tblSalaries[[#This Row],[Currency]],Sheet3!$A$2:$B$31,2,FALSE),tblSalaries[[#This Row],[clean Salary (in local currency)]],(tblSalaries[[#This Row],[PPP Adjusted  USD]]/VLOOKUP(Dashboard!$J$5,Sheet3!$B$2:$C$31,2,FALSE)))</f>
        <v>78146.354904583699</v>
      </c>
      <c r="H354" t="s">
        <v>692</v>
      </c>
      <c r="I354" t="s">
        <v>692</v>
      </c>
      <c r="J354" t="s">
        <v>626</v>
      </c>
      <c r="K354" t="s">
        <v>627</v>
      </c>
      <c r="L354">
        <v>3</v>
      </c>
    </row>
    <row r="355" spans="2:12" ht="15" customHeight="1">
      <c r="B355" t="s">
        <v>1046</v>
      </c>
      <c r="C355">
        <v>78000</v>
      </c>
      <c r="D355" t="s">
        <v>252</v>
      </c>
      <c r="E355">
        <v>78000</v>
      </c>
      <c r="F355" s="3">
        <f>(tblSalaries[[#This Row],[clean Salary (in local currency)]])*(VLOOKUP(tblSalaries[[#This Row],[Currency]],Sheet3!$A$2:$C$31,3,FALSE))*(VLOOKUP(tblSalaries[[#This Row],[Currency]],Sheet1!$N$4:$Q$186,4,FALSE))</f>
        <v>78000</v>
      </c>
      <c r="G355" s="4">
        <f>IF(Dashboard!$J$5=VLOOKUP(tblSalaries[[#This Row],[Currency]],Sheet3!$A$2:$B$31,2,FALSE),tblSalaries[[#This Row],[clean Salary (in local currency)]],(tblSalaries[[#This Row],[PPP Adjusted  USD]]/VLOOKUP(Dashboard!$J$5,Sheet3!$B$2:$C$31,2,FALSE)))</f>
        <v>78000</v>
      </c>
      <c r="H355" t="s">
        <v>1047</v>
      </c>
      <c r="I355" t="s">
        <v>637</v>
      </c>
      <c r="J355" t="s">
        <v>1048</v>
      </c>
      <c r="K355" t="s">
        <v>605</v>
      </c>
      <c r="L355" t="s">
        <v>3847</v>
      </c>
    </row>
    <row r="356" spans="2:12" ht="15" customHeight="1">
      <c r="B356" t="s">
        <v>1461</v>
      </c>
      <c r="C356">
        <v>78000</v>
      </c>
      <c r="D356" t="s">
        <v>252</v>
      </c>
      <c r="E356">
        <v>78000</v>
      </c>
      <c r="F356" s="3">
        <f>(tblSalaries[[#This Row],[clean Salary (in local currency)]])*(VLOOKUP(tblSalaries[[#This Row],[Currency]],Sheet3!$A$2:$C$31,3,FALSE))*(VLOOKUP(tblSalaries[[#This Row],[Currency]],Sheet1!$N$4:$Q$186,4,FALSE))</f>
        <v>78000</v>
      </c>
      <c r="G356" s="4">
        <f>IF(Dashboard!$J$5=VLOOKUP(tblSalaries[[#This Row],[Currency]],Sheet3!$A$2:$B$31,2,FALSE),tblSalaries[[#This Row],[clean Salary (in local currency)]],(tblSalaries[[#This Row],[PPP Adjusted  USD]]/VLOOKUP(Dashboard!$J$5,Sheet3!$B$2:$C$31,2,FALSE)))</f>
        <v>78000</v>
      </c>
      <c r="H356" t="s">
        <v>1462</v>
      </c>
      <c r="I356" t="s">
        <v>625</v>
      </c>
      <c r="J356" t="s">
        <v>1463</v>
      </c>
      <c r="K356" t="s">
        <v>605</v>
      </c>
      <c r="L356" t="s">
        <v>3847</v>
      </c>
    </row>
    <row r="357" spans="2:12" ht="15" customHeight="1">
      <c r="B357" t="s">
        <v>3670</v>
      </c>
      <c r="C357">
        <v>78000</v>
      </c>
      <c r="D357" t="s">
        <v>252</v>
      </c>
      <c r="E357">
        <v>78000</v>
      </c>
      <c r="F357" s="3">
        <f>(tblSalaries[[#This Row],[clean Salary (in local currency)]])*(VLOOKUP(tblSalaries[[#This Row],[Currency]],Sheet3!$A$2:$C$31,3,FALSE))*(VLOOKUP(tblSalaries[[#This Row],[Currency]],Sheet1!$N$4:$Q$186,4,FALSE))</f>
        <v>78000</v>
      </c>
      <c r="G357" s="4">
        <f>IF(Dashboard!$J$5=VLOOKUP(tblSalaries[[#This Row],[Currency]],Sheet3!$A$2:$B$31,2,FALSE),tblSalaries[[#This Row],[clean Salary (in local currency)]],(tblSalaries[[#This Row],[PPP Adjusted  USD]]/VLOOKUP(Dashboard!$J$5,Sheet3!$B$2:$C$31,2,FALSE)))</f>
        <v>78000</v>
      </c>
      <c r="H357" t="s">
        <v>3671</v>
      </c>
      <c r="I357" t="s">
        <v>620</v>
      </c>
      <c r="J357" t="s">
        <v>613</v>
      </c>
      <c r="K357" t="s">
        <v>610</v>
      </c>
      <c r="L357">
        <v>5</v>
      </c>
    </row>
    <row r="358" spans="2:12" ht="15" customHeight="1">
      <c r="B358" t="s">
        <v>1412</v>
      </c>
      <c r="C358">
        <v>70800</v>
      </c>
      <c r="D358" t="s">
        <v>200</v>
      </c>
      <c r="E358">
        <v>89944.280280605832</v>
      </c>
      <c r="F358" s="3">
        <f>(tblSalaries[[#This Row],[clean Salary (in local currency)]])*(VLOOKUP(tblSalaries[[#This Row],[Currency]],Sheet3!$A$2:$C$31,3,FALSE))*(VLOOKUP(tblSalaries[[#This Row],[Currency]],Sheet1!$N$4:$Q$186,4,FALSE))</f>
        <v>77926.224327387696</v>
      </c>
      <c r="G358" s="4">
        <f>IF(Dashboard!$J$5=VLOOKUP(tblSalaries[[#This Row],[Currency]],Sheet3!$A$2:$B$31,2,FALSE),tblSalaries[[#This Row],[clean Salary (in local currency)]],(tblSalaries[[#This Row],[PPP Adjusted  USD]]/VLOOKUP(Dashboard!$J$5,Sheet3!$B$2:$C$31,2,FALSE)))</f>
        <v>77926.224327387696</v>
      </c>
      <c r="H358" t="s">
        <v>1413</v>
      </c>
      <c r="I358" t="s">
        <v>603</v>
      </c>
      <c r="J358" t="s">
        <v>1414</v>
      </c>
      <c r="K358" t="s">
        <v>610</v>
      </c>
      <c r="L358" t="s">
        <v>3847</v>
      </c>
    </row>
    <row r="359" spans="2:12" ht="15" customHeight="1">
      <c r="B359" t="s">
        <v>1108</v>
      </c>
      <c r="C359">
        <v>52680</v>
      </c>
      <c r="D359" t="s">
        <v>204</v>
      </c>
      <c r="E359">
        <v>83033.071372504521</v>
      </c>
      <c r="F359" s="3">
        <f>(tblSalaries[[#This Row],[clean Salary (in local currency)]])*(VLOOKUP(tblSalaries[[#This Row],[Currency]],Sheet3!$A$2:$C$31,3,FALSE))*(VLOOKUP(tblSalaries[[#This Row],[Currency]],Sheet1!$N$4:$Q$186,4,FALSE))</f>
        <v>77648.803078368917</v>
      </c>
      <c r="G359" s="4">
        <f>IF(Dashboard!$J$5=VLOOKUP(tblSalaries[[#This Row],[Currency]],Sheet3!$A$2:$B$31,2,FALSE),tblSalaries[[#This Row],[clean Salary (in local currency)]],(tblSalaries[[#This Row],[PPP Adjusted  USD]]/VLOOKUP(Dashboard!$J$5,Sheet3!$B$2:$C$31,2,FALSE)))</f>
        <v>77648.803078368917</v>
      </c>
      <c r="H359" t="s">
        <v>1109</v>
      </c>
      <c r="I359" t="s">
        <v>692</v>
      </c>
      <c r="J359" t="s">
        <v>687</v>
      </c>
      <c r="K359" t="s">
        <v>610</v>
      </c>
      <c r="L359" t="s">
        <v>3847</v>
      </c>
    </row>
    <row r="360" spans="2:12" ht="15" customHeight="1">
      <c r="B360" t="s">
        <v>3002</v>
      </c>
      <c r="C360">
        <v>77500</v>
      </c>
      <c r="D360" t="s">
        <v>252</v>
      </c>
      <c r="E360">
        <v>77500</v>
      </c>
      <c r="F360" s="3">
        <f>(tblSalaries[[#This Row],[clean Salary (in local currency)]])*(VLOOKUP(tblSalaries[[#This Row],[Currency]],Sheet3!$A$2:$C$31,3,FALSE))*(VLOOKUP(tblSalaries[[#This Row],[Currency]],Sheet1!$N$4:$Q$186,4,FALSE))</f>
        <v>77500</v>
      </c>
      <c r="G360" s="4">
        <f>IF(Dashboard!$J$5=VLOOKUP(tblSalaries[[#This Row],[Currency]],Sheet3!$A$2:$B$31,2,FALSE),tblSalaries[[#This Row],[clean Salary (in local currency)]],(tblSalaries[[#This Row],[PPP Adjusted  USD]]/VLOOKUP(Dashboard!$J$5,Sheet3!$B$2:$C$31,2,FALSE)))</f>
        <v>77500</v>
      </c>
      <c r="H360" t="s">
        <v>1006</v>
      </c>
      <c r="I360" t="s">
        <v>603</v>
      </c>
      <c r="J360" t="s">
        <v>613</v>
      </c>
      <c r="K360" t="s">
        <v>605</v>
      </c>
      <c r="L360">
        <v>7</v>
      </c>
    </row>
    <row r="361" spans="2:12" ht="15" customHeight="1">
      <c r="B361" t="s">
        <v>2601</v>
      </c>
      <c r="C361">
        <v>70000</v>
      </c>
      <c r="D361" t="s">
        <v>200</v>
      </c>
      <c r="E361">
        <v>88927.960729412545</v>
      </c>
      <c r="F361" s="3">
        <f>(tblSalaries[[#This Row],[clean Salary (in local currency)]])*(VLOOKUP(tblSalaries[[#This Row],[Currency]],Sheet3!$A$2:$C$31,3,FALSE))*(VLOOKUP(tblSalaries[[#This Row],[Currency]],Sheet1!$N$4:$Q$186,4,FALSE))</f>
        <v>77045.702018603653</v>
      </c>
      <c r="G361" s="4">
        <f>IF(Dashboard!$J$5=VLOOKUP(tblSalaries[[#This Row],[Currency]],Sheet3!$A$2:$B$31,2,FALSE),tblSalaries[[#This Row],[clean Salary (in local currency)]],(tblSalaries[[#This Row],[PPP Adjusted  USD]]/VLOOKUP(Dashboard!$J$5,Sheet3!$B$2:$C$31,2,FALSE)))</f>
        <v>77045.702018603653</v>
      </c>
      <c r="H361" t="s">
        <v>2602</v>
      </c>
      <c r="I361" t="s">
        <v>692</v>
      </c>
      <c r="J361" t="s">
        <v>641</v>
      </c>
      <c r="K361" t="s">
        <v>617</v>
      </c>
      <c r="L361">
        <v>20</v>
      </c>
    </row>
    <row r="362" spans="2:12" ht="15" customHeight="1">
      <c r="B362" t="s">
        <v>3270</v>
      </c>
      <c r="C362">
        <v>70000</v>
      </c>
      <c r="D362" t="s">
        <v>200</v>
      </c>
      <c r="E362">
        <v>88927.960729412545</v>
      </c>
      <c r="F362" s="3">
        <f>(tblSalaries[[#This Row],[clean Salary (in local currency)]])*(VLOOKUP(tblSalaries[[#This Row],[Currency]],Sheet3!$A$2:$C$31,3,FALSE))*(VLOOKUP(tblSalaries[[#This Row],[Currency]],Sheet1!$N$4:$Q$186,4,FALSE))</f>
        <v>77045.702018603653</v>
      </c>
      <c r="G362" s="4">
        <f>IF(Dashboard!$J$5=VLOOKUP(tblSalaries[[#This Row],[Currency]],Sheet3!$A$2:$B$31,2,FALSE),tblSalaries[[#This Row],[clean Salary (in local currency)]],(tblSalaries[[#This Row],[PPP Adjusted  USD]]/VLOOKUP(Dashboard!$J$5,Sheet3!$B$2:$C$31,2,FALSE)))</f>
        <v>77045.702018603653</v>
      </c>
      <c r="H362" t="s">
        <v>3271</v>
      </c>
      <c r="I362" t="s">
        <v>640</v>
      </c>
      <c r="J362" t="s">
        <v>626</v>
      </c>
      <c r="K362" t="s">
        <v>627</v>
      </c>
      <c r="L362">
        <v>5</v>
      </c>
    </row>
    <row r="363" spans="2:12" ht="15" customHeight="1">
      <c r="B363" t="s">
        <v>1130</v>
      </c>
      <c r="C363">
        <v>77000</v>
      </c>
      <c r="D363" t="s">
        <v>252</v>
      </c>
      <c r="E363">
        <v>77000</v>
      </c>
      <c r="F363" s="3">
        <f>(tblSalaries[[#This Row],[clean Salary (in local currency)]])*(VLOOKUP(tblSalaries[[#This Row],[Currency]],Sheet3!$A$2:$C$31,3,FALSE))*(VLOOKUP(tblSalaries[[#This Row],[Currency]],Sheet1!$N$4:$Q$186,4,FALSE))</f>
        <v>77000</v>
      </c>
      <c r="G363" s="4">
        <f>IF(Dashboard!$J$5=VLOOKUP(tblSalaries[[#This Row],[Currency]],Sheet3!$A$2:$B$31,2,FALSE),tblSalaries[[#This Row],[clean Salary (in local currency)]],(tblSalaries[[#This Row],[PPP Adjusted  USD]]/VLOOKUP(Dashboard!$J$5,Sheet3!$B$2:$C$31,2,FALSE)))</f>
        <v>77000</v>
      </c>
      <c r="H363" t="s">
        <v>1131</v>
      </c>
      <c r="I363" t="s">
        <v>637</v>
      </c>
      <c r="J363" t="s">
        <v>613</v>
      </c>
      <c r="K363" t="s">
        <v>605</v>
      </c>
      <c r="L363" t="s">
        <v>3847</v>
      </c>
    </row>
    <row r="364" spans="2:12" ht="15" customHeight="1">
      <c r="B364" t="s">
        <v>1551</v>
      </c>
      <c r="C364">
        <v>77000</v>
      </c>
      <c r="D364" t="s">
        <v>252</v>
      </c>
      <c r="E364">
        <v>77000</v>
      </c>
      <c r="F364" s="3">
        <f>(tblSalaries[[#This Row],[clean Salary (in local currency)]])*(VLOOKUP(tblSalaries[[#This Row],[Currency]],Sheet3!$A$2:$C$31,3,FALSE))*(VLOOKUP(tblSalaries[[#This Row],[Currency]],Sheet1!$N$4:$Q$186,4,FALSE))</f>
        <v>77000</v>
      </c>
      <c r="G364" s="4">
        <f>IF(Dashboard!$J$5=VLOOKUP(tblSalaries[[#This Row],[Currency]],Sheet3!$A$2:$B$31,2,FALSE),tblSalaries[[#This Row],[clean Salary (in local currency)]],(tblSalaries[[#This Row],[PPP Adjusted  USD]]/VLOOKUP(Dashboard!$J$5,Sheet3!$B$2:$C$31,2,FALSE)))</f>
        <v>77000</v>
      </c>
      <c r="H364" t="s">
        <v>1268</v>
      </c>
      <c r="I364" t="s">
        <v>603</v>
      </c>
      <c r="J364" t="s">
        <v>613</v>
      </c>
      <c r="K364" t="s">
        <v>610</v>
      </c>
      <c r="L364" t="s">
        <v>3847</v>
      </c>
    </row>
    <row r="365" spans="2:12" ht="15" customHeight="1">
      <c r="B365" t="s">
        <v>3060</v>
      </c>
      <c r="C365">
        <v>77000</v>
      </c>
      <c r="D365" t="s">
        <v>252</v>
      </c>
      <c r="E365">
        <v>77000</v>
      </c>
      <c r="F365" s="3">
        <f>(tblSalaries[[#This Row],[clean Salary (in local currency)]])*(VLOOKUP(tblSalaries[[#This Row],[Currency]],Sheet3!$A$2:$C$31,3,FALSE))*(VLOOKUP(tblSalaries[[#This Row],[Currency]],Sheet1!$N$4:$Q$186,4,FALSE))</f>
        <v>77000</v>
      </c>
      <c r="G365" s="4">
        <f>IF(Dashboard!$J$5=VLOOKUP(tblSalaries[[#This Row],[Currency]],Sheet3!$A$2:$B$31,2,FALSE),tblSalaries[[#This Row],[clean Salary (in local currency)]],(tblSalaries[[#This Row],[PPP Adjusted  USD]]/VLOOKUP(Dashboard!$J$5,Sheet3!$B$2:$C$31,2,FALSE)))</f>
        <v>77000</v>
      </c>
      <c r="H365" t="s">
        <v>3061</v>
      </c>
      <c r="I365" t="s">
        <v>620</v>
      </c>
      <c r="J365" t="s">
        <v>613</v>
      </c>
      <c r="K365" t="s">
        <v>605</v>
      </c>
      <c r="L365">
        <v>10</v>
      </c>
    </row>
    <row r="366" spans="2:12" ht="15" customHeight="1">
      <c r="B366" t="s">
        <v>3148</v>
      </c>
      <c r="C366">
        <v>77000</v>
      </c>
      <c r="D366" t="s">
        <v>252</v>
      </c>
      <c r="E366">
        <v>77000</v>
      </c>
      <c r="F366" s="3">
        <f>(tblSalaries[[#This Row],[clean Salary (in local currency)]])*(VLOOKUP(tblSalaries[[#This Row],[Currency]],Sheet3!$A$2:$C$31,3,FALSE))*(VLOOKUP(tblSalaries[[#This Row],[Currency]],Sheet1!$N$4:$Q$186,4,FALSE))</f>
        <v>77000</v>
      </c>
      <c r="G366" s="4">
        <f>IF(Dashboard!$J$5=VLOOKUP(tblSalaries[[#This Row],[Currency]],Sheet3!$A$2:$B$31,2,FALSE),tblSalaries[[#This Row],[clean Salary (in local currency)]],(tblSalaries[[#This Row],[PPP Adjusted  USD]]/VLOOKUP(Dashboard!$J$5,Sheet3!$B$2:$C$31,2,FALSE)))</f>
        <v>77000</v>
      </c>
      <c r="H366" t="s">
        <v>3149</v>
      </c>
      <c r="I366" t="s">
        <v>620</v>
      </c>
      <c r="J366" t="s">
        <v>613</v>
      </c>
      <c r="K366" t="s">
        <v>617</v>
      </c>
      <c r="L366">
        <v>13</v>
      </c>
    </row>
    <row r="367" spans="2:12" ht="15" customHeight="1">
      <c r="B367" t="s">
        <v>1425</v>
      </c>
      <c r="C367">
        <v>76600</v>
      </c>
      <c r="D367" t="s">
        <v>252</v>
      </c>
      <c r="E367">
        <v>76600</v>
      </c>
      <c r="F367" s="3">
        <f>(tblSalaries[[#This Row],[clean Salary (in local currency)]])*(VLOOKUP(tblSalaries[[#This Row],[Currency]],Sheet3!$A$2:$C$31,3,FALSE))*(VLOOKUP(tblSalaries[[#This Row],[Currency]],Sheet1!$N$4:$Q$186,4,FALSE))</f>
        <v>76600</v>
      </c>
      <c r="G367" s="4">
        <f>IF(Dashboard!$J$5=VLOOKUP(tblSalaries[[#This Row],[Currency]],Sheet3!$A$2:$B$31,2,FALSE),tblSalaries[[#This Row],[clean Salary (in local currency)]],(tblSalaries[[#This Row],[PPP Adjusted  USD]]/VLOOKUP(Dashboard!$J$5,Sheet3!$B$2:$C$31,2,FALSE)))</f>
        <v>76600</v>
      </c>
      <c r="H367" t="s">
        <v>603</v>
      </c>
      <c r="I367" t="s">
        <v>603</v>
      </c>
      <c r="J367" t="s">
        <v>613</v>
      </c>
      <c r="K367" t="s">
        <v>617</v>
      </c>
      <c r="L367" t="s">
        <v>3847</v>
      </c>
    </row>
    <row r="368" spans="2:12" ht="15" customHeight="1">
      <c r="B368" t="s">
        <v>1132</v>
      </c>
      <c r="C368">
        <v>76000</v>
      </c>
      <c r="D368" t="s">
        <v>252</v>
      </c>
      <c r="E368">
        <v>76000</v>
      </c>
      <c r="F368" s="3">
        <f>(tblSalaries[[#This Row],[clean Salary (in local currency)]])*(VLOOKUP(tblSalaries[[#This Row],[Currency]],Sheet3!$A$2:$C$31,3,FALSE))*(VLOOKUP(tblSalaries[[#This Row],[Currency]],Sheet1!$N$4:$Q$186,4,FALSE))</f>
        <v>76000</v>
      </c>
      <c r="G368" s="4">
        <f>IF(Dashboard!$J$5=VLOOKUP(tblSalaries[[#This Row],[Currency]],Sheet3!$A$2:$B$31,2,FALSE),tblSalaries[[#This Row],[clean Salary (in local currency)]],(tblSalaries[[#This Row],[PPP Adjusted  USD]]/VLOOKUP(Dashboard!$J$5,Sheet3!$B$2:$C$31,2,FALSE)))</f>
        <v>76000</v>
      </c>
      <c r="H368" t="s">
        <v>1133</v>
      </c>
      <c r="I368" t="s">
        <v>625</v>
      </c>
      <c r="J368" t="s">
        <v>613</v>
      </c>
      <c r="K368" t="s">
        <v>610</v>
      </c>
      <c r="L368" t="s">
        <v>3847</v>
      </c>
    </row>
    <row r="369" spans="2:12" ht="15" customHeight="1">
      <c r="B369" t="s">
        <v>1570</v>
      </c>
      <c r="C369">
        <v>76000</v>
      </c>
      <c r="D369" t="s">
        <v>252</v>
      </c>
      <c r="E369">
        <v>76000</v>
      </c>
      <c r="F369" s="3">
        <f>(tblSalaries[[#This Row],[clean Salary (in local currency)]])*(VLOOKUP(tblSalaries[[#This Row],[Currency]],Sheet3!$A$2:$C$31,3,FALSE))*(VLOOKUP(tblSalaries[[#This Row],[Currency]],Sheet1!$N$4:$Q$186,4,FALSE))</f>
        <v>76000</v>
      </c>
      <c r="G369" s="4">
        <f>IF(Dashboard!$J$5=VLOOKUP(tblSalaries[[#This Row],[Currency]],Sheet3!$A$2:$B$31,2,FALSE),tblSalaries[[#This Row],[clean Salary (in local currency)]],(tblSalaries[[#This Row],[PPP Adjusted  USD]]/VLOOKUP(Dashboard!$J$5,Sheet3!$B$2:$C$31,2,FALSE)))</f>
        <v>76000</v>
      </c>
      <c r="H369" t="s">
        <v>1368</v>
      </c>
      <c r="I369" t="s">
        <v>625</v>
      </c>
      <c r="J369" t="s">
        <v>613</v>
      </c>
      <c r="K369" t="s">
        <v>617</v>
      </c>
      <c r="L369" t="s">
        <v>3847</v>
      </c>
    </row>
    <row r="370" spans="2:12" ht="15" customHeight="1">
      <c r="B370" t="s">
        <v>3154</v>
      </c>
      <c r="C370">
        <v>76000</v>
      </c>
      <c r="D370" t="s">
        <v>252</v>
      </c>
      <c r="E370">
        <v>76000</v>
      </c>
      <c r="F370" s="3">
        <f>(tblSalaries[[#This Row],[clean Salary (in local currency)]])*(VLOOKUP(tblSalaries[[#This Row],[Currency]],Sheet3!$A$2:$C$31,3,FALSE))*(VLOOKUP(tblSalaries[[#This Row],[Currency]],Sheet1!$N$4:$Q$186,4,FALSE))</f>
        <v>76000</v>
      </c>
      <c r="G370" s="4">
        <f>IF(Dashboard!$J$5=VLOOKUP(tblSalaries[[#This Row],[Currency]],Sheet3!$A$2:$B$31,2,FALSE),tblSalaries[[#This Row],[clean Salary (in local currency)]],(tblSalaries[[#This Row],[PPP Adjusted  USD]]/VLOOKUP(Dashboard!$J$5,Sheet3!$B$2:$C$31,2,FALSE)))</f>
        <v>76000</v>
      </c>
      <c r="H370" t="s">
        <v>1696</v>
      </c>
      <c r="I370" t="s">
        <v>603</v>
      </c>
      <c r="J370" t="s">
        <v>613</v>
      </c>
      <c r="K370" t="s">
        <v>610</v>
      </c>
      <c r="L370">
        <v>10</v>
      </c>
    </row>
    <row r="371" spans="2:12" ht="15" customHeight="1">
      <c r="B371" t="s">
        <v>2474</v>
      </c>
      <c r="C371">
        <v>1600000</v>
      </c>
      <c r="D371" t="s">
        <v>247</v>
      </c>
      <c r="E371">
        <v>28492.66669990811</v>
      </c>
      <c r="F371" s="3">
        <f>(tblSalaries[[#This Row],[clean Salary (in local currency)]])*(VLOOKUP(tblSalaries[[#This Row],[Currency]],Sheet3!$A$2:$C$31,3,FALSE))*(VLOOKUP(tblSalaries[[#This Row],[Currency]],Sheet1!$N$4:$Q$186,4,FALSE))</f>
        <v>75777.635757917524</v>
      </c>
      <c r="G371" s="4">
        <f>IF(Dashboard!$J$5=VLOOKUP(tblSalaries[[#This Row],[Currency]],Sheet3!$A$2:$B$31,2,FALSE),tblSalaries[[#This Row],[clean Salary (in local currency)]],(tblSalaries[[#This Row],[PPP Adjusted  USD]]/VLOOKUP(Dashboard!$J$5,Sheet3!$B$2:$C$31,2,FALSE)))</f>
        <v>75777.635757917524</v>
      </c>
      <c r="H371" t="s">
        <v>2475</v>
      </c>
      <c r="I371" t="s">
        <v>625</v>
      </c>
      <c r="J371" t="s">
        <v>604</v>
      </c>
      <c r="K371" t="s">
        <v>610</v>
      </c>
      <c r="L371">
        <v>9</v>
      </c>
    </row>
    <row r="372" spans="2:12" ht="15" customHeight="1">
      <c r="B372" t="s">
        <v>2918</v>
      </c>
      <c r="C372">
        <v>1600000</v>
      </c>
      <c r="D372" t="s">
        <v>247</v>
      </c>
      <c r="E372">
        <v>28492.66669990811</v>
      </c>
      <c r="F372" s="3">
        <f>(tblSalaries[[#This Row],[clean Salary (in local currency)]])*(VLOOKUP(tblSalaries[[#This Row],[Currency]],Sheet3!$A$2:$C$31,3,FALSE))*(VLOOKUP(tblSalaries[[#This Row],[Currency]],Sheet1!$N$4:$Q$186,4,FALSE))</f>
        <v>75777.635757917524</v>
      </c>
      <c r="G372" s="4">
        <f>IF(Dashboard!$J$5=VLOOKUP(tblSalaries[[#This Row],[Currency]],Sheet3!$A$2:$B$31,2,FALSE),tblSalaries[[#This Row],[clean Salary (in local currency)]],(tblSalaries[[#This Row],[PPP Adjusted  USD]]/VLOOKUP(Dashboard!$J$5,Sheet3!$B$2:$C$31,2,FALSE)))</f>
        <v>75777.635757917524</v>
      </c>
      <c r="H372" t="s">
        <v>2919</v>
      </c>
      <c r="I372" t="s">
        <v>603</v>
      </c>
      <c r="J372" t="s">
        <v>604</v>
      </c>
      <c r="K372" t="s">
        <v>617</v>
      </c>
      <c r="L372">
        <v>4</v>
      </c>
    </row>
    <row r="373" spans="2:12" ht="15" customHeight="1">
      <c r="B373" t="s">
        <v>2346</v>
      </c>
      <c r="C373">
        <v>120000</v>
      </c>
      <c r="D373" t="s">
        <v>224</v>
      </c>
      <c r="E373">
        <v>122389.15876831629</v>
      </c>
      <c r="F373" s="3">
        <f>(tblSalaries[[#This Row],[clean Salary (in local currency)]])*(VLOOKUP(tblSalaries[[#This Row],[Currency]],Sheet3!$A$2:$C$31,3,FALSE))*(VLOOKUP(tblSalaries[[#This Row],[Currency]],Sheet1!$N$4:$Q$186,4,FALSE))</f>
        <v>75205.686983833322</v>
      </c>
      <c r="G373" s="4">
        <f>IF(Dashboard!$J$5=VLOOKUP(tblSalaries[[#This Row],[Currency]],Sheet3!$A$2:$B$31,2,FALSE),tblSalaries[[#This Row],[clean Salary (in local currency)]],(tblSalaries[[#This Row],[PPP Adjusted  USD]]/VLOOKUP(Dashboard!$J$5,Sheet3!$B$2:$C$31,2,FALSE)))</f>
        <v>75205.686983833322</v>
      </c>
      <c r="H373" t="s">
        <v>987</v>
      </c>
      <c r="I373" t="s">
        <v>603</v>
      </c>
      <c r="J373" t="s">
        <v>703</v>
      </c>
      <c r="K373" t="s">
        <v>605</v>
      </c>
      <c r="L373">
        <v>2</v>
      </c>
    </row>
    <row r="374" spans="2:12" ht="15" customHeight="1">
      <c r="B374" t="s">
        <v>2355</v>
      </c>
      <c r="C374">
        <v>120000</v>
      </c>
      <c r="D374" t="s">
        <v>224</v>
      </c>
      <c r="E374">
        <v>122389.15876831629</v>
      </c>
      <c r="F374" s="3">
        <f>(tblSalaries[[#This Row],[clean Salary (in local currency)]])*(VLOOKUP(tblSalaries[[#This Row],[Currency]],Sheet3!$A$2:$C$31,3,FALSE))*(VLOOKUP(tblSalaries[[#This Row],[Currency]],Sheet1!$N$4:$Q$186,4,FALSE))</f>
        <v>75205.686983833322</v>
      </c>
      <c r="G374" s="4">
        <f>IF(Dashboard!$J$5=VLOOKUP(tblSalaries[[#This Row],[Currency]],Sheet3!$A$2:$B$31,2,FALSE),tblSalaries[[#This Row],[clean Salary (in local currency)]],(tblSalaries[[#This Row],[PPP Adjusted  USD]]/VLOOKUP(Dashboard!$J$5,Sheet3!$B$2:$C$31,2,FALSE)))</f>
        <v>75205.686983833322</v>
      </c>
      <c r="H374" t="s">
        <v>2356</v>
      </c>
      <c r="I374" t="s">
        <v>603</v>
      </c>
      <c r="J374" t="s">
        <v>703</v>
      </c>
      <c r="K374" t="s">
        <v>605</v>
      </c>
      <c r="L374">
        <v>5</v>
      </c>
    </row>
    <row r="375" spans="2:12" ht="15" customHeight="1">
      <c r="B375" t="s">
        <v>3309</v>
      </c>
      <c r="C375">
        <v>120000</v>
      </c>
      <c r="D375" t="s">
        <v>224</v>
      </c>
      <c r="E375">
        <v>122389.15876831629</v>
      </c>
      <c r="F375" s="3">
        <f>(tblSalaries[[#This Row],[clean Salary (in local currency)]])*(VLOOKUP(tblSalaries[[#This Row],[Currency]],Sheet3!$A$2:$C$31,3,FALSE))*(VLOOKUP(tblSalaries[[#This Row],[Currency]],Sheet1!$N$4:$Q$186,4,FALSE))</f>
        <v>75205.686983833322</v>
      </c>
      <c r="G375" s="4">
        <f>IF(Dashboard!$J$5=VLOOKUP(tblSalaries[[#This Row],[Currency]],Sheet3!$A$2:$B$31,2,FALSE),tblSalaries[[#This Row],[clean Salary (in local currency)]],(tblSalaries[[#This Row],[PPP Adjusted  USD]]/VLOOKUP(Dashboard!$J$5,Sheet3!$B$2:$C$31,2,FALSE)))</f>
        <v>75205.686983833322</v>
      </c>
      <c r="H375" t="s">
        <v>1951</v>
      </c>
      <c r="I375" t="s">
        <v>603</v>
      </c>
      <c r="J375" t="s">
        <v>703</v>
      </c>
      <c r="K375" t="s">
        <v>617</v>
      </c>
      <c r="L375">
        <v>5</v>
      </c>
    </row>
    <row r="376" spans="2:12" ht="15" customHeight="1">
      <c r="B376" t="s">
        <v>3788</v>
      </c>
      <c r="C376">
        <v>120000</v>
      </c>
      <c r="D376" t="s">
        <v>224</v>
      </c>
      <c r="E376">
        <v>122389.15876831629</v>
      </c>
      <c r="F376" s="3">
        <f>(tblSalaries[[#This Row],[clean Salary (in local currency)]])*(VLOOKUP(tblSalaries[[#This Row],[Currency]],Sheet3!$A$2:$C$31,3,FALSE))*(VLOOKUP(tblSalaries[[#This Row],[Currency]],Sheet1!$N$4:$Q$186,4,FALSE))</f>
        <v>75205.686983833322</v>
      </c>
      <c r="G376" s="4">
        <f>IF(Dashboard!$J$5=VLOOKUP(tblSalaries[[#This Row],[Currency]],Sheet3!$A$2:$B$31,2,FALSE),tblSalaries[[#This Row],[clean Salary (in local currency)]],(tblSalaries[[#This Row],[PPP Adjusted  USD]]/VLOOKUP(Dashboard!$J$5,Sheet3!$B$2:$C$31,2,FALSE)))</f>
        <v>75205.686983833322</v>
      </c>
      <c r="H376" t="s">
        <v>625</v>
      </c>
      <c r="I376" t="s">
        <v>625</v>
      </c>
      <c r="J376" t="s">
        <v>703</v>
      </c>
      <c r="K376" t="s">
        <v>627</v>
      </c>
      <c r="L376">
        <v>8</v>
      </c>
    </row>
    <row r="377" spans="2:12" ht="15" customHeight="1">
      <c r="B377" t="s">
        <v>2221</v>
      </c>
      <c r="C377">
        <v>75010</v>
      </c>
      <c r="D377" t="s">
        <v>252</v>
      </c>
      <c r="E377">
        <v>75010</v>
      </c>
      <c r="F377" s="3">
        <f>(tblSalaries[[#This Row],[clean Salary (in local currency)]])*(VLOOKUP(tblSalaries[[#This Row],[Currency]],Sheet3!$A$2:$C$31,3,FALSE))*(VLOOKUP(tblSalaries[[#This Row],[Currency]],Sheet1!$N$4:$Q$186,4,FALSE))</f>
        <v>75010</v>
      </c>
      <c r="G377" s="4">
        <f>IF(Dashboard!$J$5=VLOOKUP(tblSalaries[[#This Row],[Currency]],Sheet3!$A$2:$B$31,2,FALSE),tblSalaries[[#This Row],[clean Salary (in local currency)]],(tblSalaries[[#This Row],[PPP Adjusted  USD]]/VLOOKUP(Dashboard!$J$5,Sheet3!$B$2:$C$31,2,FALSE)))</f>
        <v>75010</v>
      </c>
      <c r="H377" t="s">
        <v>1324</v>
      </c>
      <c r="I377" t="s">
        <v>603</v>
      </c>
      <c r="J377" t="s">
        <v>613</v>
      </c>
      <c r="K377" t="s">
        <v>617</v>
      </c>
      <c r="L377">
        <v>6</v>
      </c>
    </row>
    <row r="378" spans="2:12" ht="15" customHeight="1">
      <c r="B378" t="s">
        <v>651</v>
      </c>
      <c r="C378">
        <v>75000</v>
      </c>
      <c r="D378" t="s">
        <v>252</v>
      </c>
      <c r="E378">
        <v>75000</v>
      </c>
      <c r="F378" s="3">
        <f>(tblSalaries[[#This Row],[clean Salary (in local currency)]])*(VLOOKUP(tblSalaries[[#This Row],[Currency]],Sheet3!$A$2:$C$31,3,FALSE))*(VLOOKUP(tblSalaries[[#This Row],[Currency]],Sheet1!$N$4:$Q$186,4,FALSE))</f>
        <v>75000</v>
      </c>
      <c r="G378" s="4">
        <f>IF(Dashboard!$J$5=VLOOKUP(tblSalaries[[#This Row],[Currency]],Sheet3!$A$2:$B$31,2,FALSE),tblSalaries[[#This Row],[clean Salary (in local currency)]],(tblSalaries[[#This Row],[PPP Adjusted  USD]]/VLOOKUP(Dashboard!$J$5,Sheet3!$B$2:$C$31,2,FALSE)))</f>
        <v>75000</v>
      </c>
      <c r="H378" t="s">
        <v>652</v>
      </c>
      <c r="I378" t="s">
        <v>620</v>
      </c>
      <c r="J378" t="s">
        <v>613</v>
      </c>
      <c r="K378" t="s">
        <v>610</v>
      </c>
      <c r="L378" t="s">
        <v>3847</v>
      </c>
    </row>
    <row r="379" spans="2:12" ht="15" customHeight="1">
      <c r="B379" t="s">
        <v>668</v>
      </c>
      <c r="C379">
        <v>75000</v>
      </c>
      <c r="D379" t="s">
        <v>252</v>
      </c>
      <c r="E379">
        <v>75000</v>
      </c>
      <c r="F379" s="3">
        <f>(tblSalaries[[#This Row],[clean Salary (in local currency)]])*(VLOOKUP(tblSalaries[[#This Row],[Currency]],Sheet3!$A$2:$C$31,3,FALSE))*(VLOOKUP(tblSalaries[[#This Row],[Currency]],Sheet1!$N$4:$Q$186,4,FALSE))</f>
        <v>75000</v>
      </c>
      <c r="G379" s="4">
        <f>IF(Dashboard!$J$5=VLOOKUP(tblSalaries[[#This Row],[Currency]],Sheet3!$A$2:$B$31,2,FALSE),tblSalaries[[#This Row],[clean Salary (in local currency)]],(tblSalaries[[#This Row],[PPP Adjusted  USD]]/VLOOKUP(Dashboard!$J$5,Sheet3!$B$2:$C$31,2,FALSE)))</f>
        <v>75000</v>
      </c>
      <c r="H379" t="s">
        <v>669</v>
      </c>
      <c r="I379" t="s">
        <v>633</v>
      </c>
      <c r="J379" t="s">
        <v>613</v>
      </c>
      <c r="K379" t="s">
        <v>605</v>
      </c>
      <c r="L379" t="s">
        <v>3847</v>
      </c>
    </row>
    <row r="380" spans="2:12" ht="15" customHeight="1">
      <c r="B380" t="s">
        <v>764</v>
      </c>
      <c r="C380">
        <v>75000</v>
      </c>
      <c r="D380" t="s">
        <v>252</v>
      </c>
      <c r="E380">
        <v>75000</v>
      </c>
      <c r="F380" s="3">
        <f>(tblSalaries[[#This Row],[clean Salary (in local currency)]])*(VLOOKUP(tblSalaries[[#This Row],[Currency]],Sheet3!$A$2:$C$31,3,FALSE))*(VLOOKUP(tblSalaries[[#This Row],[Currency]],Sheet1!$N$4:$Q$186,4,FALSE))</f>
        <v>75000</v>
      </c>
      <c r="G380" s="4">
        <f>IF(Dashboard!$J$5=VLOOKUP(tblSalaries[[#This Row],[Currency]],Sheet3!$A$2:$B$31,2,FALSE),tblSalaries[[#This Row],[clean Salary (in local currency)]],(tblSalaries[[#This Row],[PPP Adjusted  USD]]/VLOOKUP(Dashboard!$J$5,Sheet3!$B$2:$C$31,2,FALSE)))</f>
        <v>75000</v>
      </c>
      <c r="H380" t="s">
        <v>765</v>
      </c>
      <c r="I380" t="s">
        <v>625</v>
      </c>
      <c r="J380" t="s">
        <v>613</v>
      </c>
      <c r="K380" t="s">
        <v>610</v>
      </c>
      <c r="L380" t="s">
        <v>3847</v>
      </c>
    </row>
    <row r="381" spans="2:12" ht="15" customHeight="1">
      <c r="B381" t="s">
        <v>810</v>
      </c>
      <c r="C381">
        <v>75000</v>
      </c>
      <c r="D381" t="s">
        <v>252</v>
      </c>
      <c r="E381">
        <v>75000</v>
      </c>
      <c r="F381" s="3">
        <f>(tblSalaries[[#This Row],[clean Salary (in local currency)]])*(VLOOKUP(tblSalaries[[#This Row],[Currency]],Sheet3!$A$2:$C$31,3,FALSE))*(VLOOKUP(tblSalaries[[#This Row],[Currency]],Sheet1!$N$4:$Q$186,4,FALSE))</f>
        <v>75000</v>
      </c>
      <c r="G381" s="4">
        <f>IF(Dashboard!$J$5=VLOOKUP(tblSalaries[[#This Row],[Currency]],Sheet3!$A$2:$B$31,2,FALSE),tblSalaries[[#This Row],[clean Salary (in local currency)]],(tblSalaries[[#This Row],[PPP Adjusted  USD]]/VLOOKUP(Dashboard!$J$5,Sheet3!$B$2:$C$31,2,FALSE)))</f>
        <v>75000</v>
      </c>
      <c r="H381" t="s">
        <v>811</v>
      </c>
      <c r="I381" t="s">
        <v>603</v>
      </c>
      <c r="J381" t="s">
        <v>613</v>
      </c>
      <c r="K381" t="s">
        <v>627</v>
      </c>
      <c r="L381" t="s">
        <v>3847</v>
      </c>
    </row>
    <row r="382" spans="2:12" ht="15" customHeight="1">
      <c r="B382" t="s">
        <v>940</v>
      </c>
      <c r="C382">
        <v>75000</v>
      </c>
      <c r="D382" t="s">
        <v>252</v>
      </c>
      <c r="E382">
        <v>75000</v>
      </c>
      <c r="F382" s="3">
        <f>(tblSalaries[[#This Row],[clean Salary (in local currency)]])*(VLOOKUP(tblSalaries[[#This Row],[Currency]],Sheet3!$A$2:$C$31,3,FALSE))*(VLOOKUP(tblSalaries[[#This Row],[Currency]],Sheet1!$N$4:$Q$186,4,FALSE))</f>
        <v>75000</v>
      </c>
      <c r="G382" s="4">
        <f>IF(Dashboard!$J$5=VLOOKUP(tblSalaries[[#This Row],[Currency]],Sheet3!$A$2:$B$31,2,FALSE),tblSalaries[[#This Row],[clean Salary (in local currency)]],(tblSalaries[[#This Row],[PPP Adjusted  USD]]/VLOOKUP(Dashboard!$J$5,Sheet3!$B$2:$C$31,2,FALSE)))</f>
        <v>75000</v>
      </c>
      <c r="H382" t="s">
        <v>941</v>
      </c>
      <c r="I382" t="s">
        <v>603</v>
      </c>
      <c r="J382" t="s">
        <v>613</v>
      </c>
      <c r="K382" t="s">
        <v>627</v>
      </c>
      <c r="L382" t="s">
        <v>3847</v>
      </c>
    </row>
    <row r="383" spans="2:12" ht="15" customHeight="1">
      <c r="B383" t="s">
        <v>971</v>
      </c>
      <c r="C383">
        <v>75000</v>
      </c>
      <c r="D383" t="s">
        <v>252</v>
      </c>
      <c r="E383">
        <v>75000</v>
      </c>
      <c r="F383" s="3">
        <f>(tblSalaries[[#This Row],[clean Salary (in local currency)]])*(VLOOKUP(tblSalaries[[#This Row],[Currency]],Sheet3!$A$2:$C$31,3,FALSE))*(VLOOKUP(tblSalaries[[#This Row],[Currency]],Sheet1!$N$4:$Q$186,4,FALSE))</f>
        <v>75000</v>
      </c>
      <c r="G383" s="4">
        <f>IF(Dashboard!$J$5=VLOOKUP(tblSalaries[[#This Row],[Currency]],Sheet3!$A$2:$B$31,2,FALSE),tblSalaries[[#This Row],[clean Salary (in local currency)]],(tblSalaries[[#This Row],[PPP Adjusted  USD]]/VLOOKUP(Dashboard!$J$5,Sheet3!$B$2:$C$31,2,FALSE)))</f>
        <v>75000</v>
      </c>
      <c r="H383" t="s">
        <v>972</v>
      </c>
      <c r="I383" t="s">
        <v>640</v>
      </c>
      <c r="J383" t="s">
        <v>613</v>
      </c>
      <c r="K383" t="s">
        <v>610</v>
      </c>
      <c r="L383" t="s">
        <v>3847</v>
      </c>
    </row>
    <row r="384" spans="2:12" ht="15" customHeight="1">
      <c r="B384" t="s">
        <v>1147</v>
      </c>
      <c r="C384">
        <v>75000</v>
      </c>
      <c r="D384" t="s">
        <v>252</v>
      </c>
      <c r="E384">
        <v>75000</v>
      </c>
      <c r="F384" s="3">
        <f>(tblSalaries[[#This Row],[clean Salary (in local currency)]])*(VLOOKUP(tblSalaries[[#This Row],[Currency]],Sheet3!$A$2:$C$31,3,FALSE))*(VLOOKUP(tblSalaries[[#This Row],[Currency]],Sheet1!$N$4:$Q$186,4,FALSE))</f>
        <v>75000</v>
      </c>
      <c r="G384" s="4">
        <f>IF(Dashboard!$J$5=VLOOKUP(tblSalaries[[#This Row],[Currency]],Sheet3!$A$2:$B$31,2,FALSE),tblSalaries[[#This Row],[clean Salary (in local currency)]],(tblSalaries[[#This Row],[PPP Adjusted  USD]]/VLOOKUP(Dashboard!$J$5,Sheet3!$B$2:$C$31,2,FALSE)))</f>
        <v>75000</v>
      </c>
      <c r="H384" t="s">
        <v>823</v>
      </c>
      <c r="I384" t="s">
        <v>603</v>
      </c>
      <c r="J384" t="s">
        <v>613</v>
      </c>
      <c r="K384" t="s">
        <v>605</v>
      </c>
      <c r="L384" t="s">
        <v>3847</v>
      </c>
    </row>
    <row r="385" spans="2:12" ht="15" customHeight="1">
      <c r="B385" t="s">
        <v>1187</v>
      </c>
      <c r="C385">
        <v>75000</v>
      </c>
      <c r="D385" t="s">
        <v>252</v>
      </c>
      <c r="E385">
        <v>75000</v>
      </c>
      <c r="F385" s="3">
        <f>(tblSalaries[[#This Row],[clean Salary (in local currency)]])*(VLOOKUP(tblSalaries[[#This Row],[Currency]],Sheet3!$A$2:$C$31,3,FALSE))*(VLOOKUP(tblSalaries[[#This Row],[Currency]],Sheet1!$N$4:$Q$186,4,FALSE))</f>
        <v>75000</v>
      </c>
      <c r="G385" s="4">
        <f>IF(Dashboard!$J$5=VLOOKUP(tblSalaries[[#This Row],[Currency]],Sheet3!$A$2:$B$31,2,FALSE),tblSalaries[[#This Row],[clean Salary (in local currency)]],(tblSalaries[[#This Row],[PPP Adjusted  USD]]/VLOOKUP(Dashboard!$J$5,Sheet3!$B$2:$C$31,2,FALSE)))</f>
        <v>75000</v>
      </c>
      <c r="H385" t="s">
        <v>1188</v>
      </c>
      <c r="I385" t="s">
        <v>603</v>
      </c>
      <c r="J385" t="s">
        <v>613</v>
      </c>
      <c r="K385" t="s">
        <v>605</v>
      </c>
      <c r="L385" t="s">
        <v>3847</v>
      </c>
    </row>
    <row r="386" spans="2:12" ht="15" customHeight="1">
      <c r="B386" t="s">
        <v>1295</v>
      </c>
      <c r="C386">
        <v>75000</v>
      </c>
      <c r="D386" t="s">
        <v>252</v>
      </c>
      <c r="E386">
        <v>75000</v>
      </c>
      <c r="F386" s="3">
        <f>(tblSalaries[[#This Row],[clean Salary (in local currency)]])*(VLOOKUP(tblSalaries[[#This Row],[Currency]],Sheet3!$A$2:$C$31,3,FALSE))*(VLOOKUP(tblSalaries[[#This Row],[Currency]],Sheet1!$N$4:$Q$186,4,FALSE))</f>
        <v>75000</v>
      </c>
      <c r="G386" s="4">
        <f>IF(Dashboard!$J$5=VLOOKUP(tblSalaries[[#This Row],[Currency]],Sheet3!$A$2:$B$31,2,FALSE),tblSalaries[[#This Row],[clean Salary (in local currency)]],(tblSalaries[[#This Row],[PPP Adjusted  USD]]/VLOOKUP(Dashboard!$J$5,Sheet3!$B$2:$C$31,2,FALSE)))</f>
        <v>75000</v>
      </c>
      <c r="H386" t="s">
        <v>1026</v>
      </c>
      <c r="I386" t="s">
        <v>603</v>
      </c>
      <c r="J386" t="s">
        <v>613</v>
      </c>
      <c r="K386" t="s">
        <v>610</v>
      </c>
      <c r="L386" t="s">
        <v>3847</v>
      </c>
    </row>
    <row r="387" spans="2:12" ht="15" customHeight="1">
      <c r="B387" t="s">
        <v>1433</v>
      </c>
      <c r="C387">
        <v>75000</v>
      </c>
      <c r="D387" t="s">
        <v>252</v>
      </c>
      <c r="E387">
        <v>75000</v>
      </c>
      <c r="F387" s="3">
        <f>(tblSalaries[[#This Row],[clean Salary (in local currency)]])*(VLOOKUP(tblSalaries[[#This Row],[Currency]],Sheet3!$A$2:$C$31,3,FALSE))*(VLOOKUP(tblSalaries[[#This Row],[Currency]],Sheet1!$N$4:$Q$186,4,FALSE))</f>
        <v>75000</v>
      </c>
      <c r="G387" s="4">
        <f>IF(Dashboard!$J$5=VLOOKUP(tblSalaries[[#This Row],[Currency]],Sheet3!$A$2:$B$31,2,FALSE),tblSalaries[[#This Row],[clean Salary (in local currency)]],(tblSalaries[[#This Row],[PPP Adjusted  USD]]/VLOOKUP(Dashboard!$J$5,Sheet3!$B$2:$C$31,2,FALSE)))</f>
        <v>75000</v>
      </c>
      <c r="H387" t="s">
        <v>1434</v>
      </c>
      <c r="I387" t="s">
        <v>603</v>
      </c>
      <c r="J387" t="s">
        <v>613</v>
      </c>
      <c r="K387" t="s">
        <v>605</v>
      </c>
      <c r="L387" t="s">
        <v>3847</v>
      </c>
    </row>
    <row r="388" spans="2:12" ht="15" customHeight="1">
      <c r="B388" t="s">
        <v>1690</v>
      </c>
      <c r="C388">
        <v>75000</v>
      </c>
      <c r="D388" t="s">
        <v>252</v>
      </c>
      <c r="E388">
        <v>75000</v>
      </c>
      <c r="F388" s="3">
        <f>(tblSalaries[[#This Row],[clean Salary (in local currency)]])*(VLOOKUP(tblSalaries[[#This Row],[Currency]],Sheet3!$A$2:$C$31,3,FALSE))*(VLOOKUP(tblSalaries[[#This Row],[Currency]],Sheet1!$N$4:$Q$186,4,FALSE))</f>
        <v>75000</v>
      </c>
      <c r="G388" s="4">
        <f>IF(Dashboard!$J$5=VLOOKUP(tblSalaries[[#This Row],[Currency]],Sheet3!$A$2:$B$31,2,FALSE),tblSalaries[[#This Row],[clean Salary (in local currency)]],(tblSalaries[[#This Row],[PPP Adjusted  USD]]/VLOOKUP(Dashboard!$J$5,Sheet3!$B$2:$C$31,2,FALSE)))</f>
        <v>75000</v>
      </c>
      <c r="H388" t="s">
        <v>1691</v>
      </c>
      <c r="I388" t="s">
        <v>603</v>
      </c>
      <c r="J388" t="s">
        <v>613</v>
      </c>
      <c r="K388" t="s">
        <v>617</v>
      </c>
      <c r="L388">
        <v>25</v>
      </c>
    </row>
    <row r="389" spans="2:12" ht="15" customHeight="1">
      <c r="B389" t="s">
        <v>1705</v>
      </c>
      <c r="C389">
        <v>75000</v>
      </c>
      <c r="D389" t="s">
        <v>252</v>
      </c>
      <c r="E389">
        <v>75000</v>
      </c>
      <c r="F389" s="3">
        <f>(tblSalaries[[#This Row],[clean Salary (in local currency)]])*(VLOOKUP(tblSalaries[[#This Row],[Currency]],Sheet3!$A$2:$C$31,3,FALSE))*(VLOOKUP(tblSalaries[[#This Row],[Currency]],Sheet1!$N$4:$Q$186,4,FALSE))</f>
        <v>75000</v>
      </c>
      <c r="G389" s="4">
        <f>IF(Dashboard!$J$5=VLOOKUP(tblSalaries[[#This Row],[Currency]],Sheet3!$A$2:$B$31,2,FALSE),tblSalaries[[#This Row],[clean Salary (in local currency)]],(tblSalaries[[#This Row],[PPP Adjusted  USD]]/VLOOKUP(Dashboard!$J$5,Sheet3!$B$2:$C$31,2,FALSE)))</f>
        <v>75000</v>
      </c>
      <c r="H389" t="s">
        <v>612</v>
      </c>
      <c r="I389" t="s">
        <v>603</v>
      </c>
      <c r="J389" t="s">
        <v>613</v>
      </c>
      <c r="K389" t="s">
        <v>605</v>
      </c>
      <c r="L389">
        <v>5</v>
      </c>
    </row>
    <row r="390" spans="2:12" ht="15" customHeight="1">
      <c r="B390" t="s">
        <v>2085</v>
      </c>
      <c r="C390">
        <v>75000</v>
      </c>
      <c r="D390" t="s">
        <v>252</v>
      </c>
      <c r="E390">
        <v>75000</v>
      </c>
      <c r="F390" s="3">
        <f>(tblSalaries[[#This Row],[clean Salary (in local currency)]])*(VLOOKUP(tblSalaries[[#This Row],[Currency]],Sheet3!$A$2:$C$31,3,FALSE))*(VLOOKUP(tblSalaries[[#This Row],[Currency]],Sheet1!$N$4:$Q$186,4,FALSE))</f>
        <v>75000</v>
      </c>
      <c r="G390" s="4">
        <f>IF(Dashboard!$J$5=VLOOKUP(tblSalaries[[#This Row],[Currency]],Sheet3!$A$2:$B$31,2,FALSE),tblSalaries[[#This Row],[clean Salary (in local currency)]],(tblSalaries[[#This Row],[PPP Adjusted  USD]]/VLOOKUP(Dashboard!$J$5,Sheet3!$B$2:$C$31,2,FALSE)))</f>
        <v>75000</v>
      </c>
      <c r="H390" t="s">
        <v>2086</v>
      </c>
      <c r="I390" t="s">
        <v>603</v>
      </c>
      <c r="J390" t="s">
        <v>613</v>
      </c>
      <c r="K390" t="s">
        <v>617</v>
      </c>
      <c r="L390">
        <v>27</v>
      </c>
    </row>
    <row r="391" spans="2:12" ht="15" customHeight="1">
      <c r="B391" t="s">
        <v>2634</v>
      </c>
      <c r="C391">
        <v>75000</v>
      </c>
      <c r="D391" t="s">
        <v>252</v>
      </c>
      <c r="E391">
        <v>75000</v>
      </c>
      <c r="F391" s="3">
        <f>(tblSalaries[[#This Row],[clean Salary (in local currency)]])*(VLOOKUP(tblSalaries[[#This Row],[Currency]],Sheet3!$A$2:$C$31,3,FALSE))*(VLOOKUP(tblSalaries[[#This Row],[Currency]],Sheet1!$N$4:$Q$186,4,FALSE))</f>
        <v>75000</v>
      </c>
      <c r="G391" s="4">
        <f>IF(Dashboard!$J$5=VLOOKUP(tblSalaries[[#This Row],[Currency]],Sheet3!$A$2:$B$31,2,FALSE),tblSalaries[[#This Row],[clean Salary (in local currency)]],(tblSalaries[[#This Row],[PPP Adjusted  USD]]/VLOOKUP(Dashboard!$J$5,Sheet3!$B$2:$C$31,2,FALSE)))</f>
        <v>75000</v>
      </c>
      <c r="H391" t="s">
        <v>608</v>
      </c>
      <c r="I391" t="s">
        <v>608</v>
      </c>
      <c r="J391" t="s">
        <v>613</v>
      </c>
      <c r="K391" t="s">
        <v>617</v>
      </c>
      <c r="L391">
        <v>20</v>
      </c>
    </row>
    <row r="392" spans="2:12" ht="15" customHeight="1">
      <c r="B392" t="s">
        <v>2665</v>
      </c>
      <c r="C392">
        <v>75000</v>
      </c>
      <c r="D392" t="s">
        <v>252</v>
      </c>
      <c r="E392">
        <v>75000</v>
      </c>
      <c r="F392" s="3">
        <f>(tblSalaries[[#This Row],[clean Salary (in local currency)]])*(VLOOKUP(tblSalaries[[#This Row],[Currency]],Sheet3!$A$2:$C$31,3,FALSE))*(VLOOKUP(tblSalaries[[#This Row],[Currency]],Sheet1!$N$4:$Q$186,4,FALSE))</f>
        <v>75000</v>
      </c>
      <c r="G392" s="4">
        <f>IF(Dashboard!$J$5=VLOOKUP(tblSalaries[[#This Row],[Currency]],Sheet3!$A$2:$B$31,2,FALSE),tblSalaries[[#This Row],[clean Salary (in local currency)]],(tblSalaries[[#This Row],[PPP Adjusted  USD]]/VLOOKUP(Dashboard!$J$5,Sheet3!$B$2:$C$31,2,FALSE)))</f>
        <v>75000</v>
      </c>
      <c r="H392" t="s">
        <v>612</v>
      </c>
      <c r="I392" t="s">
        <v>603</v>
      </c>
      <c r="J392" t="s">
        <v>613</v>
      </c>
      <c r="K392" t="s">
        <v>605</v>
      </c>
      <c r="L392">
        <v>12</v>
      </c>
    </row>
    <row r="393" spans="2:12" ht="15" customHeight="1">
      <c r="B393" t="s">
        <v>2941</v>
      </c>
      <c r="C393">
        <v>75000</v>
      </c>
      <c r="D393" t="s">
        <v>252</v>
      </c>
      <c r="E393">
        <v>75000</v>
      </c>
      <c r="F393" s="3">
        <f>(tblSalaries[[#This Row],[clean Salary (in local currency)]])*(VLOOKUP(tblSalaries[[#This Row],[Currency]],Sheet3!$A$2:$C$31,3,FALSE))*(VLOOKUP(tblSalaries[[#This Row],[Currency]],Sheet1!$N$4:$Q$186,4,FALSE))</f>
        <v>75000</v>
      </c>
      <c r="G393" s="4">
        <f>IF(Dashboard!$J$5=VLOOKUP(tblSalaries[[#This Row],[Currency]],Sheet3!$A$2:$B$31,2,FALSE),tblSalaries[[#This Row],[clean Salary (in local currency)]],(tblSalaries[[#This Row],[PPP Adjusted  USD]]/VLOOKUP(Dashboard!$J$5,Sheet3!$B$2:$C$31,2,FALSE)))</f>
        <v>75000</v>
      </c>
      <c r="H393" t="s">
        <v>612</v>
      </c>
      <c r="I393" t="s">
        <v>603</v>
      </c>
      <c r="J393" t="s">
        <v>613</v>
      </c>
      <c r="K393" t="s">
        <v>605</v>
      </c>
      <c r="L393">
        <v>7</v>
      </c>
    </row>
    <row r="394" spans="2:12" ht="15" customHeight="1">
      <c r="B394" t="s">
        <v>3056</v>
      </c>
      <c r="C394">
        <v>75000</v>
      </c>
      <c r="D394" t="s">
        <v>252</v>
      </c>
      <c r="E394">
        <v>75000</v>
      </c>
      <c r="F394" s="3">
        <f>(tblSalaries[[#This Row],[clean Salary (in local currency)]])*(VLOOKUP(tblSalaries[[#This Row],[Currency]],Sheet3!$A$2:$C$31,3,FALSE))*(VLOOKUP(tblSalaries[[#This Row],[Currency]],Sheet1!$N$4:$Q$186,4,FALSE))</f>
        <v>75000</v>
      </c>
      <c r="G394" s="4">
        <f>IF(Dashboard!$J$5=VLOOKUP(tblSalaries[[#This Row],[Currency]],Sheet3!$A$2:$B$31,2,FALSE),tblSalaries[[#This Row],[clean Salary (in local currency)]],(tblSalaries[[#This Row],[PPP Adjusted  USD]]/VLOOKUP(Dashboard!$J$5,Sheet3!$B$2:$C$31,2,FALSE)))</f>
        <v>75000</v>
      </c>
      <c r="H394" t="s">
        <v>3057</v>
      </c>
      <c r="I394" t="s">
        <v>625</v>
      </c>
      <c r="J394" t="s">
        <v>613</v>
      </c>
      <c r="K394" t="s">
        <v>627</v>
      </c>
      <c r="L394">
        <v>9</v>
      </c>
    </row>
    <row r="395" spans="2:12" ht="15" customHeight="1">
      <c r="B395" t="s">
        <v>3082</v>
      </c>
      <c r="C395">
        <v>75000</v>
      </c>
      <c r="D395" t="s">
        <v>252</v>
      </c>
      <c r="E395">
        <v>75000</v>
      </c>
      <c r="F395" s="3">
        <f>(tblSalaries[[#This Row],[clean Salary (in local currency)]])*(VLOOKUP(tblSalaries[[#This Row],[Currency]],Sheet3!$A$2:$C$31,3,FALSE))*(VLOOKUP(tblSalaries[[#This Row],[Currency]],Sheet1!$N$4:$Q$186,4,FALSE))</f>
        <v>75000</v>
      </c>
      <c r="G395" s="4">
        <f>IF(Dashboard!$J$5=VLOOKUP(tblSalaries[[#This Row],[Currency]],Sheet3!$A$2:$B$31,2,FALSE),tblSalaries[[#This Row],[clean Salary (in local currency)]],(tblSalaries[[#This Row],[PPP Adjusted  USD]]/VLOOKUP(Dashboard!$J$5,Sheet3!$B$2:$C$31,2,FALSE)))</f>
        <v>75000</v>
      </c>
      <c r="H395" t="s">
        <v>899</v>
      </c>
      <c r="I395" t="s">
        <v>603</v>
      </c>
      <c r="J395" t="s">
        <v>613</v>
      </c>
      <c r="K395" t="s">
        <v>617</v>
      </c>
      <c r="L395">
        <v>1.5</v>
      </c>
    </row>
    <row r="396" spans="2:12" ht="15" customHeight="1">
      <c r="B396" t="s">
        <v>3197</v>
      </c>
      <c r="C396">
        <v>75000</v>
      </c>
      <c r="D396" t="s">
        <v>252</v>
      </c>
      <c r="E396">
        <v>75000</v>
      </c>
      <c r="F396" s="3">
        <f>(tblSalaries[[#This Row],[clean Salary (in local currency)]])*(VLOOKUP(tblSalaries[[#This Row],[Currency]],Sheet3!$A$2:$C$31,3,FALSE))*(VLOOKUP(tblSalaries[[#This Row],[Currency]],Sheet1!$N$4:$Q$186,4,FALSE))</f>
        <v>75000</v>
      </c>
      <c r="G396" s="4">
        <f>IF(Dashboard!$J$5=VLOOKUP(tblSalaries[[#This Row],[Currency]],Sheet3!$A$2:$B$31,2,FALSE),tblSalaries[[#This Row],[clean Salary (in local currency)]],(tblSalaries[[#This Row],[PPP Adjusted  USD]]/VLOOKUP(Dashboard!$J$5,Sheet3!$B$2:$C$31,2,FALSE)))</f>
        <v>75000</v>
      </c>
      <c r="H396" t="s">
        <v>612</v>
      </c>
      <c r="I396" t="s">
        <v>603</v>
      </c>
      <c r="J396" t="s">
        <v>613</v>
      </c>
      <c r="K396" t="s">
        <v>610</v>
      </c>
      <c r="L396">
        <v>1.5</v>
      </c>
    </row>
    <row r="397" spans="2:12" ht="15" customHeight="1">
      <c r="B397" t="s">
        <v>3321</v>
      </c>
      <c r="C397">
        <v>75000</v>
      </c>
      <c r="D397" t="s">
        <v>252</v>
      </c>
      <c r="E397">
        <v>75000</v>
      </c>
      <c r="F397" s="3">
        <f>(tblSalaries[[#This Row],[clean Salary (in local currency)]])*(VLOOKUP(tblSalaries[[#This Row],[Currency]],Sheet3!$A$2:$C$31,3,FALSE))*(VLOOKUP(tblSalaries[[#This Row],[Currency]],Sheet1!$N$4:$Q$186,4,FALSE))</f>
        <v>75000</v>
      </c>
      <c r="G397" s="4">
        <f>IF(Dashboard!$J$5=VLOOKUP(tblSalaries[[#This Row],[Currency]],Sheet3!$A$2:$B$31,2,FALSE),tblSalaries[[#This Row],[clean Salary (in local currency)]],(tblSalaries[[#This Row],[PPP Adjusted  USD]]/VLOOKUP(Dashboard!$J$5,Sheet3!$B$2:$C$31,2,FALSE)))</f>
        <v>75000</v>
      </c>
      <c r="H397" t="s">
        <v>692</v>
      </c>
      <c r="I397" t="s">
        <v>692</v>
      </c>
      <c r="J397" t="s">
        <v>626</v>
      </c>
      <c r="K397" t="s">
        <v>617</v>
      </c>
      <c r="L397">
        <v>9</v>
      </c>
    </row>
    <row r="398" spans="2:12" ht="15" customHeight="1">
      <c r="B398" t="s">
        <v>3445</v>
      </c>
      <c r="C398">
        <v>75000</v>
      </c>
      <c r="D398" t="s">
        <v>252</v>
      </c>
      <c r="E398">
        <v>75000</v>
      </c>
      <c r="F398" s="3">
        <f>(tblSalaries[[#This Row],[clean Salary (in local currency)]])*(VLOOKUP(tblSalaries[[#This Row],[Currency]],Sheet3!$A$2:$C$31,3,FALSE))*(VLOOKUP(tblSalaries[[#This Row],[Currency]],Sheet1!$N$4:$Q$186,4,FALSE))</f>
        <v>75000</v>
      </c>
      <c r="G398" s="4">
        <f>IF(Dashboard!$J$5=VLOOKUP(tblSalaries[[#This Row],[Currency]],Sheet3!$A$2:$B$31,2,FALSE),tblSalaries[[#This Row],[clean Salary (in local currency)]],(tblSalaries[[#This Row],[PPP Adjusted  USD]]/VLOOKUP(Dashboard!$J$5,Sheet3!$B$2:$C$31,2,FALSE)))</f>
        <v>75000</v>
      </c>
      <c r="H398" t="s">
        <v>637</v>
      </c>
      <c r="I398" t="s">
        <v>637</v>
      </c>
      <c r="J398" t="s">
        <v>613</v>
      </c>
      <c r="K398" t="s">
        <v>605</v>
      </c>
      <c r="L398">
        <v>10</v>
      </c>
    </row>
    <row r="399" spans="2:12" ht="15" customHeight="1">
      <c r="B399" t="s">
        <v>3475</v>
      </c>
      <c r="C399">
        <v>75000</v>
      </c>
      <c r="D399" t="s">
        <v>252</v>
      </c>
      <c r="E399">
        <v>75000</v>
      </c>
      <c r="F399" s="3">
        <f>(tblSalaries[[#This Row],[clean Salary (in local currency)]])*(VLOOKUP(tblSalaries[[#This Row],[Currency]],Sheet3!$A$2:$C$31,3,FALSE))*(VLOOKUP(tblSalaries[[#This Row],[Currency]],Sheet1!$N$4:$Q$186,4,FALSE))</f>
        <v>75000</v>
      </c>
      <c r="G399" s="4">
        <f>IF(Dashboard!$J$5=VLOOKUP(tblSalaries[[#This Row],[Currency]],Sheet3!$A$2:$B$31,2,FALSE),tblSalaries[[#This Row],[clean Salary (in local currency)]],(tblSalaries[[#This Row],[PPP Adjusted  USD]]/VLOOKUP(Dashboard!$J$5,Sheet3!$B$2:$C$31,2,FALSE)))</f>
        <v>75000</v>
      </c>
      <c r="H399" t="s">
        <v>3476</v>
      </c>
      <c r="I399" t="s">
        <v>633</v>
      </c>
      <c r="J399" t="s">
        <v>613</v>
      </c>
      <c r="K399" t="s">
        <v>617</v>
      </c>
      <c r="L399">
        <v>3</v>
      </c>
    </row>
    <row r="400" spans="2:12" ht="15" customHeight="1">
      <c r="B400" t="s">
        <v>3544</v>
      </c>
      <c r="C400">
        <v>75000</v>
      </c>
      <c r="D400" t="s">
        <v>252</v>
      </c>
      <c r="E400">
        <v>75000</v>
      </c>
      <c r="F400" s="3">
        <f>(tblSalaries[[#This Row],[clean Salary (in local currency)]])*(VLOOKUP(tblSalaries[[#This Row],[Currency]],Sheet3!$A$2:$C$31,3,FALSE))*(VLOOKUP(tblSalaries[[#This Row],[Currency]],Sheet1!$N$4:$Q$186,4,FALSE))</f>
        <v>75000</v>
      </c>
      <c r="G400" s="4">
        <f>IF(Dashboard!$J$5=VLOOKUP(tblSalaries[[#This Row],[Currency]],Sheet3!$A$2:$B$31,2,FALSE),tblSalaries[[#This Row],[clean Salary (in local currency)]],(tblSalaries[[#This Row],[PPP Adjusted  USD]]/VLOOKUP(Dashboard!$J$5,Sheet3!$B$2:$C$31,2,FALSE)))</f>
        <v>75000</v>
      </c>
      <c r="H400" t="s">
        <v>1268</v>
      </c>
      <c r="I400" t="s">
        <v>603</v>
      </c>
      <c r="J400" t="s">
        <v>613</v>
      </c>
      <c r="K400" t="s">
        <v>610</v>
      </c>
      <c r="L400">
        <v>5</v>
      </c>
    </row>
    <row r="401" spans="2:12" ht="15" customHeight="1">
      <c r="B401" t="s">
        <v>3554</v>
      </c>
      <c r="C401">
        <v>75000</v>
      </c>
      <c r="D401" t="s">
        <v>252</v>
      </c>
      <c r="E401">
        <v>75000</v>
      </c>
      <c r="F401" s="3">
        <f>(tblSalaries[[#This Row],[clean Salary (in local currency)]])*(VLOOKUP(tblSalaries[[#This Row],[Currency]],Sheet3!$A$2:$C$31,3,FALSE))*(VLOOKUP(tblSalaries[[#This Row],[Currency]],Sheet1!$N$4:$Q$186,4,FALSE))</f>
        <v>75000</v>
      </c>
      <c r="G401" s="4">
        <f>IF(Dashboard!$J$5=VLOOKUP(tblSalaries[[#This Row],[Currency]],Sheet3!$A$2:$B$31,2,FALSE),tblSalaries[[#This Row],[clean Salary (in local currency)]],(tblSalaries[[#This Row],[PPP Adjusted  USD]]/VLOOKUP(Dashboard!$J$5,Sheet3!$B$2:$C$31,2,FALSE)))</f>
        <v>75000</v>
      </c>
      <c r="H401" t="s">
        <v>2112</v>
      </c>
      <c r="I401" t="s">
        <v>637</v>
      </c>
      <c r="J401" t="s">
        <v>613</v>
      </c>
      <c r="K401" t="s">
        <v>610</v>
      </c>
      <c r="L401">
        <v>1</v>
      </c>
    </row>
    <row r="402" spans="2:12" ht="15" customHeight="1">
      <c r="B402" t="s">
        <v>3807</v>
      </c>
      <c r="C402">
        <v>75000</v>
      </c>
      <c r="D402" t="s">
        <v>252</v>
      </c>
      <c r="E402">
        <v>75000</v>
      </c>
      <c r="F402" s="3">
        <f>(tblSalaries[[#This Row],[clean Salary (in local currency)]])*(VLOOKUP(tblSalaries[[#This Row],[Currency]],Sheet3!$A$2:$C$31,3,FALSE))*(VLOOKUP(tblSalaries[[#This Row],[Currency]],Sheet1!$N$4:$Q$186,4,FALSE))</f>
        <v>75000</v>
      </c>
      <c r="G402" s="4">
        <f>IF(Dashboard!$J$5=VLOOKUP(tblSalaries[[#This Row],[Currency]],Sheet3!$A$2:$B$31,2,FALSE),tblSalaries[[#This Row],[clean Salary (in local currency)]],(tblSalaries[[#This Row],[PPP Adjusted  USD]]/VLOOKUP(Dashboard!$J$5,Sheet3!$B$2:$C$31,2,FALSE)))</f>
        <v>75000</v>
      </c>
      <c r="H402" t="s">
        <v>811</v>
      </c>
      <c r="I402" t="s">
        <v>603</v>
      </c>
      <c r="J402" t="s">
        <v>613</v>
      </c>
      <c r="K402" t="s">
        <v>627</v>
      </c>
      <c r="L402">
        <v>3</v>
      </c>
    </row>
    <row r="403" spans="2:12" ht="15" customHeight="1">
      <c r="B403" t="s">
        <v>3613</v>
      </c>
      <c r="C403">
        <v>74461</v>
      </c>
      <c r="D403" t="s">
        <v>252</v>
      </c>
      <c r="E403">
        <v>74461</v>
      </c>
      <c r="F403" s="3">
        <f>(tblSalaries[[#This Row],[clean Salary (in local currency)]])*(VLOOKUP(tblSalaries[[#This Row],[Currency]],Sheet3!$A$2:$C$31,3,FALSE))*(VLOOKUP(tblSalaries[[#This Row],[Currency]],Sheet1!$N$4:$Q$186,4,FALSE))</f>
        <v>74461</v>
      </c>
      <c r="G403" s="4">
        <f>IF(Dashboard!$J$5=VLOOKUP(tblSalaries[[#This Row],[Currency]],Sheet3!$A$2:$B$31,2,FALSE),tblSalaries[[#This Row],[clean Salary (in local currency)]],(tblSalaries[[#This Row],[PPP Adjusted  USD]]/VLOOKUP(Dashboard!$J$5,Sheet3!$B$2:$C$31,2,FALSE)))</f>
        <v>74461</v>
      </c>
      <c r="H403" t="s">
        <v>3614</v>
      </c>
      <c r="I403" t="s">
        <v>713</v>
      </c>
      <c r="J403" t="s">
        <v>613</v>
      </c>
      <c r="K403" t="s">
        <v>627</v>
      </c>
      <c r="L403">
        <v>9</v>
      </c>
    </row>
    <row r="404" spans="2:12" ht="15" customHeight="1">
      <c r="B404" t="s">
        <v>3187</v>
      </c>
      <c r="C404">
        <v>74300</v>
      </c>
      <c r="D404" t="s">
        <v>252</v>
      </c>
      <c r="E404">
        <v>74300</v>
      </c>
      <c r="F404" s="3">
        <f>(tblSalaries[[#This Row],[clean Salary (in local currency)]])*(VLOOKUP(tblSalaries[[#This Row],[Currency]],Sheet3!$A$2:$C$31,3,FALSE))*(VLOOKUP(tblSalaries[[#This Row],[Currency]],Sheet1!$N$4:$Q$186,4,FALSE))</f>
        <v>74300</v>
      </c>
      <c r="G404" s="4">
        <f>IF(Dashboard!$J$5=VLOOKUP(tblSalaries[[#This Row],[Currency]],Sheet3!$A$2:$B$31,2,FALSE),tblSalaries[[#This Row],[clean Salary (in local currency)]],(tblSalaries[[#This Row],[PPP Adjusted  USD]]/VLOOKUP(Dashboard!$J$5,Sheet3!$B$2:$C$31,2,FALSE)))</f>
        <v>74300</v>
      </c>
      <c r="H404" t="s">
        <v>3188</v>
      </c>
      <c r="I404" t="s">
        <v>603</v>
      </c>
      <c r="J404" t="s">
        <v>613</v>
      </c>
      <c r="K404" t="s">
        <v>605</v>
      </c>
      <c r="L404">
        <v>3</v>
      </c>
    </row>
    <row r="405" spans="2:12" ht="15" customHeight="1">
      <c r="B405" t="s">
        <v>821</v>
      </c>
      <c r="C405">
        <v>74000</v>
      </c>
      <c r="D405" t="s">
        <v>252</v>
      </c>
      <c r="E405">
        <v>74000</v>
      </c>
      <c r="F405" s="3">
        <f>(tblSalaries[[#This Row],[clean Salary (in local currency)]])*(VLOOKUP(tblSalaries[[#This Row],[Currency]],Sheet3!$A$2:$C$31,3,FALSE))*(VLOOKUP(tblSalaries[[#This Row],[Currency]],Sheet1!$N$4:$Q$186,4,FALSE))</f>
        <v>74000</v>
      </c>
      <c r="G405" s="4">
        <f>IF(Dashboard!$J$5=VLOOKUP(tblSalaries[[#This Row],[Currency]],Sheet3!$A$2:$B$31,2,FALSE),tblSalaries[[#This Row],[clean Salary (in local currency)]],(tblSalaries[[#This Row],[PPP Adjusted  USD]]/VLOOKUP(Dashboard!$J$5,Sheet3!$B$2:$C$31,2,FALSE)))</f>
        <v>74000</v>
      </c>
      <c r="H405" t="s">
        <v>691</v>
      </c>
      <c r="I405" t="s">
        <v>692</v>
      </c>
      <c r="J405" t="s">
        <v>613</v>
      </c>
      <c r="K405" t="s">
        <v>605</v>
      </c>
      <c r="L405" t="s">
        <v>3847</v>
      </c>
    </row>
    <row r="406" spans="2:12" ht="15" customHeight="1">
      <c r="B406" t="s">
        <v>1456</v>
      </c>
      <c r="C406">
        <v>74000</v>
      </c>
      <c r="D406" t="s">
        <v>252</v>
      </c>
      <c r="E406">
        <v>74000</v>
      </c>
      <c r="F406" s="3">
        <f>(tblSalaries[[#This Row],[clean Salary (in local currency)]])*(VLOOKUP(tblSalaries[[#This Row],[Currency]],Sheet3!$A$2:$C$31,3,FALSE))*(VLOOKUP(tblSalaries[[#This Row],[Currency]],Sheet1!$N$4:$Q$186,4,FALSE))</f>
        <v>74000</v>
      </c>
      <c r="G406" s="4">
        <f>IF(Dashboard!$J$5=VLOOKUP(tblSalaries[[#This Row],[Currency]],Sheet3!$A$2:$B$31,2,FALSE),tblSalaries[[#This Row],[clean Salary (in local currency)]],(tblSalaries[[#This Row],[PPP Adjusted  USD]]/VLOOKUP(Dashboard!$J$5,Sheet3!$B$2:$C$31,2,FALSE)))</f>
        <v>74000</v>
      </c>
      <c r="H406" t="s">
        <v>620</v>
      </c>
      <c r="I406" t="s">
        <v>620</v>
      </c>
      <c r="J406" t="s">
        <v>613</v>
      </c>
      <c r="K406" t="s">
        <v>605</v>
      </c>
      <c r="L406" t="s">
        <v>3847</v>
      </c>
    </row>
    <row r="407" spans="2:12" ht="15" customHeight="1">
      <c r="B407" t="s">
        <v>2716</v>
      </c>
      <c r="C407">
        <v>74000</v>
      </c>
      <c r="D407" t="s">
        <v>252</v>
      </c>
      <c r="E407">
        <v>74000</v>
      </c>
      <c r="F407" s="3">
        <f>(tblSalaries[[#This Row],[clean Salary (in local currency)]])*(VLOOKUP(tblSalaries[[#This Row],[Currency]],Sheet3!$A$2:$C$31,3,FALSE))*(VLOOKUP(tblSalaries[[#This Row],[Currency]],Sheet1!$N$4:$Q$186,4,FALSE))</f>
        <v>74000</v>
      </c>
      <c r="G407" s="4">
        <f>IF(Dashboard!$J$5=VLOOKUP(tblSalaries[[#This Row],[Currency]],Sheet3!$A$2:$B$31,2,FALSE),tblSalaries[[#This Row],[clean Salary (in local currency)]],(tblSalaries[[#This Row],[PPP Adjusted  USD]]/VLOOKUP(Dashboard!$J$5,Sheet3!$B$2:$C$31,2,FALSE)))</f>
        <v>74000</v>
      </c>
      <c r="H407" t="s">
        <v>2717</v>
      </c>
      <c r="I407" t="s">
        <v>640</v>
      </c>
      <c r="J407" t="s">
        <v>613</v>
      </c>
      <c r="K407" t="s">
        <v>605</v>
      </c>
      <c r="L407">
        <v>10</v>
      </c>
    </row>
    <row r="408" spans="2:12" ht="15" customHeight="1">
      <c r="B408" t="s">
        <v>2263</v>
      </c>
      <c r="C408">
        <v>50000</v>
      </c>
      <c r="D408" t="s">
        <v>204</v>
      </c>
      <c r="E408">
        <v>78808.913603364199</v>
      </c>
      <c r="F408" s="3">
        <f>(tblSalaries[[#This Row],[clean Salary (in local currency)]])*(VLOOKUP(tblSalaries[[#This Row],[Currency]],Sheet3!$A$2:$C$31,3,FALSE))*(VLOOKUP(tblSalaries[[#This Row],[Currency]],Sheet1!$N$4:$Q$186,4,FALSE))</f>
        <v>73698.560249021364</v>
      </c>
      <c r="G408" s="4">
        <f>IF(Dashboard!$J$5=VLOOKUP(tblSalaries[[#This Row],[Currency]],Sheet3!$A$2:$B$31,2,FALSE),tblSalaries[[#This Row],[clean Salary (in local currency)]],(tblSalaries[[#This Row],[PPP Adjusted  USD]]/VLOOKUP(Dashboard!$J$5,Sheet3!$B$2:$C$31,2,FALSE)))</f>
        <v>73698.560249021364</v>
      </c>
      <c r="H408" t="s">
        <v>2264</v>
      </c>
      <c r="I408" t="s">
        <v>603</v>
      </c>
      <c r="J408" t="s">
        <v>687</v>
      </c>
      <c r="K408" t="s">
        <v>610</v>
      </c>
      <c r="L408">
        <v>10</v>
      </c>
    </row>
    <row r="409" spans="2:12" ht="15" customHeight="1">
      <c r="B409" t="s">
        <v>2481</v>
      </c>
      <c r="C409">
        <v>50000</v>
      </c>
      <c r="D409" t="s">
        <v>204</v>
      </c>
      <c r="E409">
        <v>78808.913603364199</v>
      </c>
      <c r="F409" s="3">
        <f>(tblSalaries[[#This Row],[clean Salary (in local currency)]])*(VLOOKUP(tblSalaries[[#This Row],[Currency]],Sheet3!$A$2:$C$31,3,FALSE))*(VLOOKUP(tblSalaries[[#This Row],[Currency]],Sheet1!$N$4:$Q$186,4,FALSE))</f>
        <v>73698.560249021364</v>
      </c>
      <c r="G409" s="4">
        <f>IF(Dashboard!$J$5=VLOOKUP(tblSalaries[[#This Row],[Currency]],Sheet3!$A$2:$B$31,2,FALSE),tblSalaries[[#This Row],[clean Salary (in local currency)]],(tblSalaries[[#This Row],[PPP Adjusted  USD]]/VLOOKUP(Dashboard!$J$5,Sheet3!$B$2:$C$31,2,FALSE)))</f>
        <v>73698.560249021364</v>
      </c>
      <c r="H409" t="s">
        <v>2482</v>
      </c>
      <c r="I409" t="s">
        <v>625</v>
      </c>
      <c r="J409" t="s">
        <v>687</v>
      </c>
      <c r="K409" t="s">
        <v>617</v>
      </c>
      <c r="L409">
        <v>12</v>
      </c>
    </row>
    <row r="410" spans="2:12" ht="15" customHeight="1">
      <c r="B410" t="s">
        <v>3473</v>
      </c>
      <c r="C410">
        <v>50000</v>
      </c>
      <c r="D410" t="s">
        <v>204</v>
      </c>
      <c r="E410">
        <v>78808.913603364199</v>
      </c>
      <c r="F410" s="3">
        <f>(tblSalaries[[#This Row],[clean Salary (in local currency)]])*(VLOOKUP(tblSalaries[[#This Row],[Currency]],Sheet3!$A$2:$C$31,3,FALSE))*(VLOOKUP(tblSalaries[[#This Row],[Currency]],Sheet1!$N$4:$Q$186,4,FALSE))</f>
        <v>73698.560249021364</v>
      </c>
      <c r="G410" s="4">
        <f>IF(Dashboard!$J$5=VLOOKUP(tblSalaries[[#This Row],[Currency]],Sheet3!$A$2:$B$31,2,FALSE),tblSalaries[[#This Row],[clean Salary (in local currency)]],(tblSalaries[[#This Row],[PPP Adjusted  USD]]/VLOOKUP(Dashboard!$J$5,Sheet3!$B$2:$C$31,2,FALSE)))</f>
        <v>73698.560249021364</v>
      </c>
      <c r="H410" t="s">
        <v>2192</v>
      </c>
      <c r="I410" t="s">
        <v>633</v>
      </c>
      <c r="J410" t="s">
        <v>687</v>
      </c>
      <c r="K410" t="s">
        <v>605</v>
      </c>
      <c r="L410">
        <v>10</v>
      </c>
    </row>
    <row r="411" spans="2:12" ht="15" customHeight="1">
      <c r="B411" t="s">
        <v>3529</v>
      </c>
      <c r="C411">
        <v>50000</v>
      </c>
      <c r="D411" t="s">
        <v>204</v>
      </c>
      <c r="E411">
        <v>78808.913603364199</v>
      </c>
      <c r="F411" s="3">
        <f>(tblSalaries[[#This Row],[clean Salary (in local currency)]])*(VLOOKUP(tblSalaries[[#This Row],[Currency]],Sheet3!$A$2:$C$31,3,FALSE))*(VLOOKUP(tblSalaries[[#This Row],[Currency]],Sheet1!$N$4:$Q$186,4,FALSE))</f>
        <v>73698.560249021364</v>
      </c>
      <c r="G411" s="4">
        <f>IF(Dashboard!$J$5=VLOOKUP(tblSalaries[[#This Row],[Currency]],Sheet3!$A$2:$B$31,2,FALSE),tblSalaries[[#This Row],[clean Salary (in local currency)]],(tblSalaries[[#This Row],[PPP Adjusted  USD]]/VLOOKUP(Dashboard!$J$5,Sheet3!$B$2:$C$31,2,FALSE)))</f>
        <v>73698.560249021364</v>
      </c>
      <c r="H411" t="s">
        <v>887</v>
      </c>
      <c r="I411" t="s">
        <v>603</v>
      </c>
      <c r="J411" t="s">
        <v>687</v>
      </c>
      <c r="K411" t="s">
        <v>617</v>
      </c>
      <c r="L411">
        <v>2</v>
      </c>
    </row>
    <row r="412" spans="2:12" ht="15" customHeight="1">
      <c r="B412" t="s">
        <v>3693</v>
      </c>
      <c r="C412">
        <v>50000</v>
      </c>
      <c r="D412" t="s">
        <v>204</v>
      </c>
      <c r="E412">
        <v>78808.913603364199</v>
      </c>
      <c r="F412" s="3">
        <f>(tblSalaries[[#This Row],[clean Salary (in local currency)]])*(VLOOKUP(tblSalaries[[#This Row],[Currency]],Sheet3!$A$2:$C$31,3,FALSE))*(VLOOKUP(tblSalaries[[#This Row],[Currency]],Sheet1!$N$4:$Q$186,4,FALSE))</f>
        <v>73698.560249021364</v>
      </c>
      <c r="G412" s="4">
        <f>IF(Dashboard!$J$5=VLOOKUP(tblSalaries[[#This Row],[Currency]],Sheet3!$A$2:$B$31,2,FALSE),tblSalaries[[#This Row],[clean Salary (in local currency)]],(tblSalaries[[#This Row],[PPP Adjusted  USD]]/VLOOKUP(Dashboard!$J$5,Sheet3!$B$2:$C$31,2,FALSE)))</f>
        <v>73698.560249021364</v>
      </c>
      <c r="H412" t="s">
        <v>3122</v>
      </c>
      <c r="I412" t="s">
        <v>637</v>
      </c>
      <c r="J412" t="s">
        <v>687</v>
      </c>
      <c r="K412" t="s">
        <v>617</v>
      </c>
      <c r="L412">
        <v>10</v>
      </c>
    </row>
    <row r="413" spans="2:12" ht="15" customHeight="1">
      <c r="B413" t="s">
        <v>3000</v>
      </c>
      <c r="C413">
        <v>73500</v>
      </c>
      <c r="D413" t="s">
        <v>252</v>
      </c>
      <c r="E413">
        <v>73500</v>
      </c>
      <c r="F413" s="3">
        <f>(tblSalaries[[#This Row],[clean Salary (in local currency)]])*(VLOOKUP(tblSalaries[[#This Row],[Currency]],Sheet3!$A$2:$C$31,3,FALSE))*(VLOOKUP(tblSalaries[[#This Row],[Currency]],Sheet1!$N$4:$Q$186,4,FALSE))</f>
        <v>73500</v>
      </c>
      <c r="G413" s="4">
        <f>IF(Dashboard!$J$5=VLOOKUP(tblSalaries[[#This Row],[Currency]],Sheet3!$A$2:$B$31,2,FALSE),tblSalaries[[#This Row],[clean Salary (in local currency)]],(tblSalaries[[#This Row],[PPP Adjusted  USD]]/VLOOKUP(Dashboard!$J$5,Sheet3!$B$2:$C$31,2,FALSE)))</f>
        <v>73500</v>
      </c>
      <c r="H413" t="s">
        <v>3001</v>
      </c>
      <c r="I413" t="s">
        <v>603</v>
      </c>
      <c r="J413" t="s">
        <v>613</v>
      </c>
      <c r="K413" t="s">
        <v>610</v>
      </c>
      <c r="L413">
        <v>6</v>
      </c>
    </row>
    <row r="414" spans="2:12" ht="15" customHeight="1">
      <c r="B414" t="s">
        <v>1085</v>
      </c>
      <c r="C414">
        <v>73000</v>
      </c>
      <c r="D414" t="s">
        <v>252</v>
      </c>
      <c r="E414">
        <v>73000</v>
      </c>
      <c r="F414" s="3">
        <f>(tblSalaries[[#This Row],[clean Salary (in local currency)]])*(VLOOKUP(tblSalaries[[#This Row],[Currency]],Sheet3!$A$2:$C$31,3,FALSE))*(VLOOKUP(tblSalaries[[#This Row],[Currency]],Sheet1!$N$4:$Q$186,4,FALSE))</f>
        <v>73000</v>
      </c>
      <c r="G414" s="4">
        <f>IF(Dashboard!$J$5=VLOOKUP(tblSalaries[[#This Row],[Currency]],Sheet3!$A$2:$B$31,2,FALSE),tblSalaries[[#This Row],[clean Salary (in local currency)]],(tblSalaries[[#This Row],[PPP Adjusted  USD]]/VLOOKUP(Dashboard!$J$5,Sheet3!$B$2:$C$31,2,FALSE)))</f>
        <v>73000</v>
      </c>
      <c r="H414" t="s">
        <v>612</v>
      </c>
      <c r="I414" t="s">
        <v>603</v>
      </c>
      <c r="J414" t="s">
        <v>613</v>
      </c>
      <c r="K414" t="s">
        <v>605</v>
      </c>
      <c r="L414" t="s">
        <v>3847</v>
      </c>
    </row>
    <row r="415" spans="2:12" ht="15" customHeight="1">
      <c r="B415" t="s">
        <v>1121</v>
      </c>
      <c r="C415">
        <v>73000</v>
      </c>
      <c r="D415" t="s">
        <v>252</v>
      </c>
      <c r="E415">
        <v>73000</v>
      </c>
      <c r="F415" s="3">
        <f>(tblSalaries[[#This Row],[clean Salary (in local currency)]])*(VLOOKUP(tblSalaries[[#This Row],[Currency]],Sheet3!$A$2:$C$31,3,FALSE))*(VLOOKUP(tblSalaries[[#This Row],[Currency]],Sheet1!$N$4:$Q$186,4,FALSE))</f>
        <v>73000</v>
      </c>
      <c r="G415" s="4">
        <f>IF(Dashboard!$J$5=VLOOKUP(tblSalaries[[#This Row],[Currency]],Sheet3!$A$2:$B$31,2,FALSE),tblSalaries[[#This Row],[clean Salary (in local currency)]],(tblSalaries[[#This Row],[PPP Adjusted  USD]]/VLOOKUP(Dashboard!$J$5,Sheet3!$B$2:$C$31,2,FALSE)))</f>
        <v>73000</v>
      </c>
      <c r="H415" t="s">
        <v>1122</v>
      </c>
      <c r="I415" t="s">
        <v>640</v>
      </c>
      <c r="J415" t="s">
        <v>613</v>
      </c>
      <c r="K415" t="s">
        <v>605</v>
      </c>
      <c r="L415" t="s">
        <v>3847</v>
      </c>
    </row>
    <row r="416" spans="2:12" ht="15" customHeight="1">
      <c r="B416" t="s">
        <v>3490</v>
      </c>
      <c r="C416">
        <v>73000</v>
      </c>
      <c r="D416" t="s">
        <v>252</v>
      </c>
      <c r="E416">
        <v>73000</v>
      </c>
      <c r="F416" s="3">
        <f>(tblSalaries[[#This Row],[clean Salary (in local currency)]])*(VLOOKUP(tblSalaries[[#This Row],[Currency]],Sheet3!$A$2:$C$31,3,FALSE))*(VLOOKUP(tblSalaries[[#This Row],[Currency]],Sheet1!$N$4:$Q$186,4,FALSE))</f>
        <v>73000</v>
      </c>
      <c r="G416" s="4">
        <f>IF(Dashboard!$J$5=VLOOKUP(tblSalaries[[#This Row],[Currency]],Sheet3!$A$2:$B$31,2,FALSE),tblSalaries[[#This Row],[clean Salary (in local currency)]],(tblSalaries[[#This Row],[PPP Adjusted  USD]]/VLOOKUP(Dashboard!$J$5,Sheet3!$B$2:$C$31,2,FALSE)))</f>
        <v>73000</v>
      </c>
      <c r="H416" t="s">
        <v>3491</v>
      </c>
      <c r="I416" t="s">
        <v>625</v>
      </c>
      <c r="J416" t="s">
        <v>613</v>
      </c>
      <c r="K416" t="s">
        <v>617</v>
      </c>
      <c r="L416">
        <v>6</v>
      </c>
    </row>
    <row r="417" spans="2:12" ht="15" customHeight="1">
      <c r="B417" t="s">
        <v>990</v>
      </c>
      <c r="C417">
        <v>92000</v>
      </c>
      <c r="D417" t="s">
        <v>276</v>
      </c>
      <c r="E417">
        <v>90469.260118790073</v>
      </c>
      <c r="F417" s="3">
        <f>(tblSalaries[[#This Row],[clean Salary (in local currency)]])*(VLOOKUP(tblSalaries[[#This Row],[Currency]],Sheet3!$A$2:$C$31,3,FALSE))*(VLOOKUP(tblSalaries[[#This Row],[Currency]],Sheet1!$N$4:$Q$186,4,FALSE))</f>
        <v>72721.050694615711</v>
      </c>
      <c r="G417" s="4">
        <f>IF(Dashboard!$J$5=VLOOKUP(tblSalaries[[#This Row],[Currency]],Sheet3!$A$2:$B$31,2,FALSE),tblSalaries[[#This Row],[clean Salary (in local currency)]],(tblSalaries[[#This Row],[PPP Adjusted  USD]]/VLOOKUP(Dashboard!$J$5,Sheet3!$B$2:$C$31,2,FALSE)))</f>
        <v>72721.050694615711</v>
      </c>
      <c r="H417" t="s">
        <v>991</v>
      </c>
      <c r="I417" t="s">
        <v>692</v>
      </c>
      <c r="J417" t="s">
        <v>708</v>
      </c>
      <c r="K417" t="s">
        <v>610</v>
      </c>
      <c r="L417" t="s">
        <v>3847</v>
      </c>
    </row>
    <row r="418" spans="2:12" ht="15" customHeight="1">
      <c r="B418" t="s">
        <v>1946</v>
      </c>
      <c r="C418">
        <v>66000</v>
      </c>
      <c r="D418" t="s">
        <v>200</v>
      </c>
      <c r="E418">
        <v>83846.362973446114</v>
      </c>
      <c r="F418" s="3">
        <f>(tblSalaries[[#This Row],[clean Salary (in local currency)]])*(VLOOKUP(tblSalaries[[#This Row],[Currency]],Sheet3!$A$2:$C$31,3,FALSE))*(VLOOKUP(tblSalaries[[#This Row],[Currency]],Sheet1!$N$4:$Q$186,4,FALSE))</f>
        <v>72643.090474683442</v>
      </c>
      <c r="G418" s="4">
        <f>IF(Dashboard!$J$5=VLOOKUP(tblSalaries[[#This Row],[Currency]],Sheet3!$A$2:$B$31,2,FALSE),tblSalaries[[#This Row],[clean Salary (in local currency)]],(tblSalaries[[#This Row],[PPP Adjusted  USD]]/VLOOKUP(Dashboard!$J$5,Sheet3!$B$2:$C$31,2,FALSE)))</f>
        <v>72643.090474683442</v>
      </c>
      <c r="H418" t="s">
        <v>1947</v>
      </c>
      <c r="I418" t="s">
        <v>603</v>
      </c>
      <c r="J418" t="s">
        <v>626</v>
      </c>
      <c r="K418" t="s">
        <v>605</v>
      </c>
      <c r="L418">
        <v>7</v>
      </c>
    </row>
    <row r="419" spans="2:12" ht="15" customHeight="1">
      <c r="B419" t="s">
        <v>1581</v>
      </c>
      <c r="C419">
        <v>72600</v>
      </c>
      <c r="D419" t="s">
        <v>252</v>
      </c>
      <c r="E419">
        <v>72600</v>
      </c>
      <c r="F419" s="3">
        <f>(tblSalaries[[#This Row],[clean Salary (in local currency)]])*(VLOOKUP(tblSalaries[[#This Row],[Currency]],Sheet3!$A$2:$C$31,3,FALSE))*(VLOOKUP(tblSalaries[[#This Row],[Currency]],Sheet1!$N$4:$Q$186,4,FALSE))</f>
        <v>72600</v>
      </c>
      <c r="G419" s="4">
        <f>IF(Dashboard!$J$5=VLOOKUP(tblSalaries[[#This Row],[Currency]],Sheet3!$A$2:$B$31,2,FALSE),tblSalaries[[#This Row],[clean Salary (in local currency)]],(tblSalaries[[#This Row],[PPP Adjusted  USD]]/VLOOKUP(Dashboard!$J$5,Sheet3!$B$2:$C$31,2,FALSE)))</f>
        <v>72600</v>
      </c>
      <c r="H419" t="s">
        <v>1582</v>
      </c>
      <c r="I419" t="s">
        <v>625</v>
      </c>
      <c r="J419" t="s">
        <v>613</v>
      </c>
      <c r="K419" t="s">
        <v>617</v>
      </c>
      <c r="L419" t="s">
        <v>3847</v>
      </c>
    </row>
    <row r="420" spans="2:12" ht="15" customHeight="1">
      <c r="B420" t="s">
        <v>1052</v>
      </c>
      <c r="C420">
        <v>72500</v>
      </c>
      <c r="D420" t="s">
        <v>252</v>
      </c>
      <c r="E420">
        <v>72500</v>
      </c>
      <c r="F420" s="3">
        <f>(tblSalaries[[#This Row],[clean Salary (in local currency)]])*(VLOOKUP(tblSalaries[[#This Row],[Currency]],Sheet3!$A$2:$C$31,3,FALSE))*(VLOOKUP(tblSalaries[[#This Row],[Currency]],Sheet1!$N$4:$Q$186,4,FALSE))</f>
        <v>72500</v>
      </c>
      <c r="G420" s="4">
        <f>IF(Dashboard!$J$5=VLOOKUP(tblSalaries[[#This Row],[Currency]],Sheet3!$A$2:$B$31,2,FALSE),tblSalaries[[#This Row],[clean Salary (in local currency)]],(tblSalaries[[#This Row],[PPP Adjusted  USD]]/VLOOKUP(Dashboard!$J$5,Sheet3!$B$2:$C$31,2,FALSE)))</f>
        <v>72500</v>
      </c>
      <c r="H420" t="s">
        <v>1053</v>
      </c>
      <c r="I420" t="s">
        <v>608</v>
      </c>
      <c r="J420" t="s">
        <v>613</v>
      </c>
      <c r="K420" t="s">
        <v>605</v>
      </c>
      <c r="L420" t="s">
        <v>3847</v>
      </c>
    </row>
    <row r="421" spans="2:12" ht="15" customHeight="1">
      <c r="B421" t="s">
        <v>1288</v>
      </c>
      <c r="C421">
        <v>72500</v>
      </c>
      <c r="D421" t="s">
        <v>252</v>
      </c>
      <c r="E421">
        <v>72500</v>
      </c>
      <c r="F421" s="3">
        <f>(tblSalaries[[#This Row],[clean Salary (in local currency)]])*(VLOOKUP(tblSalaries[[#This Row],[Currency]],Sheet3!$A$2:$C$31,3,FALSE))*(VLOOKUP(tblSalaries[[#This Row],[Currency]],Sheet1!$N$4:$Q$186,4,FALSE))</f>
        <v>72500</v>
      </c>
      <c r="G421" s="4">
        <f>IF(Dashboard!$J$5=VLOOKUP(tblSalaries[[#This Row],[Currency]],Sheet3!$A$2:$B$31,2,FALSE),tblSalaries[[#This Row],[clean Salary (in local currency)]],(tblSalaries[[#This Row],[PPP Adjusted  USD]]/VLOOKUP(Dashboard!$J$5,Sheet3!$B$2:$C$31,2,FALSE)))</f>
        <v>72500</v>
      </c>
      <c r="H421" t="s">
        <v>1289</v>
      </c>
      <c r="I421" t="s">
        <v>620</v>
      </c>
      <c r="J421" t="s">
        <v>613</v>
      </c>
      <c r="K421" t="s">
        <v>617</v>
      </c>
      <c r="L421" t="s">
        <v>3847</v>
      </c>
    </row>
    <row r="422" spans="2:12" ht="15" customHeight="1">
      <c r="B422" t="s">
        <v>1404</v>
      </c>
      <c r="C422">
        <v>72000</v>
      </c>
      <c r="D422" t="s">
        <v>252</v>
      </c>
      <c r="E422">
        <v>72000</v>
      </c>
      <c r="F422" s="3">
        <f>(tblSalaries[[#This Row],[clean Salary (in local currency)]])*(VLOOKUP(tblSalaries[[#This Row],[Currency]],Sheet3!$A$2:$C$31,3,FALSE))*(VLOOKUP(tblSalaries[[#This Row],[Currency]],Sheet1!$N$4:$Q$186,4,FALSE))</f>
        <v>72000</v>
      </c>
      <c r="G422" s="4">
        <f>IF(Dashboard!$J$5=VLOOKUP(tblSalaries[[#This Row],[Currency]],Sheet3!$A$2:$B$31,2,FALSE),tblSalaries[[#This Row],[clean Salary (in local currency)]],(tblSalaries[[#This Row],[PPP Adjusted  USD]]/VLOOKUP(Dashboard!$J$5,Sheet3!$B$2:$C$31,2,FALSE)))</f>
        <v>72000</v>
      </c>
      <c r="H422" t="s">
        <v>1405</v>
      </c>
      <c r="I422" t="s">
        <v>633</v>
      </c>
      <c r="J422" t="s">
        <v>613</v>
      </c>
      <c r="K422" t="s">
        <v>605</v>
      </c>
      <c r="L422" t="s">
        <v>3847</v>
      </c>
    </row>
    <row r="423" spans="2:12" ht="15" customHeight="1">
      <c r="B423" t="s">
        <v>1435</v>
      </c>
      <c r="C423">
        <v>72000</v>
      </c>
      <c r="D423" t="s">
        <v>252</v>
      </c>
      <c r="E423">
        <v>72000</v>
      </c>
      <c r="F423" s="3">
        <f>(tblSalaries[[#This Row],[clean Salary (in local currency)]])*(VLOOKUP(tblSalaries[[#This Row],[Currency]],Sheet3!$A$2:$C$31,3,FALSE))*(VLOOKUP(tblSalaries[[#This Row],[Currency]],Sheet1!$N$4:$Q$186,4,FALSE))</f>
        <v>72000</v>
      </c>
      <c r="G423" s="4">
        <f>IF(Dashboard!$J$5=VLOOKUP(tblSalaries[[#This Row],[Currency]],Sheet3!$A$2:$B$31,2,FALSE),tblSalaries[[#This Row],[clean Salary (in local currency)]],(tblSalaries[[#This Row],[PPP Adjusted  USD]]/VLOOKUP(Dashboard!$J$5,Sheet3!$B$2:$C$31,2,FALSE)))</f>
        <v>72000</v>
      </c>
      <c r="H423" t="s">
        <v>1436</v>
      </c>
      <c r="I423" t="s">
        <v>603</v>
      </c>
      <c r="J423" t="s">
        <v>613</v>
      </c>
      <c r="K423" t="s">
        <v>617</v>
      </c>
      <c r="L423" t="s">
        <v>3847</v>
      </c>
    </row>
    <row r="424" spans="2:12" ht="15" customHeight="1">
      <c r="B424" t="s">
        <v>1599</v>
      </c>
      <c r="C424">
        <v>72000</v>
      </c>
      <c r="D424" t="s">
        <v>252</v>
      </c>
      <c r="E424">
        <v>72000</v>
      </c>
      <c r="F424" s="3">
        <f>(tblSalaries[[#This Row],[clean Salary (in local currency)]])*(VLOOKUP(tblSalaries[[#This Row],[Currency]],Sheet3!$A$2:$C$31,3,FALSE))*(VLOOKUP(tblSalaries[[#This Row],[Currency]],Sheet1!$N$4:$Q$186,4,FALSE))</f>
        <v>72000</v>
      </c>
      <c r="G424" s="4">
        <f>IF(Dashboard!$J$5=VLOOKUP(tblSalaries[[#This Row],[Currency]],Sheet3!$A$2:$B$31,2,FALSE),tblSalaries[[#This Row],[clean Salary (in local currency)]],(tblSalaries[[#This Row],[PPP Adjusted  USD]]/VLOOKUP(Dashboard!$J$5,Sheet3!$B$2:$C$31,2,FALSE)))</f>
        <v>72000</v>
      </c>
      <c r="H424" t="s">
        <v>1600</v>
      </c>
      <c r="I424" t="s">
        <v>603</v>
      </c>
      <c r="J424" t="s">
        <v>683</v>
      </c>
      <c r="K424" t="s">
        <v>617</v>
      </c>
      <c r="L424" t="s">
        <v>3847</v>
      </c>
    </row>
    <row r="425" spans="2:12" ht="15" customHeight="1">
      <c r="B425" t="s">
        <v>2766</v>
      </c>
      <c r="C425">
        <v>72000</v>
      </c>
      <c r="D425" t="s">
        <v>252</v>
      </c>
      <c r="E425">
        <v>72000</v>
      </c>
      <c r="F425" s="3">
        <f>(tblSalaries[[#This Row],[clean Salary (in local currency)]])*(VLOOKUP(tblSalaries[[#This Row],[Currency]],Sheet3!$A$2:$C$31,3,FALSE))*(VLOOKUP(tblSalaries[[#This Row],[Currency]],Sheet1!$N$4:$Q$186,4,FALSE))</f>
        <v>72000</v>
      </c>
      <c r="G425" s="4">
        <f>IF(Dashboard!$J$5=VLOOKUP(tblSalaries[[#This Row],[Currency]],Sheet3!$A$2:$B$31,2,FALSE),tblSalaries[[#This Row],[clean Salary (in local currency)]],(tblSalaries[[#This Row],[PPP Adjusted  USD]]/VLOOKUP(Dashboard!$J$5,Sheet3!$B$2:$C$31,2,FALSE)))</f>
        <v>72000</v>
      </c>
      <c r="H425" t="s">
        <v>2767</v>
      </c>
      <c r="I425" t="s">
        <v>692</v>
      </c>
      <c r="J425" t="s">
        <v>1604</v>
      </c>
      <c r="K425" t="s">
        <v>617</v>
      </c>
      <c r="L425">
        <v>10</v>
      </c>
    </row>
    <row r="426" spans="2:12" ht="15" customHeight="1">
      <c r="B426" t="s">
        <v>3050</v>
      </c>
      <c r="C426">
        <v>72000</v>
      </c>
      <c r="D426" t="s">
        <v>252</v>
      </c>
      <c r="E426">
        <v>72000</v>
      </c>
      <c r="F426" s="3">
        <f>(tblSalaries[[#This Row],[clean Salary (in local currency)]])*(VLOOKUP(tblSalaries[[#This Row],[Currency]],Sheet3!$A$2:$C$31,3,FALSE))*(VLOOKUP(tblSalaries[[#This Row],[Currency]],Sheet1!$N$4:$Q$186,4,FALSE))</f>
        <v>72000</v>
      </c>
      <c r="G426" s="4">
        <f>IF(Dashboard!$J$5=VLOOKUP(tblSalaries[[#This Row],[Currency]],Sheet3!$A$2:$B$31,2,FALSE),tblSalaries[[#This Row],[clean Salary (in local currency)]],(tblSalaries[[#This Row],[PPP Adjusted  USD]]/VLOOKUP(Dashboard!$J$5,Sheet3!$B$2:$C$31,2,FALSE)))</f>
        <v>72000</v>
      </c>
      <c r="H426" t="s">
        <v>625</v>
      </c>
      <c r="I426" t="s">
        <v>625</v>
      </c>
      <c r="J426" t="s">
        <v>613</v>
      </c>
      <c r="K426" t="s">
        <v>627</v>
      </c>
      <c r="L426">
        <v>20</v>
      </c>
    </row>
    <row r="427" spans="2:12" ht="15" customHeight="1">
      <c r="B427" t="s">
        <v>3063</v>
      </c>
      <c r="C427">
        <v>72000</v>
      </c>
      <c r="D427" t="s">
        <v>252</v>
      </c>
      <c r="E427">
        <v>72000</v>
      </c>
      <c r="F427" s="3">
        <f>(tblSalaries[[#This Row],[clean Salary (in local currency)]])*(VLOOKUP(tblSalaries[[#This Row],[Currency]],Sheet3!$A$2:$C$31,3,FALSE))*(VLOOKUP(tblSalaries[[#This Row],[Currency]],Sheet1!$N$4:$Q$186,4,FALSE))</f>
        <v>72000</v>
      </c>
      <c r="G427" s="4">
        <f>IF(Dashboard!$J$5=VLOOKUP(tblSalaries[[#This Row],[Currency]],Sheet3!$A$2:$B$31,2,FALSE),tblSalaries[[#This Row],[clean Salary (in local currency)]],(tblSalaries[[#This Row],[PPP Adjusted  USD]]/VLOOKUP(Dashboard!$J$5,Sheet3!$B$2:$C$31,2,FALSE)))</f>
        <v>72000</v>
      </c>
      <c r="H427" t="s">
        <v>3064</v>
      </c>
      <c r="I427" t="s">
        <v>603</v>
      </c>
      <c r="J427" t="s">
        <v>613</v>
      </c>
      <c r="K427" t="s">
        <v>610</v>
      </c>
      <c r="L427">
        <v>10</v>
      </c>
    </row>
    <row r="428" spans="2:12" ht="15" customHeight="1">
      <c r="B428" t="s">
        <v>3582</v>
      </c>
      <c r="C428">
        <v>72000</v>
      </c>
      <c r="D428" t="s">
        <v>252</v>
      </c>
      <c r="E428">
        <v>72000</v>
      </c>
      <c r="F428" s="3">
        <f>(tblSalaries[[#This Row],[clean Salary (in local currency)]])*(VLOOKUP(tblSalaries[[#This Row],[Currency]],Sheet3!$A$2:$C$31,3,FALSE))*(VLOOKUP(tblSalaries[[#This Row],[Currency]],Sheet1!$N$4:$Q$186,4,FALSE))</f>
        <v>72000</v>
      </c>
      <c r="G428" s="4">
        <f>IF(Dashboard!$J$5=VLOOKUP(tblSalaries[[#This Row],[Currency]],Sheet3!$A$2:$B$31,2,FALSE),tblSalaries[[#This Row],[clean Salary (in local currency)]],(tblSalaries[[#This Row],[PPP Adjusted  USD]]/VLOOKUP(Dashboard!$J$5,Sheet3!$B$2:$C$31,2,FALSE)))</f>
        <v>72000</v>
      </c>
      <c r="H428" t="s">
        <v>692</v>
      </c>
      <c r="I428" t="s">
        <v>692</v>
      </c>
      <c r="J428" t="s">
        <v>613</v>
      </c>
      <c r="K428" t="s">
        <v>617</v>
      </c>
      <c r="L428">
        <v>13</v>
      </c>
    </row>
    <row r="429" spans="2:12" ht="15" customHeight="1">
      <c r="B429" t="s">
        <v>3737</v>
      </c>
      <c r="C429">
        <v>72000</v>
      </c>
      <c r="D429" t="s">
        <v>252</v>
      </c>
      <c r="E429">
        <v>72000</v>
      </c>
      <c r="F429" s="3">
        <f>(tblSalaries[[#This Row],[clean Salary (in local currency)]])*(VLOOKUP(tblSalaries[[#This Row],[Currency]],Sheet3!$A$2:$C$31,3,FALSE))*(VLOOKUP(tblSalaries[[#This Row],[Currency]],Sheet1!$N$4:$Q$186,4,FALSE))</f>
        <v>72000</v>
      </c>
      <c r="G429" s="4">
        <f>IF(Dashboard!$J$5=VLOOKUP(tblSalaries[[#This Row],[Currency]],Sheet3!$A$2:$B$31,2,FALSE),tblSalaries[[#This Row],[clean Salary (in local currency)]],(tblSalaries[[#This Row],[PPP Adjusted  USD]]/VLOOKUP(Dashboard!$J$5,Sheet3!$B$2:$C$31,2,FALSE)))</f>
        <v>72000</v>
      </c>
      <c r="H429" t="s">
        <v>3738</v>
      </c>
      <c r="I429" t="s">
        <v>625</v>
      </c>
      <c r="J429" t="s">
        <v>613</v>
      </c>
      <c r="K429" t="s">
        <v>605</v>
      </c>
      <c r="L429">
        <v>10</v>
      </c>
    </row>
    <row r="430" spans="2:12" ht="15" customHeight="1">
      <c r="B430" t="s">
        <v>1195</v>
      </c>
      <c r="C430">
        <v>65000</v>
      </c>
      <c r="D430" t="s">
        <v>200</v>
      </c>
      <c r="E430">
        <v>82575.963534454509</v>
      </c>
      <c r="F430" s="3">
        <f>(tblSalaries[[#This Row],[clean Salary (in local currency)]])*(VLOOKUP(tblSalaries[[#This Row],[Currency]],Sheet3!$A$2:$C$31,3,FALSE))*(VLOOKUP(tblSalaries[[#This Row],[Currency]],Sheet1!$N$4:$Q$186,4,FALSE))</f>
        <v>71542.437588703397</v>
      </c>
      <c r="G430" s="4">
        <f>IF(Dashboard!$J$5=VLOOKUP(tblSalaries[[#This Row],[Currency]],Sheet3!$A$2:$B$31,2,FALSE),tblSalaries[[#This Row],[clean Salary (in local currency)]],(tblSalaries[[#This Row],[PPP Adjusted  USD]]/VLOOKUP(Dashboard!$J$5,Sheet3!$B$2:$C$31,2,FALSE)))</f>
        <v>71542.437588703397</v>
      </c>
      <c r="H430" t="s">
        <v>1196</v>
      </c>
      <c r="I430" t="s">
        <v>608</v>
      </c>
      <c r="J430" t="s">
        <v>626</v>
      </c>
      <c r="K430" t="s">
        <v>610</v>
      </c>
      <c r="L430" t="s">
        <v>3847</v>
      </c>
    </row>
    <row r="431" spans="2:12" ht="15" customHeight="1">
      <c r="B431" t="s">
        <v>3266</v>
      </c>
      <c r="C431">
        <v>71500</v>
      </c>
      <c r="D431" t="s">
        <v>252</v>
      </c>
      <c r="E431">
        <v>71500</v>
      </c>
      <c r="F431" s="3">
        <f>(tblSalaries[[#This Row],[clean Salary (in local currency)]])*(VLOOKUP(tblSalaries[[#This Row],[Currency]],Sheet3!$A$2:$C$31,3,FALSE))*(VLOOKUP(tblSalaries[[#This Row],[Currency]],Sheet1!$N$4:$Q$186,4,FALSE))</f>
        <v>71500</v>
      </c>
      <c r="G431" s="4">
        <f>IF(Dashboard!$J$5=VLOOKUP(tblSalaries[[#This Row],[Currency]],Sheet3!$A$2:$B$31,2,FALSE),tblSalaries[[#This Row],[clean Salary (in local currency)]],(tblSalaries[[#This Row],[PPP Adjusted  USD]]/VLOOKUP(Dashboard!$J$5,Sheet3!$B$2:$C$31,2,FALSE)))</f>
        <v>71500</v>
      </c>
      <c r="H431" t="s">
        <v>3267</v>
      </c>
      <c r="I431" t="s">
        <v>603</v>
      </c>
      <c r="J431" t="s">
        <v>613</v>
      </c>
      <c r="K431" t="s">
        <v>605</v>
      </c>
      <c r="L431">
        <v>5</v>
      </c>
    </row>
    <row r="432" spans="2:12" ht="15" customHeight="1">
      <c r="B432" t="s">
        <v>3576</v>
      </c>
      <c r="C432">
        <v>71500</v>
      </c>
      <c r="D432" t="s">
        <v>252</v>
      </c>
      <c r="E432">
        <v>71500</v>
      </c>
      <c r="F432" s="3">
        <f>(tblSalaries[[#This Row],[clean Salary (in local currency)]])*(VLOOKUP(tblSalaries[[#This Row],[Currency]],Sheet3!$A$2:$C$31,3,FALSE))*(VLOOKUP(tblSalaries[[#This Row],[Currency]],Sheet1!$N$4:$Q$186,4,FALSE))</f>
        <v>71500</v>
      </c>
      <c r="G432" s="4">
        <f>IF(Dashboard!$J$5=VLOOKUP(tblSalaries[[#This Row],[Currency]],Sheet3!$A$2:$B$31,2,FALSE),tblSalaries[[#This Row],[clean Salary (in local currency)]],(tblSalaries[[#This Row],[PPP Adjusted  USD]]/VLOOKUP(Dashboard!$J$5,Sheet3!$B$2:$C$31,2,FALSE)))</f>
        <v>71500</v>
      </c>
      <c r="H432" t="s">
        <v>3577</v>
      </c>
      <c r="I432" t="s">
        <v>625</v>
      </c>
      <c r="J432" t="s">
        <v>613</v>
      </c>
      <c r="K432" t="s">
        <v>610</v>
      </c>
      <c r="L432">
        <v>11</v>
      </c>
    </row>
    <row r="433" spans="2:12" ht="15" customHeight="1">
      <c r="B433" t="s">
        <v>3236</v>
      </c>
      <c r="C433">
        <v>48360</v>
      </c>
      <c r="D433" t="s">
        <v>204</v>
      </c>
      <c r="E433">
        <v>76223.981237173866</v>
      </c>
      <c r="F433" s="3">
        <f>(tblSalaries[[#This Row],[clean Salary (in local currency)]])*(VLOOKUP(tblSalaries[[#This Row],[Currency]],Sheet3!$A$2:$C$31,3,FALSE))*(VLOOKUP(tblSalaries[[#This Row],[Currency]],Sheet1!$N$4:$Q$186,4,FALSE))</f>
        <v>71281.247472853473</v>
      </c>
      <c r="G433" s="4">
        <f>IF(Dashboard!$J$5=VLOOKUP(tblSalaries[[#This Row],[Currency]],Sheet3!$A$2:$B$31,2,FALSE),tblSalaries[[#This Row],[clean Salary (in local currency)]],(tblSalaries[[#This Row],[PPP Adjusted  USD]]/VLOOKUP(Dashboard!$J$5,Sheet3!$B$2:$C$31,2,FALSE)))</f>
        <v>71281.247472853473</v>
      </c>
      <c r="H433" t="s">
        <v>3237</v>
      </c>
      <c r="I433" t="s">
        <v>625</v>
      </c>
      <c r="J433" t="s">
        <v>687</v>
      </c>
      <c r="K433" t="s">
        <v>610</v>
      </c>
      <c r="L433">
        <v>8</v>
      </c>
    </row>
    <row r="434" spans="2:12" ht="15" customHeight="1">
      <c r="B434" t="s">
        <v>959</v>
      </c>
      <c r="C434">
        <v>90000</v>
      </c>
      <c r="D434" t="s">
        <v>276</v>
      </c>
      <c r="E434">
        <v>88502.537072729421</v>
      </c>
      <c r="F434" s="3">
        <f>(tblSalaries[[#This Row],[clean Salary (in local currency)]])*(VLOOKUP(tblSalaries[[#This Row],[Currency]],Sheet3!$A$2:$C$31,3,FALSE))*(VLOOKUP(tblSalaries[[#This Row],[Currency]],Sheet1!$N$4:$Q$186,4,FALSE))</f>
        <v>71140.158288211023</v>
      </c>
      <c r="G434" s="4">
        <f>IF(Dashboard!$J$5=VLOOKUP(tblSalaries[[#This Row],[Currency]],Sheet3!$A$2:$B$31,2,FALSE),tblSalaries[[#This Row],[clean Salary (in local currency)]],(tblSalaries[[#This Row],[PPP Adjusted  USD]]/VLOOKUP(Dashboard!$J$5,Sheet3!$B$2:$C$31,2,FALSE)))</f>
        <v>71140.158288211023</v>
      </c>
      <c r="H434" t="s">
        <v>960</v>
      </c>
      <c r="I434" t="s">
        <v>603</v>
      </c>
      <c r="J434" t="s">
        <v>708</v>
      </c>
      <c r="K434" t="s">
        <v>605</v>
      </c>
      <c r="L434" t="s">
        <v>3847</v>
      </c>
    </row>
    <row r="435" spans="2:12" ht="15" customHeight="1">
      <c r="B435" t="s">
        <v>1162</v>
      </c>
      <c r="C435">
        <v>1500000</v>
      </c>
      <c r="D435" t="s">
        <v>247</v>
      </c>
      <c r="E435">
        <v>26711.875031163851</v>
      </c>
      <c r="F435" s="3">
        <f>(tblSalaries[[#This Row],[clean Salary (in local currency)]])*(VLOOKUP(tblSalaries[[#This Row],[Currency]],Sheet3!$A$2:$C$31,3,FALSE))*(VLOOKUP(tblSalaries[[#This Row],[Currency]],Sheet1!$N$4:$Q$186,4,FALSE))</f>
        <v>71041.533523047678</v>
      </c>
      <c r="G435" s="4">
        <f>IF(Dashboard!$J$5=VLOOKUP(tblSalaries[[#This Row],[Currency]],Sheet3!$A$2:$B$31,2,FALSE),tblSalaries[[#This Row],[clean Salary (in local currency)]],(tblSalaries[[#This Row],[PPP Adjusted  USD]]/VLOOKUP(Dashboard!$J$5,Sheet3!$B$2:$C$31,2,FALSE)))</f>
        <v>71041.533523047678</v>
      </c>
      <c r="H435" t="s">
        <v>692</v>
      </c>
      <c r="I435" t="s">
        <v>692</v>
      </c>
      <c r="J435" t="s">
        <v>604</v>
      </c>
      <c r="K435" t="s">
        <v>610</v>
      </c>
      <c r="L435" t="s">
        <v>3847</v>
      </c>
    </row>
    <row r="436" spans="2:12" ht="15" customHeight="1">
      <c r="B436" t="s">
        <v>2853</v>
      </c>
      <c r="C436">
        <v>1500000</v>
      </c>
      <c r="D436" t="s">
        <v>247</v>
      </c>
      <c r="E436">
        <v>26711.875031163851</v>
      </c>
      <c r="F436" s="3">
        <f>(tblSalaries[[#This Row],[clean Salary (in local currency)]])*(VLOOKUP(tblSalaries[[#This Row],[Currency]],Sheet3!$A$2:$C$31,3,FALSE))*(VLOOKUP(tblSalaries[[#This Row],[Currency]],Sheet1!$N$4:$Q$186,4,FALSE))</f>
        <v>71041.533523047678</v>
      </c>
      <c r="G436" s="4">
        <f>IF(Dashboard!$J$5=VLOOKUP(tblSalaries[[#This Row],[Currency]],Sheet3!$A$2:$B$31,2,FALSE),tblSalaries[[#This Row],[clean Salary (in local currency)]],(tblSalaries[[#This Row],[PPP Adjusted  USD]]/VLOOKUP(Dashboard!$J$5,Sheet3!$B$2:$C$31,2,FALSE)))</f>
        <v>71041.533523047678</v>
      </c>
      <c r="H436" t="s">
        <v>603</v>
      </c>
      <c r="I436" t="s">
        <v>603</v>
      </c>
      <c r="J436" t="s">
        <v>604</v>
      </c>
      <c r="K436" t="s">
        <v>605</v>
      </c>
      <c r="L436">
        <v>7</v>
      </c>
    </row>
    <row r="437" spans="2:12" ht="15" customHeight="1">
      <c r="B437" t="s">
        <v>3189</v>
      </c>
      <c r="C437">
        <v>1500000</v>
      </c>
      <c r="D437" t="s">
        <v>247</v>
      </c>
      <c r="E437">
        <v>26711.875031163851</v>
      </c>
      <c r="F437" s="3">
        <f>(tblSalaries[[#This Row],[clean Salary (in local currency)]])*(VLOOKUP(tblSalaries[[#This Row],[Currency]],Sheet3!$A$2:$C$31,3,FALSE))*(VLOOKUP(tblSalaries[[#This Row],[Currency]],Sheet1!$N$4:$Q$186,4,FALSE))</f>
        <v>71041.533523047678</v>
      </c>
      <c r="G437" s="4">
        <f>IF(Dashboard!$J$5=VLOOKUP(tblSalaries[[#This Row],[Currency]],Sheet3!$A$2:$B$31,2,FALSE),tblSalaries[[#This Row],[clean Salary (in local currency)]],(tblSalaries[[#This Row],[PPP Adjusted  USD]]/VLOOKUP(Dashboard!$J$5,Sheet3!$B$2:$C$31,2,FALSE)))</f>
        <v>71041.533523047678</v>
      </c>
      <c r="H437" t="s">
        <v>3190</v>
      </c>
      <c r="I437" t="s">
        <v>692</v>
      </c>
      <c r="J437" t="s">
        <v>604</v>
      </c>
      <c r="K437" t="s">
        <v>605</v>
      </c>
      <c r="L437">
        <v>10</v>
      </c>
    </row>
    <row r="438" spans="2:12" ht="15" customHeight="1">
      <c r="B438" t="s">
        <v>890</v>
      </c>
      <c r="C438">
        <v>71000</v>
      </c>
      <c r="D438" t="s">
        <v>252</v>
      </c>
      <c r="E438">
        <v>71000</v>
      </c>
      <c r="F438" s="3">
        <f>(tblSalaries[[#This Row],[clean Salary (in local currency)]])*(VLOOKUP(tblSalaries[[#This Row],[Currency]],Sheet3!$A$2:$C$31,3,FALSE))*(VLOOKUP(tblSalaries[[#This Row],[Currency]],Sheet1!$N$4:$Q$186,4,FALSE))</f>
        <v>71000</v>
      </c>
      <c r="G438" s="4">
        <f>IF(Dashboard!$J$5=VLOOKUP(tblSalaries[[#This Row],[Currency]],Sheet3!$A$2:$B$31,2,FALSE),tblSalaries[[#This Row],[clean Salary (in local currency)]],(tblSalaries[[#This Row],[PPP Adjusted  USD]]/VLOOKUP(Dashboard!$J$5,Sheet3!$B$2:$C$31,2,FALSE)))</f>
        <v>71000</v>
      </c>
      <c r="H438" t="s">
        <v>891</v>
      </c>
      <c r="I438" t="s">
        <v>603</v>
      </c>
      <c r="J438" t="s">
        <v>613</v>
      </c>
      <c r="K438" t="s">
        <v>605</v>
      </c>
      <c r="L438" t="s">
        <v>3847</v>
      </c>
    </row>
    <row r="439" spans="2:12" ht="15" customHeight="1">
      <c r="B439" t="s">
        <v>3254</v>
      </c>
      <c r="C439">
        <v>70970</v>
      </c>
      <c r="D439" t="s">
        <v>252</v>
      </c>
      <c r="E439">
        <v>70970</v>
      </c>
      <c r="F439" s="3">
        <f>(tblSalaries[[#This Row],[clean Salary (in local currency)]])*(VLOOKUP(tblSalaries[[#This Row],[Currency]],Sheet3!$A$2:$C$31,3,FALSE))*(VLOOKUP(tblSalaries[[#This Row],[Currency]],Sheet1!$N$4:$Q$186,4,FALSE))</f>
        <v>70970</v>
      </c>
      <c r="G439" s="4">
        <f>IF(Dashboard!$J$5=VLOOKUP(tblSalaries[[#This Row],[Currency]],Sheet3!$A$2:$B$31,2,FALSE),tblSalaries[[#This Row],[clean Salary (in local currency)]],(tblSalaries[[#This Row],[PPP Adjusted  USD]]/VLOOKUP(Dashboard!$J$5,Sheet3!$B$2:$C$31,2,FALSE)))</f>
        <v>70970</v>
      </c>
      <c r="H439" t="s">
        <v>3255</v>
      </c>
      <c r="I439" t="s">
        <v>603</v>
      </c>
      <c r="J439" t="s">
        <v>613</v>
      </c>
      <c r="K439" t="s">
        <v>605</v>
      </c>
      <c r="L439">
        <v>17</v>
      </c>
    </row>
    <row r="440" spans="2:12" ht="15" customHeight="1">
      <c r="B440" t="s">
        <v>2515</v>
      </c>
      <c r="C440">
        <v>48000</v>
      </c>
      <c r="D440" t="s">
        <v>204</v>
      </c>
      <c r="E440">
        <v>75656.557059229643</v>
      </c>
      <c r="F440" s="3">
        <f>(tblSalaries[[#This Row],[clean Salary (in local currency)]])*(VLOOKUP(tblSalaries[[#This Row],[Currency]],Sheet3!$A$2:$C$31,3,FALSE))*(VLOOKUP(tblSalaries[[#This Row],[Currency]],Sheet1!$N$4:$Q$186,4,FALSE))</f>
        <v>70750.61783906052</v>
      </c>
      <c r="G440" s="4">
        <f>IF(Dashboard!$J$5=VLOOKUP(tblSalaries[[#This Row],[Currency]],Sheet3!$A$2:$B$31,2,FALSE),tblSalaries[[#This Row],[clean Salary (in local currency)]],(tblSalaries[[#This Row],[PPP Adjusted  USD]]/VLOOKUP(Dashboard!$J$5,Sheet3!$B$2:$C$31,2,FALSE)))</f>
        <v>70750.61783906052</v>
      </c>
      <c r="H440" t="s">
        <v>2516</v>
      </c>
      <c r="I440" t="s">
        <v>625</v>
      </c>
      <c r="J440" t="s">
        <v>687</v>
      </c>
      <c r="K440" t="s">
        <v>617</v>
      </c>
      <c r="L440">
        <v>10</v>
      </c>
    </row>
    <row r="441" spans="2:12" ht="15" customHeight="1">
      <c r="B441" t="s">
        <v>865</v>
      </c>
      <c r="C441">
        <v>70000</v>
      </c>
      <c r="D441" t="s">
        <v>252</v>
      </c>
      <c r="E441">
        <v>70000</v>
      </c>
      <c r="F441" s="3">
        <f>(tblSalaries[[#This Row],[clean Salary (in local currency)]])*(VLOOKUP(tblSalaries[[#This Row],[Currency]],Sheet3!$A$2:$C$31,3,FALSE))*(VLOOKUP(tblSalaries[[#This Row],[Currency]],Sheet1!$N$4:$Q$186,4,FALSE))</f>
        <v>70000</v>
      </c>
      <c r="G441" s="4">
        <f>IF(Dashboard!$J$5=VLOOKUP(tblSalaries[[#This Row],[Currency]],Sheet3!$A$2:$B$31,2,FALSE),tblSalaries[[#This Row],[clean Salary (in local currency)]],(tblSalaries[[#This Row],[PPP Adjusted  USD]]/VLOOKUP(Dashboard!$J$5,Sheet3!$B$2:$C$31,2,FALSE)))</f>
        <v>70000</v>
      </c>
      <c r="H441" t="s">
        <v>866</v>
      </c>
      <c r="I441" t="s">
        <v>637</v>
      </c>
      <c r="J441" t="s">
        <v>613</v>
      </c>
      <c r="K441" t="s">
        <v>610</v>
      </c>
      <c r="L441" t="s">
        <v>3847</v>
      </c>
    </row>
    <row r="442" spans="2:12" ht="15" customHeight="1">
      <c r="B442" t="s">
        <v>982</v>
      </c>
      <c r="C442">
        <v>70000</v>
      </c>
      <c r="D442" t="s">
        <v>252</v>
      </c>
      <c r="E442">
        <v>70000</v>
      </c>
      <c r="F442" s="3">
        <f>(tblSalaries[[#This Row],[clean Salary (in local currency)]])*(VLOOKUP(tblSalaries[[#This Row],[Currency]],Sheet3!$A$2:$C$31,3,FALSE))*(VLOOKUP(tblSalaries[[#This Row],[Currency]],Sheet1!$N$4:$Q$186,4,FALSE))</f>
        <v>70000</v>
      </c>
      <c r="G442" s="4">
        <f>IF(Dashboard!$J$5=VLOOKUP(tblSalaries[[#This Row],[Currency]],Sheet3!$A$2:$B$31,2,FALSE),tblSalaries[[#This Row],[clean Salary (in local currency)]],(tblSalaries[[#This Row],[PPP Adjusted  USD]]/VLOOKUP(Dashboard!$J$5,Sheet3!$B$2:$C$31,2,FALSE)))</f>
        <v>70000</v>
      </c>
      <c r="H442" t="s">
        <v>983</v>
      </c>
      <c r="I442" t="s">
        <v>625</v>
      </c>
      <c r="J442" t="s">
        <v>613</v>
      </c>
      <c r="K442" t="s">
        <v>605</v>
      </c>
      <c r="L442" t="s">
        <v>3847</v>
      </c>
    </row>
    <row r="443" spans="2:12" ht="15" customHeight="1">
      <c r="B443" t="s">
        <v>1005</v>
      </c>
      <c r="C443">
        <v>70000</v>
      </c>
      <c r="D443" t="s">
        <v>252</v>
      </c>
      <c r="E443">
        <v>70000</v>
      </c>
      <c r="F443" s="3">
        <f>(tblSalaries[[#This Row],[clean Salary (in local currency)]])*(VLOOKUP(tblSalaries[[#This Row],[Currency]],Sheet3!$A$2:$C$31,3,FALSE))*(VLOOKUP(tblSalaries[[#This Row],[Currency]],Sheet1!$N$4:$Q$186,4,FALSE))</f>
        <v>70000</v>
      </c>
      <c r="G443" s="4">
        <f>IF(Dashboard!$J$5=VLOOKUP(tblSalaries[[#This Row],[Currency]],Sheet3!$A$2:$B$31,2,FALSE),tblSalaries[[#This Row],[clean Salary (in local currency)]],(tblSalaries[[#This Row],[PPP Adjusted  USD]]/VLOOKUP(Dashboard!$J$5,Sheet3!$B$2:$C$31,2,FALSE)))</f>
        <v>70000</v>
      </c>
      <c r="H443" t="s">
        <v>1006</v>
      </c>
      <c r="I443" t="s">
        <v>603</v>
      </c>
      <c r="J443" t="s">
        <v>613</v>
      </c>
      <c r="K443" t="s">
        <v>605</v>
      </c>
      <c r="L443" t="s">
        <v>3847</v>
      </c>
    </row>
    <row r="444" spans="2:12" ht="15" customHeight="1">
      <c r="B444" t="s">
        <v>1091</v>
      </c>
      <c r="C444">
        <v>70000</v>
      </c>
      <c r="D444" t="s">
        <v>252</v>
      </c>
      <c r="E444">
        <v>70000</v>
      </c>
      <c r="F444" s="3">
        <f>(tblSalaries[[#This Row],[clean Salary (in local currency)]])*(VLOOKUP(tblSalaries[[#This Row],[Currency]],Sheet3!$A$2:$C$31,3,FALSE))*(VLOOKUP(tblSalaries[[#This Row],[Currency]],Sheet1!$N$4:$Q$186,4,FALSE))</f>
        <v>70000</v>
      </c>
      <c r="G444" s="4">
        <f>IF(Dashboard!$J$5=VLOOKUP(tblSalaries[[#This Row],[Currency]],Sheet3!$A$2:$B$31,2,FALSE),tblSalaries[[#This Row],[clean Salary (in local currency)]],(tblSalaries[[#This Row],[PPP Adjusted  USD]]/VLOOKUP(Dashboard!$J$5,Sheet3!$B$2:$C$31,2,FALSE)))</f>
        <v>70000</v>
      </c>
      <c r="H444" t="s">
        <v>1092</v>
      </c>
      <c r="I444" t="s">
        <v>625</v>
      </c>
      <c r="J444" t="s">
        <v>613</v>
      </c>
      <c r="K444" t="s">
        <v>617</v>
      </c>
      <c r="L444" t="s">
        <v>3847</v>
      </c>
    </row>
    <row r="445" spans="2:12" ht="15" customHeight="1">
      <c r="B445" t="s">
        <v>1156</v>
      </c>
      <c r="C445">
        <v>70000</v>
      </c>
      <c r="D445" t="s">
        <v>252</v>
      </c>
      <c r="E445">
        <v>70000</v>
      </c>
      <c r="F445" s="3">
        <f>(tblSalaries[[#This Row],[clean Salary (in local currency)]])*(VLOOKUP(tblSalaries[[#This Row],[Currency]],Sheet3!$A$2:$C$31,3,FALSE))*(VLOOKUP(tblSalaries[[#This Row],[Currency]],Sheet1!$N$4:$Q$186,4,FALSE))</f>
        <v>70000</v>
      </c>
      <c r="G445" s="4">
        <f>IF(Dashboard!$J$5=VLOOKUP(tblSalaries[[#This Row],[Currency]],Sheet3!$A$2:$B$31,2,FALSE),tblSalaries[[#This Row],[clean Salary (in local currency)]],(tblSalaries[[#This Row],[PPP Adjusted  USD]]/VLOOKUP(Dashboard!$J$5,Sheet3!$B$2:$C$31,2,FALSE)))</f>
        <v>70000</v>
      </c>
      <c r="H445" t="s">
        <v>1157</v>
      </c>
      <c r="I445" t="s">
        <v>620</v>
      </c>
      <c r="J445" t="s">
        <v>613</v>
      </c>
      <c r="K445" t="s">
        <v>610</v>
      </c>
      <c r="L445" t="s">
        <v>3847</v>
      </c>
    </row>
    <row r="446" spans="2:12" ht="15" customHeight="1">
      <c r="B446" t="s">
        <v>1218</v>
      </c>
      <c r="C446">
        <v>70000</v>
      </c>
      <c r="D446" t="s">
        <v>252</v>
      </c>
      <c r="E446">
        <v>70000</v>
      </c>
      <c r="F446" s="3">
        <f>(tblSalaries[[#This Row],[clean Salary (in local currency)]])*(VLOOKUP(tblSalaries[[#This Row],[Currency]],Sheet3!$A$2:$C$31,3,FALSE))*(VLOOKUP(tblSalaries[[#This Row],[Currency]],Sheet1!$N$4:$Q$186,4,FALSE))</f>
        <v>70000</v>
      </c>
      <c r="G446" s="4">
        <f>IF(Dashboard!$J$5=VLOOKUP(tblSalaries[[#This Row],[Currency]],Sheet3!$A$2:$B$31,2,FALSE),tblSalaries[[#This Row],[clean Salary (in local currency)]],(tblSalaries[[#This Row],[PPP Adjusted  USD]]/VLOOKUP(Dashboard!$J$5,Sheet3!$B$2:$C$31,2,FALSE)))</f>
        <v>70000</v>
      </c>
      <c r="H446" t="s">
        <v>603</v>
      </c>
      <c r="I446" t="s">
        <v>603</v>
      </c>
      <c r="J446" t="s">
        <v>613</v>
      </c>
      <c r="K446" t="s">
        <v>617</v>
      </c>
      <c r="L446" t="s">
        <v>3847</v>
      </c>
    </row>
    <row r="447" spans="2:12" ht="15" customHeight="1">
      <c r="B447" t="s">
        <v>1356</v>
      </c>
      <c r="C447">
        <v>70000</v>
      </c>
      <c r="D447" t="s">
        <v>252</v>
      </c>
      <c r="E447">
        <v>70000</v>
      </c>
      <c r="F447" s="3">
        <f>(tblSalaries[[#This Row],[clean Salary (in local currency)]])*(VLOOKUP(tblSalaries[[#This Row],[Currency]],Sheet3!$A$2:$C$31,3,FALSE))*(VLOOKUP(tblSalaries[[#This Row],[Currency]],Sheet1!$N$4:$Q$186,4,FALSE))</f>
        <v>70000</v>
      </c>
      <c r="G447" s="4">
        <f>IF(Dashboard!$J$5=VLOOKUP(tblSalaries[[#This Row],[Currency]],Sheet3!$A$2:$B$31,2,FALSE),tblSalaries[[#This Row],[clean Salary (in local currency)]],(tblSalaries[[#This Row],[PPP Adjusted  USD]]/VLOOKUP(Dashboard!$J$5,Sheet3!$B$2:$C$31,2,FALSE)))</f>
        <v>70000</v>
      </c>
      <c r="H447" t="s">
        <v>1357</v>
      </c>
      <c r="I447" t="s">
        <v>625</v>
      </c>
      <c r="J447" t="s">
        <v>613</v>
      </c>
      <c r="K447" t="s">
        <v>605</v>
      </c>
      <c r="L447" t="s">
        <v>3847</v>
      </c>
    </row>
    <row r="448" spans="2:12" ht="15" customHeight="1">
      <c r="B448" t="s">
        <v>1498</v>
      </c>
      <c r="C448">
        <v>70000</v>
      </c>
      <c r="D448" t="s">
        <v>252</v>
      </c>
      <c r="E448">
        <v>70000</v>
      </c>
      <c r="F448" s="3">
        <f>(tblSalaries[[#This Row],[clean Salary (in local currency)]])*(VLOOKUP(tblSalaries[[#This Row],[Currency]],Sheet3!$A$2:$C$31,3,FALSE))*(VLOOKUP(tblSalaries[[#This Row],[Currency]],Sheet1!$N$4:$Q$186,4,FALSE))</f>
        <v>70000</v>
      </c>
      <c r="G448" s="4">
        <f>IF(Dashboard!$J$5=VLOOKUP(tblSalaries[[#This Row],[Currency]],Sheet3!$A$2:$B$31,2,FALSE),tblSalaries[[#This Row],[clean Salary (in local currency)]],(tblSalaries[[#This Row],[PPP Adjusted  USD]]/VLOOKUP(Dashboard!$J$5,Sheet3!$B$2:$C$31,2,FALSE)))</f>
        <v>70000</v>
      </c>
      <c r="H448" t="s">
        <v>603</v>
      </c>
      <c r="I448" t="s">
        <v>603</v>
      </c>
      <c r="J448" t="s">
        <v>613</v>
      </c>
      <c r="K448" t="s">
        <v>605</v>
      </c>
      <c r="L448" t="s">
        <v>3847</v>
      </c>
    </row>
    <row r="449" spans="2:12" ht="15" customHeight="1">
      <c r="B449" t="s">
        <v>1576</v>
      </c>
      <c r="C449">
        <v>70000</v>
      </c>
      <c r="D449" t="s">
        <v>252</v>
      </c>
      <c r="E449">
        <v>70000</v>
      </c>
      <c r="F449" s="3">
        <f>(tblSalaries[[#This Row],[clean Salary (in local currency)]])*(VLOOKUP(tblSalaries[[#This Row],[Currency]],Sheet3!$A$2:$C$31,3,FALSE))*(VLOOKUP(tblSalaries[[#This Row],[Currency]],Sheet1!$N$4:$Q$186,4,FALSE))</f>
        <v>70000</v>
      </c>
      <c r="G449" s="4">
        <f>IF(Dashboard!$J$5=VLOOKUP(tblSalaries[[#This Row],[Currency]],Sheet3!$A$2:$B$31,2,FALSE),tblSalaries[[#This Row],[clean Salary (in local currency)]],(tblSalaries[[#This Row],[PPP Adjusted  USD]]/VLOOKUP(Dashboard!$J$5,Sheet3!$B$2:$C$31,2,FALSE)))</f>
        <v>70000</v>
      </c>
      <c r="H449" t="s">
        <v>1577</v>
      </c>
      <c r="I449" t="s">
        <v>603</v>
      </c>
      <c r="J449" t="s">
        <v>613</v>
      </c>
      <c r="K449" t="s">
        <v>610</v>
      </c>
      <c r="L449" t="s">
        <v>3847</v>
      </c>
    </row>
    <row r="450" spans="2:12" ht="15" customHeight="1">
      <c r="B450" t="s">
        <v>1687</v>
      </c>
      <c r="C450">
        <v>70000</v>
      </c>
      <c r="D450" t="s">
        <v>252</v>
      </c>
      <c r="E450">
        <v>70000</v>
      </c>
      <c r="F450" s="3">
        <f>(tblSalaries[[#This Row],[clean Salary (in local currency)]])*(VLOOKUP(tblSalaries[[#This Row],[Currency]],Sheet3!$A$2:$C$31,3,FALSE))*(VLOOKUP(tblSalaries[[#This Row],[Currency]],Sheet1!$N$4:$Q$186,4,FALSE))</f>
        <v>70000</v>
      </c>
      <c r="G450" s="4">
        <f>IF(Dashboard!$J$5=VLOOKUP(tblSalaries[[#This Row],[Currency]],Sheet3!$A$2:$B$31,2,FALSE),tblSalaries[[#This Row],[clean Salary (in local currency)]],(tblSalaries[[#This Row],[PPP Adjusted  USD]]/VLOOKUP(Dashboard!$J$5,Sheet3!$B$2:$C$31,2,FALSE)))</f>
        <v>70000</v>
      </c>
      <c r="H450" t="s">
        <v>612</v>
      </c>
      <c r="I450" t="s">
        <v>603</v>
      </c>
      <c r="J450" t="s">
        <v>613</v>
      </c>
      <c r="K450" t="s">
        <v>605</v>
      </c>
      <c r="L450">
        <v>3</v>
      </c>
    </row>
    <row r="451" spans="2:12" ht="15" customHeight="1">
      <c r="B451" t="s">
        <v>1722</v>
      </c>
      <c r="C451">
        <v>70000</v>
      </c>
      <c r="D451" t="s">
        <v>252</v>
      </c>
      <c r="E451">
        <v>70000</v>
      </c>
      <c r="F451" s="3">
        <f>(tblSalaries[[#This Row],[clean Salary (in local currency)]])*(VLOOKUP(tblSalaries[[#This Row],[Currency]],Sheet3!$A$2:$C$31,3,FALSE))*(VLOOKUP(tblSalaries[[#This Row],[Currency]],Sheet1!$N$4:$Q$186,4,FALSE))</f>
        <v>70000</v>
      </c>
      <c r="G451" s="4">
        <f>IF(Dashboard!$J$5=VLOOKUP(tblSalaries[[#This Row],[Currency]],Sheet3!$A$2:$B$31,2,FALSE),tblSalaries[[#This Row],[clean Salary (in local currency)]],(tblSalaries[[#This Row],[PPP Adjusted  USD]]/VLOOKUP(Dashboard!$J$5,Sheet3!$B$2:$C$31,2,FALSE)))</f>
        <v>70000</v>
      </c>
      <c r="H451" t="s">
        <v>1723</v>
      </c>
      <c r="I451" t="s">
        <v>603</v>
      </c>
      <c r="J451" t="s">
        <v>613</v>
      </c>
      <c r="K451" t="s">
        <v>617</v>
      </c>
      <c r="L451">
        <v>18</v>
      </c>
    </row>
    <row r="452" spans="2:12" ht="15" customHeight="1">
      <c r="B452" t="s">
        <v>2165</v>
      </c>
      <c r="C452">
        <v>70000</v>
      </c>
      <c r="D452" t="s">
        <v>252</v>
      </c>
      <c r="E452">
        <v>70000</v>
      </c>
      <c r="F452" s="3">
        <f>(tblSalaries[[#This Row],[clean Salary (in local currency)]])*(VLOOKUP(tblSalaries[[#This Row],[Currency]],Sheet3!$A$2:$C$31,3,FALSE))*(VLOOKUP(tblSalaries[[#This Row],[Currency]],Sheet1!$N$4:$Q$186,4,FALSE))</f>
        <v>70000</v>
      </c>
      <c r="G452" s="4">
        <f>IF(Dashboard!$J$5=VLOOKUP(tblSalaries[[#This Row],[Currency]],Sheet3!$A$2:$B$31,2,FALSE),tblSalaries[[#This Row],[clean Salary (in local currency)]],(tblSalaries[[#This Row],[PPP Adjusted  USD]]/VLOOKUP(Dashboard!$J$5,Sheet3!$B$2:$C$31,2,FALSE)))</f>
        <v>70000</v>
      </c>
      <c r="H452" t="s">
        <v>612</v>
      </c>
      <c r="I452" t="s">
        <v>603</v>
      </c>
      <c r="J452" t="s">
        <v>613</v>
      </c>
      <c r="K452" t="s">
        <v>610</v>
      </c>
      <c r="L452">
        <v>15</v>
      </c>
    </row>
    <row r="453" spans="2:12" ht="15" customHeight="1">
      <c r="B453" t="s">
        <v>2284</v>
      </c>
      <c r="C453">
        <v>70000</v>
      </c>
      <c r="D453" t="s">
        <v>252</v>
      </c>
      <c r="E453">
        <v>70000</v>
      </c>
      <c r="F453" s="3">
        <f>(tblSalaries[[#This Row],[clean Salary (in local currency)]])*(VLOOKUP(tblSalaries[[#This Row],[Currency]],Sheet3!$A$2:$C$31,3,FALSE))*(VLOOKUP(tblSalaries[[#This Row],[Currency]],Sheet1!$N$4:$Q$186,4,FALSE))</f>
        <v>70000</v>
      </c>
      <c r="G453" s="4">
        <f>IF(Dashboard!$J$5=VLOOKUP(tblSalaries[[#This Row],[Currency]],Sheet3!$A$2:$B$31,2,FALSE),tblSalaries[[#This Row],[clean Salary (in local currency)]],(tblSalaries[[#This Row],[PPP Adjusted  USD]]/VLOOKUP(Dashboard!$J$5,Sheet3!$B$2:$C$31,2,FALSE)))</f>
        <v>70000</v>
      </c>
      <c r="H453" t="s">
        <v>2285</v>
      </c>
      <c r="I453" t="s">
        <v>625</v>
      </c>
      <c r="J453" t="s">
        <v>613</v>
      </c>
      <c r="K453" t="s">
        <v>605</v>
      </c>
      <c r="L453">
        <v>4</v>
      </c>
    </row>
    <row r="454" spans="2:12" ht="15" customHeight="1">
      <c r="B454" t="s">
        <v>2780</v>
      </c>
      <c r="C454">
        <v>70000</v>
      </c>
      <c r="D454" t="s">
        <v>252</v>
      </c>
      <c r="E454">
        <v>70000</v>
      </c>
      <c r="F454" s="3">
        <f>(tblSalaries[[#This Row],[clean Salary (in local currency)]])*(VLOOKUP(tblSalaries[[#This Row],[Currency]],Sheet3!$A$2:$C$31,3,FALSE))*(VLOOKUP(tblSalaries[[#This Row],[Currency]],Sheet1!$N$4:$Q$186,4,FALSE))</f>
        <v>70000</v>
      </c>
      <c r="G454" s="4">
        <f>IF(Dashboard!$J$5=VLOOKUP(tblSalaries[[#This Row],[Currency]],Sheet3!$A$2:$B$31,2,FALSE),tblSalaries[[#This Row],[clean Salary (in local currency)]],(tblSalaries[[#This Row],[PPP Adjusted  USD]]/VLOOKUP(Dashboard!$J$5,Sheet3!$B$2:$C$31,2,FALSE)))</f>
        <v>70000</v>
      </c>
      <c r="H454" t="s">
        <v>2781</v>
      </c>
      <c r="I454" t="s">
        <v>603</v>
      </c>
      <c r="J454" t="s">
        <v>613</v>
      </c>
      <c r="K454" t="s">
        <v>627</v>
      </c>
      <c r="L454">
        <v>6</v>
      </c>
    </row>
    <row r="455" spans="2:12" ht="15" customHeight="1">
      <c r="B455" t="s">
        <v>2808</v>
      </c>
      <c r="C455">
        <v>70000</v>
      </c>
      <c r="D455" t="s">
        <v>252</v>
      </c>
      <c r="E455">
        <v>70000</v>
      </c>
      <c r="F455" s="3">
        <f>(tblSalaries[[#This Row],[clean Salary (in local currency)]])*(VLOOKUP(tblSalaries[[#This Row],[Currency]],Sheet3!$A$2:$C$31,3,FALSE))*(VLOOKUP(tblSalaries[[#This Row],[Currency]],Sheet1!$N$4:$Q$186,4,FALSE))</f>
        <v>70000</v>
      </c>
      <c r="G455" s="4">
        <f>IF(Dashboard!$J$5=VLOOKUP(tblSalaries[[#This Row],[Currency]],Sheet3!$A$2:$B$31,2,FALSE),tblSalaries[[#This Row],[clean Salary (in local currency)]],(tblSalaries[[#This Row],[PPP Adjusted  USD]]/VLOOKUP(Dashboard!$J$5,Sheet3!$B$2:$C$31,2,FALSE)))</f>
        <v>70000</v>
      </c>
      <c r="H455" t="s">
        <v>889</v>
      </c>
      <c r="I455" t="s">
        <v>625</v>
      </c>
      <c r="J455" t="s">
        <v>613</v>
      </c>
      <c r="K455" t="s">
        <v>605</v>
      </c>
      <c r="L455">
        <v>8</v>
      </c>
    </row>
    <row r="456" spans="2:12" ht="15" customHeight="1">
      <c r="B456" t="s">
        <v>3408</v>
      </c>
      <c r="C456">
        <v>70000</v>
      </c>
      <c r="D456" t="s">
        <v>252</v>
      </c>
      <c r="E456">
        <v>70000</v>
      </c>
      <c r="F456" s="3">
        <f>(tblSalaries[[#This Row],[clean Salary (in local currency)]])*(VLOOKUP(tblSalaries[[#This Row],[Currency]],Sheet3!$A$2:$C$31,3,FALSE))*(VLOOKUP(tblSalaries[[#This Row],[Currency]],Sheet1!$N$4:$Q$186,4,FALSE))</f>
        <v>70000</v>
      </c>
      <c r="G456" s="4">
        <f>IF(Dashboard!$J$5=VLOOKUP(tblSalaries[[#This Row],[Currency]],Sheet3!$A$2:$B$31,2,FALSE),tblSalaries[[#This Row],[clean Salary (in local currency)]],(tblSalaries[[#This Row],[PPP Adjusted  USD]]/VLOOKUP(Dashboard!$J$5,Sheet3!$B$2:$C$31,2,FALSE)))</f>
        <v>70000</v>
      </c>
      <c r="H456" t="s">
        <v>3409</v>
      </c>
      <c r="I456" t="s">
        <v>603</v>
      </c>
      <c r="J456" t="s">
        <v>613</v>
      </c>
      <c r="K456" t="s">
        <v>605</v>
      </c>
      <c r="L456">
        <v>9</v>
      </c>
    </row>
    <row r="457" spans="2:12" ht="15" customHeight="1">
      <c r="B457" t="s">
        <v>3667</v>
      </c>
      <c r="C457">
        <v>70000</v>
      </c>
      <c r="D457" t="s">
        <v>252</v>
      </c>
      <c r="E457">
        <v>70000</v>
      </c>
      <c r="F457" s="3">
        <f>(tblSalaries[[#This Row],[clean Salary (in local currency)]])*(VLOOKUP(tblSalaries[[#This Row],[Currency]],Sheet3!$A$2:$C$31,3,FALSE))*(VLOOKUP(tblSalaries[[#This Row],[Currency]],Sheet1!$N$4:$Q$186,4,FALSE))</f>
        <v>70000</v>
      </c>
      <c r="G457" s="4">
        <f>IF(Dashboard!$J$5=VLOOKUP(tblSalaries[[#This Row],[Currency]],Sheet3!$A$2:$B$31,2,FALSE),tblSalaries[[#This Row],[clean Salary (in local currency)]],(tblSalaries[[#This Row],[PPP Adjusted  USD]]/VLOOKUP(Dashboard!$J$5,Sheet3!$B$2:$C$31,2,FALSE)))</f>
        <v>70000</v>
      </c>
      <c r="H457" t="s">
        <v>648</v>
      </c>
      <c r="I457" t="s">
        <v>603</v>
      </c>
      <c r="J457" t="s">
        <v>613</v>
      </c>
      <c r="K457" t="s">
        <v>617</v>
      </c>
      <c r="L457">
        <v>5</v>
      </c>
    </row>
    <row r="458" spans="2:12" ht="15" customHeight="1">
      <c r="B458" t="s">
        <v>3832</v>
      </c>
      <c r="C458">
        <v>70000</v>
      </c>
      <c r="D458" t="s">
        <v>252</v>
      </c>
      <c r="E458">
        <v>70000</v>
      </c>
      <c r="F458" s="3">
        <f>(tblSalaries[[#This Row],[clean Salary (in local currency)]])*(VLOOKUP(tblSalaries[[#This Row],[Currency]],Sheet3!$A$2:$C$31,3,FALSE))*(VLOOKUP(tblSalaries[[#This Row],[Currency]],Sheet1!$N$4:$Q$186,4,FALSE))</f>
        <v>70000</v>
      </c>
      <c r="G458" s="4">
        <f>IF(Dashboard!$J$5=VLOOKUP(tblSalaries[[#This Row],[Currency]],Sheet3!$A$2:$B$31,2,FALSE),tblSalaries[[#This Row],[clean Salary (in local currency)]],(tblSalaries[[#This Row],[PPP Adjusted  USD]]/VLOOKUP(Dashboard!$J$5,Sheet3!$B$2:$C$31,2,FALSE)))</f>
        <v>70000</v>
      </c>
      <c r="H458" t="s">
        <v>3833</v>
      </c>
      <c r="I458" t="s">
        <v>603</v>
      </c>
      <c r="J458" t="s">
        <v>613</v>
      </c>
      <c r="K458" t="s">
        <v>605</v>
      </c>
      <c r="L458">
        <v>10</v>
      </c>
    </row>
    <row r="459" spans="2:12" ht="15" customHeight="1">
      <c r="B459" t="s">
        <v>2983</v>
      </c>
      <c r="C459">
        <v>69960</v>
      </c>
      <c r="D459" t="s">
        <v>252</v>
      </c>
      <c r="E459">
        <v>69960</v>
      </c>
      <c r="F459" s="3">
        <f>(tblSalaries[[#This Row],[clean Salary (in local currency)]])*(VLOOKUP(tblSalaries[[#This Row],[Currency]],Sheet3!$A$2:$C$31,3,FALSE))*(VLOOKUP(tblSalaries[[#This Row],[Currency]],Sheet1!$N$4:$Q$186,4,FALSE))</f>
        <v>69960</v>
      </c>
      <c r="G459" s="4">
        <f>IF(Dashboard!$J$5=VLOOKUP(tblSalaries[[#This Row],[Currency]],Sheet3!$A$2:$B$31,2,FALSE),tblSalaries[[#This Row],[clean Salary (in local currency)]],(tblSalaries[[#This Row],[PPP Adjusted  USD]]/VLOOKUP(Dashboard!$J$5,Sheet3!$B$2:$C$31,2,FALSE)))</f>
        <v>69960</v>
      </c>
      <c r="H459" t="s">
        <v>2984</v>
      </c>
      <c r="I459" t="s">
        <v>620</v>
      </c>
      <c r="J459" t="s">
        <v>613</v>
      </c>
      <c r="K459" t="s">
        <v>617</v>
      </c>
      <c r="L459">
        <v>22</v>
      </c>
    </row>
    <row r="460" spans="2:12" ht="15" customHeight="1">
      <c r="B460" t="s">
        <v>2283</v>
      </c>
      <c r="C460">
        <v>63200</v>
      </c>
      <c r="D460" t="s">
        <v>200</v>
      </c>
      <c r="E460">
        <v>80289.244544269619</v>
      </c>
      <c r="F460" s="3">
        <f>(tblSalaries[[#This Row],[clean Salary (in local currency)]])*(VLOOKUP(tblSalaries[[#This Row],[Currency]],Sheet3!$A$2:$C$31,3,FALSE))*(VLOOKUP(tblSalaries[[#This Row],[Currency]],Sheet1!$N$4:$Q$186,4,FALSE))</f>
        <v>69561.262393939309</v>
      </c>
      <c r="G460" s="4">
        <f>IF(Dashboard!$J$5=VLOOKUP(tblSalaries[[#This Row],[Currency]],Sheet3!$A$2:$B$31,2,FALSE),tblSalaries[[#This Row],[clean Salary (in local currency)]],(tblSalaries[[#This Row],[PPP Adjusted  USD]]/VLOOKUP(Dashboard!$J$5,Sheet3!$B$2:$C$31,2,FALSE)))</f>
        <v>69561.262393939309</v>
      </c>
      <c r="H460" t="s">
        <v>692</v>
      </c>
      <c r="I460" t="s">
        <v>692</v>
      </c>
      <c r="J460" t="s">
        <v>738</v>
      </c>
      <c r="K460" t="s">
        <v>605</v>
      </c>
      <c r="L460">
        <v>3</v>
      </c>
    </row>
    <row r="461" spans="2:12" ht="15" customHeight="1">
      <c r="B461" t="s">
        <v>1580</v>
      </c>
      <c r="C461">
        <v>87550</v>
      </c>
      <c r="D461" t="s">
        <v>276</v>
      </c>
      <c r="E461">
        <v>86093.301341305123</v>
      </c>
      <c r="F461" s="3">
        <f>(tblSalaries[[#This Row],[clean Salary (in local currency)]])*(VLOOKUP(tblSalaries[[#This Row],[Currency]],Sheet3!$A$2:$C$31,3,FALSE))*(VLOOKUP(tblSalaries[[#This Row],[Currency]],Sheet1!$N$4:$Q$186,4,FALSE))</f>
        <v>69203.565090365286</v>
      </c>
      <c r="G461" s="4">
        <f>IF(Dashboard!$J$5=VLOOKUP(tblSalaries[[#This Row],[Currency]],Sheet3!$A$2:$B$31,2,FALSE),tblSalaries[[#This Row],[clean Salary (in local currency)]],(tblSalaries[[#This Row],[PPP Adjusted  USD]]/VLOOKUP(Dashboard!$J$5,Sheet3!$B$2:$C$31,2,FALSE)))</f>
        <v>69203.565090365286</v>
      </c>
      <c r="H461" t="s">
        <v>625</v>
      </c>
      <c r="I461" t="s">
        <v>625</v>
      </c>
      <c r="J461" t="s">
        <v>708</v>
      </c>
      <c r="K461" t="s">
        <v>605</v>
      </c>
      <c r="L461" t="s">
        <v>3847</v>
      </c>
    </row>
    <row r="462" spans="2:12" ht="15" customHeight="1">
      <c r="B462" t="s">
        <v>695</v>
      </c>
      <c r="C462">
        <v>69000</v>
      </c>
      <c r="D462" t="s">
        <v>252</v>
      </c>
      <c r="E462">
        <v>69000</v>
      </c>
      <c r="F462" s="3">
        <f>(tblSalaries[[#This Row],[clean Salary (in local currency)]])*(VLOOKUP(tblSalaries[[#This Row],[Currency]],Sheet3!$A$2:$C$31,3,FALSE))*(VLOOKUP(tblSalaries[[#This Row],[Currency]],Sheet1!$N$4:$Q$186,4,FALSE))</f>
        <v>69000</v>
      </c>
      <c r="G462" s="4">
        <f>IF(Dashboard!$J$5=VLOOKUP(tblSalaries[[#This Row],[Currency]],Sheet3!$A$2:$B$31,2,FALSE),tblSalaries[[#This Row],[clean Salary (in local currency)]],(tblSalaries[[#This Row],[PPP Adjusted  USD]]/VLOOKUP(Dashboard!$J$5,Sheet3!$B$2:$C$31,2,FALSE)))</f>
        <v>69000</v>
      </c>
      <c r="H462" t="s">
        <v>696</v>
      </c>
      <c r="I462" t="s">
        <v>620</v>
      </c>
      <c r="J462" t="s">
        <v>613</v>
      </c>
      <c r="K462" t="s">
        <v>605</v>
      </c>
      <c r="L462" t="s">
        <v>3847</v>
      </c>
    </row>
    <row r="463" spans="2:12" ht="15" customHeight="1">
      <c r="B463" t="s">
        <v>917</v>
      </c>
      <c r="C463">
        <v>69000</v>
      </c>
      <c r="D463" t="s">
        <v>252</v>
      </c>
      <c r="E463">
        <v>69000</v>
      </c>
      <c r="F463" s="3">
        <f>(tblSalaries[[#This Row],[clean Salary (in local currency)]])*(VLOOKUP(tblSalaries[[#This Row],[Currency]],Sheet3!$A$2:$C$31,3,FALSE))*(VLOOKUP(tblSalaries[[#This Row],[Currency]],Sheet1!$N$4:$Q$186,4,FALSE))</f>
        <v>69000</v>
      </c>
      <c r="G463" s="4">
        <f>IF(Dashboard!$J$5=VLOOKUP(tblSalaries[[#This Row],[Currency]],Sheet3!$A$2:$B$31,2,FALSE),tblSalaries[[#This Row],[clean Salary (in local currency)]],(tblSalaries[[#This Row],[PPP Adjusted  USD]]/VLOOKUP(Dashboard!$J$5,Sheet3!$B$2:$C$31,2,FALSE)))</f>
        <v>69000</v>
      </c>
      <c r="H463" t="s">
        <v>918</v>
      </c>
      <c r="I463" t="s">
        <v>692</v>
      </c>
      <c r="J463" t="s">
        <v>613</v>
      </c>
      <c r="K463" t="s">
        <v>605</v>
      </c>
      <c r="L463" t="s">
        <v>3847</v>
      </c>
    </row>
    <row r="464" spans="2:12" ht="15" customHeight="1">
      <c r="B464" t="s">
        <v>2618</v>
      </c>
      <c r="C464">
        <v>69000</v>
      </c>
      <c r="D464" t="s">
        <v>252</v>
      </c>
      <c r="E464">
        <v>69000</v>
      </c>
      <c r="F464" s="3">
        <f>(tblSalaries[[#This Row],[clean Salary (in local currency)]])*(VLOOKUP(tblSalaries[[#This Row],[Currency]],Sheet3!$A$2:$C$31,3,FALSE))*(VLOOKUP(tblSalaries[[#This Row],[Currency]],Sheet1!$N$4:$Q$186,4,FALSE))</f>
        <v>69000</v>
      </c>
      <c r="G464" s="4">
        <f>IF(Dashboard!$J$5=VLOOKUP(tblSalaries[[#This Row],[Currency]],Sheet3!$A$2:$B$31,2,FALSE),tblSalaries[[#This Row],[clean Salary (in local currency)]],(tblSalaries[[#This Row],[PPP Adjusted  USD]]/VLOOKUP(Dashboard!$J$5,Sheet3!$B$2:$C$31,2,FALSE)))</f>
        <v>69000</v>
      </c>
      <c r="H464" t="s">
        <v>2619</v>
      </c>
      <c r="I464" t="s">
        <v>603</v>
      </c>
      <c r="J464" t="s">
        <v>613</v>
      </c>
      <c r="K464" t="s">
        <v>617</v>
      </c>
      <c r="L464">
        <v>20</v>
      </c>
    </row>
    <row r="465" spans="2:12" ht="15" customHeight="1">
      <c r="B465" t="s">
        <v>2803</v>
      </c>
      <c r="C465">
        <v>69000</v>
      </c>
      <c r="D465" t="s">
        <v>252</v>
      </c>
      <c r="E465">
        <v>69000</v>
      </c>
      <c r="F465" s="3">
        <f>(tblSalaries[[#This Row],[clean Salary (in local currency)]])*(VLOOKUP(tblSalaries[[#This Row],[Currency]],Sheet3!$A$2:$C$31,3,FALSE))*(VLOOKUP(tblSalaries[[#This Row],[Currency]],Sheet1!$N$4:$Q$186,4,FALSE))</f>
        <v>69000</v>
      </c>
      <c r="G465" s="4">
        <f>IF(Dashboard!$J$5=VLOOKUP(tblSalaries[[#This Row],[Currency]],Sheet3!$A$2:$B$31,2,FALSE),tblSalaries[[#This Row],[clean Salary (in local currency)]],(tblSalaries[[#This Row],[PPP Adjusted  USD]]/VLOOKUP(Dashboard!$J$5,Sheet3!$B$2:$C$31,2,FALSE)))</f>
        <v>69000</v>
      </c>
      <c r="H465" t="s">
        <v>2804</v>
      </c>
      <c r="I465" t="s">
        <v>608</v>
      </c>
      <c r="J465" t="s">
        <v>613</v>
      </c>
      <c r="K465" t="s">
        <v>605</v>
      </c>
      <c r="L465">
        <v>20</v>
      </c>
    </row>
    <row r="466" spans="2:12" ht="15" customHeight="1">
      <c r="B466" t="s">
        <v>3549</v>
      </c>
      <c r="C466">
        <v>69000</v>
      </c>
      <c r="D466" t="s">
        <v>252</v>
      </c>
      <c r="E466">
        <v>69000</v>
      </c>
      <c r="F466" s="3">
        <f>(tblSalaries[[#This Row],[clean Salary (in local currency)]])*(VLOOKUP(tblSalaries[[#This Row],[Currency]],Sheet3!$A$2:$C$31,3,FALSE))*(VLOOKUP(tblSalaries[[#This Row],[Currency]],Sheet1!$N$4:$Q$186,4,FALSE))</f>
        <v>69000</v>
      </c>
      <c r="G466" s="4">
        <f>IF(Dashboard!$J$5=VLOOKUP(tblSalaries[[#This Row],[Currency]],Sheet3!$A$2:$B$31,2,FALSE),tblSalaries[[#This Row],[clean Salary (in local currency)]],(tblSalaries[[#This Row],[PPP Adjusted  USD]]/VLOOKUP(Dashboard!$J$5,Sheet3!$B$2:$C$31,2,FALSE)))</f>
        <v>69000</v>
      </c>
      <c r="H466" t="s">
        <v>3550</v>
      </c>
      <c r="I466" t="s">
        <v>603</v>
      </c>
      <c r="J466" t="s">
        <v>613</v>
      </c>
      <c r="K466" t="s">
        <v>610</v>
      </c>
      <c r="L466">
        <v>15</v>
      </c>
    </row>
    <row r="467" spans="2:12" ht="15" customHeight="1">
      <c r="B467" t="s">
        <v>2337</v>
      </c>
      <c r="C467">
        <v>110000</v>
      </c>
      <c r="D467" t="s">
        <v>224</v>
      </c>
      <c r="E467">
        <v>112190.06220428993</v>
      </c>
      <c r="F467" s="3">
        <f>(tblSalaries[[#This Row],[clean Salary (in local currency)]])*(VLOOKUP(tblSalaries[[#This Row],[Currency]],Sheet3!$A$2:$C$31,3,FALSE))*(VLOOKUP(tblSalaries[[#This Row],[Currency]],Sheet1!$N$4:$Q$186,4,FALSE))</f>
        <v>68938.546401847212</v>
      </c>
      <c r="G467" s="4">
        <f>IF(Dashboard!$J$5=VLOOKUP(tblSalaries[[#This Row],[Currency]],Sheet3!$A$2:$B$31,2,FALSE),tblSalaries[[#This Row],[clean Salary (in local currency)]],(tblSalaries[[#This Row],[PPP Adjusted  USD]]/VLOOKUP(Dashboard!$J$5,Sheet3!$B$2:$C$31,2,FALSE)))</f>
        <v>68938.546401847212</v>
      </c>
      <c r="H467" t="s">
        <v>2338</v>
      </c>
      <c r="I467" t="s">
        <v>625</v>
      </c>
      <c r="J467" t="s">
        <v>703</v>
      </c>
      <c r="K467" t="s">
        <v>617</v>
      </c>
      <c r="L467">
        <v>8</v>
      </c>
    </row>
    <row r="468" spans="2:12" ht="15" customHeight="1">
      <c r="B468" t="s">
        <v>2792</v>
      </c>
      <c r="C468">
        <v>110000</v>
      </c>
      <c r="D468" t="s">
        <v>224</v>
      </c>
      <c r="E468">
        <v>112190.06220428993</v>
      </c>
      <c r="F468" s="3">
        <f>(tblSalaries[[#This Row],[clean Salary (in local currency)]])*(VLOOKUP(tblSalaries[[#This Row],[Currency]],Sheet3!$A$2:$C$31,3,FALSE))*(VLOOKUP(tblSalaries[[#This Row],[Currency]],Sheet1!$N$4:$Q$186,4,FALSE))</f>
        <v>68938.546401847212</v>
      </c>
      <c r="G468" s="4">
        <f>IF(Dashboard!$J$5=VLOOKUP(tblSalaries[[#This Row],[Currency]],Sheet3!$A$2:$B$31,2,FALSE),tblSalaries[[#This Row],[clean Salary (in local currency)]],(tblSalaries[[#This Row],[PPP Adjusted  USD]]/VLOOKUP(Dashboard!$J$5,Sheet3!$B$2:$C$31,2,FALSE)))</f>
        <v>68938.546401847212</v>
      </c>
      <c r="H468" t="s">
        <v>603</v>
      </c>
      <c r="I468" t="s">
        <v>603</v>
      </c>
      <c r="J468" t="s">
        <v>703</v>
      </c>
      <c r="K468" t="s">
        <v>617</v>
      </c>
      <c r="L468">
        <v>7</v>
      </c>
    </row>
    <row r="469" spans="2:12" ht="15" customHeight="1">
      <c r="B469" t="s">
        <v>1491</v>
      </c>
      <c r="C469">
        <v>87000</v>
      </c>
      <c r="D469" t="s">
        <v>276</v>
      </c>
      <c r="E469">
        <v>85552.452503638444</v>
      </c>
      <c r="F469" s="3">
        <f>(tblSalaries[[#This Row],[clean Salary (in local currency)]])*(VLOOKUP(tblSalaries[[#This Row],[Currency]],Sheet3!$A$2:$C$31,3,FALSE))*(VLOOKUP(tblSalaries[[#This Row],[Currency]],Sheet1!$N$4:$Q$186,4,FALSE))</f>
        <v>68768.819678603992</v>
      </c>
      <c r="G469" s="4">
        <f>IF(Dashboard!$J$5=VLOOKUP(tblSalaries[[#This Row],[Currency]],Sheet3!$A$2:$B$31,2,FALSE),tblSalaries[[#This Row],[clean Salary (in local currency)]],(tblSalaries[[#This Row],[PPP Adjusted  USD]]/VLOOKUP(Dashboard!$J$5,Sheet3!$B$2:$C$31,2,FALSE)))</f>
        <v>68768.819678603992</v>
      </c>
      <c r="H469" t="s">
        <v>1492</v>
      </c>
      <c r="I469" t="s">
        <v>625</v>
      </c>
      <c r="J469" t="s">
        <v>708</v>
      </c>
      <c r="K469" t="s">
        <v>605</v>
      </c>
      <c r="L469" t="s">
        <v>3847</v>
      </c>
    </row>
    <row r="470" spans="2:12" ht="15" customHeight="1">
      <c r="B470" t="s">
        <v>2745</v>
      </c>
      <c r="C470">
        <v>62000</v>
      </c>
      <c r="D470" t="s">
        <v>200</v>
      </c>
      <c r="E470">
        <v>78764.765217479682</v>
      </c>
      <c r="F470" s="3">
        <f>(tblSalaries[[#This Row],[clean Salary (in local currency)]])*(VLOOKUP(tblSalaries[[#This Row],[Currency]],Sheet3!$A$2:$C$31,3,FALSE))*(VLOOKUP(tblSalaries[[#This Row],[Currency]],Sheet1!$N$4:$Q$186,4,FALSE))</f>
        <v>68240.478930763231</v>
      </c>
      <c r="G470" s="4">
        <f>IF(Dashboard!$J$5=VLOOKUP(tblSalaries[[#This Row],[Currency]],Sheet3!$A$2:$B$31,2,FALSE),tblSalaries[[#This Row],[clean Salary (in local currency)]],(tblSalaries[[#This Row],[PPP Adjusted  USD]]/VLOOKUP(Dashboard!$J$5,Sheet3!$B$2:$C$31,2,FALSE)))</f>
        <v>68240.478930763231</v>
      </c>
      <c r="H470" t="s">
        <v>2746</v>
      </c>
      <c r="I470" t="s">
        <v>603</v>
      </c>
      <c r="J470" t="s">
        <v>722</v>
      </c>
      <c r="K470" t="s">
        <v>605</v>
      </c>
      <c r="L470">
        <v>15</v>
      </c>
    </row>
    <row r="471" spans="2:12" ht="15" customHeight="1">
      <c r="B471" t="s">
        <v>2960</v>
      </c>
      <c r="C471">
        <v>62000</v>
      </c>
      <c r="D471" t="s">
        <v>200</v>
      </c>
      <c r="E471">
        <v>78764.765217479682</v>
      </c>
      <c r="F471" s="3">
        <f>(tblSalaries[[#This Row],[clean Salary (in local currency)]])*(VLOOKUP(tblSalaries[[#This Row],[Currency]],Sheet3!$A$2:$C$31,3,FALSE))*(VLOOKUP(tblSalaries[[#This Row],[Currency]],Sheet1!$N$4:$Q$186,4,FALSE))</f>
        <v>68240.478930763231</v>
      </c>
      <c r="G471" s="4">
        <f>IF(Dashboard!$J$5=VLOOKUP(tblSalaries[[#This Row],[Currency]],Sheet3!$A$2:$B$31,2,FALSE),tblSalaries[[#This Row],[clean Salary (in local currency)]],(tblSalaries[[#This Row],[PPP Adjusted  USD]]/VLOOKUP(Dashboard!$J$5,Sheet3!$B$2:$C$31,2,FALSE)))</f>
        <v>68240.478930763231</v>
      </c>
      <c r="H471" t="s">
        <v>608</v>
      </c>
      <c r="I471" t="s">
        <v>608</v>
      </c>
      <c r="J471" t="s">
        <v>722</v>
      </c>
      <c r="K471" t="s">
        <v>605</v>
      </c>
      <c r="L471">
        <v>15</v>
      </c>
    </row>
    <row r="472" spans="2:12" ht="15" customHeight="1">
      <c r="B472" t="s">
        <v>3034</v>
      </c>
      <c r="C472">
        <v>216000</v>
      </c>
      <c r="D472" t="s">
        <v>492</v>
      </c>
      <c r="E472">
        <v>57600</v>
      </c>
      <c r="F472" s="3">
        <f>(tblSalaries[[#This Row],[clean Salary (in local currency)]])*(VLOOKUP(tblSalaries[[#This Row],[Currency]],Sheet3!$A$2:$C$31,3,FALSE))*(VLOOKUP(tblSalaries[[#This Row],[Currency]],Sheet1!$N$4:$Q$186,4,FALSE))</f>
        <v>68086.761138860267</v>
      </c>
      <c r="G472" s="4">
        <f>IF(Dashboard!$J$5=VLOOKUP(tblSalaries[[#This Row],[Currency]],Sheet3!$A$2:$B$31,2,FALSE),tblSalaries[[#This Row],[clean Salary (in local currency)]],(tblSalaries[[#This Row],[PPP Adjusted  USD]]/VLOOKUP(Dashboard!$J$5,Sheet3!$B$2:$C$31,2,FALSE)))</f>
        <v>68086.761138860267</v>
      </c>
      <c r="H472" t="s">
        <v>3035</v>
      </c>
      <c r="I472" t="s">
        <v>620</v>
      </c>
      <c r="J472" t="s">
        <v>780</v>
      </c>
      <c r="K472" t="s">
        <v>605</v>
      </c>
      <c r="L472">
        <v>20</v>
      </c>
    </row>
    <row r="473" spans="2:12" ht="15" customHeight="1">
      <c r="B473" t="s">
        <v>742</v>
      </c>
      <c r="C473">
        <v>68000</v>
      </c>
      <c r="D473" t="s">
        <v>252</v>
      </c>
      <c r="E473">
        <v>68000</v>
      </c>
      <c r="F473" s="3">
        <f>(tblSalaries[[#This Row],[clean Salary (in local currency)]])*(VLOOKUP(tblSalaries[[#This Row],[Currency]],Sheet3!$A$2:$C$31,3,FALSE))*(VLOOKUP(tblSalaries[[#This Row],[Currency]],Sheet1!$N$4:$Q$186,4,FALSE))</f>
        <v>68000</v>
      </c>
      <c r="G473" s="4">
        <f>IF(Dashboard!$J$5=VLOOKUP(tblSalaries[[#This Row],[Currency]],Sheet3!$A$2:$B$31,2,FALSE),tblSalaries[[#This Row],[clean Salary (in local currency)]],(tblSalaries[[#This Row],[PPP Adjusted  USD]]/VLOOKUP(Dashboard!$J$5,Sheet3!$B$2:$C$31,2,FALSE)))</f>
        <v>68000</v>
      </c>
      <c r="H473" t="s">
        <v>743</v>
      </c>
      <c r="I473" t="s">
        <v>603</v>
      </c>
      <c r="J473" t="s">
        <v>613</v>
      </c>
      <c r="K473" t="s">
        <v>610</v>
      </c>
      <c r="L473" t="s">
        <v>3847</v>
      </c>
    </row>
    <row r="474" spans="2:12" ht="15" customHeight="1">
      <c r="B474" t="s">
        <v>1167</v>
      </c>
      <c r="C474">
        <v>68000</v>
      </c>
      <c r="D474" t="s">
        <v>252</v>
      </c>
      <c r="E474">
        <v>68000</v>
      </c>
      <c r="F474" s="3">
        <f>(tblSalaries[[#This Row],[clean Salary (in local currency)]])*(VLOOKUP(tblSalaries[[#This Row],[Currency]],Sheet3!$A$2:$C$31,3,FALSE))*(VLOOKUP(tblSalaries[[#This Row],[Currency]],Sheet1!$N$4:$Q$186,4,FALSE))</f>
        <v>68000</v>
      </c>
      <c r="G474" s="4">
        <f>IF(Dashboard!$J$5=VLOOKUP(tblSalaries[[#This Row],[Currency]],Sheet3!$A$2:$B$31,2,FALSE),tblSalaries[[#This Row],[clean Salary (in local currency)]],(tblSalaries[[#This Row],[PPP Adjusted  USD]]/VLOOKUP(Dashboard!$J$5,Sheet3!$B$2:$C$31,2,FALSE)))</f>
        <v>68000</v>
      </c>
      <c r="H474" t="s">
        <v>1168</v>
      </c>
      <c r="I474" t="s">
        <v>625</v>
      </c>
      <c r="J474" t="s">
        <v>613</v>
      </c>
      <c r="K474" t="s">
        <v>610</v>
      </c>
      <c r="L474" t="s">
        <v>3847</v>
      </c>
    </row>
    <row r="475" spans="2:12" ht="15" customHeight="1">
      <c r="B475" t="s">
        <v>1294</v>
      </c>
      <c r="C475">
        <v>68000</v>
      </c>
      <c r="D475" t="s">
        <v>252</v>
      </c>
      <c r="E475">
        <v>68000</v>
      </c>
      <c r="F475" s="3">
        <f>(tblSalaries[[#This Row],[clean Salary (in local currency)]])*(VLOOKUP(tblSalaries[[#This Row],[Currency]],Sheet3!$A$2:$C$31,3,FALSE))*(VLOOKUP(tblSalaries[[#This Row],[Currency]],Sheet1!$N$4:$Q$186,4,FALSE))</f>
        <v>68000</v>
      </c>
      <c r="G475" s="4">
        <f>IF(Dashboard!$J$5=VLOOKUP(tblSalaries[[#This Row],[Currency]],Sheet3!$A$2:$B$31,2,FALSE),tblSalaries[[#This Row],[clean Salary (in local currency)]],(tblSalaries[[#This Row],[PPP Adjusted  USD]]/VLOOKUP(Dashboard!$J$5,Sheet3!$B$2:$C$31,2,FALSE)))</f>
        <v>68000</v>
      </c>
      <c r="H475" t="s">
        <v>889</v>
      </c>
      <c r="I475" t="s">
        <v>625</v>
      </c>
      <c r="J475" t="s">
        <v>613</v>
      </c>
      <c r="K475" t="s">
        <v>617</v>
      </c>
      <c r="L475" t="s">
        <v>3847</v>
      </c>
    </row>
    <row r="476" spans="2:12" ht="15" customHeight="1">
      <c r="B476" t="s">
        <v>3352</v>
      </c>
      <c r="C476">
        <v>68000</v>
      </c>
      <c r="D476" t="s">
        <v>252</v>
      </c>
      <c r="E476">
        <v>68000</v>
      </c>
      <c r="F476" s="3">
        <f>(tblSalaries[[#This Row],[clean Salary (in local currency)]])*(VLOOKUP(tblSalaries[[#This Row],[Currency]],Sheet3!$A$2:$C$31,3,FALSE))*(VLOOKUP(tblSalaries[[#This Row],[Currency]],Sheet1!$N$4:$Q$186,4,FALSE))</f>
        <v>68000</v>
      </c>
      <c r="G476" s="4">
        <f>IF(Dashboard!$J$5=VLOOKUP(tblSalaries[[#This Row],[Currency]],Sheet3!$A$2:$B$31,2,FALSE),tblSalaries[[#This Row],[clean Salary (in local currency)]],(tblSalaries[[#This Row],[PPP Adjusted  USD]]/VLOOKUP(Dashboard!$J$5,Sheet3!$B$2:$C$31,2,FALSE)))</f>
        <v>68000</v>
      </c>
      <c r="H476" t="s">
        <v>1248</v>
      </c>
      <c r="I476" t="s">
        <v>603</v>
      </c>
      <c r="J476" t="s">
        <v>613</v>
      </c>
      <c r="K476" t="s">
        <v>605</v>
      </c>
      <c r="L476">
        <v>12</v>
      </c>
    </row>
    <row r="477" spans="2:12" ht="15" customHeight="1">
      <c r="B477" t="s">
        <v>3542</v>
      </c>
      <c r="C477">
        <v>68000</v>
      </c>
      <c r="D477" t="s">
        <v>252</v>
      </c>
      <c r="E477">
        <v>68000</v>
      </c>
      <c r="F477" s="3">
        <f>(tblSalaries[[#This Row],[clean Salary (in local currency)]])*(VLOOKUP(tblSalaries[[#This Row],[Currency]],Sheet3!$A$2:$C$31,3,FALSE))*(VLOOKUP(tblSalaries[[#This Row],[Currency]],Sheet1!$N$4:$Q$186,4,FALSE))</f>
        <v>68000</v>
      </c>
      <c r="G477" s="4">
        <f>IF(Dashboard!$J$5=VLOOKUP(tblSalaries[[#This Row],[Currency]],Sheet3!$A$2:$B$31,2,FALSE),tblSalaries[[#This Row],[clean Salary (in local currency)]],(tblSalaries[[#This Row],[PPP Adjusted  USD]]/VLOOKUP(Dashboard!$J$5,Sheet3!$B$2:$C$31,2,FALSE)))</f>
        <v>68000</v>
      </c>
      <c r="H477" t="s">
        <v>3543</v>
      </c>
      <c r="I477" t="s">
        <v>603</v>
      </c>
      <c r="J477" t="s">
        <v>613</v>
      </c>
      <c r="K477" t="s">
        <v>605</v>
      </c>
      <c r="L477">
        <v>2.5</v>
      </c>
    </row>
    <row r="478" spans="2:12" ht="15" customHeight="1">
      <c r="B478" t="s">
        <v>2343</v>
      </c>
      <c r="C478">
        <v>107000</v>
      </c>
      <c r="D478" t="s">
        <v>224</v>
      </c>
      <c r="E478">
        <v>109130.33323508203</v>
      </c>
      <c r="F478" s="3">
        <f>(tblSalaries[[#This Row],[clean Salary (in local currency)]])*(VLOOKUP(tblSalaries[[#This Row],[Currency]],Sheet3!$A$2:$C$31,3,FALSE))*(VLOOKUP(tblSalaries[[#This Row],[Currency]],Sheet1!$N$4:$Q$186,4,FALSE))</f>
        <v>67058.404227251376</v>
      </c>
      <c r="G478" s="4">
        <f>IF(Dashboard!$J$5=VLOOKUP(tblSalaries[[#This Row],[Currency]],Sheet3!$A$2:$B$31,2,FALSE),tblSalaries[[#This Row],[clean Salary (in local currency)]],(tblSalaries[[#This Row],[PPP Adjusted  USD]]/VLOOKUP(Dashboard!$J$5,Sheet3!$B$2:$C$31,2,FALSE)))</f>
        <v>67058.404227251376</v>
      </c>
      <c r="H478" t="s">
        <v>1827</v>
      </c>
      <c r="I478" t="s">
        <v>625</v>
      </c>
      <c r="J478" t="s">
        <v>703</v>
      </c>
      <c r="K478" t="s">
        <v>605</v>
      </c>
      <c r="L478">
        <v>35</v>
      </c>
    </row>
    <row r="479" spans="2:12" ht="15" customHeight="1">
      <c r="B479" t="s">
        <v>851</v>
      </c>
      <c r="C479">
        <v>67000</v>
      </c>
      <c r="D479" t="s">
        <v>252</v>
      </c>
      <c r="E479">
        <v>67000</v>
      </c>
      <c r="F479" s="3">
        <f>(tblSalaries[[#This Row],[clean Salary (in local currency)]])*(VLOOKUP(tblSalaries[[#This Row],[Currency]],Sheet3!$A$2:$C$31,3,FALSE))*(VLOOKUP(tblSalaries[[#This Row],[Currency]],Sheet1!$N$4:$Q$186,4,FALSE))</f>
        <v>67000</v>
      </c>
      <c r="G479" s="4">
        <f>IF(Dashboard!$J$5=VLOOKUP(tblSalaries[[#This Row],[Currency]],Sheet3!$A$2:$B$31,2,FALSE),tblSalaries[[#This Row],[clean Salary (in local currency)]],(tblSalaries[[#This Row],[PPP Adjusted  USD]]/VLOOKUP(Dashboard!$J$5,Sheet3!$B$2:$C$31,2,FALSE)))</f>
        <v>67000</v>
      </c>
      <c r="H479" t="s">
        <v>852</v>
      </c>
      <c r="I479" t="s">
        <v>603</v>
      </c>
      <c r="J479" t="s">
        <v>613</v>
      </c>
      <c r="K479" t="s">
        <v>605</v>
      </c>
      <c r="L479" t="s">
        <v>3847</v>
      </c>
    </row>
    <row r="480" spans="2:12" ht="15" customHeight="1">
      <c r="B480" t="s">
        <v>965</v>
      </c>
      <c r="C480">
        <v>67000</v>
      </c>
      <c r="D480" t="s">
        <v>252</v>
      </c>
      <c r="E480">
        <v>67000</v>
      </c>
      <c r="F480" s="3">
        <f>(tblSalaries[[#This Row],[clean Salary (in local currency)]])*(VLOOKUP(tblSalaries[[#This Row],[Currency]],Sheet3!$A$2:$C$31,3,FALSE))*(VLOOKUP(tblSalaries[[#This Row],[Currency]],Sheet1!$N$4:$Q$186,4,FALSE))</f>
        <v>67000</v>
      </c>
      <c r="G480" s="4">
        <f>IF(Dashboard!$J$5=VLOOKUP(tblSalaries[[#This Row],[Currency]],Sheet3!$A$2:$B$31,2,FALSE),tblSalaries[[#This Row],[clean Salary (in local currency)]],(tblSalaries[[#This Row],[PPP Adjusted  USD]]/VLOOKUP(Dashboard!$J$5,Sheet3!$B$2:$C$31,2,FALSE)))</f>
        <v>67000</v>
      </c>
      <c r="H480" t="s">
        <v>966</v>
      </c>
      <c r="I480" t="s">
        <v>603</v>
      </c>
      <c r="J480" t="s">
        <v>613</v>
      </c>
      <c r="K480" t="s">
        <v>605</v>
      </c>
      <c r="L480" t="s">
        <v>3847</v>
      </c>
    </row>
    <row r="481" spans="2:12" ht="15" customHeight="1">
      <c r="B481" t="s">
        <v>1004</v>
      </c>
      <c r="C481">
        <v>67000</v>
      </c>
      <c r="D481" t="s">
        <v>252</v>
      </c>
      <c r="E481">
        <v>67000</v>
      </c>
      <c r="F481" s="3">
        <f>(tblSalaries[[#This Row],[clean Salary (in local currency)]])*(VLOOKUP(tblSalaries[[#This Row],[Currency]],Sheet3!$A$2:$C$31,3,FALSE))*(VLOOKUP(tblSalaries[[#This Row],[Currency]],Sheet1!$N$4:$Q$186,4,FALSE))</f>
        <v>67000</v>
      </c>
      <c r="G481" s="4">
        <f>IF(Dashboard!$J$5=VLOOKUP(tblSalaries[[#This Row],[Currency]],Sheet3!$A$2:$B$31,2,FALSE),tblSalaries[[#This Row],[clean Salary (in local currency)]],(tblSalaries[[#This Row],[PPP Adjusted  USD]]/VLOOKUP(Dashboard!$J$5,Sheet3!$B$2:$C$31,2,FALSE)))</f>
        <v>67000</v>
      </c>
      <c r="H481" t="s">
        <v>612</v>
      </c>
      <c r="I481" t="s">
        <v>603</v>
      </c>
      <c r="J481" t="s">
        <v>613</v>
      </c>
      <c r="K481" t="s">
        <v>605</v>
      </c>
      <c r="L481" t="s">
        <v>3847</v>
      </c>
    </row>
    <row r="482" spans="2:12" ht="15" customHeight="1">
      <c r="B482" t="s">
        <v>1197</v>
      </c>
      <c r="C482">
        <v>67000</v>
      </c>
      <c r="D482" t="s">
        <v>252</v>
      </c>
      <c r="E482">
        <v>67000</v>
      </c>
      <c r="F482" s="3">
        <f>(tblSalaries[[#This Row],[clean Salary (in local currency)]])*(VLOOKUP(tblSalaries[[#This Row],[Currency]],Sheet3!$A$2:$C$31,3,FALSE))*(VLOOKUP(tblSalaries[[#This Row],[Currency]],Sheet1!$N$4:$Q$186,4,FALSE))</f>
        <v>67000</v>
      </c>
      <c r="G482" s="4">
        <f>IF(Dashboard!$J$5=VLOOKUP(tblSalaries[[#This Row],[Currency]],Sheet3!$A$2:$B$31,2,FALSE),tblSalaries[[#This Row],[clean Salary (in local currency)]],(tblSalaries[[#This Row],[PPP Adjusted  USD]]/VLOOKUP(Dashboard!$J$5,Sheet3!$B$2:$C$31,2,FALSE)))</f>
        <v>67000</v>
      </c>
      <c r="H482" t="s">
        <v>1198</v>
      </c>
      <c r="I482" t="s">
        <v>603</v>
      </c>
      <c r="J482" t="s">
        <v>613</v>
      </c>
      <c r="K482" t="s">
        <v>605</v>
      </c>
      <c r="L482" t="s">
        <v>3847</v>
      </c>
    </row>
    <row r="483" spans="2:12" ht="15" customHeight="1">
      <c r="B483" t="s">
        <v>1633</v>
      </c>
      <c r="C483">
        <v>67000</v>
      </c>
      <c r="D483" t="s">
        <v>252</v>
      </c>
      <c r="E483">
        <v>67000</v>
      </c>
      <c r="F483" s="3">
        <f>(tblSalaries[[#This Row],[clean Salary (in local currency)]])*(VLOOKUP(tblSalaries[[#This Row],[Currency]],Sheet3!$A$2:$C$31,3,FALSE))*(VLOOKUP(tblSalaries[[#This Row],[Currency]],Sheet1!$N$4:$Q$186,4,FALSE))</f>
        <v>67000</v>
      </c>
      <c r="G483" s="4">
        <f>IF(Dashboard!$J$5=VLOOKUP(tblSalaries[[#This Row],[Currency]],Sheet3!$A$2:$B$31,2,FALSE),tblSalaries[[#This Row],[clean Salary (in local currency)]],(tblSalaries[[#This Row],[PPP Adjusted  USD]]/VLOOKUP(Dashboard!$J$5,Sheet3!$B$2:$C$31,2,FALSE)))</f>
        <v>67000</v>
      </c>
      <c r="H483" t="s">
        <v>1223</v>
      </c>
      <c r="I483" t="s">
        <v>603</v>
      </c>
      <c r="J483" t="s">
        <v>613</v>
      </c>
      <c r="K483" t="s">
        <v>605</v>
      </c>
      <c r="L483" t="s">
        <v>3847</v>
      </c>
    </row>
    <row r="484" spans="2:12" ht="15" customHeight="1">
      <c r="B484" t="s">
        <v>3088</v>
      </c>
      <c r="C484">
        <v>67000</v>
      </c>
      <c r="D484" t="s">
        <v>252</v>
      </c>
      <c r="E484">
        <v>67000</v>
      </c>
      <c r="F484" s="3">
        <f>(tblSalaries[[#This Row],[clean Salary (in local currency)]])*(VLOOKUP(tblSalaries[[#This Row],[Currency]],Sheet3!$A$2:$C$31,3,FALSE))*(VLOOKUP(tblSalaries[[#This Row],[Currency]],Sheet1!$N$4:$Q$186,4,FALSE))</f>
        <v>67000</v>
      </c>
      <c r="G484" s="4">
        <f>IF(Dashboard!$J$5=VLOOKUP(tblSalaries[[#This Row],[Currency]],Sheet3!$A$2:$B$31,2,FALSE),tblSalaries[[#This Row],[clean Salary (in local currency)]],(tblSalaries[[#This Row],[PPP Adjusted  USD]]/VLOOKUP(Dashboard!$J$5,Sheet3!$B$2:$C$31,2,FALSE)))</f>
        <v>67000</v>
      </c>
      <c r="H484" t="s">
        <v>3089</v>
      </c>
      <c r="I484" t="s">
        <v>625</v>
      </c>
      <c r="J484" t="s">
        <v>613</v>
      </c>
      <c r="K484" t="s">
        <v>617</v>
      </c>
      <c r="L484">
        <v>20</v>
      </c>
    </row>
    <row r="485" spans="2:12" ht="15" customHeight="1">
      <c r="B485" t="s">
        <v>3571</v>
      </c>
      <c r="C485">
        <v>67000</v>
      </c>
      <c r="D485" t="s">
        <v>252</v>
      </c>
      <c r="E485">
        <v>67000</v>
      </c>
      <c r="F485" s="3">
        <f>(tblSalaries[[#This Row],[clean Salary (in local currency)]])*(VLOOKUP(tblSalaries[[#This Row],[Currency]],Sheet3!$A$2:$C$31,3,FALSE))*(VLOOKUP(tblSalaries[[#This Row],[Currency]],Sheet1!$N$4:$Q$186,4,FALSE))</f>
        <v>67000</v>
      </c>
      <c r="G485" s="4">
        <f>IF(Dashboard!$J$5=VLOOKUP(tblSalaries[[#This Row],[Currency]],Sheet3!$A$2:$B$31,2,FALSE),tblSalaries[[#This Row],[clean Salary (in local currency)]],(tblSalaries[[#This Row],[PPP Adjusted  USD]]/VLOOKUP(Dashboard!$J$5,Sheet3!$B$2:$C$31,2,FALSE)))</f>
        <v>67000</v>
      </c>
      <c r="H485" t="s">
        <v>625</v>
      </c>
      <c r="I485" t="s">
        <v>625</v>
      </c>
      <c r="J485" t="s">
        <v>613</v>
      </c>
      <c r="K485" t="s">
        <v>605</v>
      </c>
      <c r="L485">
        <v>16</v>
      </c>
    </row>
    <row r="486" spans="2:12" ht="15" customHeight="1">
      <c r="B486" t="s">
        <v>3578</v>
      </c>
      <c r="C486">
        <v>67000</v>
      </c>
      <c r="D486" t="s">
        <v>252</v>
      </c>
      <c r="E486">
        <v>67000</v>
      </c>
      <c r="F486" s="3">
        <f>(tblSalaries[[#This Row],[clean Salary (in local currency)]])*(VLOOKUP(tblSalaries[[#This Row],[Currency]],Sheet3!$A$2:$C$31,3,FALSE))*(VLOOKUP(tblSalaries[[#This Row],[Currency]],Sheet1!$N$4:$Q$186,4,FALSE))</f>
        <v>67000</v>
      </c>
      <c r="G486" s="4">
        <f>IF(Dashboard!$J$5=VLOOKUP(tblSalaries[[#This Row],[Currency]],Sheet3!$A$2:$B$31,2,FALSE),tblSalaries[[#This Row],[clean Salary (in local currency)]],(tblSalaries[[#This Row],[PPP Adjusted  USD]]/VLOOKUP(Dashboard!$J$5,Sheet3!$B$2:$C$31,2,FALSE)))</f>
        <v>67000</v>
      </c>
      <c r="H486" t="s">
        <v>625</v>
      </c>
      <c r="I486" t="s">
        <v>625</v>
      </c>
      <c r="J486" t="s">
        <v>613</v>
      </c>
      <c r="K486" t="s">
        <v>862</v>
      </c>
      <c r="L486">
        <v>6</v>
      </c>
    </row>
    <row r="487" spans="2:12" ht="15" customHeight="1">
      <c r="B487" t="s">
        <v>3741</v>
      </c>
      <c r="C487">
        <v>67000</v>
      </c>
      <c r="D487" t="s">
        <v>252</v>
      </c>
      <c r="E487">
        <v>67000</v>
      </c>
      <c r="F487" s="3">
        <f>(tblSalaries[[#This Row],[clean Salary (in local currency)]])*(VLOOKUP(tblSalaries[[#This Row],[Currency]],Sheet3!$A$2:$C$31,3,FALSE))*(VLOOKUP(tblSalaries[[#This Row],[Currency]],Sheet1!$N$4:$Q$186,4,FALSE))</f>
        <v>67000</v>
      </c>
      <c r="G487" s="4">
        <f>IF(Dashboard!$J$5=VLOOKUP(tblSalaries[[#This Row],[Currency]],Sheet3!$A$2:$B$31,2,FALSE),tblSalaries[[#This Row],[clean Salary (in local currency)]],(tblSalaries[[#This Row],[PPP Adjusted  USD]]/VLOOKUP(Dashboard!$J$5,Sheet3!$B$2:$C$31,2,FALSE)))</f>
        <v>67000</v>
      </c>
      <c r="H487" t="s">
        <v>3742</v>
      </c>
      <c r="I487" t="s">
        <v>603</v>
      </c>
      <c r="J487" t="s">
        <v>613</v>
      </c>
      <c r="K487" t="s">
        <v>605</v>
      </c>
      <c r="L487">
        <v>6</v>
      </c>
    </row>
    <row r="488" spans="2:12" ht="15" customHeight="1">
      <c r="B488" t="s">
        <v>2552</v>
      </c>
      <c r="C488">
        <v>45200</v>
      </c>
      <c r="D488" t="s">
        <v>204</v>
      </c>
      <c r="E488">
        <v>71243.257897441246</v>
      </c>
      <c r="F488" s="3">
        <f>(tblSalaries[[#This Row],[clean Salary (in local currency)]])*(VLOOKUP(tblSalaries[[#This Row],[Currency]],Sheet3!$A$2:$C$31,3,FALSE))*(VLOOKUP(tblSalaries[[#This Row],[Currency]],Sheet1!$N$4:$Q$186,4,FALSE))</f>
        <v>66623.498465115321</v>
      </c>
      <c r="G488" s="4">
        <f>IF(Dashboard!$J$5=VLOOKUP(tblSalaries[[#This Row],[Currency]],Sheet3!$A$2:$B$31,2,FALSE),tblSalaries[[#This Row],[clean Salary (in local currency)]],(tblSalaries[[#This Row],[PPP Adjusted  USD]]/VLOOKUP(Dashboard!$J$5,Sheet3!$B$2:$C$31,2,FALSE)))</f>
        <v>66623.498465115321</v>
      </c>
      <c r="H488" t="s">
        <v>2553</v>
      </c>
      <c r="I488" t="s">
        <v>625</v>
      </c>
      <c r="J488" t="s">
        <v>687</v>
      </c>
      <c r="K488" t="s">
        <v>617</v>
      </c>
      <c r="L488">
        <v>5</v>
      </c>
    </row>
    <row r="489" spans="2:12" ht="15" customHeight="1">
      <c r="B489" t="s">
        <v>932</v>
      </c>
      <c r="C489">
        <v>66500</v>
      </c>
      <c r="D489" t="s">
        <v>252</v>
      </c>
      <c r="E489">
        <v>66500</v>
      </c>
      <c r="F489" s="3">
        <f>(tblSalaries[[#This Row],[clean Salary (in local currency)]])*(VLOOKUP(tblSalaries[[#This Row],[Currency]],Sheet3!$A$2:$C$31,3,FALSE))*(VLOOKUP(tblSalaries[[#This Row],[Currency]],Sheet1!$N$4:$Q$186,4,FALSE))</f>
        <v>66500</v>
      </c>
      <c r="G489" s="4">
        <f>IF(Dashboard!$J$5=VLOOKUP(tblSalaries[[#This Row],[Currency]],Sheet3!$A$2:$B$31,2,FALSE),tblSalaries[[#This Row],[clean Salary (in local currency)]],(tblSalaries[[#This Row],[PPP Adjusted  USD]]/VLOOKUP(Dashboard!$J$5,Sheet3!$B$2:$C$31,2,FALSE)))</f>
        <v>66500</v>
      </c>
      <c r="H489" t="s">
        <v>933</v>
      </c>
      <c r="I489" t="s">
        <v>603</v>
      </c>
      <c r="J489" t="s">
        <v>613</v>
      </c>
      <c r="K489" t="s">
        <v>610</v>
      </c>
      <c r="L489" t="s">
        <v>3847</v>
      </c>
    </row>
    <row r="490" spans="2:12" ht="15" customHeight="1">
      <c r="B490" t="s">
        <v>1688</v>
      </c>
      <c r="C490">
        <v>106000</v>
      </c>
      <c r="D490" t="s">
        <v>224</v>
      </c>
      <c r="E490">
        <v>108110.42357867939</v>
      </c>
      <c r="F490" s="3">
        <f>(tblSalaries[[#This Row],[clean Salary (in local currency)]])*(VLOOKUP(tblSalaries[[#This Row],[Currency]],Sheet3!$A$2:$C$31,3,FALSE))*(VLOOKUP(tblSalaries[[#This Row],[Currency]],Sheet1!$N$4:$Q$186,4,FALSE))</f>
        <v>66431.690169052759</v>
      </c>
      <c r="G490" s="4">
        <f>IF(Dashboard!$J$5=VLOOKUP(tblSalaries[[#This Row],[Currency]],Sheet3!$A$2:$B$31,2,FALSE),tblSalaries[[#This Row],[clean Salary (in local currency)]],(tblSalaries[[#This Row],[PPP Adjusted  USD]]/VLOOKUP(Dashboard!$J$5,Sheet3!$B$2:$C$31,2,FALSE)))</f>
        <v>66431.690169052759</v>
      </c>
      <c r="H490" t="s">
        <v>1689</v>
      </c>
      <c r="I490" t="s">
        <v>640</v>
      </c>
      <c r="J490" t="s">
        <v>703</v>
      </c>
      <c r="K490" t="s">
        <v>605</v>
      </c>
      <c r="L490">
        <v>16</v>
      </c>
    </row>
    <row r="491" spans="2:12" ht="15" customHeight="1">
      <c r="B491" t="s">
        <v>1074</v>
      </c>
      <c r="C491">
        <v>45000</v>
      </c>
      <c r="D491" t="s">
        <v>204</v>
      </c>
      <c r="E491">
        <v>70928.022243027779</v>
      </c>
      <c r="F491" s="3">
        <f>(tblSalaries[[#This Row],[clean Salary (in local currency)]])*(VLOOKUP(tblSalaries[[#This Row],[Currency]],Sheet3!$A$2:$C$31,3,FALSE))*(VLOOKUP(tblSalaries[[#This Row],[Currency]],Sheet1!$N$4:$Q$186,4,FALSE))</f>
        <v>66328.704224119225</v>
      </c>
      <c r="G491" s="4">
        <f>IF(Dashboard!$J$5=VLOOKUP(tblSalaries[[#This Row],[Currency]],Sheet3!$A$2:$B$31,2,FALSE),tblSalaries[[#This Row],[clean Salary (in local currency)]],(tblSalaries[[#This Row],[PPP Adjusted  USD]]/VLOOKUP(Dashboard!$J$5,Sheet3!$B$2:$C$31,2,FALSE)))</f>
        <v>66328.704224119225</v>
      </c>
      <c r="H491" t="s">
        <v>1075</v>
      </c>
      <c r="I491" t="s">
        <v>625</v>
      </c>
      <c r="J491" t="s">
        <v>687</v>
      </c>
      <c r="K491" t="s">
        <v>617</v>
      </c>
      <c r="L491" t="s">
        <v>3847</v>
      </c>
    </row>
    <row r="492" spans="2:12" ht="15" customHeight="1">
      <c r="B492" t="s">
        <v>2544</v>
      </c>
      <c r="C492">
        <v>45000</v>
      </c>
      <c r="D492" t="s">
        <v>204</v>
      </c>
      <c r="E492">
        <v>70928.022243027779</v>
      </c>
      <c r="F492" s="3">
        <f>(tblSalaries[[#This Row],[clean Salary (in local currency)]])*(VLOOKUP(tblSalaries[[#This Row],[Currency]],Sheet3!$A$2:$C$31,3,FALSE))*(VLOOKUP(tblSalaries[[#This Row],[Currency]],Sheet1!$N$4:$Q$186,4,FALSE))</f>
        <v>66328.704224119225</v>
      </c>
      <c r="G492" s="4">
        <f>IF(Dashboard!$J$5=VLOOKUP(tblSalaries[[#This Row],[Currency]],Sheet3!$A$2:$B$31,2,FALSE),tblSalaries[[#This Row],[clean Salary (in local currency)]],(tblSalaries[[#This Row],[PPP Adjusted  USD]]/VLOOKUP(Dashboard!$J$5,Sheet3!$B$2:$C$31,2,FALSE)))</f>
        <v>66328.704224119225</v>
      </c>
      <c r="H492" t="s">
        <v>2545</v>
      </c>
      <c r="I492" t="s">
        <v>633</v>
      </c>
      <c r="J492" t="s">
        <v>687</v>
      </c>
      <c r="K492" t="s">
        <v>605</v>
      </c>
      <c r="L492">
        <v>8</v>
      </c>
    </row>
    <row r="493" spans="2:12" ht="15" customHeight="1">
      <c r="B493" t="s">
        <v>2896</v>
      </c>
      <c r="C493">
        <v>45000</v>
      </c>
      <c r="D493" t="s">
        <v>204</v>
      </c>
      <c r="E493">
        <v>70928.022243027779</v>
      </c>
      <c r="F493" s="3">
        <f>(tblSalaries[[#This Row],[clean Salary (in local currency)]])*(VLOOKUP(tblSalaries[[#This Row],[Currency]],Sheet3!$A$2:$C$31,3,FALSE))*(VLOOKUP(tblSalaries[[#This Row],[Currency]],Sheet1!$N$4:$Q$186,4,FALSE))</f>
        <v>66328.704224119225</v>
      </c>
      <c r="G493" s="4">
        <f>IF(Dashboard!$J$5=VLOOKUP(tblSalaries[[#This Row],[Currency]],Sheet3!$A$2:$B$31,2,FALSE),tblSalaries[[#This Row],[clean Salary (in local currency)]],(tblSalaries[[#This Row],[PPP Adjusted  USD]]/VLOOKUP(Dashboard!$J$5,Sheet3!$B$2:$C$31,2,FALSE)))</f>
        <v>66328.704224119225</v>
      </c>
      <c r="H493" t="s">
        <v>691</v>
      </c>
      <c r="I493" t="s">
        <v>692</v>
      </c>
      <c r="J493" t="s">
        <v>687</v>
      </c>
      <c r="K493" t="s">
        <v>617</v>
      </c>
      <c r="L493">
        <v>4</v>
      </c>
    </row>
    <row r="494" spans="2:12" ht="15" customHeight="1">
      <c r="B494" t="s">
        <v>2963</v>
      </c>
      <c r="C494">
        <v>45000</v>
      </c>
      <c r="D494" t="s">
        <v>204</v>
      </c>
      <c r="E494">
        <v>70928.022243027779</v>
      </c>
      <c r="F494" s="3">
        <f>(tblSalaries[[#This Row],[clean Salary (in local currency)]])*(VLOOKUP(tblSalaries[[#This Row],[Currency]],Sheet3!$A$2:$C$31,3,FALSE))*(VLOOKUP(tblSalaries[[#This Row],[Currency]],Sheet1!$N$4:$Q$186,4,FALSE))</f>
        <v>66328.704224119225</v>
      </c>
      <c r="G494" s="4">
        <f>IF(Dashboard!$J$5=VLOOKUP(tblSalaries[[#This Row],[Currency]],Sheet3!$A$2:$B$31,2,FALSE),tblSalaries[[#This Row],[clean Salary (in local currency)]],(tblSalaries[[#This Row],[PPP Adjusted  USD]]/VLOOKUP(Dashboard!$J$5,Sheet3!$B$2:$C$31,2,FALSE)))</f>
        <v>66328.704224119225</v>
      </c>
      <c r="H494" t="s">
        <v>1827</v>
      </c>
      <c r="I494" t="s">
        <v>625</v>
      </c>
      <c r="J494" t="s">
        <v>687</v>
      </c>
      <c r="K494" t="s">
        <v>617</v>
      </c>
      <c r="L494">
        <v>15</v>
      </c>
    </row>
    <row r="495" spans="2:12" ht="15" customHeight="1">
      <c r="B495" t="s">
        <v>3466</v>
      </c>
      <c r="C495">
        <v>45000</v>
      </c>
      <c r="D495" t="s">
        <v>204</v>
      </c>
      <c r="E495">
        <v>70928.022243027779</v>
      </c>
      <c r="F495" s="3">
        <f>(tblSalaries[[#This Row],[clean Salary (in local currency)]])*(VLOOKUP(tblSalaries[[#This Row],[Currency]],Sheet3!$A$2:$C$31,3,FALSE))*(VLOOKUP(tblSalaries[[#This Row],[Currency]],Sheet1!$N$4:$Q$186,4,FALSE))</f>
        <v>66328.704224119225</v>
      </c>
      <c r="G495" s="4">
        <f>IF(Dashboard!$J$5=VLOOKUP(tblSalaries[[#This Row],[Currency]],Sheet3!$A$2:$B$31,2,FALSE),tblSalaries[[#This Row],[clean Salary (in local currency)]],(tblSalaries[[#This Row],[PPP Adjusted  USD]]/VLOOKUP(Dashboard!$J$5,Sheet3!$B$2:$C$31,2,FALSE)))</f>
        <v>66328.704224119225</v>
      </c>
      <c r="H495" t="s">
        <v>811</v>
      </c>
      <c r="I495" t="s">
        <v>603</v>
      </c>
      <c r="J495" t="s">
        <v>687</v>
      </c>
      <c r="K495" t="s">
        <v>610</v>
      </c>
      <c r="L495">
        <v>5</v>
      </c>
    </row>
    <row r="496" spans="2:12" ht="15" customHeight="1">
      <c r="B496" t="s">
        <v>3569</v>
      </c>
      <c r="C496">
        <v>45000</v>
      </c>
      <c r="D496" t="s">
        <v>204</v>
      </c>
      <c r="E496">
        <v>70928.022243027779</v>
      </c>
      <c r="F496" s="3">
        <f>(tblSalaries[[#This Row],[clean Salary (in local currency)]])*(VLOOKUP(tblSalaries[[#This Row],[Currency]],Sheet3!$A$2:$C$31,3,FALSE))*(VLOOKUP(tblSalaries[[#This Row],[Currency]],Sheet1!$N$4:$Q$186,4,FALSE))</f>
        <v>66328.704224119225</v>
      </c>
      <c r="G496" s="4">
        <f>IF(Dashboard!$J$5=VLOOKUP(tblSalaries[[#This Row],[Currency]],Sheet3!$A$2:$B$31,2,FALSE),tblSalaries[[#This Row],[clean Salary (in local currency)]],(tblSalaries[[#This Row],[PPP Adjusted  USD]]/VLOOKUP(Dashboard!$J$5,Sheet3!$B$2:$C$31,2,FALSE)))</f>
        <v>66328.704224119225</v>
      </c>
      <c r="H496" t="s">
        <v>3570</v>
      </c>
      <c r="I496" t="s">
        <v>603</v>
      </c>
      <c r="J496" t="s">
        <v>687</v>
      </c>
      <c r="K496" t="s">
        <v>610</v>
      </c>
      <c r="L496">
        <v>20</v>
      </c>
    </row>
    <row r="497" spans="2:12" ht="15" customHeight="1">
      <c r="B497" t="s">
        <v>1210</v>
      </c>
      <c r="C497">
        <v>1400000</v>
      </c>
      <c r="D497" t="s">
        <v>247</v>
      </c>
      <c r="E497">
        <v>24931.083362419595</v>
      </c>
      <c r="F497" s="3">
        <f>(tblSalaries[[#This Row],[clean Salary (in local currency)]])*(VLOOKUP(tblSalaries[[#This Row],[Currency]],Sheet3!$A$2:$C$31,3,FALSE))*(VLOOKUP(tblSalaries[[#This Row],[Currency]],Sheet1!$N$4:$Q$186,4,FALSE))</f>
        <v>66305.431288177831</v>
      </c>
      <c r="G497" s="4">
        <f>IF(Dashboard!$J$5=VLOOKUP(tblSalaries[[#This Row],[Currency]],Sheet3!$A$2:$B$31,2,FALSE),tblSalaries[[#This Row],[clean Salary (in local currency)]],(tblSalaries[[#This Row],[PPP Adjusted  USD]]/VLOOKUP(Dashboard!$J$5,Sheet3!$B$2:$C$31,2,FALSE)))</f>
        <v>66305.431288177831</v>
      </c>
      <c r="H497" t="s">
        <v>1211</v>
      </c>
      <c r="I497" t="s">
        <v>625</v>
      </c>
      <c r="J497" t="s">
        <v>604</v>
      </c>
      <c r="K497" t="s">
        <v>627</v>
      </c>
      <c r="L497" t="s">
        <v>3847</v>
      </c>
    </row>
    <row r="498" spans="2:12" ht="15" customHeight="1">
      <c r="B498" t="s">
        <v>3725</v>
      </c>
      <c r="C498">
        <v>1400000</v>
      </c>
      <c r="D498" t="s">
        <v>247</v>
      </c>
      <c r="E498">
        <v>24931.083362419595</v>
      </c>
      <c r="F498" s="3">
        <f>(tblSalaries[[#This Row],[clean Salary (in local currency)]])*(VLOOKUP(tblSalaries[[#This Row],[Currency]],Sheet3!$A$2:$C$31,3,FALSE))*(VLOOKUP(tblSalaries[[#This Row],[Currency]],Sheet1!$N$4:$Q$186,4,FALSE))</f>
        <v>66305.431288177831</v>
      </c>
      <c r="G498" s="4">
        <f>IF(Dashboard!$J$5=VLOOKUP(tblSalaries[[#This Row],[Currency]],Sheet3!$A$2:$B$31,2,FALSE),tblSalaries[[#This Row],[clean Salary (in local currency)]],(tblSalaries[[#This Row],[PPP Adjusted  USD]]/VLOOKUP(Dashboard!$J$5,Sheet3!$B$2:$C$31,2,FALSE)))</f>
        <v>66305.431288177831</v>
      </c>
      <c r="H498" t="s">
        <v>3726</v>
      </c>
      <c r="I498" t="s">
        <v>625</v>
      </c>
      <c r="J498" t="s">
        <v>604</v>
      </c>
      <c r="K498" t="s">
        <v>605</v>
      </c>
      <c r="L498">
        <v>10</v>
      </c>
    </row>
    <row r="499" spans="2:12" ht="15" customHeight="1">
      <c r="B499" t="s">
        <v>3458</v>
      </c>
      <c r="C499">
        <v>110000</v>
      </c>
      <c r="D499" t="s">
        <v>295</v>
      </c>
      <c r="E499">
        <v>87734.690296543267</v>
      </c>
      <c r="F499" s="3">
        <f>(tblSalaries[[#This Row],[clean Salary (in local currency)]])*(VLOOKUP(tblSalaries[[#This Row],[Currency]],Sheet3!$A$2:$C$31,3,FALSE))*(VLOOKUP(tblSalaries[[#This Row],[Currency]],Sheet1!$N$4:$Q$186,4,FALSE))</f>
        <v>66237.249145235503</v>
      </c>
      <c r="G499" s="4">
        <f>IF(Dashboard!$J$5=VLOOKUP(tblSalaries[[#This Row],[Currency]],Sheet3!$A$2:$B$31,2,FALSE),tblSalaries[[#This Row],[clean Salary (in local currency)]],(tblSalaries[[#This Row],[PPP Adjusted  USD]]/VLOOKUP(Dashboard!$J$5,Sheet3!$B$2:$C$31,2,FALSE)))</f>
        <v>66237.249145235503</v>
      </c>
      <c r="H499" t="s">
        <v>3459</v>
      </c>
      <c r="I499" t="s">
        <v>625</v>
      </c>
      <c r="J499" t="s">
        <v>1604</v>
      </c>
      <c r="K499" t="s">
        <v>605</v>
      </c>
      <c r="L499">
        <v>6</v>
      </c>
    </row>
    <row r="500" spans="2:12" ht="15" customHeight="1">
      <c r="B500" t="s">
        <v>2708</v>
      </c>
      <c r="C500">
        <v>625000</v>
      </c>
      <c r="D500" t="s">
        <v>312</v>
      </c>
      <c r="E500">
        <v>106815.148267971</v>
      </c>
      <c r="F500" s="3">
        <f>(tblSalaries[[#This Row],[clean Salary (in local currency)]])*(VLOOKUP(tblSalaries[[#This Row],[Currency]],Sheet3!$A$2:$C$31,3,FALSE))*(VLOOKUP(tblSalaries[[#This Row],[Currency]],Sheet1!$N$4:$Q$186,4,FALSE))</f>
        <v>66218.481145868893</v>
      </c>
      <c r="G500" s="4">
        <f>IF(Dashboard!$J$5=VLOOKUP(tblSalaries[[#This Row],[Currency]],Sheet3!$A$2:$B$31,2,FALSE),tblSalaries[[#This Row],[clean Salary (in local currency)]],(tblSalaries[[#This Row],[PPP Adjusted  USD]]/VLOOKUP(Dashboard!$J$5,Sheet3!$B$2:$C$31,2,FALSE)))</f>
        <v>66218.481145868893</v>
      </c>
      <c r="H500" t="s">
        <v>2709</v>
      </c>
      <c r="I500" t="s">
        <v>625</v>
      </c>
      <c r="J500" t="s">
        <v>1984</v>
      </c>
      <c r="K500" t="s">
        <v>605</v>
      </c>
      <c r="L500">
        <v>25</v>
      </c>
    </row>
    <row r="501" spans="2:12" ht="15" customHeight="1">
      <c r="B501" t="s">
        <v>2559</v>
      </c>
      <c r="C501">
        <v>60000</v>
      </c>
      <c r="D501" t="s">
        <v>200</v>
      </c>
      <c r="E501">
        <v>76223.966339496474</v>
      </c>
      <c r="F501" s="3">
        <f>(tblSalaries[[#This Row],[clean Salary (in local currency)]])*(VLOOKUP(tblSalaries[[#This Row],[Currency]],Sheet3!$A$2:$C$31,3,FALSE))*(VLOOKUP(tblSalaries[[#This Row],[Currency]],Sheet1!$N$4:$Q$186,4,FALSE))</f>
        <v>66039.17315880314</v>
      </c>
      <c r="G501" s="4">
        <f>IF(Dashboard!$J$5=VLOOKUP(tblSalaries[[#This Row],[Currency]],Sheet3!$A$2:$B$31,2,FALSE),tblSalaries[[#This Row],[clean Salary (in local currency)]],(tblSalaries[[#This Row],[PPP Adjusted  USD]]/VLOOKUP(Dashboard!$J$5,Sheet3!$B$2:$C$31,2,FALSE)))</f>
        <v>66039.17315880314</v>
      </c>
      <c r="H501" t="s">
        <v>2560</v>
      </c>
      <c r="I501" t="s">
        <v>625</v>
      </c>
      <c r="J501" t="s">
        <v>1414</v>
      </c>
      <c r="K501" t="s">
        <v>627</v>
      </c>
      <c r="L501">
        <v>4</v>
      </c>
    </row>
    <row r="502" spans="2:12" ht="15" customHeight="1">
      <c r="B502" t="s">
        <v>3147</v>
      </c>
      <c r="C502">
        <v>60000</v>
      </c>
      <c r="D502" t="s">
        <v>200</v>
      </c>
      <c r="E502">
        <v>76223.966339496474</v>
      </c>
      <c r="F502" s="3">
        <f>(tblSalaries[[#This Row],[clean Salary (in local currency)]])*(VLOOKUP(tblSalaries[[#This Row],[Currency]],Sheet3!$A$2:$C$31,3,FALSE))*(VLOOKUP(tblSalaries[[#This Row],[Currency]],Sheet1!$N$4:$Q$186,4,FALSE))</f>
        <v>66039.17315880314</v>
      </c>
      <c r="G502" s="4">
        <f>IF(Dashboard!$J$5=VLOOKUP(tblSalaries[[#This Row],[Currency]],Sheet3!$A$2:$B$31,2,FALSE),tblSalaries[[#This Row],[clean Salary (in local currency)]],(tblSalaries[[#This Row],[PPP Adjusted  USD]]/VLOOKUP(Dashboard!$J$5,Sheet3!$B$2:$C$31,2,FALSE)))</f>
        <v>66039.17315880314</v>
      </c>
      <c r="H502" t="s">
        <v>745</v>
      </c>
      <c r="I502" t="s">
        <v>603</v>
      </c>
      <c r="J502" t="s">
        <v>2010</v>
      </c>
      <c r="K502" t="s">
        <v>610</v>
      </c>
      <c r="L502">
        <v>14</v>
      </c>
    </row>
    <row r="503" spans="2:12" ht="15" customHeight="1">
      <c r="B503" t="s">
        <v>3232</v>
      </c>
      <c r="C503">
        <v>60000</v>
      </c>
      <c r="D503" t="s">
        <v>200</v>
      </c>
      <c r="E503">
        <v>76223.966339496474</v>
      </c>
      <c r="F503" s="3">
        <f>(tblSalaries[[#This Row],[clean Salary (in local currency)]])*(VLOOKUP(tblSalaries[[#This Row],[Currency]],Sheet3!$A$2:$C$31,3,FALSE))*(VLOOKUP(tblSalaries[[#This Row],[Currency]],Sheet1!$N$4:$Q$186,4,FALSE))</f>
        <v>66039.17315880314</v>
      </c>
      <c r="G503" s="4">
        <f>IF(Dashboard!$J$5=VLOOKUP(tblSalaries[[#This Row],[Currency]],Sheet3!$A$2:$B$31,2,FALSE),tblSalaries[[#This Row],[clean Salary (in local currency)]],(tblSalaries[[#This Row],[PPP Adjusted  USD]]/VLOOKUP(Dashboard!$J$5,Sheet3!$B$2:$C$31,2,FALSE)))</f>
        <v>66039.17315880314</v>
      </c>
      <c r="H503" t="s">
        <v>3233</v>
      </c>
      <c r="I503" t="s">
        <v>625</v>
      </c>
      <c r="J503" t="s">
        <v>722</v>
      </c>
      <c r="K503" t="s">
        <v>617</v>
      </c>
      <c r="L503">
        <v>15</v>
      </c>
    </row>
    <row r="504" spans="2:12" ht="15" customHeight="1">
      <c r="B504" t="s">
        <v>3256</v>
      </c>
      <c r="C504">
        <v>60000</v>
      </c>
      <c r="D504" t="s">
        <v>200</v>
      </c>
      <c r="E504">
        <v>76223.966339496474</v>
      </c>
      <c r="F504" s="3">
        <f>(tblSalaries[[#This Row],[clean Salary (in local currency)]])*(VLOOKUP(tblSalaries[[#This Row],[Currency]],Sheet3!$A$2:$C$31,3,FALSE))*(VLOOKUP(tblSalaries[[#This Row],[Currency]],Sheet1!$N$4:$Q$186,4,FALSE))</f>
        <v>66039.17315880314</v>
      </c>
      <c r="G504" s="4">
        <f>IF(Dashboard!$J$5=VLOOKUP(tblSalaries[[#This Row],[Currency]],Sheet3!$A$2:$B$31,2,FALSE),tblSalaries[[#This Row],[clean Salary (in local currency)]],(tblSalaries[[#This Row],[PPP Adjusted  USD]]/VLOOKUP(Dashboard!$J$5,Sheet3!$B$2:$C$31,2,FALSE)))</f>
        <v>66039.17315880314</v>
      </c>
      <c r="H504" t="s">
        <v>3257</v>
      </c>
      <c r="I504" t="s">
        <v>620</v>
      </c>
      <c r="J504" t="s">
        <v>722</v>
      </c>
      <c r="K504" t="s">
        <v>605</v>
      </c>
      <c r="L504">
        <v>7</v>
      </c>
    </row>
    <row r="505" spans="2:12" ht="15" customHeight="1">
      <c r="B505" t="s">
        <v>3769</v>
      </c>
      <c r="C505">
        <v>60000</v>
      </c>
      <c r="D505" t="s">
        <v>200</v>
      </c>
      <c r="E505">
        <v>76223.966339496474</v>
      </c>
      <c r="F505" s="3">
        <f>(tblSalaries[[#This Row],[clean Salary (in local currency)]])*(VLOOKUP(tblSalaries[[#This Row],[Currency]],Sheet3!$A$2:$C$31,3,FALSE))*(VLOOKUP(tblSalaries[[#This Row],[Currency]],Sheet1!$N$4:$Q$186,4,FALSE))</f>
        <v>66039.17315880314</v>
      </c>
      <c r="G505" s="4">
        <f>IF(Dashboard!$J$5=VLOOKUP(tblSalaries[[#This Row],[Currency]],Sheet3!$A$2:$B$31,2,FALSE),tblSalaries[[#This Row],[clean Salary (in local currency)]],(tblSalaries[[#This Row],[PPP Adjusted  USD]]/VLOOKUP(Dashboard!$J$5,Sheet3!$B$2:$C$31,2,FALSE)))</f>
        <v>66039.17315880314</v>
      </c>
      <c r="H505" t="s">
        <v>3770</v>
      </c>
      <c r="I505" t="s">
        <v>625</v>
      </c>
      <c r="J505" t="s">
        <v>626</v>
      </c>
      <c r="K505" t="s">
        <v>605</v>
      </c>
      <c r="L505">
        <v>6</v>
      </c>
    </row>
    <row r="506" spans="2:12" ht="15" customHeight="1">
      <c r="B506" t="s">
        <v>3822</v>
      </c>
      <c r="C506">
        <v>60000</v>
      </c>
      <c r="D506" t="s">
        <v>200</v>
      </c>
      <c r="E506">
        <v>76223.966339496474</v>
      </c>
      <c r="F506" s="3">
        <f>(tblSalaries[[#This Row],[clean Salary (in local currency)]])*(VLOOKUP(tblSalaries[[#This Row],[Currency]],Sheet3!$A$2:$C$31,3,FALSE))*(VLOOKUP(tblSalaries[[#This Row],[Currency]],Sheet1!$N$4:$Q$186,4,FALSE))</f>
        <v>66039.17315880314</v>
      </c>
      <c r="G506" s="4">
        <f>IF(Dashboard!$J$5=VLOOKUP(tblSalaries[[#This Row],[Currency]],Sheet3!$A$2:$B$31,2,FALSE),tblSalaries[[#This Row],[clean Salary (in local currency)]],(tblSalaries[[#This Row],[PPP Adjusted  USD]]/VLOOKUP(Dashboard!$J$5,Sheet3!$B$2:$C$31,2,FALSE)))</f>
        <v>66039.17315880314</v>
      </c>
      <c r="H506" t="s">
        <v>889</v>
      </c>
      <c r="I506" t="s">
        <v>625</v>
      </c>
      <c r="J506" t="s">
        <v>2999</v>
      </c>
      <c r="K506" t="s">
        <v>617</v>
      </c>
      <c r="L506">
        <v>20</v>
      </c>
    </row>
    <row r="507" spans="2:12" ht="15" customHeight="1">
      <c r="B507" t="s">
        <v>837</v>
      </c>
      <c r="C507">
        <v>66000</v>
      </c>
      <c r="D507" t="s">
        <v>252</v>
      </c>
      <c r="E507">
        <v>66000</v>
      </c>
      <c r="F507" s="3">
        <f>(tblSalaries[[#This Row],[clean Salary (in local currency)]])*(VLOOKUP(tblSalaries[[#This Row],[Currency]],Sheet3!$A$2:$C$31,3,FALSE))*(VLOOKUP(tblSalaries[[#This Row],[Currency]],Sheet1!$N$4:$Q$186,4,FALSE))</f>
        <v>66000</v>
      </c>
      <c r="G507" s="4">
        <f>IF(Dashboard!$J$5=VLOOKUP(tblSalaries[[#This Row],[Currency]],Sheet3!$A$2:$B$31,2,FALSE),tblSalaries[[#This Row],[clean Salary (in local currency)]],(tblSalaries[[#This Row],[PPP Adjusted  USD]]/VLOOKUP(Dashboard!$J$5,Sheet3!$B$2:$C$31,2,FALSE)))</f>
        <v>66000</v>
      </c>
      <c r="H507" t="s">
        <v>603</v>
      </c>
      <c r="I507" t="s">
        <v>603</v>
      </c>
      <c r="J507" t="s">
        <v>613</v>
      </c>
      <c r="K507" t="s">
        <v>617</v>
      </c>
      <c r="L507" t="s">
        <v>3847</v>
      </c>
    </row>
    <row r="508" spans="2:12" ht="15" customHeight="1">
      <c r="B508" t="s">
        <v>3171</v>
      </c>
      <c r="C508">
        <v>66000</v>
      </c>
      <c r="D508" t="s">
        <v>252</v>
      </c>
      <c r="E508">
        <v>66000</v>
      </c>
      <c r="F508" s="3">
        <f>(tblSalaries[[#This Row],[clean Salary (in local currency)]])*(VLOOKUP(tblSalaries[[#This Row],[Currency]],Sheet3!$A$2:$C$31,3,FALSE))*(VLOOKUP(tblSalaries[[#This Row],[Currency]],Sheet1!$N$4:$Q$186,4,FALSE))</f>
        <v>66000</v>
      </c>
      <c r="G508" s="4">
        <f>IF(Dashboard!$J$5=VLOOKUP(tblSalaries[[#This Row],[Currency]],Sheet3!$A$2:$B$31,2,FALSE),tblSalaries[[#This Row],[clean Salary (in local currency)]],(tblSalaries[[#This Row],[PPP Adjusted  USD]]/VLOOKUP(Dashboard!$J$5,Sheet3!$B$2:$C$31,2,FALSE)))</f>
        <v>66000</v>
      </c>
      <c r="H508" t="s">
        <v>3172</v>
      </c>
      <c r="I508" t="s">
        <v>603</v>
      </c>
      <c r="J508" t="s">
        <v>613</v>
      </c>
      <c r="K508" t="s">
        <v>605</v>
      </c>
      <c r="L508">
        <v>2</v>
      </c>
    </row>
    <row r="509" spans="2:12" ht="15" customHeight="1">
      <c r="B509" t="s">
        <v>1078</v>
      </c>
      <c r="C509">
        <v>65250</v>
      </c>
      <c r="D509" t="s">
        <v>252</v>
      </c>
      <c r="E509">
        <v>65250</v>
      </c>
      <c r="F509" s="3">
        <f>(tblSalaries[[#This Row],[clean Salary (in local currency)]])*(VLOOKUP(tblSalaries[[#This Row],[Currency]],Sheet3!$A$2:$C$31,3,FALSE))*(VLOOKUP(tblSalaries[[#This Row],[Currency]],Sheet1!$N$4:$Q$186,4,FALSE))</f>
        <v>65250</v>
      </c>
      <c r="G509" s="4">
        <f>IF(Dashboard!$J$5=VLOOKUP(tblSalaries[[#This Row],[Currency]],Sheet3!$A$2:$B$31,2,FALSE),tblSalaries[[#This Row],[clean Salary (in local currency)]],(tblSalaries[[#This Row],[PPP Adjusted  USD]]/VLOOKUP(Dashboard!$J$5,Sheet3!$B$2:$C$31,2,FALSE)))</f>
        <v>65250</v>
      </c>
      <c r="H509" t="s">
        <v>637</v>
      </c>
      <c r="I509" t="s">
        <v>637</v>
      </c>
      <c r="J509" t="s">
        <v>613</v>
      </c>
      <c r="K509" t="s">
        <v>605</v>
      </c>
      <c r="L509" t="s">
        <v>3847</v>
      </c>
    </row>
    <row r="510" spans="2:12" ht="15" customHeight="1">
      <c r="B510" t="s">
        <v>876</v>
      </c>
      <c r="C510">
        <v>65000</v>
      </c>
      <c r="D510" t="s">
        <v>252</v>
      </c>
      <c r="E510">
        <v>65000</v>
      </c>
      <c r="F510" s="3">
        <f>(tblSalaries[[#This Row],[clean Salary (in local currency)]])*(VLOOKUP(tblSalaries[[#This Row],[Currency]],Sheet3!$A$2:$C$31,3,FALSE))*(VLOOKUP(tblSalaries[[#This Row],[Currency]],Sheet1!$N$4:$Q$186,4,FALSE))</f>
        <v>65000</v>
      </c>
      <c r="G510" s="4">
        <f>IF(Dashboard!$J$5=VLOOKUP(tblSalaries[[#This Row],[Currency]],Sheet3!$A$2:$B$31,2,FALSE),tblSalaries[[#This Row],[clean Salary (in local currency)]],(tblSalaries[[#This Row],[PPP Adjusted  USD]]/VLOOKUP(Dashboard!$J$5,Sheet3!$B$2:$C$31,2,FALSE)))</f>
        <v>65000</v>
      </c>
      <c r="H510" t="s">
        <v>877</v>
      </c>
      <c r="I510" t="s">
        <v>637</v>
      </c>
      <c r="J510" t="s">
        <v>613</v>
      </c>
      <c r="K510" t="s">
        <v>610</v>
      </c>
      <c r="L510" t="s">
        <v>3847</v>
      </c>
    </row>
    <row r="511" spans="2:12" ht="15" customHeight="1">
      <c r="B511" t="s">
        <v>925</v>
      </c>
      <c r="C511">
        <v>65000</v>
      </c>
      <c r="D511" t="s">
        <v>252</v>
      </c>
      <c r="E511">
        <v>65000</v>
      </c>
      <c r="F511" s="3">
        <f>(tblSalaries[[#This Row],[clean Salary (in local currency)]])*(VLOOKUP(tblSalaries[[#This Row],[Currency]],Sheet3!$A$2:$C$31,3,FALSE))*(VLOOKUP(tblSalaries[[#This Row],[Currency]],Sheet1!$N$4:$Q$186,4,FALSE))</f>
        <v>65000</v>
      </c>
      <c r="G511" s="4">
        <f>IF(Dashboard!$J$5=VLOOKUP(tblSalaries[[#This Row],[Currency]],Sheet3!$A$2:$B$31,2,FALSE),tblSalaries[[#This Row],[clean Salary (in local currency)]],(tblSalaries[[#This Row],[PPP Adjusted  USD]]/VLOOKUP(Dashboard!$J$5,Sheet3!$B$2:$C$31,2,FALSE)))</f>
        <v>65000</v>
      </c>
      <c r="H511" t="s">
        <v>926</v>
      </c>
      <c r="I511" t="s">
        <v>637</v>
      </c>
      <c r="J511" t="s">
        <v>613</v>
      </c>
      <c r="K511" t="s">
        <v>610</v>
      </c>
      <c r="L511" t="s">
        <v>3847</v>
      </c>
    </row>
    <row r="512" spans="2:12" ht="15" customHeight="1">
      <c r="B512" t="s">
        <v>1067</v>
      </c>
      <c r="C512">
        <v>65000</v>
      </c>
      <c r="D512" t="s">
        <v>252</v>
      </c>
      <c r="E512">
        <v>65000</v>
      </c>
      <c r="F512" s="3">
        <f>(tblSalaries[[#This Row],[clean Salary (in local currency)]])*(VLOOKUP(tblSalaries[[#This Row],[Currency]],Sheet3!$A$2:$C$31,3,FALSE))*(VLOOKUP(tblSalaries[[#This Row],[Currency]],Sheet1!$N$4:$Q$186,4,FALSE))</f>
        <v>65000</v>
      </c>
      <c r="G512" s="4">
        <f>IF(Dashboard!$J$5=VLOOKUP(tblSalaries[[#This Row],[Currency]],Sheet3!$A$2:$B$31,2,FALSE),tblSalaries[[#This Row],[clean Salary (in local currency)]],(tblSalaries[[#This Row],[PPP Adjusted  USD]]/VLOOKUP(Dashboard!$J$5,Sheet3!$B$2:$C$31,2,FALSE)))</f>
        <v>65000</v>
      </c>
      <c r="H512" t="s">
        <v>1068</v>
      </c>
      <c r="I512" t="s">
        <v>640</v>
      </c>
      <c r="J512" t="s">
        <v>613</v>
      </c>
      <c r="K512" t="s">
        <v>617</v>
      </c>
      <c r="L512" t="s">
        <v>3847</v>
      </c>
    </row>
    <row r="513" spans="2:12" ht="15" customHeight="1">
      <c r="B513" t="s">
        <v>1172</v>
      </c>
      <c r="C513">
        <v>65000</v>
      </c>
      <c r="D513" t="s">
        <v>252</v>
      </c>
      <c r="E513">
        <v>65000</v>
      </c>
      <c r="F513" s="3">
        <f>(tblSalaries[[#This Row],[clean Salary (in local currency)]])*(VLOOKUP(tblSalaries[[#This Row],[Currency]],Sheet3!$A$2:$C$31,3,FALSE))*(VLOOKUP(tblSalaries[[#This Row],[Currency]],Sheet1!$N$4:$Q$186,4,FALSE))</f>
        <v>65000</v>
      </c>
      <c r="G513" s="4">
        <f>IF(Dashboard!$J$5=VLOOKUP(tblSalaries[[#This Row],[Currency]],Sheet3!$A$2:$B$31,2,FALSE),tblSalaries[[#This Row],[clean Salary (in local currency)]],(tblSalaries[[#This Row],[PPP Adjusted  USD]]/VLOOKUP(Dashboard!$J$5,Sheet3!$B$2:$C$31,2,FALSE)))</f>
        <v>65000</v>
      </c>
      <c r="H513" t="s">
        <v>1173</v>
      </c>
      <c r="I513" t="s">
        <v>603</v>
      </c>
      <c r="J513" t="s">
        <v>613</v>
      </c>
      <c r="K513" t="s">
        <v>605</v>
      </c>
      <c r="L513" t="s">
        <v>3847</v>
      </c>
    </row>
    <row r="514" spans="2:12" ht="15" customHeight="1">
      <c r="B514" t="s">
        <v>1235</v>
      </c>
      <c r="C514">
        <v>65000</v>
      </c>
      <c r="D514" t="s">
        <v>252</v>
      </c>
      <c r="E514">
        <v>65000</v>
      </c>
      <c r="F514" s="3">
        <f>(tblSalaries[[#This Row],[clean Salary (in local currency)]])*(VLOOKUP(tblSalaries[[#This Row],[Currency]],Sheet3!$A$2:$C$31,3,FALSE))*(VLOOKUP(tblSalaries[[#This Row],[Currency]],Sheet1!$N$4:$Q$186,4,FALSE))</f>
        <v>65000</v>
      </c>
      <c r="G514" s="4">
        <f>IF(Dashboard!$J$5=VLOOKUP(tblSalaries[[#This Row],[Currency]],Sheet3!$A$2:$B$31,2,FALSE),tblSalaries[[#This Row],[clean Salary (in local currency)]],(tblSalaries[[#This Row],[PPP Adjusted  USD]]/VLOOKUP(Dashboard!$J$5,Sheet3!$B$2:$C$31,2,FALSE)))</f>
        <v>65000</v>
      </c>
      <c r="H514" t="s">
        <v>648</v>
      </c>
      <c r="I514" t="s">
        <v>603</v>
      </c>
      <c r="J514" t="s">
        <v>613</v>
      </c>
      <c r="K514" t="s">
        <v>610</v>
      </c>
      <c r="L514" t="s">
        <v>3847</v>
      </c>
    </row>
    <row r="515" spans="2:12" ht="15" customHeight="1">
      <c r="B515" t="s">
        <v>1437</v>
      </c>
      <c r="C515">
        <v>65000</v>
      </c>
      <c r="D515" t="s">
        <v>252</v>
      </c>
      <c r="E515">
        <v>65000</v>
      </c>
      <c r="F515" s="3">
        <f>(tblSalaries[[#This Row],[clean Salary (in local currency)]])*(VLOOKUP(tblSalaries[[#This Row],[Currency]],Sheet3!$A$2:$C$31,3,FALSE))*(VLOOKUP(tblSalaries[[#This Row],[Currency]],Sheet1!$N$4:$Q$186,4,FALSE))</f>
        <v>65000</v>
      </c>
      <c r="G515" s="4">
        <f>IF(Dashboard!$J$5=VLOOKUP(tblSalaries[[#This Row],[Currency]],Sheet3!$A$2:$B$31,2,FALSE),tblSalaries[[#This Row],[clean Salary (in local currency)]],(tblSalaries[[#This Row],[PPP Adjusted  USD]]/VLOOKUP(Dashboard!$J$5,Sheet3!$B$2:$C$31,2,FALSE)))</f>
        <v>65000</v>
      </c>
      <c r="H515" t="s">
        <v>1438</v>
      </c>
      <c r="I515" t="s">
        <v>603</v>
      </c>
      <c r="J515" t="s">
        <v>613</v>
      </c>
      <c r="K515" t="s">
        <v>605</v>
      </c>
      <c r="L515" t="s">
        <v>3847</v>
      </c>
    </row>
    <row r="516" spans="2:12" ht="15" customHeight="1">
      <c r="B516" t="s">
        <v>1526</v>
      </c>
      <c r="C516">
        <v>65000</v>
      </c>
      <c r="D516" t="s">
        <v>252</v>
      </c>
      <c r="E516">
        <v>65000</v>
      </c>
      <c r="F516" s="3">
        <f>(tblSalaries[[#This Row],[clean Salary (in local currency)]])*(VLOOKUP(tblSalaries[[#This Row],[Currency]],Sheet3!$A$2:$C$31,3,FALSE))*(VLOOKUP(tblSalaries[[#This Row],[Currency]],Sheet1!$N$4:$Q$186,4,FALSE))</f>
        <v>65000</v>
      </c>
      <c r="G516" s="4">
        <f>IF(Dashboard!$J$5=VLOOKUP(tblSalaries[[#This Row],[Currency]],Sheet3!$A$2:$B$31,2,FALSE),tblSalaries[[#This Row],[clean Salary (in local currency)]],(tblSalaries[[#This Row],[PPP Adjusted  USD]]/VLOOKUP(Dashboard!$J$5,Sheet3!$B$2:$C$31,2,FALSE)))</f>
        <v>65000</v>
      </c>
      <c r="H516" t="s">
        <v>757</v>
      </c>
      <c r="I516" t="s">
        <v>603</v>
      </c>
      <c r="J516" t="s">
        <v>613</v>
      </c>
      <c r="K516" t="s">
        <v>617</v>
      </c>
      <c r="L516" t="s">
        <v>3847</v>
      </c>
    </row>
    <row r="517" spans="2:12" ht="15" customHeight="1">
      <c r="B517" t="s">
        <v>1564</v>
      </c>
      <c r="C517">
        <v>65000</v>
      </c>
      <c r="D517" t="s">
        <v>252</v>
      </c>
      <c r="E517">
        <v>65000</v>
      </c>
      <c r="F517" s="3">
        <f>(tblSalaries[[#This Row],[clean Salary (in local currency)]])*(VLOOKUP(tblSalaries[[#This Row],[Currency]],Sheet3!$A$2:$C$31,3,FALSE))*(VLOOKUP(tblSalaries[[#This Row],[Currency]],Sheet1!$N$4:$Q$186,4,FALSE))</f>
        <v>65000</v>
      </c>
      <c r="G517" s="4">
        <f>IF(Dashboard!$J$5=VLOOKUP(tblSalaries[[#This Row],[Currency]],Sheet3!$A$2:$B$31,2,FALSE),tblSalaries[[#This Row],[clean Salary (in local currency)]],(tblSalaries[[#This Row],[PPP Adjusted  USD]]/VLOOKUP(Dashboard!$J$5,Sheet3!$B$2:$C$31,2,FALSE)))</f>
        <v>65000</v>
      </c>
      <c r="H517" t="s">
        <v>1565</v>
      </c>
      <c r="I517" t="s">
        <v>625</v>
      </c>
      <c r="J517" t="s">
        <v>613</v>
      </c>
      <c r="K517" t="s">
        <v>610</v>
      </c>
      <c r="L517" t="s">
        <v>3847</v>
      </c>
    </row>
    <row r="518" spans="2:12" ht="15" customHeight="1">
      <c r="B518" t="s">
        <v>1694</v>
      </c>
      <c r="C518">
        <v>65000</v>
      </c>
      <c r="D518" t="s">
        <v>252</v>
      </c>
      <c r="E518">
        <v>65000</v>
      </c>
      <c r="F518" s="3">
        <f>(tblSalaries[[#This Row],[clean Salary (in local currency)]])*(VLOOKUP(tblSalaries[[#This Row],[Currency]],Sheet3!$A$2:$C$31,3,FALSE))*(VLOOKUP(tblSalaries[[#This Row],[Currency]],Sheet1!$N$4:$Q$186,4,FALSE))</f>
        <v>65000</v>
      </c>
      <c r="G518" s="4">
        <f>IF(Dashboard!$J$5=VLOOKUP(tblSalaries[[#This Row],[Currency]],Sheet3!$A$2:$B$31,2,FALSE),tblSalaries[[#This Row],[clean Salary (in local currency)]],(tblSalaries[[#This Row],[PPP Adjusted  USD]]/VLOOKUP(Dashboard!$J$5,Sheet3!$B$2:$C$31,2,FALSE)))</f>
        <v>65000</v>
      </c>
      <c r="H518" t="s">
        <v>811</v>
      </c>
      <c r="I518" t="s">
        <v>603</v>
      </c>
      <c r="J518" t="s">
        <v>613</v>
      </c>
      <c r="K518" t="s">
        <v>605</v>
      </c>
      <c r="L518">
        <v>3</v>
      </c>
    </row>
    <row r="519" spans="2:12" ht="15" customHeight="1">
      <c r="B519" t="s">
        <v>1720</v>
      </c>
      <c r="C519">
        <v>65000</v>
      </c>
      <c r="D519" t="s">
        <v>252</v>
      </c>
      <c r="E519">
        <v>65000</v>
      </c>
      <c r="F519" s="3">
        <f>(tblSalaries[[#This Row],[clean Salary (in local currency)]])*(VLOOKUP(tblSalaries[[#This Row],[Currency]],Sheet3!$A$2:$C$31,3,FALSE))*(VLOOKUP(tblSalaries[[#This Row],[Currency]],Sheet1!$N$4:$Q$186,4,FALSE))</f>
        <v>65000</v>
      </c>
      <c r="G519" s="4">
        <f>IF(Dashboard!$J$5=VLOOKUP(tblSalaries[[#This Row],[Currency]],Sheet3!$A$2:$B$31,2,FALSE),tblSalaries[[#This Row],[clean Salary (in local currency)]],(tblSalaries[[#This Row],[PPP Adjusted  USD]]/VLOOKUP(Dashboard!$J$5,Sheet3!$B$2:$C$31,2,FALSE)))</f>
        <v>65000</v>
      </c>
      <c r="H519" t="s">
        <v>1721</v>
      </c>
      <c r="I519" t="s">
        <v>603</v>
      </c>
      <c r="J519" t="s">
        <v>613</v>
      </c>
      <c r="K519" t="s">
        <v>617</v>
      </c>
      <c r="L519">
        <v>17</v>
      </c>
    </row>
    <row r="520" spans="2:12" ht="15" customHeight="1">
      <c r="B520" t="s">
        <v>2030</v>
      </c>
      <c r="C520">
        <v>65000</v>
      </c>
      <c r="D520" t="s">
        <v>252</v>
      </c>
      <c r="E520">
        <v>65000</v>
      </c>
      <c r="F520" s="3">
        <f>(tblSalaries[[#This Row],[clean Salary (in local currency)]])*(VLOOKUP(tblSalaries[[#This Row],[Currency]],Sheet3!$A$2:$C$31,3,FALSE))*(VLOOKUP(tblSalaries[[#This Row],[Currency]],Sheet1!$N$4:$Q$186,4,FALSE))</f>
        <v>65000</v>
      </c>
      <c r="G520" s="4">
        <f>IF(Dashboard!$J$5=VLOOKUP(tblSalaries[[#This Row],[Currency]],Sheet3!$A$2:$B$31,2,FALSE),tblSalaries[[#This Row],[clean Salary (in local currency)]],(tblSalaries[[#This Row],[PPP Adjusted  USD]]/VLOOKUP(Dashboard!$J$5,Sheet3!$B$2:$C$31,2,FALSE)))</f>
        <v>65000</v>
      </c>
      <c r="H520" t="s">
        <v>2031</v>
      </c>
      <c r="I520" t="s">
        <v>603</v>
      </c>
      <c r="J520" t="s">
        <v>613</v>
      </c>
      <c r="K520" t="s">
        <v>617</v>
      </c>
      <c r="L520">
        <v>10</v>
      </c>
    </row>
    <row r="521" spans="2:12" ht="15" customHeight="1">
      <c r="B521" t="s">
        <v>2149</v>
      </c>
      <c r="C521">
        <v>65000</v>
      </c>
      <c r="D521" t="s">
        <v>252</v>
      </c>
      <c r="E521">
        <v>65000</v>
      </c>
      <c r="F521" s="3">
        <f>(tblSalaries[[#This Row],[clean Salary (in local currency)]])*(VLOOKUP(tblSalaries[[#This Row],[Currency]],Sheet3!$A$2:$C$31,3,FALSE))*(VLOOKUP(tblSalaries[[#This Row],[Currency]],Sheet1!$N$4:$Q$186,4,FALSE))</f>
        <v>65000</v>
      </c>
      <c r="G521" s="4">
        <f>IF(Dashboard!$J$5=VLOOKUP(tblSalaries[[#This Row],[Currency]],Sheet3!$A$2:$B$31,2,FALSE),tblSalaries[[#This Row],[clean Salary (in local currency)]],(tblSalaries[[#This Row],[PPP Adjusted  USD]]/VLOOKUP(Dashboard!$J$5,Sheet3!$B$2:$C$31,2,FALSE)))</f>
        <v>65000</v>
      </c>
      <c r="H521" t="s">
        <v>2150</v>
      </c>
      <c r="I521" t="s">
        <v>603</v>
      </c>
      <c r="J521" t="s">
        <v>613</v>
      </c>
      <c r="K521" t="s">
        <v>627</v>
      </c>
      <c r="L521">
        <v>8</v>
      </c>
    </row>
    <row r="522" spans="2:12" ht="15" customHeight="1">
      <c r="B522" t="s">
        <v>2404</v>
      </c>
      <c r="C522">
        <v>65000</v>
      </c>
      <c r="D522" t="s">
        <v>252</v>
      </c>
      <c r="E522">
        <v>65000</v>
      </c>
      <c r="F522" s="3">
        <f>(tblSalaries[[#This Row],[clean Salary (in local currency)]])*(VLOOKUP(tblSalaries[[#This Row],[Currency]],Sheet3!$A$2:$C$31,3,FALSE))*(VLOOKUP(tblSalaries[[#This Row],[Currency]],Sheet1!$N$4:$Q$186,4,FALSE))</f>
        <v>65000</v>
      </c>
      <c r="G522" s="4">
        <f>IF(Dashboard!$J$5=VLOOKUP(tblSalaries[[#This Row],[Currency]],Sheet3!$A$2:$B$31,2,FALSE),tblSalaries[[#This Row],[clean Salary (in local currency)]],(tblSalaries[[#This Row],[PPP Adjusted  USD]]/VLOOKUP(Dashboard!$J$5,Sheet3!$B$2:$C$31,2,FALSE)))</f>
        <v>65000</v>
      </c>
      <c r="H522" t="s">
        <v>608</v>
      </c>
      <c r="I522" t="s">
        <v>608</v>
      </c>
      <c r="J522" t="s">
        <v>613</v>
      </c>
      <c r="K522" t="s">
        <v>605</v>
      </c>
      <c r="L522">
        <v>9</v>
      </c>
    </row>
    <row r="523" spans="2:12" ht="15" customHeight="1">
      <c r="B523" t="s">
        <v>3012</v>
      </c>
      <c r="C523">
        <v>65000</v>
      </c>
      <c r="D523" t="s">
        <v>252</v>
      </c>
      <c r="E523">
        <v>65000</v>
      </c>
      <c r="F523" s="3">
        <f>(tblSalaries[[#This Row],[clean Salary (in local currency)]])*(VLOOKUP(tblSalaries[[#This Row],[Currency]],Sheet3!$A$2:$C$31,3,FALSE))*(VLOOKUP(tblSalaries[[#This Row],[Currency]],Sheet1!$N$4:$Q$186,4,FALSE))</f>
        <v>65000</v>
      </c>
      <c r="G523" s="4">
        <f>IF(Dashboard!$J$5=VLOOKUP(tblSalaries[[#This Row],[Currency]],Sheet3!$A$2:$B$31,2,FALSE),tblSalaries[[#This Row],[clean Salary (in local currency)]],(tblSalaries[[#This Row],[PPP Adjusted  USD]]/VLOOKUP(Dashboard!$J$5,Sheet3!$B$2:$C$31,2,FALSE)))</f>
        <v>65000</v>
      </c>
      <c r="H523" t="s">
        <v>3013</v>
      </c>
      <c r="I523" t="s">
        <v>603</v>
      </c>
      <c r="J523" t="s">
        <v>613</v>
      </c>
      <c r="K523" t="s">
        <v>617</v>
      </c>
      <c r="L523">
        <v>10</v>
      </c>
    </row>
    <row r="524" spans="2:12" ht="15" customHeight="1">
      <c r="B524" t="s">
        <v>3021</v>
      </c>
      <c r="C524">
        <v>65000</v>
      </c>
      <c r="D524" t="s">
        <v>252</v>
      </c>
      <c r="E524">
        <v>65000</v>
      </c>
      <c r="F524" s="3">
        <f>(tblSalaries[[#This Row],[clean Salary (in local currency)]])*(VLOOKUP(tblSalaries[[#This Row],[Currency]],Sheet3!$A$2:$C$31,3,FALSE))*(VLOOKUP(tblSalaries[[#This Row],[Currency]],Sheet1!$N$4:$Q$186,4,FALSE))</f>
        <v>65000</v>
      </c>
      <c r="G524" s="4">
        <f>IF(Dashboard!$J$5=VLOOKUP(tblSalaries[[#This Row],[Currency]],Sheet3!$A$2:$B$31,2,FALSE),tblSalaries[[#This Row],[clean Salary (in local currency)]],(tblSalaries[[#This Row],[PPP Adjusted  USD]]/VLOOKUP(Dashboard!$J$5,Sheet3!$B$2:$C$31,2,FALSE)))</f>
        <v>65000</v>
      </c>
      <c r="H524" t="s">
        <v>811</v>
      </c>
      <c r="I524" t="s">
        <v>603</v>
      </c>
      <c r="J524" t="s">
        <v>613</v>
      </c>
      <c r="K524" t="s">
        <v>610</v>
      </c>
      <c r="L524">
        <v>14</v>
      </c>
    </row>
    <row r="525" spans="2:12" ht="15" customHeight="1">
      <c r="B525" t="s">
        <v>3474</v>
      </c>
      <c r="C525">
        <v>65000</v>
      </c>
      <c r="D525" t="s">
        <v>252</v>
      </c>
      <c r="E525">
        <v>65000</v>
      </c>
      <c r="F525" s="3">
        <f>(tblSalaries[[#This Row],[clean Salary (in local currency)]])*(VLOOKUP(tblSalaries[[#This Row],[Currency]],Sheet3!$A$2:$C$31,3,FALSE))*(VLOOKUP(tblSalaries[[#This Row],[Currency]],Sheet1!$N$4:$Q$186,4,FALSE))</f>
        <v>65000</v>
      </c>
      <c r="G525" s="4">
        <f>IF(Dashboard!$J$5=VLOOKUP(tblSalaries[[#This Row],[Currency]],Sheet3!$A$2:$B$31,2,FALSE),tblSalaries[[#This Row],[clean Salary (in local currency)]],(tblSalaries[[#This Row],[PPP Adjusted  USD]]/VLOOKUP(Dashboard!$J$5,Sheet3!$B$2:$C$31,2,FALSE)))</f>
        <v>65000</v>
      </c>
      <c r="H525" t="s">
        <v>899</v>
      </c>
      <c r="I525" t="s">
        <v>603</v>
      </c>
      <c r="J525" t="s">
        <v>613</v>
      </c>
      <c r="K525" t="s">
        <v>605</v>
      </c>
      <c r="L525">
        <v>8</v>
      </c>
    </row>
    <row r="526" spans="2:12" ht="15" customHeight="1">
      <c r="B526" t="s">
        <v>3488</v>
      </c>
      <c r="C526">
        <v>65000</v>
      </c>
      <c r="D526" t="s">
        <v>252</v>
      </c>
      <c r="E526">
        <v>65000</v>
      </c>
      <c r="F526" s="3">
        <f>(tblSalaries[[#This Row],[clean Salary (in local currency)]])*(VLOOKUP(tblSalaries[[#This Row],[Currency]],Sheet3!$A$2:$C$31,3,FALSE))*(VLOOKUP(tblSalaries[[#This Row],[Currency]],Sheet1!$N$4:$Q$186,4,FALSE))</f>
        <v>65000</v>
      </c>
      <c r="G526" s="4">
        <f>IF(Dashboard!$J$5=VLOOKUP(tblSalaries[[#This Row],[Currency]],Sheet3!$A$2:$B$31,2,FALSE),tblSalaries[[#This Row],[clean Salary (in local currency)]],(tblSalaries[[#This Row],[PPP Adjusted  USD]]/VLOOKUP(Dashboard!$J$5,Sheet3!$B$2:$C$31,2,FALSE)))</f>
        <v>65000</v>
      </c>
      <c r="H526" t="s">
        <v>3489</v>
      </c>
      <c r="I526" t="s">
        <v>603</v>
      </c>
      <c r="J526" t="s">
        <v>613</v>
      </c>
      <c r="K526" t="s">
        <v>610</v>
      </c>
      <c r="L526">
        <v>4</v>
      </c>
    </row>
    <row r="527" spans="2:12" ht="15" customHeight="1">
      <c r="B527" t="s">
        <v>3580</v>
      </c>
      <c r="C527">
        <v>65000</v>
      </c>
      <c r="D527" t="s">
        <v>252</v>
      </c>
      <c r="E527">
        <v>65000</v>
      </c>
      <c r="F527" s="3">
        <f>(tblSalaries[[#This Row],[clean Salary (in local currency)]])*(VLOOKUP(tblSalaries[[#This Row],[Currency]],Sheet3!$A$2:$C$31,3,FALSE))*(VLOOKUP(tblSalaries[[#This Row],[Currency]],Sheet1!$N$4:$Q$186,4,FALSE))</f>
        <v>65000</v>
      </c>
      <c r="G527" s="4">
        <f>IF(Dashboard!$J$5=VLOOKUP(tblSalaries[[#This Row],[Currency]],Sheet3!$A$2:$B$31,2,FALSE),tblSalaries[[#This Row],[clean Salary (in local currency)]],(tblSalaries[[#This Row],[PPP Adjusted  USD]]/VLOOKUP(Dashboard!$J$5,Sheet3!$B$2:$C$31,2,FALSE)))</f>
        <v>65000</v>
      </c>
      <c r="H527" t="s">
        <v>3581</v>
      </c>
      <c r="I527" t="s">
        <v>625</v>
      </c>
      <c r="J527" t="s">
        <v>613</v>
      </c>
      <c r="K527" t="s">
        <v>605</v>
      </c>
      <c r="L527">
        <v>2</v>
      </c>
    </row>
    <row r="528" spans="2:12" ht="15" customHeight="1">
      <c r="B528" t="s">
        <v>3633</v>
      </c>
      <c r="C528">
        <v>65000</v>
      </c>
      <c r="D528" t="s">
        <v>252</v>
      </c>
      <c r="E528">
        <v>65000</v>
      </c>
      <c r="F528" s="3">
        <f>(tblSalaries[[#This Row],[clean Salary (in local currency)]])*(VLOOKUP(tblSalaries[[#This Row],[Currency]],Sheet3!$A$2:$C$31,3,FALSE))*(VLOOKUP(tblSalaries[[#This Row],[Currency]],Sheet1!$N$4:$Q$186,4,FALSE))</f>
        <v>65000</v>
      </c>
      <c r="G528" s="4">
        <f>IF(Dashboard!$J$5=VLOOKUP(tblSalaries[[#This Row],[Currency]],Sheet3!$A$2:$B$31,2,FALSE),tblSalaries[[#This Row],[clean Salary (in local currency)]],(tblSalaries[[#This Row],[PPP Adjusted  USD]]/VLOOKUP(Dashboard!$J$5,Sheet3!$B$2:$C$31,2,FALSE)))</f>
        <v>65000</v>
      </c>
      <c r="H528" t="s">
        <v>3634</v>
      </c>
      <c r="I528" t="s">
        <v>603</v>
      </c>
      <c r="J528" t="s">
        <v>613</v>
      </c>
      <c r="K528" t="s">
        <v>605</v>
      </c>
      <c r="L528">
        <v>14</v>
      </c>
    </row>
    <row r="529" spans="2:12" ht="15" customHeight="1">
      <c r="B529" t="s">
        <v>3635</v>
      </c>
      <c r="C529">
        <v>65000</v>
      </c>
      <c r="D529" t="s">
        <v>252</v>
      </c>
      <c r="E529">
        <v>65000</v>
      </c>
      <c r="F529" s="3">
        <f>(tblSalaries[[#This Row],[clean Salary (in local currency)]])*(VLOOKUP(tblSalaries[[#This Row],[Currency]],Sheet3!$A$2:$C$31,3,FALSE))*(VLOOKUP(tblSalaries[[#This Row],[Currency]],Sheet1!$N$4:$Q$186,4,FALSE))</f>
        <v>65000</v>
      </c>
      <c r="G529" s="4">
        <f>IF(Dashboard!$J$5=VLOOKUP(tblSalaries[[#This Row],[Currency]],Sheet3!$A$2:$B$31,2,FALSE),tblSalaries[[#This Row],[clean Salary (in local currency)]],(tblSalaries[[#This Row],[PPP Adjusted  USD]]/VLOOKUP(Dashboard!$J$5,Sheet3!$B$2:$C$31,2,FALSE)))</f>
        <v>65000</v>
      </c>
      <c r="H529" t="s">
        <v>811</v>
      </c>
      <c r="I529" t="s">
        <v>603</v>
      </c>
      <c r="J529" t="s">
        <v>613</v>
      </c>
      <c r="K529" t="s">
        <v>617</v>
      </c>
      <c r="L529">
        <v>10</v>
      </c>
    </row>
    <row r="530" spans="2:12" ht="15" customHeight="1">
      <c r="B530" t="s">
        <v>3636</v>
      </c>
      <c r="C530">
        <v>65000</v>
      </c>
      <c r="D530" t="s">
        <v>252</v>
      </c>
      <c r="E530">
        <v>65000</v>
      </c>
      <c r="F530" s="3">
        <f>(tblSalaries[[#This Row],[clean Salary (in local currency)]])*(VLOOKUP(tblSalaries[[#This Row],[Currency]],Sheet3!$A$2:$C$31,3,FALSE))*(VLOOKUP(tblSalaries[[#This Row],[Currency]],Sheet1!$N$4:$Q$186,4,FALSE))</f>
        <v>65000</v>
      </c>
      <c r="G530" s="4">
        <f>IF(Dashboard!$J$5=VLOOKUP(tblSalaries[[#This Row],[Currency]],Sheet3!$A$2:$B$31,2,FALSE),tblSalaries[[#This Row],[clean Salary (in local currency)]],(tblSalaries[[#This Row],[PPP Adjusted  USD]]/VLOOKUP(Dashboard!$J$5,Sheet3!$B$2:$C$31,2,FALSE)))</f>
        <v>65000</v>
      </c>
      <c r="H530" t="s">
        <v>1053</v>
      </c>
      <c r="I530" t="s">
        <v>608</v>
      </c>
      <c r="J530" t="s">
        <v>613</v>
      </c>
      <c r="K530" t="s">
        <v>617</v>
      </c>
      <c r="L530">
        <v>13</v>
      </c>
    </row>
    <row r="531" spans="2:12" ht="15" customHeight="1">
      <c r="B531" t="s">
        <v>2525</v>
      </c>
      <c r="C531">
        <v>43912</v>
      </c>
      <c r="D531" t="s">
        <v>204</v>
      </c>
      <c r="E531">
        <v>69213.140283018583</v>
      </c>
      <c r="F531" s="3">
        <f>(tblSalaries[[#This Row],[clean Salary (in local currency)]])*(VLOOKUP(tblSalaries[[#This Row],[Currency]],Sheet3!$A$2:$C$31,3,FALSE))*(VLOOKUP(tblSalaries[[#This Row],[Currency]],Sheet1!$N$4:$Q$186,4,FALSE))</f>
        <v>64725.023553100531</v>
      </c>
      <c r="G531" s="4">
        <f>IF(Dashboard!$J$5=VLOOKUP(tblSalaries[[#This Row],[Currency]],Sheet3!$A$2:$B$31,2,FALSE),tblSalaries[[#This Row],[clean Salary (in local currency)]],(tblSalaries[[#This Row],[PPP Adjusted  USD]]/VLOOKUP(Dashboard!$J$5,Sheet3!$B$2:$C$31,2,FALSE)))</f>
        <v>64725.023553100531</v>
      </c>
      <c r="H531" t="s">
        <v>1270</v>
      </c>
      <c r="I531" t="s">
        <v>603</v>
      </c>
      <c r="J531" t="s">
        <v>687</v>
      </c>
      <c r="K531" t="s">
        <v>610</v>
      </c>
      <c r="L531">
        <v>3</v>
      </c>
    </row>
    <row r="532" spans="2:12" ht="15" customHeight="1">
      <c r="B532" t="s">
        <v>3032</v>
      </c>
      <c r="C532">
        <v>64500</v>
      </c>
      <c r="D532" t="s">
        <v>252</v>
      </c>
      <c r="E532">
        <v>64500</v>
      </c>
      <c r="F532" s="3">
        <f>(tblSalaries[[#This Row],[clean Salary (in local currency)]])*(VLOOKUP(tblSalaries[[#This Row],[Currency]],Sheet3!$A$2:$C$31,3,FALSE))*(VLOOKUP(tblSalaries[[#This Row],[Currency]],Sheet1!$N$4:$Q$186,4,FALSE))</f>
        <v>64500</v>
      </c>
      <c r="G532" s="4">
        <f>IF(Dashboard!$J$5=VLOOKUP(tblSalaries[[#This Row],[Currency]],Sheet3!$A$2:$B$31,2,FALSE),tblSalaries[[#This Row],[clean Salary (in local currency)]],(tblSalaries[[#This Row],[PPP Adjusted  USD]]/VLOOKUP(Dashboard!$J$5,Sheet3!$B$2:$C$31,2,FALSE)))</f>
        <v>64500</v>
      </c>
      <c r="H532" t="s">
        <v>3033</v>
      </c>
      <c r="I532" t="s">
        <v>603</v>
      </c>
      <c r="J532" t="s">
        <v>613</v>
      </c>
      <c r="K532" t="s">
        <v>605</v>
      </c>
      <c r="L532">
        <v>13</v>
      </c>
    </row>
    <row r="533" spans="2:12" ht="15" customHeight="1">
      <c r="B533" t="s">
        <v>3193</v>
      </c>
      <c r="C533">
        <v>64300</v>
      </c>
      <c r="D533" t="s">
        <v>252</v>
      </c>
      <c r="E533">
        <v>64300</v>
      </c>
      <c r="F533" s="3">
        <f>(tblSalaries[[#This Row],[clean Salary (in local currency)]])*(VLOOKUP(tblSalaries[[#This Row],[Currency]],Sheet3!$A$2:$C$31,3,FALSE))*(VLOOKUP(tblSalaries[[#This Row],[Currency]],Sheet1!$N$4:$Q$186,4,FALSE))</f>
        <v>64300</v>
      </c>
      <c r="G533" s="4">
        <f>IF(Dashboard!$J$5=VLOOKUP(tblSalaries[[#This Row],[Currency]],Sheet3!$A$2:$B$31,2,FALSE),tblSalaries[[#This Row],[clean Salary (in local currency)]],(tblSalaries[[#This Row],[PPP Adjusted  USD]]/VLOOKUP(Dashboard!$J$5,Sheet3!$B$2:$C$31,2,FALSE)))</f>
        <v>64300</v>
      </c>
      <c r="H533" t="s">
        <v>3194</v>
      </c>
      <c r="I533" t="s">
        <v>637</v>
      </c>
      <c r="J533" t="s">
        <v>613</v>
      </c>
      <c r="K533" t="s">
        <v>605</v>
      </c>
      <c r="L533">
        <v>15</v>
      </c>
    </row>
    <row r="534" spans="2:12" ht="15" customHeight="1">
      <c r="B534" t="s">
        <v>3151</v>
      </c>
      <c r="C534">
        <v>64000</v>
      </c>
      <c r="D534" t="s">
        <v>252</v>
      </c>
      <c r="E534">
        <v>64000</v>
      </c>
      <c r="F534" s="3">
        <f>(tblSalaries[[#This Row],[clean Salary (in local currency)]])*(VLOOKUP(tblSalaries[[#This Row],[Currency]],Sheet3!$A$2:$C$31,3,FALSE))*(VLOOKUP(tblSalaries[[#This Row],[Currency]],Sheet1!$N$4:$Q$186,4,FALSE))</f>
        <v>64000</v>
      </c>
      <c r="G534" s="4">
        <f>IF(Dashboard!$J$5=VLOOKUP(tblSalaries[[#This Row],[Currency]],Sheet3!$A$2:$B$31,2,FALSE),tblSalaries[[#This Row],[clean Salary (in local currency)]],(tblSalaries[[#This Row],[PPP Adjusted  USD]]/VLOOKUP(Dashboard!$J$5,Sheet3!$B$2:$C$31,2,FALSE)))</f>
        <v>64000</v>
      </c>
      <c r="H534" t="s">
        <v>1487</v>
      </c>
      <c r="I534" t="s">
        <v>625</v>
      </c>
      <c r="J534" t="s">
        <v>613</v>
      </c>
      <c r="K534" t="s">
        <v>617</v>
      </c>
      <c r="L534">
        <v>12</v>
      </c>
    </row>
    <row r="535" spans="2:12" ht="15" customHeight="1">
      <c r="B535" t="s">
        <v>1683</v>
      </c>
      <c r="C535">
        <v>102000</v>
      </c>
      <c r="D535" t="s">
        <v>224</v>
      </c>
      <c r="E535">
        <v>104030.78495306884</v>
      </c>
      <c r="F535" s="3">
        <f>(tblSalaries[[#This Row],[clean Salary (in local currency)]])*(VLOOKUP(tblSalaries[[#This Row],[Currency]],Sheet3!$A$2:$C$31,3,FALSE))*(VLOOKUP(tblSalaries[[#This Row],[Currency]],Sheet1!$N$4:$Q$186,4,FALSE))</f>
        <v>63924.833936258321</v>
      </c>
      <c r="G535" s="4">
        <f>IF(Dashboard!$J$5=VLOOKUP(tblSalaries[[#This Row],[Currency]],Sheet3!$A$2:$B$31,2,FALSE),tblSalaries[[#This Row],[clean Salary (in local currency)]],(tblSalaries[[#This Row],[PPP Adjusted  USD]]/VLOOKUP(Dashboard!$J$5,Sheet3!$B$2:$C$31,2,FALSE)))</f>
        <v>63924.833936258321</v>
      </c>
      <c r="H535" t="s">
        <v>1684</v>
      </c>
      <c r="I535" t="s">
        <v>625</v>
      </c>
      <c r="J535" t="s">
        <v>703</v>
      </c>
      <c r="K535" t="s">
        <v>627</v>
      </c>
      <c r="L535">
        <v>10</v>
      </c>
    </row>
    <row r="536" spans="2:12" ht="15" customHeight="1">
      <c r="B536" t="s">
        <v>1377</v>
      </c>
      <c r="C536">
        <v>63586</v>
      </c>
      <c r="D536" t="s">
        <v>252</v>
      </c>
      <c r="E536">
        <v>63586</v>
      </c>
      <c r="F536" s="3">
        <f>(tblSalaries[[#This Row],[clean Salary (in local currency)]])*(VLOOKUP(tblSalaries[[#This Row],[Currency]],Sheet3!$A$2:$C$31,3,FALSE))*(VLOOKUP(tblSalaries[[#This Row],[Currency]],Sheet1!$N$4:$Q$186,4,FALSE))</f>
        <v>63586</v>
      </c>
      <c r="G536" s="4">
        <f>IF(Dashboard!$J$5=VLOOKUP(tblSalaries[[#This Row],[Currency]],Sheet3!$A$2:$B$31,2,FALSE),tblSalaries[[#This Row],[clean Salary (in local currency)]],(tblSalaries[[#This Row],[PPP Adjusted  USD]]/VLOOKUP(Dashboard!$J$5,Sheet3!$B$2:$C$31,2,FALSE)))</f>
        <v>63586</v>
      </c>
      <c r="H536" t="s">
        <v>1378</v>
      </c>
      <c r="I536" t="s">
        <v>625</v>
      </c>
      <c r="J536" t="s">
        <v>770</v>
      </c>
      <c r="K536" t="s">
        <v>617</v>
      </c>
      <c r="L536" t="s">
        <v>3847</v>
      </c>
    </row>
    <row r="537" spans="2:12" ht="15" customHeight="1">
      <c r="B537" t="s">
        <v>3771</v>
      </c>
      <c r="C537">
        <v>600000</v>
      </c>
      <c r="D537" t="s">
        <v>312</v>
      </c>
      <c r="E537">
        <v>102542.54233725216</v>
      </c>
      <c r="F537" s="3">
        <f>(tblSalaries[[#This Row],[clean Salary (in local currency)]])*(VLOOKUP(tblSalaries[[#This Row],[Currency]],Sheet3!$A$2:$C$31,3,FALSE))*(VLOOKUP(tblSalaries[[#This Row],[Currency]],Sheet1!$N$4:$Q$186,4,FALSE))</f>
        <v>63569.741900034132</v>
      </c>
      <c r="G537" s="4">
        <f>IF(Dashboard!$J$5=VLOOKUP(tblSalaries[[#This Row],[Currency]],Sheet3!$A$2:$B$31,2,FALSE),tblSalaries[[#This Row],[clean Salary (in local currency)]],(tblSalaries[[#This Row],[PPP Adjusted  USD]]/VLOOKUP(Dashboard!$J$5,Sheet3!$B$2:$C$31,2,FALSE)))</f>
        <v>63569.741900034132</v>
      </c>
      <c r="H537" t="s">
        <v>620</v>
      </c>
      <c r="I537" t="s">
        <v>620</v>
      </c>
      <c r="J537" t="s">
        <v>1984</v>
      </c>
      <c r="K537" t="s">
        <v>617</v>
      </c>
      <c r="L537">
        <v>20</v>
      </c>
    </row>
    <row r="538" spans="2:12" ht="15" customHeight="1">
      <c r="B538" t="s">
        <v>1063</v>
      </c>
      <c r="C538">
        <v>43000</v>
      </c>
      <c r="D538" t="s">
        <v>204</v>
      </c>
      <c r="E538">
        <v>67775.665698893223</v>
      </c>
      <c r="F538" s="3">
        <f>(tblSalaries[[#This Row],[clean Salary (in local currency)]])*(VLOOKUP(tblSalaries[[#This Row],[Currency]],Sheet3!$A$2:$C$31,3,FALSE))*(VLOOKUP(tblSalaries[[#This Row],[Currency]],Sheet1!$N$4:$Q$186,4,FALSE))</f>
        <v>63380.761814158388</v>
      </c>
      <c r="G538" s="4">
        <f>IF(Dashboard!$J$5=VLOOKUP(tblSalaries[[#This Row],[Currency]],Sheet3!$A$2:$B$31,2,FALSE),tblSalaries[[#This Row],[clean Salary (in local currency)]],(tblSalaries[[#This Row],[PPP Adjusted  USD]]/VLOOKUP(Dashboard!$J$5,Sheet3!$B$2:$C$31,2,FALSE)))</f>
        <v>63380.761814158388</v>
      </c>
      <c r="H538" t="s">
        <v>1064</v>
      </c>
      <c r="I538" t="s">
        <v>625</v>
      </c>
      <c r="J538" t="s">
        <v>687</v>
      </c>
      <c r="K538" t="s">
        <v>617</v>
      </c>
      <c r="L538" t="s">
        <v>3847</v>
      </c>
    </row>
    <row r="539" spans="2:12" ht="15" customHeight="1">
      <c r="B539" t="s">
        <v>1303</v>
      </c>
      <c r="C539">
        <v>43000</v>
      </c>
      <c r="D539" t="s">
        <v>204</v>
      </c>
      <c r="E539">
        <v>67775.665698893223</v>
      </c>
      <c r="F539" s="3">
        <f>(tblSalaries[[#This Row],[clean Salary (in local currency)]])*(VLOOKUP(tblSalaries[[#This Row],[Currency]],Sheet3!$A$2:$C$31,3,FALSE))*(VLOOKUP(tblSalaries[[#This Row],[Currency]],Sheet1!$N$4:$Q$186,4,FALSE))</f>
        <v>63380.761814158388</v>
      </c>
      <c r="G539" s="4">
        <f>IF(Dashboard!$J$5=VLOOKUP(tblSalaries[[#This Row],[Currency]],Sheet3!$A$2:$B$31,2,FALSE),tblSalaries[[#This Row],[clean Salary (in local currency)]],(tblSalaries[[#This Row],[PPP Adjusted  USD]]/VLOOKUP(Dashboard!$J$5,Sheet3!$B$2:$C$31,2,FALSE)))</f>
        <v>63380.761814158388</v>
      </c>
      <c r="H539" t="s">
        <v>1304</v>
      </c>
      <c r="I539" t="s">
        <v>625</v>
      </c>
      <c r="J539" t="s">
        <v>687</v>
      </c>
      <c r="K539" t="s">
        <v>605</v>
      </c>
      <c r="L539" t="s">
        <v>3847</v>
      </c>
    </row>
    <row r="540" spans="2:12" ht="15" customHeight="1">
      <c r="B540" t="s">
        <v>2644</v>
      </c>
      <c r="C540">
        <v>43000</v>
      </c>
      <c r="D540" t="s">
        <v>204</v>
      </c>
      <c r="E540">
        <v>67775.665698893223</v>
      </c>
      <c r="F540" s="3">
        <f>(tblSalaries[[#This Row],[clean Salary (in local currency)]])*(VLOOKUP(tblSalaries[[#This Row],[Currency]],Sheet3!$A$2:$C$31,3,FALSE))*(VLOOKUP(tblSalaries[[#This Row],[Currency]],Sheet1!$N$4:$Q$186,4,FALSE))</f>
        <v>63380.761814158388</v>
      </c>
      <c r="G540" s="4">
        <f>IF(Dashboard!$J$5=VLOOKUP(tblSalaries[[#This Row],[Currency]],Sheet3!$A$2:$B$31,2,FALSE),tblSalaries[[#This Row],[clean Salary (in local currency)]],(tblSalaries[[#This Row],[PPP Adjusted  USD]]/VLOOKUP(Dashboard!$J$5,Sheet3!$B$2:$C$31,2,FALSE)))</f>
        <v>63380.761814158388</v>
      </c>
      <c r="H540" t="s">
        <v>2645</v>
      </c>
      <c r="I540" t="s">
        <v>637</v>
      </c>
      <c r="J540" t="s">
        <v>687</v>
      </c>
      <c r="K540" t="s">
        <v>610</v>
      </c>
      <c r="L540">
        <v>15</v>
      </c>
    </row>
    <row r="541" spans="2:12" ht="15" customHeight="1">
      <c r="B541" t="s">
        <v>2769</v>
      </c>
      <c r="C541">
        <v>43000</v>
      </c>
      <c r="D541" t="s">
        <v>204</v>
      </c>
      <c r="E541">
        <v>67775.665698893223</v>
      </c>
      <c r="F541" s="3">
        <f>(tblSalaries[[#This Row],[clean Salary (in local currency)]])*(VLOOKUP(tblSalaries[[#This Row],[Currency]],Sheet3!$A$2:$C$31,3,FALSE))*(VLOOKUP(tblSalaries[[#This Row],[Currency]],Sheet1!$N$4:$Q$186,4,FALSE))</f>
        <v>63380.761814158388</v>
      </c>
      <c r="G541" s="4">
        <f>IF(Dashboard!$J$5=VLOOKUP(tblSalaries[[#This Row],[Currency]],Sheet3!$A$2:$B$31,2,FALSE),tblSalaries[[#This Row],[clean Salary (in local currency)]],(tblSalaries[[#This Row],[PPP Adjusted  USD]]/VLOOKUP(Dashboard!$J$5,Sheet3!$B$2:$C$31,2,FALSE)))</f>
        <v>63380.761814158388</v>
      </c>
      <c r="H541" t="s">
        <v>854</v>
      </c>
      <c r="I541" t="s">
        <v>608</v>
      </c>
      <c r="J541" t="s">
        <v>687</v>
      </c>
      <c r="K541" t="s">
        <v>605</v>
      </c>
      <c r="L541">
        <v>25</v>
      </c>
    </row>
    <row r="542" spans="2:12" ht="15" customHeight="1">
      <c r="B542" t="s">
        <v>1323</v>
      </c>
      <c r="C542">
        <v>80000</v>
      </c>
      <c r="D542" t="s">
        <v>276</v>
      </c>
      <c r="E542">
        <v>78668.921842426149</v>
      </c>
      <c r="F542" s="3">
        <f>(tblSalaries[[#This Row],[clean Salary (in local currency)]])*(VLOOKUP(tblSalaries[[#This Row],[Currency]],Sheet3!$A$2:$C$31,3,FALSE))*(VLOOKUP(tblSalaries[[#This Row],[Currency]],Sheet1!$N$4:$Q$186,4,FALSE))</f>
        <v>63235.69625618757</v>
      </c>
      <c r="G542" s="4">
        <f>IF(Dashboard!$J$5=VLOOKUP(tblSalaries[[#This Row],[Currency]],Sheet3!$A$2:$B$31,2,FALSE),tblSalaries[[#This Row],[clean Salary (in local currency)]],(tblSalaries[[#This Row],[PPP Adjusted  USD]]/VLOOKUP(Dashboard!$J$5,Sheet3!$B$2:$C$31,2,FALSE)))</f>
        <v>63235.69625618757</v>
      </c>
      <c r="H542" t="s">
        <v>1324</v>
      </c>
      <c r="I542" t="s">
        <v>603</v>
      </c>
      <c r="J542" t="s">
        <v>708</v>
      </c>
      <c r="K542" t="s">
        <v>605</v>
      </c>
      <c r="L542" t="s">
        <v>3847</v>
      </c>
    </row>
    <row r="543" spans="2:12" ht="15" customHeight="1">
      <c r="B543" t="s">
        <v>3301</v>
      </c>
      <c r="C543">
        <v>80000</v>
      </c>
      <c r="D543" t="s">
        <v>276</v>
      </c>
      <c r="E543">
        <v>78668.921842426149</v>
      </c>
      <c r="F543" s="3">
        <f>(tblSalaries[[#This Row],[clean Salary (in local currency)]])*(VLOOKUP(tblSalaries[[#This Row],[Currency]],Sheet3!$A$2:$C$31,3,FALSE))*(VLOOKUP(tblSalaries[[#This Row],[Currency]],Sheet1!$N$4:$Q$186,4,FALSE))</f>
        <v>63235.69625618757</v>
      </c>
      <c r="G543" s="4">
        <f>IF(Dashboard!$J$5=VLOOKUP(tblSalaries[[#This Row],[Currency]],Sheet3!$A$2:$B$31,2,FALSE),tblSalaries[[#This Row],[clean Salary (in local currency)]],(tblSalaries[[#This Row],[PPP Adjusted  USD]]/VLOOKUP(Dashboard!$J$5,Sheet3!$B$2:$C$31,2,FALSE)))</f>
        <v>63235.69625618757</v>
      </c>
      <c r="H543" t="s">
        <v>3302</v>
      </c>
      <c r="I543" t="s">
        <v>603</v>
      </c>
      <c r="J543" t="s">
        <v>708</v>
      </c>
      <c r="K543" t="s">
        <v>605</v>
      </c>
      <c r="L543">
        <v>7</v>
      </c>
    </row>
    <row r="544" spans="2:12" ht="15" customHeight="1">
      <c r="B544" t="s">
        <v>1266</v>
      </c>
      <c r="C544">
        <v>63000</v>
      </c>
      <c r="D544" t="s">
        <v>252</v>
      </c>
      <c r="E544">
        <v>63000</v>
      </c>
      <c r="F544" s="3">
        <f>(tblSalaries[[#This Row],[clean Salary (in local currency)]])*(VLOOKUP(tblSalaries[[#This Row],[Currency]],Sheet3!$A$2:$C$31,3,FALSE))*(VLOOKUP(tblSalaries[[#This Row],[Currency]],Sheet1!$N$4:$Q$186,4,FALSE))</f>
        <v>63000</v>
      </c>
      <c r="G544" s="4">
        <f>IF(Dashboard!$J$5=VLOOKUP(tblSalaries[[#This Row],[Currency]],Sheet3!$A$2:$B$31,2,FALSE),tblSalaries[[#This Row],[clean Salary (in local currency)]],(tblSalaries[[#This Row],[PPP Adjusted  USD]]/VLOOKUP(Dashboard!$J$5,Sheet3!$B$2:$C$31,2,FALSE)))</f>
        <v>63000</v>
      </c>
      <c r="H544" t="s">
        <v>745</v>
      </c>
      <c r="I544" t="s">
        <v>603</v>
      </c>
      <c r="J544" t="s">
        <v>613</v>
      </c>
      <c r="K544" t="s">
        <v>610</v>
      </c>
      <c r="L544" t="s">
        <v>3847</v>
      </c>
    </row>
    <row r="545" spans="2:12" ht="15" customHeight="1">
      <c r="B545" t="s">
        <v>2773</v>
      </c>
      <c r="C545">
        <v>63000</v>
      </c>
      <c r="D545" t="s">
        <v>252</v>
      </c>
      <c r="E545">
        <v>63000</v>
      </c>
      <c r="F545" s="3">
        <f>(tblSalaries[[#This Row],[clean Salary (in local currency)]])*(VLOOKUP(tblSalaries[[#This Row],[Currency]],Sheet3!$A$2:$C$31,3,FALSE))*(VLOOKUP(tblSalaries[[#This Row],[Currency]],Sheet1!$N$4:$Q$186,4,FALSE))</f>
        <v>63000</v>
      </c>
      <c r="G545" s="4">
        <f>IF(Dashboard!$J$5=VLOOKUP(tblSalaries[[#This Row],[Currency]],Sheet3!$A$2:$B$31,2,FALSE),tblSalaries[[#This Row],[clean Salary (in local currency)]],(tblSalaries[[#This Row],[PPP Adjusted  USD]]/VLOOKUP(Dashboard!$J$5,Sheet3!$B$2:$C$31,2,FALSE)))</f>
        <v>63000</v>
      </c>
      <c r="H545" t="s">
        <v>989</v>
      </c>
      <c r="I545" t="s">
        <v>637</v>
      </c>
      <c r="J545" t="s">
        <v>613</v>
      </c>
      <c r="K545" t="s">
        <v>610</v>
      </c>
      <c r="L545">
        <v>16</v>
      </c>
    </row>
    <row r="546" spans="2:12" ht="15" customHeight="1">
      <c r="B546" t="s">
        <v>3639</v>
      </c>
      <c r="C546">
        <v>63000</v>
      </c>
      <c r="D546" t="s">
        <v>252</v>
      </c>
      <c r="E546">
        <v>63000</v>
      </c>
      <c r="F546" s="3">
        <f>(tblSalaries[[#This Row],[clean Salary (in local currency)]])*(VLOOKUP(tblSalaries[[#This Row],[Currency]],Sheet3!$A$2:$C$31,3,FALSE))*(VLOOKUP(tblSalaries[[#This Row],[Currency]],Sheet1!$N$4:$Q$186,4,FALSE))</f>
        <v>63000</v>
      </c>
      <c r="G546" s="4">
        <f>IF(Dashboard!$J$5=VLOOKUP(tblSalaries[[#This Row],[Currency]],Sheet3!$A$2:$B$31,2,FALSE),tblSalaries[[#This Row],[clean Salary (in local currency)]],(tblSalaries[[#This Row],[PPP Adjusted  USD]]/VLOOKUP(Dashboard!$J$5,Sheet3!$B$2:$C$31,2,FALSE)))</f>
        <v>63000</v>
      </c>
      <c r="H546" t="s">
        <v>745</v>
      </c>
      <c r="I546" t="s">
        <v>603</v>
      </c>
      <c r="J546" t="s">
        <v>613</v>
      </c>
      <c r="K546" t="s">
        <v>610</v>
      </c>
      <c r="L546">
        <v>10</v>
      </c>
    </row>
    <row r="547" spans="2:12" ht="15" customHeight="1">
      <c r="B547" t="s">
        <v>3747</v>
      </c>
      <c r="C547">
        <v>63000</v>
      </c>
      <c r="D547" t="s">
        <v>252</v>
      </c>
      <c r="E547">
        <v>63000</v>
      </c>
      <c r="F547" s="3">
        <f>(tblSalaries[[#This Row],[clean Salary (in local currency)]])*(VLOOKUP(tblSalaries[[#This Row],[Currency]],Sheet3!$A$2:$C$31,3,FALSE))*(VLOOKUP(tblSalaries[[#This Row],[Currency]],Sheet1!$N$4:$Q$186,4,FALSE))</f>
        <v>63000</v>
      </c>
      <c r="G547" s="4">
        <f>IF(Dashboard!$J$5=VLOOKUP(tblSalaries[[#This Row],[Currency]],Sheet3!$A$2:$B$31,2,FALSE),tblSalaries[[#This Row],[clean Salary (in local currency)]],(tblSalaries[[#This Row],[PPP Adjusted  USD]]/VLOOKUP(Dashboard!$J$5,Sheet3!$B$2:$C$31,2,FALSE)))</f>
        <v>63000</v>
      </c>
      <c r="H547" t="s">
        <v>3748</v>
      </c>
      <c r="I547" t="s">
        <v>603</v>
      </c>
      <c r="J547" t="s">
        <v>613</v>
      </c>
      <c r="K547" t="s">
        <v>605</v>
      </c>
      <c r="L547">
        <v>6</v>
      </c>
    </row>
    <row r="548" spans="2:12" ht="15" customHeight="1">
      <c r="B548" t="s">
        <v>3749</v>
      </c>
      <c r="C548">
        <v>63000</v>
      </c>
      <c r="D548" t="s">
        <v>252</v>
      </c>
      <c r="E548">
        <v>63000</v>
      </c>
      <c r="F548" s="3">
        <f>(tblSalaries[[#This Row],[clean Salary (in local currency)]])*(VLOOKUP(tblSalaries[[#This Row],[Currency]],Sheet3!$A$2:$C$31,3,FALSE))*(VLOOKUP(tblSalaries[[#This Row],[Currency]],Sheet1!$N$4:$Q$186,4,FALSE))</f>
        <v>63000</v>
      </c>
      <c r="G548" s="4">
        <f>IF(Dashboard!$J$5=VLOOKUP(tblSalaries[[#This Row],[Currency]],Sheet3!$A$2:$B$31,2,FALSE),tblSalaries[[#This Row],[clean Salary (in local currency)]],(tblSalaries[[#This Row],[PPP Adjusted  USD]]/VLOOKUP(Dashboard!$J$5,Sheet3!$B$2:$C$31,2,FALSE)))</f>
        <v>63000</v>
      </c>
      <c r="H548" t="s">
        <v>612</v>
      </c>
      <c r="I548" t="s">
        <v>603</v>
      </c>
      <c r="J548" t="s">
        <v>613</v>
      </c>
      <c r="K548" t="s">
        <v>610</v>
      </c>
      <c r="L548">
        <v>1</v>
      </c>
    </row>
    <row r="549" spans="2:12" ht="15" customHeight="1">
      <c r="B549" t="s">
        <v>2529</v>
      </c>
      <c r="C549">
        <v>57000</v>
      </c>
      <c r="D549" t="s">
        <v>200</v>
      </c>
      <c r="E549">
        <v>72412.768022521646</v>
      </c>
      <c r="F549" s="3">
        <f>(tblSalaries[[#This Row],[clean Salary (in local currency)]])*(VLOOKUP(tblSalaries[[#This Row],[Currency]],Sheet3!$A$2:$C$31,3,FALSE))*(VLOOKUP(tblSalaries[[#This Row],[Currency]],Sheet1!$N$4:$Q$186,4,FALSE))</f>
        <v>62737.214500862974</v>
      </c>
      <c r="G549" s="4">
        <f>IF(Dashboard!$J$5=VLOOKUP(tblSalaries[[#This Row],[Currency]],Sheet3!$A$2:$B$31,2,FALSE),tblSalaries[[#This Row],[clean Salary (in local currency)]],(tblSalaries[[#This Row],[PPP Adjusted  USD]]/VLOOKUP(Dashboard!$J$5,Sheet3!$B$2:$C$31,2,FALSE)))</f>
        <v>62737.214500862974</v>
      </c>
      <c r="H549" t="s">
        <v>2530</v>
      </c>
      <c r="I549" t="s">
        <v>625</v>
      </c>
      <c r="J549" t="s">
        <v>1519</v>
      </c>
      <c r="K549" t="s">
        <v>627</v>
      </c>
      <c r="L549">
        <v>15</v>
      </c>
    </row>
    <row r="550" spans="2:12" ht="15" customHeight="1">
      <c r="B550" t="s">
        <v>766</v>
      </c>
      <c r="C550">
        <v>100000</v>
      </c>
      <c r="D550" t="s">
        <v>224</v>
      </c>
      <c r="E550">
        <v>101990.96564026357</v>
      </c>
      <c r="F550" s="3">
        <f>(tblSalaries[[#This Row],[clean Salary (in local currency)]])*(VLOOKUP(tblSalaries[[#This Row],[Currency]],Sheet3!$A$2:$C$31,3,FALSE))*(VLOOKUP(tblSalaries[[#This Row],[Currency]],Sheet1!$N$4:$Q$186,4,FALSE))</f>
        <v>62671.405819861102</v>
      </c>
      <c r="G550" s="4">
        <f>IF(Dashboard!$J$5=VLOOKUP(tblSalaries[[#This Row],[Currency]],Sheet3!$A$2:$B$31,2,FALSE),tblSalaries[[#This Row],[clean Salary (in local currency)]],(tblSalaries[[#This Row],[PPP Adjusted  USD]]/VLOOKUP(Dashboard!$J$5,Sheet3!$B$2:$C$31,2,FALSE)))</f>
        <v>62671.405819861102</v>
      </c>
      <c r="H550" t="s">
        <v>767</v>
      </c>
      <c r="I550" t="s">
        <v>625</v>
      </c>
      <c r="J550" t="s">
        <v>703</v>
      </c>
      <c r="K550" t="s">
        <v>605</v>
      </c>
      <c r="L550" t="s">
        <v>3847</v>
      </c>
    </row>
    <row r="551" spans="2:12" ht="15" customHeight="1">
      <c r="B551" t="s">
        <v>1726</v>
      </c>
      <c r="C551">
        <v>100000</v>
      </c>
      <c r="D551" t="s">
        <v>224</v>
      </c>
      <c r="E551">
        <v>101990.96564026357</v>
      </c>
      <c r="F551" s="3">
        <f>(tblSalaries[[#This Row],[clean Salary (in local currency)]])*(VLOOKUP(tblSalaries[[#This Row],[Currency]],Sheet3!$A$2:$C$31,3,FALSE))*(VLOOKUP(tblSalaries[[#This Row],[Currency]],Sheet1!$N$4:$Q$186,4,FALSE))</f>
        <v>62671.405819861102</v>
      </c>
      <c r="G551" s="4">
        <f>IF(Dashboard!$J$5=VLOOKUP(tblSalaries[[#This Row],[Currency]],Sheet3!$A$2:$B$31,2,FALSE),tblSalaries[[#This Row],[clean Salary (in local currency)]],(tblSalaries[[#This Row],[PPP Adjusted  USD]]/VLOOKUP(Dashboard!$J$5,Sheet3!$B$2:$C$31,2,FALSE)))</f>
        <v>62671.405819861102</v>
      </c>
      <c r="H551" t="s">
        <v>1727</v>
      </c>
      <c r="I551" t="s">
        <v>625</v>
      </c>
      <c r="J551" t="s">
        <v>703</v>
      </c>
      <c r="K551" t="s">
        <v>617</v>
      </c>
      <c r="L551">
        <v>20</v>
      </c>
    </row>
    <row r="552" spans="2:12" ht="15" customHeight="1">
      <c r="B552" t="s">
        <v>1754</v>
      </c>
      <c r="C552">
        <v>100000</v>
      </c>
      <c r="D552" t="s">
        <v>224</v>
      </c>
      <c r="E552">
        <v>101990.96564026357</v>
      </c>
      <c r="F552" s="3">
        <f>(tblSalaries[[#This Row],[clean Salary (in local currency)]])*(VLOOKUP(tblSalaries[[#This Row],[Currency]],Sheet3!$A$2:$C$31,3,FALSE))*(VLOOKUP(tblSalaries[[#This Row],[Currency]],Sheet1!$N$4:$Q$186,4,FALSE))</f>
        <v>62671.405819861102</v>
      </c>
      <c r="G552" s="4">
        <f>IF(Dashboard!$J$5=VLOOKUP(tblSalaries[[#This Row],[Currency]],Sheet3!$A$2:$B$31,2,FALSE),tblSalaries[[#This Row],[clean Salary (in local currency)]],(tblSalaries[[#This Row],[PPP Adjusted  USD]]/VLOOKUP(Dashboard!$J$5,Sheet3!$B$2:$C$31,2,FALSE)))</f>
        <v>62671.405819861102</v>
      </c>
      <c r="H552" t="s">
        <v>899</v>
      </c>
      <c r="I552" t="s">
        <v>603</v>
      </c>
      <c r="J552" t="s">
        <v>703</v>
      </c>
      <c r="K552" t="s">
        <v>610</v>
      </c>
      <c r="L552">
        <v>1</v>
      </c>
    </row>
    <row r="553" spans="2:12" ht="15" customHeight="1">
      <c r="B553" t="s">
        <v>1841</v>
      </c>
      <c r="C553">
        <v>100000</v>
      </c>
      <c r="D553" t="s">
        <v>224</v>
      </c>
      <c r="E553">
        <v>101990.96564026357</v>
      </c>
      <c r="F553" s="3">
        <f>(tblSalaries[[#This Row],[clean Salary (in local currency)]])*(VLOOKUP(tblSalaries[[#This Row],[Currency]],Sheet3!$A$2:$C$31,3,FALSE))*(VLOOKUP(tblSalaries[[#This Row],[Currency]],Sheet1!$N$4:$Q$186,4,FALSE))</f>
        <v>62671.405819861102</v>
      </c>
      <c r="G553" s="4">
        <f>IF(Dashboard!$J$5=VLOOKUP(tblSalaries[[#This Row],[Currency]],Sheet3!$A$2:$B$31,2,FALSE),tblSalaries[[#This Row],[clean Salary (in local currency)]],(tblSalaries[[#This Row],[PPP Adjusted  USD]]/VLOOKUP(Dashboard!$J$5,Sheet3!$B$2:$C$31,2,FALSE)))</f>
        <v>62671.405819861102</v>
      </c>
      <c r="H553" t="s">
        <v>1842</v>
      </c>
      <c r="I553" t="s">
        <v>625</v>
      </c>
      <c r="J553" t="s">
        <v>703</v>
      </c>
      <c r="K553" t="s">
        <v>627</v>
      </c>
      <c r="L553">
        <v>20</v>
      </c>
    </row>
    <row r="554" spans="2:12" ht="15" customHeight="1">
      <c r="B554" t="s">
        <v>2319</v>
      </c>
      <c r="C554">
        <v>100000</v>
      </c>
      <c r="D554" t="s">
        <v>224</v>
      </c>
      <c r="E554">
        <v>101990.96564026357</v>
      </c>
      <c r="F554" s="3">
        <f>(tblSalaries[[#This Row],[clean Salary (in local currency)]])*(VLOOKUP(tblSalaries[[#This Row],[Currency]],Sheet3!$A$2:$C$31,3,FALSE))*(VLOOKUP(tblSalaries[[#This Row],[Currency]],Sheet1!$N$4:$Q$186,4,FALSE))</f>
        <v>62671.405819861102</v>
      </c>
      <c r="G554" s="4">
        <f>IF(Dashboard!$J$5=VLOOKUP(tblSalaries[[#This Row],[Currency]],Sheet3!$A$2:$B$31,2,FALSE),tblSalaries[[#This Row],[clean Salary (in local currency)]],(tblSalaries[[#This Row],[PPP Adjusted  USD]]/VLOOKUP(Dashboard!$J$5,Sheet3!$B$2:$C$31,2,FALSE)))</f>
        <v>62671.405819861102</v>
      </c>
      <c r="H554" t="s">
        <v>691</v>
      </c>
      <c r="I554" t="s">
        <v>692</v>
      </c>
      <c r="J554" t="s">
        <v>703</v>
      </c>
      <c r="K554" t="s">
        <v>610</v>
      </c>
      <c r="L554">
        <v>6</v>
      </c>
    </row>
    <row r="555" spans="2:12" ht="15" customHeight="1">
      <c r="B555" t="s">
        <v>2354</v>
      </c>
      <c r="C555">
        <v>100000</v>
      </c>
      <c r="D555" t="s">
        <v>224</v>
      </c>
      <c r="E555">
        <v>101990.96564026357</v>
      </c>
      <c r="F555" s="3">
        <f>(tblSalaries[[#This Row],[clean Salary (in local currency)]])*(VLOOKUP(tblSalaries[[#This Row],[Currency]],Sheet3!$A$2:$C$31,3,FALSE))*(VLOOKUP(tblSalaries[[#This Row],[Currency]],Sheet1!$N$4:$Q$186,4,FALSE))</f>
        <v>62671.405819861102</v>
      </c>
      <c r="G555" s="4">
        <f>IF(Dashboard!$J$5=VLOOKUP(tblSalaries[[#This Row],[Currency]],Sheet3!$A$2:$B$31,2,FALSE),tblSalaries[[#This Row],[clean Salary (in local currency)]],(tblSalaries[[#This Row],[PPP Adjusted  USD]]/VLOOKUP(Dashboard!$J$5,Sheet3!$B$2:$C$31,2,FALSE)))</f>
        <v>62671.405819861102</v>
      </c>
      <c r="H555" t="s">
        <v>1951</v>
      </c>
      <c r="I555" t="s">
        <v>603</v>
      </c>
      <c r="J555" t="s">
        <v>703</v>
      </c>
      <c r="K555" t="s">
        <v>605</v>
      </c>
      <c r="L555">
        <v>20</v>
      </c>
    </row>
    <row r="556" spans="2:12" ht="15" customHeight="1">
      <c r="B556" t="s">
        <v>2799</v>
      </c>
      <c r="C556">
        <v>100000</v>
      </c>
      <c r="D556" t="s">
        <v>224</v>
      </c>
      <c r="E556">
        <v>101990.96564026357</v>
      </c>
      <c r="F556" s="3">
        <f>(tblSalaries[[#This Row],[clean Salary (in local currency)]])*(VLOOKUP(tblSalaries[[#This Row],[Currency]],Sheet3!$A$2:$C$31,3,FALSE))*(VLOOKUP(tblSalaries[[#This Row],[Currency]],Sheet1!$N$4:$Q$186,4,FALSE))</f>
        <v>62671.405819861102</v>
      </c>
      <c r="G556" s="4">
        <f>IF(Dashboard!$J$5=VLOOKUP(tblSalaries[[#This Row],[Currency]],Sheet3!$A$2:$B$31,2,FALSE),tblSalaries[[#This Row],[clean Salary (in local currency)]],(tblSalaries[[#This Row],[PPP Adjusted  USD]]/VLOOKUP(Dashboard!$J$5,Sheet3!$B$2:$C$31,2,FALSE)))</f>
        <v>62671.405819861102</v>
      </c>
      <c r="H556" t="s">
        <v>2800</v>
      </c>
      <c r="I556" t="s">
        <v>692</v>
      </c>
      <c r="J556" t="s">
        <v>703</v>
      </c>
      <c r="K556" t="s">
        <v>605</v>
      </c>
      <c r="L556">
        <v>15</v>
      </c>
    </row>
    <row r="557" spans="2:12" ht="15" customHeight="1">
      <c r="B557" t="s">
        <v>2935</v>
      </c>
      <c r="C557">
        <v>100000</v>
      </c>
      <c r="D557" t="s">
        <v>224</v>
      </c>
      <c r="E557">
        <v>101990.96564026357</v>
      </c>
      <c r="F557" s="3">
        <f>(tblSalaries[[#This Row],[clean Salary (in local currency)]])*(VLOOKUP(tblSalaries[[#This Row],[Currency]],Sheet3!$A$2:$C$31,3,FALSE))*(VLOOKUP(tblSalaries[[#This Row],[Currency]],Sheet1!$N$4:$Q$186,4,FALSE))</f>
        <v>62671.405819861102</v>
      </c>
      <c r="G557" s="4">
        <f>IF(Dashboard!$J$5=VLOOKUP(tblSalaries[[#This Row],[Currency]],Sheet3!$A$2:$B$31,2,FALSE),tblSalaries[[#This Row],[clean Salary (in local currency)]],(tblSalaries[[#This Row],[PPP Adjusted  USD]]/VLOOKUP(Dashboard!$J$5,Sheet3!$B$2:$C$31,2,FALSE)))</f>
        <v>62671.405819861102</v>
      </c>
      <c r="H557" t="s">
        <v>2936</v>
      </c>
      <c r="I557" t="s">
        <v>692</v>
      </c>
      <c r="J557" t="s">
        <v>703</v>
      </c>
      <c r="K557" t="s">
        <v>627</v>
      </c>
      <c r="L557">
        <v>30</v>
      </c>
    </row>
    <row r="558" spans="2:12" ht="15" customHeight="1">
      <c r="B558" t="s">
        <v>3305</v>
      </c>
      <c r="C558">
        <v>100000</v>
      </c>
      <c r="D558" t="s">
        <v>224</v>
      </c>
      <c r="E558">
        <v>101990.96564026357</v>
      </c>
      <c r="F558" s="3">
        <f>(tblSalaries[[#This Row],[clean Salary (in local currency)]])*(VLOOKUP(tblSalaries[[#This Row],[Currency]],Sheet3!$A$2:$C$31,3,FALSE))*(VLOOKUP(tblSalaries[[#This Row],[Currency]],Sheet1!$N$4:$Q$186,4,FALSE))</f>
        <v>62671.405819861102</v>
      </c>
      <c r="G558" s="4">
        <f>IF(Dashboard!$J$5=VLOOKUP(tblSalaries[[#This Row],[Currency]],Sheet3!$A$2:$B$31,2,FALSE),tblSalaries[[#This Row],[clean Salary (in local currency)]],(tblSalaries[[#This Row],[PPP Adjusted  USD]]/VLOOKUP(Dashboard!$J$5,Sheet3!$B$2:$C$31,2,FALSE)))</f>
        <v>62671.405819861102</v>
      </c>
      <c r="H558" t="s">
        <v>1827</v>
      </c>
      <c r="I558" t="s">
        <v>625</v>
      </c>
      <c r="J558" t="s">
        <v>703</v>
      </c>
      <c r="K558" t="s">
        <v>605</v>
      </c>
      <c r="L558">
        <v>20</v>
      </c>
    </row>
    <row r="559" spans="2:12" ht="15" customHeight="1">
      <c r="B559" t="s">
        <v>1296</v>
      </c>
      <c r="C559">
        <v>62500</v>
      </c>
      <c r="D559" t="s">
        <v>252</v>
      </c>
      <c r="E559">
        <v>62500</v>
      </c>
      <c r="F559" s="3">
        <f>(tblSalaries[[#This Row],[clean Salary (in local currency)]])*(VLOOKUP(tblSalaries[[#This Row],[Currency]],Sheet3!$A$2:$C$31,3,FALSE))*(VLOOKUP(tblSalaries[[#This Row],[Currency]],Sheet1!$N$4:$Q$186,4,FALSE))</f>
        <v>62500</v>
      </c>
      <c r="G559" s="4">
        <f>IF(Dashboard!$J$5=VLOOKUP(tblSalaries[[#This Row],[Currency]],Sheet3!$A$2:$B$31,2,FALSE),tblSalaries[[#This Row],[clean Salary (in local currency)]],(tblSalaries[[#This Row],[PPP Adjusted  USD]]/VLOOKUP(Dashboard!$J$5,Sheet3!$B$2:$C$31,2,FALSE)))</f>
        <v>62500</v>
      </c>
      <c r="H559" t="s">
        <v>1297</v>
      </c>
      <c r="I559" t="s">
        <v>633</v>
      </c>
      <c r="J559" t="s">
        <v>613</v>
      </c>
      <c r="K559" t="s">
        <v>610</v>
      </c>
      <c r="L559" t="s">
        <v>3847</v>
      </c>
    </row>
    <row r="560" spans="2:12" ht="15" customHeight="1">
      <c r="B560" t="s">
        <v>1123</v>
      </c>
      <c r="C560">
        <v>62400</v>
      </c>
      <c r="D560" t="s">
        <v>252</v>
      </c>
      <c r="E560">
        <v>62400</v>
      </c>
      <c r="F560" s="3">
        <f>(tblSalaries[[#This Row],[clean Salary (in local currency)]])*(VLOOKUP(tblSalaries[[#This Row],[Currency]],Sheet3!$A$2:$C$31,3,FALSE))*(VLOOKUP(tblSalaries[[#This Row],[Currency]],Sheet1!$N$4:$Q$186,4,FALSE))</f>
        <v>62400</v>
      </c>
      <c r="G560" s="4">
        <f>IF(Dashboard!$J$5=VLOOKUP(tblSalaries[[#This Row],[Currency]],Sheet3!$A$2:$B$31,2,FALSE),tblSalaries[[#This Row],[clean Salary (in local currency)]],(tblSalaries[[#This Row],[PPP Adjusted  USD]]/VLOOKUP(Dashboard!$J$5,Sheet3!$B$2:$C$31,2,FALSE)))</f>
        <v>62400</v>
      </c>
      <c r="H560" t="s">
        <v>1124</v>
      </c>
      <c r="I560" t="s">
        <v>637</v>
      </c>
      <c r="J560" t="s">
        <v>613</v>
      </c>
      <c r="K560" t="s">
        <v>610</v>
      </c>
      <c r="L560" t="s">
        <v>3847</v>
      </c>
    </row>
    <row r="561" spans="2:12" ht="15" customHeight="1">
      <c r="B561" t="s">
        <v>732</v>
      </c>
      <c r="C561">
        <v>62000</v>
      </c>
      <c r="D561" t="s">
        <v>252</v>
      </c>
      <c r="E561">
        <v>62000</v>
      </c>
      <c r="F561" s="3">
        <f>(tblSalaries[[#This Row],[clean Salary (in local currency)]])*(VLOOKUP(tblSalaries[[#This Row],[Currency]],Sheet3!$A$2:$C$31,3,FALSE))*(VLOOKUP(tblSalaries[[#This Row],[Currency]],Sheet1!$N$4:$Q$186,4,FALSE))</f>
        <v>62000</v>
      </c>
      <c r="G561" s="4">
        <f>IF(Dashboard!$J$5=VLOOKUP(tblSalaries[[#This Row],[Currency]],Sheet3!$A$2:$B$31,2,FALSE),tblSalaries[[#This Row],[clean Salary (in local currency)]],(tblSalaries[[#This Row],[PPP Adjusted  USD]]/VLOOKUP(Dashboard!$J$5,Sheet3!$B$2:$C$31,2,FALSE)))</f>
        <v>62000</v>
      </c>
      <c r="H561" t="s">
        <v>603</v>
      </c>
      <c r="I561" t="s">
        <v>603</v>
      </c>
      <c r="J561" t="s">
        <v>613</v>
      </c>
      <c r="K561" t="s">
        <v>605</v>
      </c>
      <c r="L561" t="s">
        <v>3847</v>
      </c>
    </row>
    <row r="562" spans="2:12" ht="15" customHeight="1">
      <c r="B562" t="s">
        <v>1985</v>
      </c>
      <c r="C562">
        <v>62000</v>
      </c>
      <c r="D562" t="s">
        <v>252</v>
      </c>
      <c r="E562">
        <v>62000</v>
      </c>
      <c r="F562" s="3">
        <f>(tblSalaries[[#This Row],[clean Salary (in local currency)]])*(VLOOKUP(tblSalaries[[#This Row],[Currency]],Sheet3!$A$2:$C$31,3,FALSE))*(VLOOKUP(tblSalaries[[#This Row],[Currency]],Sheet1!$N$4:$Q$186,4,FALSE))</f>
        <v>62000</v>
      </c>
      <c r="G562" s="4">
        <f>IF(Dashboard!$J$5=VLOOKUP(tblSalaries[[#This Row],[Currency]],Sheet3!$A$2:$B$31,2,FALSE),tblSalaries[[#This Row],[clean Salary (in local currency)]],(tblSalaries[[#This Row],[PPP Adjusted  USD]]/VLOOKUP(Dashboard!$J$5,Sheet3!$B$2:$C$31,2,FALSE)))</f>
        <v>62000</v>
      </c>
      <c r="H562" t="s">
        <v>1986</v>
      </c>
      <c r="I562" t="s">
        <v>603</v>
      </c>
      <c r="J562" t="s">
        <v>613</v>
      </c>
      <c r="K562" t="s">
        <v>617</v>
      </c>
      <c r="L562">
        <v>20</v>
      </c>
    </row>
    <row r="563" spans="2:12" ht="15" customHeight="1">
      <c r="B563" t="s">
        <v>2176</v>
      </c>
      <c r="C563">
        <v>62000</v>
      </c>
      <c r="D563" t="s">
        <v>252</v>
      </c>
      <c r="E563">
        <v>62000</v>
      </c>
      <c r="F563" s="3">
        <f>(tblSalaries[[#This Row],[clean Salary (in local currency)]])*(VLOOKUP(tblSalaries[[#This Row],[Currency]],Sheet3!$A$2:$C$31,3,FALSE))*(VLOOKUP(tblSalaries[[#This Row],[Currency]],Sheet1!$N$4:$Q$186,4,FALSE))</f>
        <v>62000</v>
      </c>
      <c r="G563" s="4">
        <f>IF(Dashboard!$J$5=VLOOKUP(tblSalaries[[#This Row],[Currency]],Sheet3!$A$2:$B$31,2,FALSE),tblSalaries[[#This Row],[clean Salary (in local currency)]],(tblSalaries[[#This Row],[PPP Adjusted  USD]]/VLOOKUP(Dashboard!$J$5,Sheet3!$B$2:$C$31,2,FALSE)))</f>
        <v>62000</v>
      </c>
      <c r="H563" t="s">
        <v>2177</v>
      </c>
      <c r="I563" t="s">
        <v>625</v>
      </c>
      <c r="J563" t="s">
        <v>2178</v>
      </c>
      <c r="K563" t="s">
        <v>610</v>
      </c>
      <c r="L563">
        <v>11</v>
      </c>
    </row>
    <row r="564" spans="2:12" ht="15" customHeight="1">
      <c r="B564" t="s">
        <v>2991</v>
      </c>
      <c r="C564">
        <v>62000</v>
      </c>
      <c r="D564" t="s">
        <v>252</v>
      </c>
      <c r="E564">
        <v>62000</v>
      </c>
      <c r="F564" s="3">
        <f>(tblSalaries[[#This Row],[clean Salary (in local currency)]])*(VLOOKUP(tblSalaries[[#This Row],[Currency]],Sheet3!$A$2:$C$31,3,FALSE))*(VLOOKUP(tblSalaries[[#This Row],[Currency]],Sheet1!$N$4:$Q$186,4,FALSE))</f>
        <v>62000</v>
      </c>
      <c r="G564" s="4">
        <f>IF(Dashboard!$J$5=VLOOKUP(tblSalaries[[#This Row],[Currency]],Sheet3!$A$2:$B$31,2,FALSE),tblSalaries[[#This Row],[clean Salary (in local currency)]],(tblSalaries[[#This Row],[PPP Adjusted  USD]]/VLOOKUP(Dashboard!$J$5,Sheet3!$B$2:$C$31,2,FALSE)))</f>
        <v>62000</v>
      </c>
      <c r="H564" t="s">
        <v>2992</v>
      </c>
      <c r="I564" t="s">
        <v>640</v>
      </c>
      <c r="J564" t="s">
        <v>613</v>
      </c>
      <c r="K564" t="s">
        <v>610</v>
      </c>
      <c r="L564">
        <v>25</v>
      </c>
    </row>
    <row r="565" spans="2:12" ht="15" customHeight="1">
      <c r="B565" t="s">
        <v>3205</v>
      </c>
      <c r="C565">
        <v>62000</v>
      </c>
      <c r="D565" t="s">
        <v>252</v>
      </c>
      <c r="E565">
        <v>62000</v>
      </c>
      <c r="F565" s="3">
        <f>(tblSalaries[[#This Row],[clean Salary (in local currency)]])*(VLOOKUP(tblSalaries[[#This Row],[Currency]],Sheet3!$A$2:$C$31,3,FALSE))*(VLOOKUP(tblSalaries[[#This Row],[Currency]],Sheet1!$N$4:$Q$186,4,FALSE))</f>
        <v>62000</v>
      </c>
      <c r="G565" s="4">
        <f>IF(Dashboard!$J$5=VLOOKUP(tblSalaries[[#This Row],[Currency]],Sheet3!$A$2:$B$31,2,FALSE),tblSalaries[[#This Row],[clean Salary (in local currency)]],(tblSalaries[[#This Row],[PPP Adjusted  USD]]/VLOOKUP(Dashboard!$J$5,Sheet3!$B$2:$C$31,2,FALSE)))</f>
        <v>62000</v>
      </c>
      <c r="H565" t="s">
        <v>3206</v>
      </c>
      <c r="I565" t="s">
        <v>603</v>
      </c>
      <c r="J565" t="s">
        <v>613</v>
      </c>
      <c r="K565" t="s">
        <v>610</v>
      </c>
      <c r="L565">
        <v>27</v>
      </c>
    </row>
    <row r="566" spans="2:12" ht="15" customHeight="1">
      <c r="B566" t="s">
        <v>3346</v>
      </c>
      <c r="C566">
        <v>62000</v>
      </c>
      <c r="D566" t="s">
        <v>252</v>
      </c>
      <c r="E566">
        <v>62000</v>
      </c>
      <c r="F566" s="3">
        <f>(tblSalaries[[#This Row],[clean Salary (in local currency)]])*(VLOOKUP(tblSalaries[[#This Row],[Currency]],Sheet3!$A$2:$C$31,3,FALSE))*(VLOOKUP(tblSalaries[[#This Row],[Currency]],Sheet1!$N$4:$Q$186,4,FALSE))</f>
        <v>62000</v>
      </c>
      <c r="G566" s="4">
        <f>IF(Dashboard!$J$5=VLOOKUP(tblSalaries[[#This Row],[Currency]],Sheet3!$A$2:$B$31,2,FALSE),tblSalaries[[#This Row],[clean Salary (in local currency)]],(tblSalaries[[#This Row],[PPP Adjusted  USD]]/VLOOKUP(Dashboard!$J$5,Sheet3!$B$2:$C$31,2,FALSE)))</f>
        <v>62000</v>
      </c>
      <c r="H566" t="s">
        <v>612</v>
      </c>
      <c r="I566" t="s">
        <v>603</v>
      </c>
      <c r="J566" t="s">
        <v>613</v>
      </c>
      <c r="K566" t="s">
        <v>617</v>
      </c>
      <c r="L566">
        <v>5</v>
      </c>
    </row>
    <row r="567" spans="2:12" ht="15" customHeight="1">
      <c r="B567" t="s">
        <v>3464</v>
      </c>
      <c r="C567">
        <v>62000</v>
      </c>
      <c r="D567" t="s">
        <v>252</v>
      </c>
      <c r="E567">
        <v>62000</v>
      </c>
      <c r="F567" s="3">
        <f>(tblSalaries[[#This Row],[clean Salary (in local currency)]])*(VLOOKUP(tblSalaries[[#This Row],[Currency]],Sheet3!$A$2:$C$31,3,FALSE))*(VLOOKUP(tblSalaries[[#This Row],[Currency]],Sheet1!$N$4:$Q$186,4,FALSE))</f>
        <v>62000</v>
      </c>
      <c r="G567" s="4">
        <f>IF(Dashboard!$J$5=VLOOKUP(tblSalaries[[#This Row],[Currency]],Sheet3!$A$2:$B$31,2,FALSE),tblSalaries[[#This Row],[clean Salary (in local currency)]],(tblSalaries[[#This Row],[PPP Adjusted  USD]]/VLOOKUP(Dashboard!$J$5,Sheet3!$B$2:$C$31,2,FALSE)))</f>
        <v>62000</v>
      </c>
      <c r="H567" t="s">
        <v>619</v>
      </c>
      <c r="I567" t="s">
        <v>620</v>
      </c>
      <c r="J567" t="s">
        <v>613</v>
      </c>
      <c r="K567" t="s">
        <v>617</v>
      </c>
      <c r="L567">
        <v>12</v>
      </c>
    </row>
    <row r="568" spans="2:12" ht="15" customHeight="1">
      <c r="B568" t="s">
        <v>3800</v>
      </c>
      <c r="C568">
        <v>62000</v>
      </c>
      <c r="D568" t="s">
        <v>252</v>
      </c>
      <c r="E568">
        <v>62000</v>
      </c>
      <c r="F568" s="3">
        <f>(tblSalaries[[#This Row],[clean Salary (in local currency)]])*(VLOOKUP(tblSalaries[[#This Row],[Currency]],Sheet3!$A$2:$C$31,3,FALSE))*(VLOOKUP(tblSalaries[[#This Row],[Currency]],Sheet1!$N$4:$Q$186,4,FALSE))</f>
        <v>62000</v>
      </c>
      <c r="G568" s="4">
        <f>IF(Dashboard!$J$5=VLOOKUP(tblSalaries[[#This Row],[Currency]],Sheet3!$A$2:$B$31,2,FALSE),tblSalaries[[#This Row],[clean Salary (in local currency)]],(tblSalaries[[#This Row],[PPP Adjusted  USD]]/VLOOKUP(Dashboard!$J$5,Sheet3!$B$2:$C$31,2,FALSE)))</f>
        <v>62000</v>
      </c>
      <c r="H568" t="s">
        <v>603</v>
      </c>
      <c r="I568" t="s">
        <v>603</v>
      </c>
      <c r="J568" t="s">
        <v>613</v>
      </c>
      <c r="K568" t="s">
        <v>605</v>
      </c>
      <c r="L568">
        <v>4</v>
      </c>
    </row>
    <row r="569" spans="2:12" ht="15" customHeight="1">
      <c r="B569" t="s">
        <v>3421</v>
      </c>
      <c r="C569">
        <v>42000</v>
      </c>
      <c r="D569" t="s">
        <v>204</v>
      </c>
      <c r="E569">
        <v>66199.48742682593</v>
      </c>
      <c r="F569" s="3">
        <f>(tblSalaries[[#This Row],[clean Salary (in local currency)]])*(VLOOKUP(tblSalaries[[#This Row],[Currency]],Sheet3!$A$2:$C$31,3,FALSE))*(VLOOKUP(tblSalaries[[#This Row],[Currency]],Sheet1!$N$4:$Q$186,4,FALSE))</f>
        <v>61906.790609177951</v>
      </c>
      <c r="G569" s="4">
        <f>IF(Dashboard!$J$5=VLOOKUP(tblSalaries[[#This Row],[Currency]],Sheet3!$A$2:$B$31,2,FALSE),tblSalaries[[#This Row],[clean Salary (in local currency)]],(tblSalaries[[#This Row],[PPP Adjusted  USD]]/VLOOKUP(Dashboard!$J$5,Sheet3!$B$2:$C$31,2,FALSE)))</f>
        <v>61906.790609177951</v>
      </c>
      <c r="H569" t="s">
        <v>1827</v>
      </c>
      <c r="I569" t="s">
        <v>625</v>
      </c>
      <c r="J569" t="s">
        <v>687</v>
      </c>
      <c r="K569" t="s">
        <v>605</v>
      </c>
      <c r="L569">
        <v>23</v>
      </c>
    </row>
    <row r="570" spans="2:12" ht="15" customHeight="1">
      <c r="B570" t="s">
        <v>3637</v>
      </c>
      <c r="C570">
        <v>78000</v>
      </c>
      <c r="D570" t="s">
        <v>276</v>
      </c>
      <c r="E570">
        <v>76702.198796365497</v>
      </c>
      <c r="F570" s="3">
        <f>(tblSalaries[[#This Row],[clean Salary (in local currency)]])*(VLOOKUP(tblSalaries[[#This Row],[Currency]],Sheet3!$A$2:$C$31,3,FALSE))*(VLOOKUP(tblSalaries[[#This Row],[Currency]],Sheet1!$N$4:$Q$186,4,FALSE))</f>
        <v>61654.803849782889</v>
      </c>
      <c r="G570" s="4">
        <f>IF(Dashboard!$J$5=VLOOKUP(tblSalaries[[#This Row],[Currency]],Sheet3!$A$2:$B$31,2,FALSE),tblSalaries[[#This Row],[clean Salary (in local currency)]],(tblSalaries[[#This Row],[PPP Adjusted  USD]]/VLOOKUP(Dashboard!$J$5,Sheet3!$B$2:$C$31,2,FALSE)))</f>
        <v>61654.803849782889</v>
      </c>
      <c r="H570" t="s">
        <v>3638</v>
      </c>
      <c r="I570" t="s">
        <v>603</v>
      </c>
      <c r="J570" t="s">
        <v>708</v>
      </c>
      <c r="K570" t="s">
        <v>610</v>
      </c>
      <c r="L570">
        <v>4</v>
      </c>
    </row>
    <row r="571" spans="2:12" ht="15" customHeight="1">
      <c r="B571" t="s">
        <v>948</v>
      </c>
      <c r="C571">
        <v>1300000</v>
      </c>
      <c r="D571" t="s">
        <v>247</v>
      </c>
      <c r="E571">
        <v>23150.291693675339</v>
      </c>
      <c r="F571" s="3">
        <f>(tblSalaries[[#This Row],[clean Salary (in local currency)]])*(VLOOKUP(tblSalaries[[#This Row],[Currency]],Sheet3!$A$2:$C$31,3,FALSE))*(VLOOKUP(tblSalaries[[#This Row],[Currency]],Sheet1!$N$4:$Q$186,4,FALSE))</f>
        <v>61569.329053307993</v>
      </c>
      <c r="G571" s="4">
        <f>IF(Dashboard!$J$5=VLOOKUP(tblSalaries[[#This Row],[Currency]],Sheet3!$A$2:$B$31,2,FALSE),tblSalaries[[#This Row],[clean Salary (in local currency)]],(tblSalaries[[#This Row],[PPP Adjusted  USD]]/VLOOKUP(Dashboard!$J$5,Sheet3!$B$2:$C$31,2,FALSE)))</f>
        <v>61569.329053307993</v>
      </c>
      <c r="H571" t="s">
        <v>625</v>
      </c>
      <c r="I571" t="s">
        <v>625</v>
      </c>
      <c r="J571" t="s">
        <v>604</v>
      </c>
      <c r="K571" t="s">
        <v>605</v>
      </c>
      <c r="L571" t="s">
        <v>3847</v>
      </c>
    </row>
    <row r="572" spans="2:12" ht="15" customHeight="1">
      <c r="B572" t="s">
        <v>2228</v>
      </c>
      <c r="C572">
        <v>1300000</v>
      </c>
      <c r="D572" t="s">
        <v>247</v>
      </c>
      <c r="E572">
        <v>23150.291693675339</v>
      </c>
      <c r="F572" s="3">
        <f>(tblSalaries[[#This Row],[clean Salary (in local currency)]])*(VLOOKUP(tblSalaries[[#This Row],[Currency]],Sheet3!$A$2:$C$31,3,FALSE))*(VLOOKUP(tblSalaries[[#This Row],[Currency]],Sheet1!$N$4:$Q$186,4,FALSE))</f>
        <v>61569.329053307993</v>
      </c>
      <c r="G572" s="4">
        <f>IF(Dashboard!$J$5=VLOOKUP(tblSalaries[[#This Row],[Currency]],Sheet3!$A$2:$B$31,2,FALSE),tblSalaries[[#This Row],[clean Salary (in local currency)]],(tblSalaries[[#This Row],[PPP Adjusted  USD]]/VLOOKUP(Dashboard!$J$5,Sheet3!$B$2:$C$31,2,FALSE)))</f>
        <v>61569.329053307993</v>
      </c>
      <c r="H572" t="s">
        <v>2229</v>
      </c>
      <c r="I572" t="s">
        <v>625</v>
      </c>
      <c r="J572" t="s">
        <v>604</v>
      </c>
      <c r="K572" t="s">
        <v>627</v>
      </c>
      <c r="L572">
        <v>3</v>
      </c>
    </row>
    <row r="573" spans="2:12" ht="15" customHeight="1">
      <c r="B573" t="s">
        <v>3598</v>
      </c>
      <c r="C573">
        <v>1300000</v>
      </c>
      <c r="D573" t="s">
        <v>247</v>
      </c>
      <c r="E573">
        <v>23150.291693675339</v>
      </c>
      <c r="F573" s="3">
        <f>(tblSalaries[[#This Row],[clean Salary (in local currency)]])*(VLOOKUP(tblSalaries[[#This Row],[Currency]],Sheet3!$A$2:$C$31,3,FALSE))*(VLOOKUP(tblSalaries[[#This Row],[Currency]],Sheet1!$N$4:$Q$186,4,FALSE))</f>
        <v>61569.329053307993</v>
      </c>
      <c r="G573" s="4">
        <f>IF(Dashboard!$J$5=VLOOKUP(tblSalaries[[#This Row],[Currency]],Sheet3!$A$2:$B$31,2,FALSE),tblSalaries[[#This Row],[clean Salary (in local currency)]],(tblSalaries[[#This Row],[PPP Adjusted  USD]]/VLOOKUP(Dashboard!$J$5,Sheet3!$B$2:$C$31,2,FALSE)))</f>
        <v>61569.329053307993</v>
      </c>
      <c r="H573" t="s">
        <v>625</v>
      </c>
      <c r="I573" t="s">
        <v>625</v>
      </c>
      <c r="J573" t="s">
        <v>604</v>
      </c>
      <c r="K573" t="s">
        <v>610</v>
      </c>
      <c r="L573">
        <v>9</v>
      </c>
    </row>
    <row r="574" spans="2:12" ht="15" customHeight="1">
      <c r="B574" t="s">
        <v>746</v>
      </c>
      <c r="C574">
        <v>61000</v>
      </c>
      <c r="D574" t="s">
        <v>252</v>
      </c>
      <c r="E574">
        <v>61000</v>
      </c>
      <c r="F574" s="3">
        <f>(tblSalaries[[#This Row],[clean Salary (in local currency)]])*(VLOOKUP(tblSalaries[[#This Row],[Currency]],Sheet3!$A$2:$C$31,3,FALSE))*(VLOOKUP(tblSalaries[[#This Row],[Currency]],Sheet1!$N$4:$Q$186,4,FALSE))</f>
        <v>61000</v>
      </c>
      <c r="G574" s="4">
        <f>IF(Dashboard!$J$5=VLOOKUP(tblSalaries[[#This Row],[Currency]],Sheet3!$A$2:$B$31,2,FALSE),tblSalaries[[#This Row],[clean Salary (in local currency)]],(tblSalaries[[#This Row],[PPP Adjusted  USD]]/VLOOKUP(Dashboard!$J$5,Sheet3!$B$2:$C$31,2,FALSE)))</f>
        <v>61000</v>
      </c>
      <c r="H574" t="s">
        <v>747</v>
      </c>
      <c r="I574" t="s">
        <v>625</v>
      </c>
      <c r="J574" t="s">
        <v>748</v>
      </c>
      <c r="K574" t="s">
        <v>610</v>
      </c>
      <c r="L574" t="s">
        <v>3847</v>
      </c>
    </row>
    <row r="575" spans="2:12" ht="15" customHeight="1">
      <c r="B575" t="s">
        <v>1244</v>
      </c>
      <c r="C575">
        <v>61000</v>
      </c>
      <c r="D575" t="s">
        <v>252</v>
      </c>
      <c r="E575">
        <v>61000</v>
      </c>
      <c r="F575" s="3">
        <f>(tblSalaries[[#This Row],[clean Salary (in local currency)]])*(VLOOKUP(tblSalaries[[#This Row],[Currency]],Sheet3!$A$2:$C$31,3,FALSE))*(VLOOKUP(tblSalaries[[#This Row],[Currency]],Sheet1!$N$4:$Q$186,4,FALSE))</f>
        <v>61000</v>
      </c>
      <c r="G575" s="4">
        <f>IF(Dashboard!$J$5=VLOOKUP(tblSalaries[[#This Row],[Currency]],Sheet3!$A$2:$B$31,2,FALSE),tblSalaries[[#This Row],[clean Salary (in local currency)]],(tblSalaries[[#This Row],[PPP Adjusted  USD]]/VLOOKUP(Dashboard!$J$5,Sheet3!$B$2:$C$31,2,FALSE)))</f>
        <v>61000</v>
      </c>
      <c r="H575" t="s">
        <v>811</v>
      </c>
      <c r="I575" t="s">
        <v>603</v>
      </c>
      <c r="J575" t="s">
        <v>613</v>
      </c>
      <c r="K575" t="s">
        <v>627</v>
      </c>
      <c r="L575" t="s">
        <v>3847</v>
      </c>
    </row>
    <row r="576" spans="2:12" ht="15" customHeight="1">
      <c r="B576" t="s">
        <v>1575</v>
      </c>
      <c r="C576">
        <v>61000</v>
      </c>
      <c r="D576" t="s">
        <v>252</v>
      </c>
      <c r="E576">
        <v>61000</v>
      </c>
      <c r="F576" s="3">
        <f>(tblSalaries[[#This Row],[clean Salary (in local currency)]])*(VLOOKUP(tblSalaries[[#This Row],[Currency]],Sheet3!$A$2:$C$31,3,FALSE))*(VLOOKUP(tblSalaries[[#This Row],[Currency]],Sheet1!$N$4:$Q$186,4,FALSE))</f>
        <v>61000</v>
      </c>
      <c r="G576" s="4">
        <f>IF(Dashboard!$J$5=VLOOKUP(tblSalaries[[#This Row],[Currency]],Sheet3!$A$2:$B$31,2,FALSE),tblSalaries[[#This Row],[clean Salary (in local currency)]],(tblSalaries[[#This Row],[PPP Adjusted  USD]]/VLOOKUP(Dashboard!$J$5,Sheet3!$B$2:$C$31,2,FALSE)))</f>
        <v>61000</v>
      </c>
      <c r="H576" t="s">
        <v>710</v>
      </c>
      <c r="I576" t="s">
        <v>637</v>
      </c>
      <c r="J576" t="s">
        <v>613</v>
      </c>
      <c r="K576" t="s">
        <v>605</v>
      </c>
      <c r="L576" t="s">
        <v>3847</v>
      </c>
    </row>
    <row r="577" spans="2:12" ht="15" customHeight="1">
      <c r="B577" t="s">
        <v>1734</v>
      </c>
      <c r="C577">
        <v>61000</v>
      </c>
      <c r="D577" t="s">
        <v>252</v>
      </c>
      <c r="E577">
        <v>61000</v>
      </c>
      <c r="F577" s="3">
        <f>(tblSalaries[[#This Row],[clean Salary (in local currency)]])*(VLOOKUP(tblSalaries[[#This Row],[Currency]],Sheet3!$A$2:$C$31,3,FALSE))*(VLOOKUP(tblSalaries[[#This Row],[Currency]],Sheet1!$N$4:$Q$186,4,FALSE))</f>
        <v>61000</v>
      </c>
      <c r="G577" s="4">
        <f>IF(Dashboard!$J$5=VLOOKUP(tblSalaries[[#This Row],[Currency]],Sheet3!$A$2:$B$31,2,FALSE),tblSalaries[[#This Row],[clean Salary (in local currency)]],(tblSalaries[[#This Row],[PPP Adjusted  USD]]/VLOOKUP(Dashboard!$J$5,Sheet3!$B$2:$C$31,2,FALSE)))</f>
        <v>61000</v>
      </c>
      <c r="H577" t="s">
        <v>1735</v>
      </c>
      <c r="I577" t="s">
        <v>625</v>
      </c>
      <c r="J577" t="s">
        <v>613</v>
      </c>
      <c r="K577" t="s">
        <v>605</v>
      </c>
      <c r="L577">
        <v>5</v>
      </c>
    </row>
    <row r="578" spans="2:12" ht="15" customHeight="1">
      <c r="B578" t="s">
        <v>2693</v>
      </c>
      <c r="C578">
        <v>61000</v>
      </c>
      <c r="D578" t="s">
        <v>252</v>
      </c>
      <c r="E578">
        <v>61000</v>
      </c>
      <c r="F578" s="3">
        <f>(tblSalaries[[#This Row],[clean Salary (in local currency)]])*(VLOOKUP(tblSalaries[[#This Row],[Currency]],Sheet3!$A$2:$C$31,3,FALSE))*(VLOOKUP(tblSalaries[[#This Row],[Currency]],Sheet1!$N$4:$Q$186,4,FALSE))</f>
        <v>61000</v>
      </c>
      <c r="G578" s="4">
        <f>IF(Dashboard!$J$5=VLOOKUP(tblSalaries[[#This Row],[Currency]],Sheet3!$A$2:$B$31,2,FALSE),tblSalaries[[#This Row],[clean Salary (in local currency)]],(tblSalaries[[#This Row],[PPP Adjusted  USD]]/VLOOKUP(Dashboard!$J$5,Sheet3!$B$2:$C$31,2,FALSE)))</f>
        <v>61000</v>
      </c>
      <c r="H578" t="s">
        <v>612</v>
      </c>
      <c r="I578" t="s">
        <v>603</v>
      </c>
      <c r="J578" t="s">
        <v>613</v>
      </c>
      <c r="K578" t="s">
        <v>605</v>
      </c>
      <c r="L578">
        <v>1.5</v>
      </c>
    </row>
    <row r="579" spans="2:12" ht="15" customHeight="1">
      <c r="B579" t="s">
        <v>3058</v>
      </c>
      <c r="C579">
        <v>61000</v>
      </c>
      <c r="D579" t="s">
        <v>252</v>
      </c>
      <c r="E579">
        <v>61000</v>
      </c>
      <c r="F579" s="3">
        <f>(tblSalaries[[#This Row],[clean Salary (in local currency)]])*(VLOOKUP(tblSalaries[[#This Row],[Currency]],Sheet3!$A$2:$C$31,3,FALSE))*(VLOOKUP(tblSalaries[[#This Row],[Currency]],Sheet1!$N$4:$Q$186,4,FALSE))</f>
        <v>61000</v>
      </c>
      <c r="G579" s="4">
        <f>IF(Dashboard!$J$5=VLOOKUP(tblSalaries[[#This Row],[Currency]],Sheet3!$A$2:$B$31,2,FALSE),tblSalaries[[#This Row],[clean Salary (in local currency)]],(tblSalaries[[#This Row],[PPP Adjusted  USD]]/VLOOKUP(Dashboard!$J$5,Sheet3!$B$2:$C$31,2,FALSE)))</f>
        <v>61000</v>
      </c>
      <c r="H579" t="s">
        <v>3059</v>
      </c>
      <c r="I579" t="s">
        <v>603</v>
      </c>
      <c r="J579" t="s">
        <v>613</v>
      </c>
      <c r="K579" t="s">
        <v>605</v>
      </c>
      <c r="L579">
        <v>12</v>
      </c>
    </row>
    <row r="580" spans="2:12" ht="15" customHeight="1">
      <c r="B580" t="s">
        <v>3075</v>
      </c>
      <c r="C580">
        <v>61000</v>
      </c>
      <c r="D580" t="s">
        <v>252</v>
      </c>
      <c r="E580">
        <v>61000</v>
      </c>
      <c r="F580" s="3">
        <f>(tblSalaries[[#This Row],[clean Salary (in local currency)]])*(VLOOKUP(tblSalaries[[#This Row],[Currency]],Sheet3!$A$2:$C$31,3,FALSE))*(VLOOKUP(tblSalaries[[#This Row],[Currency]],Sheet1!$N$4:$Q$186,4,FALSE))</f>
        <v>61000</v>
      </c>
      <c r="G580" s="4">
        <f>IF(Dashboard!$J$5=VLOOKUP(tblSalaries[[#This Row],[Currency]],Sheet3!$A$2:$B$31,2,FALSE),tblSalaries[[#This Row],[clean Salary (in local currency)]],(tblSalaries[[#This Row],[PPP Adjusted  USD]]/VLOOKUP(Dashboard!$J$5,Sheet3!$B$2:$C$31,2,FALSE)))</f>
        <v>61000</v>
      </c>
      <c r="H580" t="s">
        <v>3076</v>
      </c>
      <c r="I580" t="s">
        <v>625</v>
      </c>
      <c r="J580" t="s">
        <v>613</v>
      </c>
      <c r="K580" t="s">
        <v>617</v>
      </c>
      <c r="L580">
        <v>25</v>
      </c>
    </row>
    <row r="581" spans="2:12" ht="15" customHeight="1">
      <c r="B581" t="s">
        <v>3170</v>
      </c>
      <c r="C581">
        <v>61000</v>
      </c>
      <c r="D581" t="s">
        <v>252</v>
      </c>
      <c r="E581">
        <v>61000</v>
      </c>
      <c r="F581" s="3">
        <f>(tblSalaries[[#This Row],[clean Salary (in local currency)]])*(VLOOKUP(tblSalaries[[#This Row],[Currency]],Sheet3!$A$2:$C$31,3,FALSE))*(VLOOKUP(tblSalaries[[#This Row],[Currency]],Sheet1!$N$4:$Q$186,4,FALSE))</f>
        <v>61000</v>
      </c>
      <c r="G581" s="4">
        <f>IF(Dashboard!$J$5=VLOOKUP(tblSalaries[[#This Row],[Currency]],Sheet3!$A$2:$B$31,2,FALSE),tblSalaries[[#This Row],[clean Salary (in local currency)]],(tblSalaries[[#This Row],[PPP Adjusted  USD]]/VLOOKUP(Dashboard!$J$5,Sheet3!$B$2:$C$31,2,FALSE)))</f>
        <v>61000</v>
      </c>
      <c r="H581" t="s">
        <v>612</v>
      </c>
      <c r="I581" t="s">
        <v>603</v>
      </c>
      <c r="J581" t="s">
        <v>613</v>
      </c>
      <c r="K581" t="s">
        <v>605</v>
      </c>
      <c r="L581">
        <v>5</v>
      </c>
    </row>
    <row r="582" spans="2:12" ht="15" customHeight="1">
      <c r="B582" t="s">
        <v>3003</v>
      </c>
      <c r="C582">
        <v>60800</v>
      </c>
      <c r="D582" t="s">
        <v>252</v>
      </c>
      <c r="E582">
        <v>60800</v>
      </c>
      <c r="F582" s="3">
        <f>(tblSalaries[[#This Row],[clean Salary (in local currency)]])*(VLOOKUP(tblSalaries[[#This Row],[Currency]],Sheet3!$A$2:$C$31,3,FALSE))*(VLOOKUP(tblSalaries[[#This Row],[Currency]],Sheet1!$N$4:$Q$186,4,FALSE))</f>
        <v>60800</v>
      </c>
      <c r="G582" s="4">
        <f>IF(Dashboard!$J$5=VLOOKUP(tblSalaries[[#This Row],[Currency]],Sheet3!$A$2:$B$31,2,FALSE),tblSalaries[[#This Row],[clean Salary (in local currency)]],(tblSalaries[[#This Row],[PPP Adjusted  USD]]/VLOOKUP(Dashboard!$J$5,Sheet3!$B$2:$C$31,2,FALSE)))</f>
        <v>60800</v>
      </c>
      <c r="H582" t="s">
        <v>3004</v>
      </c>
      <c r="I582" t="s">
        <v>603</v>
      </c>
      <c r="J582" t="s">
        <v>613</v>
      </c>
      <c r="K582" t="s">
        <v>610</v>
      </c>
      <c r="L582">
        <v>10</v>
      </c>
    </row>
    <row r="583" spans="2:12" ht="15" customHeight="1">
      <c r="B583" t="s">
        <v>2617</v>
      </c>
      <c r="C583">
        <v>366252</v>
      </c>
      <c r="D583" t="s">
        <v>400</v>
      </c>
      <c r="E583">
        <v>44654.095718350931</v>
      </c>
      <c r="F583" s="3">
        <f>(tblSalaries[[#This Row],[clean Salary (in local currency)]])*(VLOOKUP(tblSalaries[[#This Row],[Currency]],Sheet3!$A$2:$C$31,3,FALSE))*(VLOOKUP(tblSalaries[[#This Row],[Currency]],Sheet1!$N$4:$Q$186,4,FALSE))</f>
        <v>60746.351819795003</v>
      </c>
      <c r="G583" s="4">
        <f>IF(Dashboard!$J$5=VLOOKUP(tblSalaries[[#This Row],[Currency]],Sheet3!$A$2:$B$31,2,FALSE),tblSalaries[[#This Row],[clean Salary (in local currency)]],(tblSalaries[[#This Row],[PPP Adjusted  USD]]/VLOOKUP(Dashboard!$J$5,Sheet3!$B$2:$C$31,2,FALSE)))</f>
        <v>60746.351819795003</v>
      </c>
      <c r="H583" t="s">
        <v>637</v>
      </c>
      <c r="I583" t="s">
        <v>637</v>
      </c>
      <c r="J583" t="s">
        <v>659</v>
      </c>
      <c r="K583" t="s">
        <v>610</v>
      </c>
      <c r="L583">
        <v>15</v>
      </c>
    </row>
    <row r="584" spans="2:12" ht="15" customHeight="1">
      <c r="B584" t="s">
        <v>1656</v>
      </c>
      <c r="C584">
        <v>55000</v>
      </c>
      <c r="D584" t="s">
        <v>200</v>
      </c>
      <c r="E584">
        <v>69871.969144538423</v>
      </c>
      <c r="F584" s="3">
        <f>(tblSalaries[[#This Row],[clean Salary (in local currency)]])*(VLOOKUP(tblSalaries[[#This Row],[Currency]],Sheet3!$A$2:$C$31,3,FALSE))*(VLOOKUP(tblSalaries[[#This Row],[Currency]],Sheet1!$N$4:$Q$186,4,FALSE))</f>
        <v>60535.908728902868</v>
      </c>
      <c r="G584" s="4">
        <f>IF(Dashboard!$J$5=VLOOKUP(tblSalaries[[#This Row],[Currency]],Sheet3!$A$2:$B$31,2,FALSE),tblSalaries[[#This Row],[clean Salary (in local currency)]],(tblSalaries[[#This Row],[PPP Adjusted  USD]]/VLOOKUP(Dashboard!$J$5,Sheet3!$B$2:$C$31,2,FALSE)))</f>
        <v>60535.908728902868</v>
      </c>
      <c r="H584" t="s">
        <v>1619</v>
      </c>
      <c r="I584" t="s">
        <v>603</v>
      </c>
      <c r="J584" t="s">
        <v>722</v>
      </c>
      <c r="K584" t="s">
        <v>610</v>
      </c>
      <c r="L584">
        <v>6</v>
      </c>
    </row>
    <row r="585" spans="2:12" ht="15" customHeight="1">
      <c r="B585" t="s">
        <v>2009</v>
      </c>
      <c r="C585">
        <v>55000</v>
      </c>
      <c r="D585" t="s">
        <v>200</v>
      </c>
      <c r="E585">
        <v>69871.969144538423</v>
      </c>
      <c r="F585" s="3">
        <f>(tblSalaries[[#This Row],[clean Salary (in local currency)]])*(VLOOKUP(tblSalaries[[#This Row],[Currency]],Sheet3!$A$2:$C$31,3,FALSE))*(VLOOKUP(tblSalaries[[#This Row],[Currency]],Sheet1!$N$4:$Q$186,4,FALSE))</f>
        <v>60535.908728902868</v>
      </c>
      <c r="G585" s="4">
        <f>IF(Dashboard!$J$5=VLOOKUP(tblSalaries[[#This Row],[Currency]],Sheet3!$A$2:$B$31,2,FALSE),tblSalaries[[#This Row],[clean Salary (in local currency)]],(tblSalaries[[#This Row],[PPP Adjusted  USD]]/VLOOKUP(Dashboard!$J$5,Sheet3!$B$2:$C$31,2,FALSE)))</f>
        <v>60535.908728902868</v>
      </c>
      <c r="H585" t="s">
        <v>632</v>
      </c>
      <c r="I585" t="s">
        <v>633</v>
      </c>
      <c r="J585" t="s">
        <v>2010</v>
      </c>
      <c r="K585" t="s">
        <v>617</v>
      </c>
      <c r="L585">
        <v>18</v>
      </c>
    </row>
    <row r="586" spans="2:12" ht="15" customHeight="1">
      <c r="B586" t="s">
        <v>3252</v>
      </c>
      <c r="C586">
        <v>55000</v>
      </c>
      <c r="D586" t="s">
        <v>200</v>
      </c>
      <c r="E586">
        <v>69871.969144538423</v>
      </c>
      <c r="F586" s="3">
        <f>(tblSalaries[[#This Row],[clean Salary (in local currency)]])*(VLOOKUP(tblSalaries[[#This Row],[Currency]],Sheet3!$A$2:$C$31,3,FALSE))*(VLOOKUP(tblSalaries[[#This Row],[Currency]],Sheet1!$N$4:$Q$186,4,FALSE))</f>
        <v>60535.908728902868</v>
      </c>
      <c r="G586" s="4">
        <f>IF(Dashboard!$J$5=VLOOKUP(tblSalaries[[#This Row],[Currency]],Sheet3!$A$2:$B$31,2,FALSE),tblSalaries[[#This Row],[clean Salary (in local currency)]],(tblSalaries[[#This Row],[PPP Adjusted  USD]]/VLOOKUP(Dashboard!$J$5,Sheet3!$B$2:$C$31,2,FALSE)))</f>
        <v>60535.908728902868</v>
      </c>
      <c r="H586" t="s">
        <v>3253</v>
      </c>
      <c r="I586" t="s">
        <v>625</v>
      </c>
      <c r="J586" t="s">
        <v>722</v>
      </c>
      <c r="K586" t="s">
        <v>627</v>
      </c>
      <c r="L586">
        <v>5</v>
      </c>
    </row>
    <row r="587" spans="2:12" ht="15" customHeight="1">
      <c r="B587" t="s">
        <v>672</v>
      </c>
      <c r="C587">
        <v>60000</v>
      </c>
      <c r="D587" t="s">
        <v>252</v>
      </c>
      <c r="E587">
        <v>60000</v>
      </c>
      <c r="F587" s="3">
        <f>(tblSalaries[[#This Row],[clean Salary (in local currency)]])*(VLOOKUP(tblSalaries[[#This Row],[Currency]],Sheet3!$A$2:$C$31,3,FALSE))*(VLOOKUP(tblSalaries[[#This Row],[Currency]],Sheet1!$N$4:$Q$186,4,FALSE))</f>
        <v>60000</v>
      </c>
      <c r="G587" s="4">
        <f>IF(Dashboard!$J$5=VLOOKUP(tblSalaries[[#This Row],[Currency]],Sheet3!$A$2:$B$31,2,FALSE),tblSalaries[[#This Row],[clean Salary (in local currency)]],(tblSalaries[[#This Row],[PPP Adjusted  USD]]/VLOOKUP(Dashboard!$J$5,Sheet3!$B$2:$C$31,2,FALSE)))</f>
        <v>60000</v>
      </c>
      <c r="H587" t="s">
        <v>673</v>
      </c>
      <c r="I587" t="s">
        <v>603</v>
      </c>
      <c r="J587" t="s">
        <v>613</v>
      </c>
      <c r="K587" t="s">
        <v>610</v>
      </c>
      <c r="L587" t="s">
        <v>3847</v>
      </c>
    </row>
    <row r="588" spans="2:12" ht="15" customHeight="1">
      <c r="B588" t="s">
        <v>775</v>
      </c>
      <c r="C588">
        <v>60000</v>
      </c>
      <c r="D588" t="s">
        <v>252</v>
      </c>
      <c r="E588">
        <v>60000</v>
      </c>
      <c r="F588" s="3">
        <f>(tblSalaries[[#This Row],[clean Salary (in local currency)]])*(VLOOKUP(tblSalaries[[#This Row],[Currency]],Sheet3!$A$2:$C$31,3,FALSE))*(VLOOKUP(tblSalaries[[#This Row],[Currency]],Sheet1!$N$4:$Q$186,4,FALSE))</f>
        <v>60000</v>
      </c>
      <c r="G588" s="4">
        <f>IF(Dashboard!$J$5=VLOOKUP(tblSalaries[[#This Row],[Currency]],Sheet3!$A$2:$B$31,2,FALSE),tblSalaries[[#This Row],[clean Salary (in local currency)]],(tblSalaries[[#This Row],[PPP Adjusted  USD]]/VLOOKUP(Dashboard!$J$5,Sheet3!$B$2:$C$31,2,FALSE)))</f>
        <v>60000</v>
      </c>
      <c r="H588" t="s">
        <v>776</v>
      </c>
      <c r="I588" t="s">
        <v>603</v>
      </c>
      <c r="J588" t="s">
        <v>708</v>
      </c>
      <c r="K588" t="s">
        <v>627</v>
      </c>
      <c r="L588" t="s">
        <v>3847</v>
      </c>
    </row>
    <row r="589" spans="2:12" ht="15" customHeight="1">
      <c r="B589" t="s">
        <v>946</v>
      </c>
      <c r="C589">
        <v>60000</v>
      </c>
      <c r="D589" t="s">
        <v>252</v>
      </c>
      <c r="E589">
        <v>60000</v>
      </c>
      <c r="F589" s="3">
        <f>(tblSalaries[[#This Row],[clean Salary (in local currency)]])*(VLOOKUP(tblSalaries[[#This Row],[Currency]],Sheet3!$A$2:$C$31,3,FALSE))*(VLOOKUP(tblSalaries[[#This Row],[Currency]],Sheet1!$N$4:$Q$186,4,FALSE))</f>
        <v>60000</v>
      </c>
      <c r="G589" s="4">
        <f>IF(Dashboard!$J$5=VLOOKUP(tblSalaries[[#This Row],[Currency]],Sheet3!$A$2:$B$31,2,FALSE),tblSalaries[[#This Row],[clean Salary (in local currency)]],(tblSalaries[[#This Row],[PPP Adjusted  USD]]/VLOOKUP(Dashboard!$J$5,Sheet3!$B$2:$C$31,2,FALSE)))</f>
        <v>60000</v>
      </c>
      <c r="H589" t="s">
        <v>947</v>
      </c>
      <c r="I589" t="s">
        <v>603</v>
      </c>
      <c r="J589" t="s">
        <v>613</v>
      </c>
      <c r="K589" t="s">
        <v>605</v>
      </c>
      <c r="L589" t="s">
        <v>3847</v>
      </c>
    </row>
    <row r="590" spans="2:12" ht="15" customHeight="1">
      <c r="B590" t="s">
        <v>988</v>
      </c>
      <c r="C590">
        <v>60000</v>
      </c>
      <c r="D590" t="s">
        <v>252</v>
      </c>
      <c r="E590">
        <v>60000</v>
      </c>
      <c r="F590" s="3">
        <f>(tblSalaries[[#This Row],[clean Salary (in local currency)]])*(VLOOKUP(tblSalaries[[#This Row],[Currency]],Sheet3!$A$2:$C$31,3,FALSE))*(VLOOKUP(tblSalaries[[#This Row],[Currency]],Sheet1!$N$4:$Q$186,4,FALSE))</f>
        <v>60000</v>
      </c>
      <c r="G590" s="4">
        <f>IF(Dashboard!$J$5=VLOOKUP(tblSalaries[[#This Row],[Currency]],Sheet3!$A$2:$B$31,2,FALSE),tblSalaries[[#This Row],[clean Salary (in local currency)]],(tblSalaries[[#This Row],[PPP Adjusted  USD]]/VLOOKUP(Dashboard!$J$5,Sheet3!$B$2:$C$31,2,FALSE)))</f>
        <v>60000</v>
      </c>
      <c r="H590" t="s">
        <v>989</v>
      </c>
      <c r="I590" t="s">
        <v>637</v>
      </c>
      <c r="J590" t="s">
        <v>613</v>
      </c>
      <c r="K590" t="s">
        <v>605</v>
      </c>
      <c r="L590" t="s">
        <v>3847</v>
      </c>
    </row>
    <row r="591" spans="2:12" ht="15" customHeight="1">
      <c r="B591" t="s">
        <v>1000</v>
      </c>
      <c r="C591">
        <v>60000</v>
      </c>
      <c r="D591" t="s">
        <v>252</v>
      </c>
      <c r="E591">
        <v>60000</v>
      </c>
      <c r="F591" s="3">
        <f>(tblSalaries[[#This Row],[clean Salary (in local currency)]])*(VLOOKUP(tblSalaries[[#This Row],[Currency]],Sheet3!$A$2:$C$31,3,FALSE))*(VLOOKUP(tblSalaries[[#This Row],[Currency]],Sheet1!$N$4:$Q$186,4,FALSE))</f>
        <v>60000</v>
      </c>
      <c r="G591" s="4">
        <f>IF(Dashboard!$J$5=VLOOKUP(tblSalaries[[#This Row],[Currency]],Sheet3!$A$2:$B$31,2,FALSE),tblSalaries[[#This Row],[clean Salary (in local currency)]],(tblSalaries[[#This Row],[PPP Adjusted  USD]]/VLOOKUP(Dashboard!$J$5,Sheet3!$B$2:$C$31,2,FALSE)))</f>
        <v>60000</v>
      </c>
      <c r="H591" t="s">
        <v>1001</v>
      </c>
      <c r="I591" t="s">
        <v>603</v>
      </c>
      <c r="J591" t="s">
        <v>613</v>
      </c>
      <c r="K591" t="s">
        <v>605</v>
      </c>
      <c r="L591" t="s">
        <v>3847</v>
      </c>
    </row>
    <row r="592" spans="2:12" ht="15" customHeight="1">
      <c r="B592" t="s">
        <v>1076</v>
      </c>
      <c r="C592">
        <v>60000</v>
      </c>
      <c r="D592" t="s">
        <v>252</v>
      </c>
      <c r="E592">
        <v>60000</v>
      </c>
      <c r="F592" s="3">
        <f>(tblSalaries[[#This Row],[clean Salary (in local currency)]])*(VLOOKUP(tblSalaries[[#This Row],[Currency]],Sheet3!$A$2:$C$31,3,FALSE))*(VLOOKUP(tblSalaries[[#This Row],[Currency]],Sheet1!$N$4:$Q$186,4,FALSE))</f>
        <v>60000</v>
      </c>
      <c r="G592" s="4">
        <f>IF(Dashboard!$J$5=VLOOKUP(tblSalaries[[#This Row],[Currency]],Sheet3!$A$2:$B$31,2,FALSE),tblSalaries[[#This Row],[clean Salary (in local currency)]],(tblSalaries[[#This Row],[PPP Adjusted  USD]]/VLOOKUP(Dashboard!$J$5,Sheet3!$B$2:$C$31,2,FALSE)))</f>
        <v>60000</v>
      </c>
      <c r="H592" t="s">
        <v>1077</v>
      </c>
      <c r="I592" t="s">
        <v>603</v>
      </c>
      <c r="J592" t="s">
        <v>613</v>
      </c>
      <c r="K592" t="s">
        <v>605</v>
      </c>
      <c r="L592" t="s">
        <v>3847</v>
      </c>
    </row>
    <row r="593" spans="2:12" ht="15" customHeight="1">
      <c r="B593" t="s">
        <v>1183</v>
      </c>
      <c r="C593">
        <v>60000</v>
      </c>
      <c r="D593" t="s">
        <v>252</v>
      </c>
      <c r="E593">
        <v>60000</v>
      </c>
      <c r="F593" s="3">
        <f>(tblSalaries[[#This Row],[clean Salary (in local currency)]])*(VLOOKUP(tblSalaries[[#This Row],[Currency]],Sheet3!$A$2:$C$31,3,FALSE))*(VLOOKUP(tblSalaries[[#This Row],[Currency]],Sheet1!$N$4:$Q$186,4,FALSE))</f>
        <v>60000</v>
      </c>
      <c r="G593" s="4">
        <f>IF(Dashboard!$J$5=VLOOKUP(tblSalaries[[#This Row],[Currency]],Sheet3!$A$2:$B$31,2,FALSE),tblSalaries[[#This Row],[clean Salary (in local currency)]],(tblSalaries[[#This Row],[PPP Adjusted  USD]]/VLOOKUP(Dashboard!$J$5,Sheet3!$B$2:$C$31,2,FALSE)))</f>
        <v>60000</v>
      </c>
      <c r="H593" t="s">
        <v>1184</v>
      </c>
      <c r="I593" t="s">
        <v>625</v>
      </c>
      <c r="J593" t="s">
        <v>613</v>
      </c>
      <c r="K593" t="s">
        <v>610</v>
      </c>
      <c r="L593" t="s">
        <v>3847</v>
      </c>
    </row>
    <row r="594" spans="2:12" ht="15" customHeight="1">
      <c r="B594" t="s">
        <v>1222</v>
      </c>
      <c r="C594">
        <v>60000</v>
      </c>
      <c r="D594" t="s">
        <v>252</v>
      </c>
      <c r="E594">
        <v>60000</v>
      </c>
      <c r="F594" s="3">
        <f>(tblSalaries[[#This Row],[clean Salary (in local currency)]])*(VLOOKUP(tblSalaries[[#This Row],[Currency]],Sheet3!$A$2:$C$31,3,FALSE))*(VLOOKUP(tblSalaries[[#This Row],[Currency]],Sheet1!$N$4:$Q$186,4,FALSE))</f>
        <v>60000</v>
      </c>
      <c r="G594" s="4">
        <f>IF(Dashboard!$J$5=VLOOKUP(tblSalaries[[#This Row],[Currency]],Sheet3!$A$2:$B$31,2,FALSE),tblSalaries[[#This Row],[clean Salary (in local currency)]],(tblSalaries[[#This Row],[PPP Adjusted  USD]]/VLOOKUP(Dashboard!$J$5,Sheet3!$B$2:$C$31,2,FALSE)))</f>
        <v>60000</v>
      </c>
      <c r="H594" t="s">
        <v>1223</v>
      </c>
      <c r="I594" t="s">
        <v>603</v>
      </c>
      <c r="J594" t="s">
        <v>613</v>
      </c>
      <c r="K594" t="s">
        <v>605</v>
      </c>
      <c r="L594" t="s">
        <v>3847</v>
      </c>
    </row>
    <row r="595" spans="2:12" ht="15" customHeight="1">
      <c r="B595" t="s">
        <v>1381</v>
      </c>
      <c r="C595">
        <v>60000</v>
      </c>
      <c r="D595" t="s">
        <v>252</v>
      </c>
      <c r="E595">
        <v>60000</v>
      </c>
      <c r="F595" s="3">
        <f>(tblSalaries[[#This Row],[clean Salary (in local currency)]])*(VLOOKUP(tblSalaries[[#This Row],[Currency]],Sheet3!$A$2:$C$31,3,FALSE))*(VLOOKUP(tblSalaries[[#This Row],[Currency]],Sheet1!$N$4:$Q$186,4,FALSE))</f>
        <v>60000</v>
      </c>
      <c r="G595" s="4">
        <f>IF(Dashboard!$J$5=VLOOKUP(tblSalaries[[#This Row],[Currency]],Sheet3!$A$2:$B$31,2,FALSE),tblSalaries[[#This Row],[clean Salary (in local currency)]],(tblSalaries[[#This Row],[PPP Adjusted  USD]]/VLOOKUP(Dashboard!$J$5,Sheet3!$B$2:$C$31,2,FALSE)))</f>
        <v>60000</v>
      </c>
      <c r="H595" t="s">
        <v>1382</v>
      </c>
      <c r="I595" t="s">
        <v>603</v>
      </c>
      <c r="J595" t="s">
        <v>613</v>
      </c>
      <c r="K595" t="s">
        <v>605</v>
      </c>
      <c r="L595" t="s">
        <v>3847</v>
      </c>
    </row>
    <row r="596" spans="2:12" ht="15" customHeight="1">
      <c r="B596" t="s">
        <v>1423</v>
      </c>
      <c r="C596">
        <v>60000</v>
      </c>
      <c r="D596" t="s">
        <v>252</v>
      </c>
      <c r="E596">
        <v>60000</v>
      </c>
      <c r="F596" s="3">
        <f>(tblSalaries[[#This Row],[clean Salary (in local currency)]])*(VLOOKUP(tblSalaries[[#This Row],[Currency]],Sheet3!$A$2:$C$31,3,FALSE))*(VLOOKUP(tblSalaries[[#This Row],[Currency]],Sheet1!$N$4:$Q$186,4,FALSE))</f>
        <v>60000</v>
      </c>
      <c r="G596" s="4">
        <f>IF(Dashboard!$J$5=VLOOKUP(tblSalaries[[#This Row],[Currency]],Sheet3!$A$2:$B$31,2,FALSE),tblSalaries[[#This Row],[clean Salary (in local currency)]],(tblSalaries[[#This Row],[PPP Adjusted  USD]]/VLOOKUP(Dashboard!$J$5,Sheet3!$B$2:$C$31,2,FALSE)))</f>
        <v>60000</v>
      </c>
      <c r="H596" t="s">
        <v>1424</v>
      </c>
      <c r="I596" t="s">
        <v>625</v>
      </c>
      <c r="J596" t="s">
        <v>613</v>
      </c>
      <c r="K596" t="s">
        <v>605</v>
      </c>
      <c r="L596" t="s">
        <v>3847</v>
      </c>
    </row>
    <row r="597" spans="2:12" ht="15" customHeight="1">
      <c r="B597" t="s">
        <v>1468</v>
      </c>
      <c r="C597">
        <v>60000</v>
      </c>
      <c r="D597" t="s">
        <v>252</v>
      </c>
      <c r="E597">
        <v>60000</v>
      </c>
      <c r="F597" s="3">
        <f>(tblSalaries[[#This Row],[clean Salary (in local currency)]])*(VLOOKUP(tblSalaries[[#This Row],[Currency]],Sheet3!$A$2:$C$31,3,FALSE))*(VLOOKUP(tblSalaries[[#This Row],[Currency]],Sheet1!$N$4:$Q$186,4,FALSE))</f>
        <v>60000</v>
      </c>
      <c r="G597" s="4">
        <f>IF(Dashboard!$J$5=VLOOKUP(tblSalaries[[#This Row],[Currency]],Sheet3!$A$2:$B$31,2,FALSE),tblSalaries[[#This Row],[clean Salary (in local currency)]],(tblSalaries[[#This Row],[PPP Adjusted  USD]]/VLOOKUP(Dashboard!$J$5,Sheet3!$B$2:$C$31,2,FALSE)))</f>
        <v>60000</v>
      </c>
      <c r="H597" t="s">
        <v>1469</v>
      </c>
      <c r="I597" t="s">
        <v>603</v>
      </c>
      <c r="J597" t="s">
        <v>613</v>
      </c>
      <c r="K597" t="s">
        <v>610</v>
      </c>
      <c r="L597" t="s">
        <v>3847</v>
      </c>
    </row>
    <row r="598" spans="2:12" ht="15" customHeight="1">
      <c r="B598" t="s">
        <v>1484</v>
      </c>
      <c r="C598">
        <v>60000</v>
      </c>
      <c r="D598" t="s">
        <v>252</v>
      </c>
      <c r="E598">
        <v>60000</v>
      </c>
      <c r="F598" s="3">
        <f>(tblSalaries[[#This Row],[clean Salary (in local currency)]])*(VLOOKUP(tblSalaries[[#This Row],[Currency]],Sheet3!$A$2:$C$31,3,FALSE))*(VLOOKUP(tblSalaries[[#This Row],[Currency]],Sheet1!$N$4:$Q$186,4,FALSE))</f>
        <v>60000</v>
      </c>
      <c r="G598" s="4">
        <f>IF(Dashboard!$J$5=VLOOKUP(tblSalaries[[#This Row],[Currency]],Sheet3!$A$2:$B$31,2,FALSE),tblSalaries[[#This Row],[clean Salary (in local currency)]],(tblSalaries[[#This Row],[PPP Adjusted  USD]]/VLOOKUP(Dashboard!$J$5,Sheet3!$B$2:$C$31,2,FALSE)))</f>
        <v>60000</v>
      </c>
      <c r="H598" t="s">
        <v>1485</v>
      </c>
      <c r="I598" t="s">
        <v>625</v>
      </c>
      <c r="J598" t="s">
        <v>613</v>
      </c>
      <c r="K598" t="s">
        <v>610</v>
      </c>
      <c r="L598" t="s">
        <v>3847</v>
      </c>
    </row>
    <row r="599" spans="2:12" ht="15" customHeight="1">
      <c r="B599" t="s">
        <v>1641</v>
      </c>
      <c r="C599">
        <v>60000</v>
      </c>
      <c r="D599" t="s">
        <v>252</v>
      </c>
      <c r="E599">
        <v>60000</v>
      </c>
      <c r="F599" s="3">
        <f>(tblSalaries[[#This Row],[clean Salary (in local currency)]])*(VLOOKUP(tblSalaries[[#This Row],[Currency]],Sheet3!$A$2:$C$31,3,FALSE))*(VLOOKUP(tblSalaries[[#This Row],[Currency]],Sheet1!$N$4:$Q$186,4,FALSE))</f>
        <v>60000</v>
      </c>
      <c r="G599" s="4">
        <f>IF(Dashboard!$J$5=VLOOKUP(tblSalaries[[#This Row],[Currency]],Sheet3!$A$2:$B$31,2,FALSE),tblSalaries[[#This Row],[clean Salary (in local currency)]],(tblSalaries[[#This Row],[PPP Adjusted  USD]]/VLOOKUP(Dashboard!$J$5,Sheet3!$B$2:$C$31,2,FALSE)))</f>
        <v>60000</v>
      </c>
      <c r="H599" t="s">
        <v>1642</v>
      </c>
      <c r="I599" t="s">
        <v>640</v>
      </c>
      <c r="J599" t="s">
        <v>613</v>
      </c>
      <c r="K599" t="s">
        <v>627</v>
      </c>
      <c r="L599" t="s">
        <v>3847</v>
      </c>
    </row>
    <row r="600" spans="2:12" ht="15" customHeight="1">
      <c r="B600" t="s">
        <v>1764</v>
      </c>
      <c r="C600">
        <v>60000</v>
      </c>
      <c r="D600" t="s">
        <v>252</v>
      </c>
      <c r="E600">
        <v>60000</v>
      </c>
      <c r="F600" s="3">
        <f>(tblSalaries[[#This Row],[clean Salary (in local currency)]])*(VLOOKUP(tblSalaries[[#This Row],[Currency]],Sheet3!$A$2:$C$31,3,FALSE))*(VLOOKUP(tblSalaries[[#This Row],[Currency]],Sheet1!$N$4:$Q$186,4,FALSE))</f>
        <v>60000</v>
      </c>
      <c r="G600" s="4">
        <f>IF(Dashboard!$J$5=VLOOKUP(tblSalaries[[#This Row],[Currency]],Sheet3!$A$2:$B$31,2,FALSE),tblSalaries[[#This Row],[clean Salary (in local currency)]],(tblSalaries[[#This Row],[PPP Adjusted  USD]]/VLOOKUP(Dashboard!$J$5,Sheet3!$B$2:$C$31,2,FALSE)))</f>
        <v>60000</v>
      </c>
      <c r="H600" t="s">
        <v>648</v>
      </c>
      <c r="I600" t="s">
        <v>603</v>
      </c>
      <c r="J600" t="s">
        <v>613</v>
      </c>
      <c r="K600" t="s">
        <v>605</v>
      </c>
      <c r="L600">
        <v>12</v>
      </c>
    </row>
    <row r="601" spans="2:12" ht="15" customHeight="1">
      <c r="B601" t="s">
        <v>1929</v>
      </c>
      <c r="C601">
        <v>60000</v>
      </c>
      <c r="D601" t="s">
        <v>252</v>
      </c>
      <c r="E601">
        <v>60000</v>
      </c>
      <c r="F601" s="3">
        <f>(tblSalaries[[#This Row],[clean Salary (in local currency)]])*(VLOOKUP(tblSalaries[[#This Row],[Currency]],Sheet3!$A$2:$C$31,3,FALSE))*(VLOOKUP(tblSalaries[[#This Row],[Currency]],Sheet1!$N$4:$Q$186,4,FALSE))</f>
        <v>60000</v>
      </c>
      <c r="G601" s="4">
        <f>IF(Dashboard!$J$5=VLOOKUP(tblSalaries[[#This Row],[Currency]],Sheet3!$A$2:$B$31,2,FALSE),tblSalaries[[#This Row],[clean Salary (in local currency)]],(tblSalaries[[#This Row],[PPP Adjusted  USD]]/VLOOKUP(Dashboard!$J$5,Sheet3!$B$2:$C$31,2,FALSE)))</f>
        <v>60000</v>
      </c>
      <c r="H601" t="s">
        <v>625</v>
      </c>
      <c r="I601" t="s">
        <v>625</v>
      </c>
      <c r="J601" t="s">
        <v>683</v>
      </c>
      <c r="K601" t="s">
        <v>605</v>
      </c>
      <c r="L601">
        <v>10</v>
      </c>
    </row>
    <row r="602" spans="2:12" ht="15" customHeight="1">
      <c r="B602" t="s">
        <v>2066</v>
      </c>
      <c r="C602">
        <v>60000</v>
      </c>
      <c r="D602" t="s">
        <v>252</v>
      </c>
      <c r="E602">
        <v>60000</v>
      </c>
      <c r="F602" s="3">
        <f>(tblSalaries[[#This Row],[clean Salary (in local currency)]])*(VLOOKUP(tblSalaries[[#This Row],[Currency]],Sheet3!$A$2:$C$31,3,FALSE))*(VLOOKUP(tblSalaries[[#This Row],[Currency]],Sheet1!$N$4:$Q$186,4,FALSE))</f>
        <v>60000</v>
      </c>
      <c r="G602" s="4">
        <f>IF(Dashboard!$J$5=VLOOKUP(tblSalaries[[#This Row],[Currency]],Sheet3!$A$2:$B$31,2,FALSE),tblSalaries[[#This Row],[clean Salary (in local currency)]],(tblSalaries[[#This Row],[PPP Adjusted  USD]]/VLOOKUP(Dashboard!$J$5,Sheet3!$B$2:$C$31,2,FALSE)))</f>
        <v>60000</v>
      </c>
      <c r="H602" t="s">
        <v>1894</v>
      </c>
      <c r="I602" t="s">
        <v>625</v>
      </c>
      <c r="J602" t="s">
        <v>770</v>
      </c>
      <c r="K602" t="s">
        <v>617</v>
      </c>
      <c r="L602">
        <v>15</v>
      </c>
    </row>
    <row r="603" spans="2:12" ht="15" customHeight="1">
      <c r="B603" t="s">
        <v>2166</v>
      </c>
      <c r="C603">
        <v>60000</v>
      </c>
      <c r="D603" t="s">
        <v>252</v>
      </c>
      <c r="E603">
        <v>60000</v>
      </c>
      <c r="F603" s="3">
        <f>(tblSalaries[[#This Row],[clean Salary (in local currency)]])*(VLOOKUP(tblSalaries[[#This Row],[Currency]],Sheet3!$A$2:$C$31,3,FALSE))*(VLOOKUP(tblSalaries[[#This Row],[Currency]],Sheet1!$N$4:$Q$186,4,FALSE))</f>
        <v>60000</v>
      </c>
      <c r="G603" s="4">
        <f>IF(Dashboard!$J$5=VLOOKUP(tblSalaries[[#This Row],[Currency]],Sheet3!$A$2:$B$31,2,FALSE),tblSalaries[[#This Row],[clean Salary (in local currency)]],(tblSalaries[[#This Row],[PPP Adjusted  USD]]/VLOOKUP(Dashboard!$J$5,Sheet3!$B$2:$C$31,2,FALSE)))</f>
        <v>60000</v>
      </c>
      <c r="H603" t="s">
        <v>2167</v>
      </c>
      <c r="I603" t="s">
        <v>603</v>
      </c>
      <c r="J603" t="s">
        <v>613</v>
      </c>
      <c r="K603" t="s">
        <v>617</v>
      </c>
      <c r="L603">
        <v>8</v>
      </c>
    </row>
    <row r="604" spans="2:12" ht="15" customHeight="1">
      <c r="B604" t="s">
        <v>2226</v>
      </c>
      <c r="C604">
        <v>60000</v>
      </c>
      <c r="D604" t="s">
        <v>252</v>
      </c>
      <c r="E604">
        <v>60000</v>
      </c>
      <c r="F604" s="3">
        <f>(tblSalaries[[#This Row],[clean Salary (in local currency)]])*(VLOOKUP(tblSalaries[[#This Row],[Currency]],Sheet3!$A$2:$C$31,3,FALSE))*(VLOOKUP(tblSalaries[[#This Row],[Currency]],Sheet1!$N$4:$Q$186,4,FALSE))</f>
        <v>60000</v>
      </c>
      <c r="G604" s="4">
        <f>IF(Dashboard!$J$5=VLOOKUP(tblSalaries[[#This Row],[Currency]],Sheet3!$A$2:$B$31,2,FALSE),tblSalaries[[#This Row],[clean Salary (in local currency)]],(tblSalaries[[#This Row],[PPP Adjusted  USD]]/VLOOKUP(Dashboard!$J$5,Sheet3!$B$2:$C$31,2,FALSE)))</f>
        <v>60000</v>
      </c>
      <c r="H604" t="s">
        <v>2227</v>
      </c>
      <c r="I604" t="s">
        <v>637</v>
      </c>
      <c r="J604" t="s">
        <v>1035</v>
      </c>
      <c r="K604" t="s">
        <v>610</v>
      </c>
      <c r="L604">
        <v>10</v>
      </c>
    </row>
    <row r="605" spans="2:12" ht="15" customHeight="1">
      <c r="B605" t="s">
        <v>2269</v>
      </c>
      <c r="C605">
        <v>60000</v>
      </c>
      <c r="D605" t="s">
        <v>252</v>
      </c>
      <c r="E605">
        <v>60000</v>
      </c>
      <c r="F605" s="3">
        <f>(tblSalaries[[#This Row],[clean Salary (in local currency)]])*(VLOOKUP(tblSalaries[[#This Row],[Currency]],Sheet3!$A$2:$C$31,3,FALSE))*(VLOOKUP(tblSalaries[[#This Row],[Currency]],Sheet1!$N$4:$Q$186,4,FALSE))</f>
        <v>60000</v>
      </c>
      <c r="G605" s="4">
        <f>IF(Dashboard!$J$5=VLOOKUP(tblSalaries[[#This Row],[Currency]],Sheet3!$A$2:$B$31,2,FALSE),tblSalaries[[#This Row],[clean Salary (in local currency)]],(tblSalaries[[#This Row],[PPP Adjusted  USD]]/VLOOKUP(Dashboard!$J$5,Sheet3!$B$2:$C$31,2,FALSE)))</f>
        <v>60000</v>
      </c>
      <c r="H605" t="s">
        <v>692</v>
      </c>
      <c r="I605" t="s">
        <v>692</v>
      </c>
      <c r="J605" t="s">
        <v>1035</v>
      </c>
      <c r="K605" t="s">
        <v>605</v>
      </c>
      <c r="L605">
        <v>5</v>
      </c>
    </row>
    <row r="606" spans="2:12" ht="15" customHeight="1">
      <c r="B606" t="s">
        <v>2320</v>
      </c>
      <c r="C606">
        <v>60000</v>
      </c>
      <c r="D606" t="s">
        <v>252</v>
      </c>
      <c r="E606">
        <v>60000</v>
      </c>
      <c r="F606" s="3">
        <f>(tblSalaries[[#This Row],[clean Salary (in local currency)]])*(VLOOKUP(tblSalaries[[#This Row],[Currency]],Sheet3!$A$2:$C$31,3,FALSE))*(VLOOKUP(tblSalaries[[#This Row],[Currency]],Sheet1!$N$4:$Q$186,4,FALSE))</f>
        <v>60000</v>
      </c>
      <c r="G606" s="4">
        <f>IF(Dashboard!$J$5=VLOOKUP(tblSalaries[[#This Row],[Currency]],Sheet3!$A$2:$B$31,2,FALSE),tblSalaries[[#This Row],[clean Salary (in local currency)]],(tblSalaries[[#This Row],[PPP Adjusted  USD]]/VLOOKUP(Dashboard!$J$5,Sheet3!$B$2:$C$31,2,FALSE)))</f>
        <v>60000</v>
      </c>
      <c r="H606" t="s">
        <v>2321</v>
      </c>
      <c r="I606" t="s">
        <v>625</v>
      </c>
      <c r="J606" t="s">
        <v>613</v>
      </c>
      <c r="K606" t="s">
        <v>617</v>
      </c>
      <c r="L606">
        <v>3</v>
      </c>
    </row>
    <row r="607" spans="2:12" ht="15" customHeight="1">
      <c r="B607" t="s">
        <v>2432</v>
      </c>
      <c r="C607">
        <v>60000</v>
      </c>
      <c r="D607" t="s">
        <v>252</v>
      </c>
      <c r="E607">
        <v>60000</v>
      </c>
      <c r="F607" s="3">
        <f>(tblSalaries[[#This Row],[clean Salary (in local currency)]])*(VLOOKUP(tblSalaries[[#This Row],[Currency]],Sheet3!$A$2:$C$31,3,FALSE))*(VLOOKUP(tblSalaries[[#This Row],[Currency]],Sheet1!$N$4:$Q$186,4,FALSE))</f>
        <v>60000</v>
      </c>
      <c r="G607" s="4">
        <f>IF(Dashboard!$J$5=VLOOKUP(tblSalaries[[#This Row],[Currency]],Sheet3!$A$2:$B$31,2,FALSE),tblSalaries[[#This Row],[clean Salary (in local currency)]],(tblSalaries[[#This Row],[PPP Adjusted  USD]]/VLOOKUP(Dashboard!$J$5,Sheet3!$B$2:$C$31,2,FALSE)))</f>
        <v>60000</v>
      </c>
      <c r="H607" t="s">
        <v>2433</v>
      </c>
      <c r="I607" t="s">
        <v>692</v>
      </c>
      <c r="J607" t="s">
        <v>1414</v>
      </c>
      <c r="K607" t="s">
        <v>610</v>
      </c>
      <c r="L607">
        <v>5</v>
      </c>
    </row>
    <row r="608" spans="2:12" ht="15" customHeight="1">
      <c r="B608" t="s">
        <v>2551</v>
      </c>
      <c r="C608">
        <v>60000</v>
      </c>
      <c r="D608" t="s">
        <v>252</v>
      </c>
      <c r="E608">
        <v>60000</v>
      </c>
      <c r="F608" s="3">
        <f>(tblSalaries[[#This Row],[clean Salary (in local currency)]])*(VLOOKUP(tblSalaries[[#This Row],[Currency]],Sheet3!$A$2:$C$31,3,FALSE))*(VLOOKUP(tblSalaries[[#This Row],[Currency]],Sheet1!$N$4:$Q$186,4,FALSE))</f>
        <v>60000</v>
      </c>
      <c r="G608" s="4">
        <f>IF(Dashboard!$J$5=VLOOKUP(tblSalaries[[#This Row],[Currency]],Sheet3!$A$2:$B$31,2,FALSE),tblSalaries[[#This Row],[clean Salary (in local currency)]],(tblSalaries[[#This Row],[PPP Adjusted  USD]]/VLOOKUP(Dashboard!$J$5,Sheet3!$B$2:$C$31,2,FALSE)))</f>
        <v>60000</v>
      </c>
      <c r="H608" t="s">
        <v>1603</v>
      </c>
      <c r="I608" t="s">
        <v>625</v>
      </c>
      <c r="J608" t="s">
        <v>604</v>
      </c>
      <c r="K608" t="s">
        <v>610</v>
      </c>
      <c r="L608">
        <v>14</v>
      </c>
    </row>
    <row r="609" spans="2:12" ht="15" customHeight="1">
      <c r="B609" t="s">
        <v>2589</v>
      </c>
      <c r="C609">
        <v>60000</v>
      </c>
      <c r="D609" t="s">
        <v>252</v>
      </c>
      <c r="E609">
        <v>60000</v>
      </c>
      <c r="F609" s="3">
        <f>(tblSalaries[[#This Row],[clean Salary (in local currency)]])*(VLOOKUP(tblSalaries[[#This Row],[Currency]],Sheet3!$A$2:$C$31,3,FALSE))*(VLOOKUP(tblSalaries[[#This Row],[Currency]],Sheet1!$N$4:$Q$186,4,FALSE))</f>
        <v>60000</v>
      </c>
      <c r="G609" s="4">
        <f>IF(Dashboard!$J$5=VLOOKUP(tblSalaries[[#This Row],[Currency]],Sheet3!$A$2:$B$31,2,FALSE),tblSalaries[[#This Row],[clean Salary (in local currency)]],(tblSalaries[[#This Row],[PPP Adjusted  USD]]/VLOOKUP(Dashboard!$J$5,Sheet3!$B$2:$C$31,2,FALSE)))</f>
        <v>60000</v>
      </c>
      <c r="H609" t="s">
        <v>2590</v>
      </c>
      <c r="I609" t="s">
        <v>603</v>
      </c>
      <c r="J609" t="s">
        <v>613</v>
      </c>
      <c r="K609" t="s">
        <v>617</v>
      </c>
      <c r="L609">
        <v>4</v>
      </c>
    </row>
    <row r="610" spans="2:12" ht="15" customHeight="1">
      <c r="B610" t="s">
        <v>2669</v>
      </c>
      <c r="C610">
        <v>60000</v>
      </c>
      <c r="D610" t="s">
        <v>252</v>
      </c>
      <c r="E610">
        <v>60000</v>
      </c>
      <c r="F610" s="3">
        <f>(tblSalaries[[#This Row],[clean Salary (in local currency)]])*(VLOOKUP(tblSalaries[[#This Row],[Currency]],Sheet3!$A$2:$C$31,3,FALSE))*(VLOOKUP(tblSalaries[[#This Row],[Currency]],Sheet1!$N$4:$Q$186,4,FALSE))</f>
        <v>60000</v>
      </c>
      <c r="G610" s="4">
        <f>IF(Dashboard!$J$5=VLOOKUP(tblSalaries[[#This Row],[Currency]],Sheet3!$A$2:$B$31,2,FALSE),tblSalaries[[#This Row],[clean Salary (in local currency)]],(tblSalaries[[#This Row],[PPP Adjusted  USD]]/VLOOKUP(Dashboard!$J$5,Sheet3!$B$2:$C$31,2,FALSE)))</f>
        <v>60000</v>
      </c>
      <c r="H610" t="s">
        <v>2670</v>
      </c>
      <c r="I610" t="s">
        <v>625</v>
      </c>
      <c r="J610" t="s">
        <v>613</v>
      </c>
      <c r="K610" t="s">
        <v>617</v>
      </c>
      <c r="L610">
        <v>10</v>
      </c>
    </row>
    <row r="611" spans="2:12" ht="15" customHeight="1">
      <c r="B611" t="s">
        <v>2705</v>
      </c>
      <c r="C611">
        <v>60000</v>
      </c>
      <c r="D611" t="s">
        <v>252</v>
      </c>
      <c r="E611">
        <v>60000</v>
      </c>
      <c r="F611" s="3">
        <f>(tblSalaries[[#This Row],[clean Salary (in local currency)]])*(VLOOKUP(tblSalaries[[#This Row],[Currency]],Sheet3!$A$2:$C$31,3,FALSE))*(VLOOKUP(tblSalaries[[#This Row],[Currency]],Sheet1!$N$4:$Q$186,4,FALSE))</f>
        <v>60000</v>
      </c>
      <c r="G611" s="4">
        <f>IF(Dashboard!$J$5=VLOOKUP(tblSalaries[[#This Row],[Currency]],Sheet3!$A$2:$B$31,2,FALSE),tblSalaries[[#This Row],[clean Salary (in local currency)]],(tblSalaries[[#This Row],[PPP Adjusted  USD]]/VLOOKUP(Dashboard!$J$5,Sheet3!$B$2:$C$31,2,FALSE)))</f>
        <v>60000</v>
      </c>
      <c r="H611" t="s">
        <v>2706</v>
      </c>
      <c r="I611" t="s">
        <v>620</v>
      </c>
      <c r="J611" t="s">
        <v>613</v>
      </c>
      <c r="K611" t="s">
        <v>627</v>
      </c>
      <c r="L611">
        <v>6</v>
      </c>
    </row>
    <row r="612" spans="2:12" ht="15" customHeight="1">
      <c r="B612" t="s">
        <v>2711</v>
      </c>
      <c r="C612">
        <v>60000</v>
      </c>
      <c r="D612" t="s">
        <v>252</v>
      </c>
      <c r="E612">
        <v>60000</v>
      </c>
      <c r="F612" s="3">
        <f>(tblSalaries[[#This Row],[clean Salary (in local currency)]])*(VLOOKUP(tblSalaries[[#This Row],[Currency]],Sheet3!$A$2:$C$31,3,FALSE))*(VLOOKUP(tblSalaries[[#This Row],[Currency]],Sheet1!$N$4:$Q$186,4,FALSE))</f>
        <v>60000</v>
      </c>
      <c r="G612" s="4">
        <f>IF(Dashboard!$J$5=VLOOKUP(tblSalaries[[#This Row],[Currency]],Sheet3!$A$2:$B$31,2,FALSE),tblSalaries[[#This Row],[clean Salary (in local currency)]],(tblSalaries[[#This Row],[PPP Adjusted  USD]]/VLOOKUP(Dashboard!$J$5,Sheet3!$B$2:$C$31,2,FALSE)))</f>
        <v>60000</v>
      </c>
      <c r="H612" t="s">
        <v>2712</v>
      </c>
      <c r="I612" t="s">
        <v>625</v>
      </c>
      <c r="J612" t="s">
        <v>613</v>
      </c>
      <c r="K612" t="s">
        <v>605</v>
      </c>
      <c r="L612">
        <v>12</v>
      </c>
    </row>
    <row r="613" spans="2:12" ht="15" customHeight="1">
      <c r="B613" t="s">
        <v>2903</v>
      </c>
      <c r="C613">
        <v>60000</v>
      </c>
      <c r="D613" t="s">
        <v>252</v>
      </c>
      <c r="E613">
        <v>60000</v>
      </c>
      <c r="F613" s="3">
        <f>(tblSalaries[[#This Row],[clean Salary (in local currency)]])*(VLOOKUP(tblSalaries[[#This Row],[Currency]],Sheet3!$A$2:$C$31,3,FALSE))*(VLOOKUP(tblSalaries[[#This Row],[Currency]],Sheet1!$N$4:$Q$186,4,FALSE))</f>
        <v>60000</v>
      </c>
      <c r="G613" s="4">
        <f>IF(Dashboard!$J$5=VLOOKUP(tblSalaries[[#This Row],[Currency]],Sheet3!$A$2:$B$31,2,FALSE),tblSalaries[[#This Row],[clean Salary (in local currency)]],(tblSalaries[[#This Row],[PPP Adjusted  USD]]/VLOOKUP(Dashboard!$J$5,Sheet3!$B$2:$C$31,2,FALSE)))</f>
        <v>60000</v>
      </c>
      <c r="H613" t="s">
        <v>2904</v>
      </c>
      <c r="I613" t="s">
        <v>625</v>
      </c>
      <c r="J613" t="s">
        <v>2596</v>
      </c>
      <c r="K613" t="s">
        <v>610</v>
      </c>
      <c r="L613">
        <v>20</v>
      </c>
    </row>
    <row r="614" spans="2:12" ht="15" customHeight="1">
      <c r="B614" t="s">
        <v>2951</v>
      </c>
      <c r="C614">
        <v>60000</v>
      </c>
      <c r="D614" t="s">
        <v>252</v>
      </c>
      <c r="E614">
        <v>60000</v>
      </c>
      <c r="F614" s="3">
        <f>(tblSalaries[[#This Row],[clean Salary (in local currency)]])*(VLOOKUP(tblSalaries[[#This Row],[Currency]],Sheet3!$A$2:$C$31,3,FALSE))*(VLOOKUP(tblSalaries[[#This Row],[Currency]],Sheet1!$N$4:$Q$186,4,FALSE))</f>
        <v>60000</v>
      </c>
      <c r="G614" s="4">
        <f>IF(Dashboard!$J$5=VLOOKUP(tblSalaries[[#This Row],[Currency]],Sheet3!$A$2:$B$31,2,FALSE),tblSalaries[[#This Row],[clean Salary (in local currency)]],(tblSalaries[[#This Row],[PPP Adjusted  USD]]/VLOOKUP(Dashboard!$J$5,Sheet3!$B$2:$C$31,2,FALSE)))</f>
        <v>60000</v>
      </c>
      <c r="H614" t="s">
        <v>2952</v>
      </c>
      <c r="I614" t="s">
        <v>603</v>
      </c>
      <c r="J614" t="s">
        <v>613</v>
      </c>
      <c r="K614" t="s">
        <v>610</v>
      </c>
      <c r="L614">
        <v>12</v>
      </c>
    </row>
    <row r="615" spans="2:12" ht="15" customHeight="1">
      <c r="B615" t="s">
        <v>2967</v>
      </c>
      <c r="C615">
        <v>60000</v>
      </c>
      <c r="D615" t="s">
        <v>252</v>
      </c>
      <c r="E615">
        <v>60000</v>
      </c>
      <c r="F615" s="3">
        <f>(tblSalaries[[#This Row],[clean Salary (in local currency)]])*(VLOOKUP(tblSalaries[[#This Row],[Currency]],Sheet3!$A$2:$C$31,3,FALSE))*(VLOOKUP(tblSalaries[[#This Row],[Currency]],Sheet1!$N$4:$Q$186,4,FALSE))</f>
        <v>60000</v>
      </c>
      <c r="G615" s="4">
        <f>IF(Dashboard!$J$5=VLOOKUP(tblSalaries[[#This Row],[Currency]],Sheet3!$A$2:$B$31,2,FALSE),tblSalaries[[#This Row],[clean Salary (in local currency)]],(tblSalaries[[#This Row],[PPP Adjusted  USD]]/VLOOKUP(Dashboard!$J$5,Sheet3!$B$2:$C$31,2,FALSE)))</f>
        <v>60000</v>
      </c>
      <c r="H615" t="s">
        <v>895</v>
      </c>
      <c r="I615" t="s">
        <v>625</v>
      </c>
      <c r="J615" t="s">
        <v>613</v>
      </c>
      <c r="K615" t="s">
        <v>617</v>
      </c>
      <c r="L615">
        <v>20</v>
      </c>
    </row>
    <row r="616" spans="2:12" ht="15" customHeight="1">
      <c r="B616" t="s">
        <v>3026</v>
      </c>
      <c r="C616">
        <v>60000</v>
      </c>
      <c r="D616" t="s">
        <v>252</v>
      </c>
      <c r="E616">
        <v>60000</v>
      </c>
      <c r="F616" s="3">
        <f>(tblSalaries[[#This Row],[clean Salary (in local currency)]])*(VLOOKUP(tblSalaries[[#This Row],[Currency]],Sheet3!$A$2:$C$31,3,FALSE))*(VLOOKUP(tblSalaries[[#This Row],[Currency]],Sheet1!$N$4:$Q$186,4,FALSE))</f>
        <v>60000</v>
      </c>
      <c r="G616" s="4">
        <f>IF(Dashboard!$J$5=VLOOKUP(tblSalaries[[#This Row],[Currency]],Sheet3!$A$2:$B$31,2,FALSE),tblSalaries[[#This Row],[clean Salary (in local currency)]],(tblSalaries[[#This Row],[PPP Adjusted  USD]]/VLOOKUP(Dashboard!$J$5,Sheet3!$B$2:$C$31,2,FALSE)))</f>
        <v>60000</v>
      </c>
      <c r="H616" t="s">
        <v>648</v>
      </c>
      <c r="I616" t="s">
        <v>603</v>
      </c>
      <c r="J616" t="s">
        <v>613</v>
      </c>
      <c r="K616" t="s">
        <v>605</v>
      </c>
      <c r="L616">
        <v>15</v>
      </c>
    </row>
    <row r="617" spans="2:12" ht="15" customHeight="1">
      <c r="B617" t="s">
        <v>3102</v>
      </c>
      <c r="C617">
        <v>60000</v>
      </c>
      <c r="D617" t="s">
        <v>252</v>
      </c>
      <c r="E617">
        <v>60000</v>
      </c>
      <c r="F617" s="3">
        <f>(tblSalaries[[#This Row],[clean Salary (in local currency)]])*(VLOOKUP(tblSalaries[[#This Row],[Currency]],Sheet3!$A$2:$C$31,3,FALSE))*(VLOOKUP(tblSalaries[[#This Row],[Currency]],Sheet1!$N$4:$Q$186,4,FALSE))</f>
        <v>60000</v>
      </c>
      <c r="G617" s="4">
        <f>IF(Dashboard!$J$5=VLOOKUP(tblSalaries[[#This Row],[Currency]],Sheet3!$A$2:$B$31,2,FALSE),tblSalaries[[#This Row],[clean Salary (in local currency)]],(tblSalaries[[#This Row],[PPP Adjusted  USD]]/VLOOKUP(Dashboard!$J$5,Sheet3!$B$2:$C$31,2,FALSE)))</f>
        <v>60000</v>
      </c>
      <c r="H617" t="s">
        <v>3103</v>
      </c>
      <c r="I617" t="s">
        <v>625</v>
      </c>
      <c r="J617" t="s">
        <v>613</v>
      </c>
      <c r="K617" t="s">
        <v>617</v>
      </c>
      <c r="L617">
        <v>4</v>
      </c>
    </row>
    <row r="618" spans="2:12" ht="15" customHeight="1">
      <c r="B618" t="s">
        <v>3141</v>
      </c>
      <c r="C618">
        <v>60000</v>
      </c>
      <c r="D618" t="s">
        <v>252</v>
      </c>
      <c r="E618">
        <v>60000</v>
      </c>
      <c r="F618" s="3">
        <f>(tblSalaries[[#This Row],[clean Salary (in local currency)]])*(VLOOKUP(tblSalaries[[#This Row],[Currency]],Sheet3!$A$2:$C$31,3,FALSE))*(VLOOKUP(tblSalaries[[#This Row],[Currency]],Sheet1!$N$4:$Q$186,4,FALSE))</f>
        <v>60000</v>
      </c>
      <c r="G618" s="4">
        <f>IF(Dashboard!$J$5=VLOOKUP(tblSalaries[[#This Row],[Currency]],Sheet3!$A$2:$B$31,2,FALSE),tblSalaries[[#This Row],[clean Salary (in local currency)]],(tblSalaries[[#This Row],[PPP Adjusted  USD]]/VLOOKUP(Dashboard!$J$5,Sheet3!$B$2:$C$31,2,FALSE)))</f>
        <v>60000</v>
      </c>
      <c r="H618" t="s">
        <v>3142</v>
      </c>
      <c r="I618" t="s">
        <v>603</v>
      </c>
      <c r="J618" t="s">
        <v>880</v>
      </c>
      <c r="K618" t="s">
        <v>617</v>
      </c>
      <c r="L618">
        <v>10</v>
      </c>
    </row>
    <row r="619" spans="2:12" ht="15" customHeight="1">
      <c r="B619" t="s">
        <v>3348</v>
      </c>
      <c r="C619">
        <v>60000</v>
      </c>
      <c r="D619" t="s">
        <v>252</v>
      </c>
      <c r="E619">
        <v>60000</v>
      </c>
      <c r="F619" s="3">
        <f>(tblSalaries[[#This Row],[clean Salary (in local currency)]])*(VLOOKUP(tblSalaries[[#This Row],[Currency]],Sheet3!$A$2:$C$31,3,FALSE))*(VLOOKUP(tblSalaries[[#This Row],[Currency]],Sheet1!$N$4:$Q$186,4,FALSE))</f>
        <v>60000</v>
      </c>
      <c r="G619" s="4">
        <f>IF(Dashboard!$J$5=VLOOKUP(tblSalaries[[#This Row],[Currency]],Sheet3!$A$2:$B$31,2,FALSE),tblSalaries[[#This Row],[clean Salary (in local currency)]],(tblSalaries[[#This Row],[PPP Adjusted  USD]]/VLOOKUP(Dashboard!$J$5,Sheet3!$B$2:$C$31,2,FALSE)))</f>
        <v>60000</v>
      </c>
      <c r="H619" t="s">
        <v>811</v>
      </c>
      <c r="I619" t="s">
        <v>603</v>
      </c>
      <c r="J619" t="s">
        <v>613</v>
      </c>
      <c r="K619" t="s">
        <v>617</v>
      </c>
      <c r="L619">
        <v>1</v>
      </c>
    </row>
    <row r="620" spans="2:12" ht="15" customHeight="1">
      <c r="B620" t="s">
        <v>3369</v>
      </c>
      <c r="C620">
        <v>60000</v>
      </c>
      <c r="D620" t="s">
        <v>252</v>
      </c>
      <c r="E620">
        <v>60000</v>
      </c>
      <c r="F620" s="3">
        <f>(tblSalaries[[#This Row],[clean Salary (in local currency)]])*(VLOOKUP(tblSalaries[[#This Row],[Currency]],Sheet3!$A$2:$C$31,3,FALSE))*(VLOOKUP(tblSalaries[[#This Row],[Currency]],Sheet1!$N$4:$Q$186,4,FALSE))</f>
        <v>60000</v>
      </c>
      <c r="G620" s="4">
        <f>IF(Dashboard!$J$5=VLOOKUP(tblSalaries[[#This Row],[Currency]],Sheet3!$A$2:$B$31,2,FALSE),tblSalaries[[#This Row],[clean Salary (in local currency)]],(tblSalaries[[#This Row],[PPP Adjusted  USD]]/VLOOKUP(Dashboard!$J$5,Sheet3!$B$2:$C$31,2,FALSE)))</f>
        <v>60000</v>
      </c>
      <c r="H620" t="s">
        <v>3370</v>
      </c>
      <c r="I620" t="s">
        <v>625</v>
      </c>
      <c r="J620" t="s">
        <v>1758</v>
      </c>
      <c r="K620" t="s">
        <v>617</v>
      </c>
      <c r="L620">
        <v>16</v>
      </c>
    </row>
    <row r="621" spans="2:12" ht="15" customHeight="1">
      <c r="B621" t="s">
        <v>3487</v>
      </c>
      <c r="C621">
        <v>60000</v>
      </c>
      <c r="D621" t="s">
        <v>252</v>
      </c>
      <c r="E621">
        <v>60000</v>
      </c>
      <c r="F621" s="3">
        <f>(tblSalaries[[#This Row],[clean Salary (in local currency)]])*(VLOOKUP(tblSalaries[[#This Row],[Currency]],Sheet3!$A$2:$C$31,3,FALSE))*(VLOOKUP(tblSalaries[[#This Row],[Currency]],Sheet1!$N$4:$Q$186,4,FALSE))</f>
        <v>60000</v>
      </c>
      <c r="G621" s="4">
        <f>IF(Dashboard!$J$5=VLOOKUP(tblSalaries[[#This Row],[Currency]],Sheet3!$A$2:$B$31,2,FALSE),tblSalaries[[#This Row],[clean Salary (in local currency)]],(tblSalaries[[#This Row],[PPP Adjusted  USD]]/VLOOKUP(Dashboard!$J$5,Sheet3!$B$2:$C$31,2,FALSE)))</f>
        <v>60000</v>
      </c>
      <c r="H621" t="s">
        <v>603</v>
      </c>
      <c r="I621" t="s">
        <v>603</v>
      </c>
      <c r="J621" t="s">
        <v>613</v>
      </c>
      <c r="K621" t="s">
        <v>610</v>
      </c>
      <c r="L621">
        <v>1</v>
      </c>
    </row>
    <row r="622" spans="2:12" ht="15" customHeight="1">
      <c r="B622" t="s">
        <v>3560</v>
      </c>
      <c r="C622">
        <v>60000</v>
      </c>
      <c r="D622" t="s">
        <v>252</v>
      </c>
      <c r="E622">
        <v>60000</v>
      </c>
      <c r="F622" s="3">
        <f>(tblSalaries[[#This Row],[clean Salary (in local currency)]])*(VLOOKUP(tblSalaries[[#This Row],[Currency]],Sheet3!$A$2:$C$31,3,FALSE))*(VLOOKUP(tblSalaries[[#This Row],[Currency]],Sheet1!$N$4:$Q$186,4,FALSE))</f>
        <v>60000</v>
      </c>
      <c r="G622" s="4">
        <f>IF(Dashboard!$J$5=VLOOKUP(tblSalaries[[#This Row],[Currency]],Sheet3!$A$2:$B$31,2,FALSE),tblSalaries[[#This Row],[clean Salary (in local currency)]],(tblSalaries[[#This Row],[PPP Adjusted  USD]]/VLOOKUP(Dashboard!$J$5,Sheet3!$B$2:$C$31,2,FALSE)))</f>
        <v>60000</v>
      </c>
      <c r="H622" t="s">
        <v>3561</v>
      </c>
      <c r="I622" t="s">
        <v>625</v>
      </c>
      <c r="J622" t="s">
        <v>613</v>
      </c>
      <c r="K622" t="s">
        <v>610</v>
      </c>
      <c r="L622">
        <v>2</v>
      </c>
    </row>
    <row r="623" spans="2:12" ht="15" customHeight="1">
      <c r="B623" t="s">
        <v>3562</v>
      </c>
      <c r="C623">
        <v>60000</v>
      </c>
      <c r="D623" t="s">
        <v>252</v>
      </c>
      <c r="E623">
        <v>60000</v>
      </c>
      <c r="F623" s="3">
        <f>(tblSalaries[[#This Row],[clean Salary (in local currency)]])*(VLOOKUP(tblSalaries[[#This Row],[Currency]],Sheet3!$A$2:$C$31,3,FALSE))*(VLOOKUP(tblSalaries[[#This Row],[Currency]],Sheet1!$N$4:$Q$186,4,FALSE))</f>
        <v>60000</v>
      </c>
      <c r="G623" s="4">
        <f>IF(Dashboard!$J$5=VLOOKUP(tblSalaries[[#This Row],[Currency]],Sheet3!$A$2:$B$31,2,FALSE),tblSalaries[[#This Row],[clean Salary (in local currency)]],(tblSalaries[[#This Row],[PPP Adjusted  USD]]/VLOOKUP(Dashboard!$J$5,Sheet3!$B$2:$C$31,2,FALSE)))</f>
        <v>60000</v>
      </c>
      <c r="H623" t="s">
        <v>3561</v>
      </c>
      <c r="I623" t="s">
        <v>625</v>
      </c>
      <c r="J623" t="s">
        <v>613</v>
      </c>
      <c r="K623" t="s">
        <v>610</v>
      </c>
      <c r="L623">
        <v>2</v>
      </c>
    </row>
    <row r="624" spans="2:12" ht="15" customHeight="1">
      <c r="B624" t="s">
        <v>3694</v>
      </c>
      <c r="C624">
        <v>60000</v>
      </c>
      <c r="D624" t="s">
        <v>252</v>
      </c>
      <c r="E624">
        <v>60000</v>
      </c>
      <c r="F624" s="3">
        <f>(tblSalaries[[#This Row],[clean Salary (in local currency)]])*(VLOOKUP(tblSalaries[[#This Row],[Currency]],Sheet3!$A$2:$C$31,3,FALSE))*(VLOOKUP(tblSalaries[[#This Row],[Currency]],Sheet1!$N$4:$Q$186,4,FALSE))</f>
        <v>60000</v>
      </c>
      <c r="G624" s="4">
        <f>IF(Dashboard!$J$5=VLOOKUP(tblSalaries[[#This Row],[Currency]],Sheet3!$A$2:$B$31,2,FALSE),tblSalaries[[#This Row],[clean Salary (in local currency)]],(tblSalaries[[#This Row],[PPP Adjusted  USD]]/VLOOKUP(Dashboard!$J$5,Sheet3!$B$2:$C$31,2,FALSE)))</f>
        <v>60000</v>
      </c>
      <c r="H624" t="s">
        <v>899</v>
      </c>
      <c r="I624" t="s">
        <v>603</v>
      </c>
      <c r="J624" t="s">
        <v>613</v>
      </c>
      <c r="K624" t="s">
        <v>605</v>
      </c>
      <c r="L624">
        <v>15</v>
      </c>
    </row>
    <row r="625" spans="2:12" ht="15" customHeight="1">
      <c r="B625" t="s">
        <v>3701</v>
      </c>
      <c r="C625">
        <v>60000</v>
      </c>
      <c r="D625" t="s">
        <v>252</v>
      </c>
      <c r="E625">
        <v>60000</v>
      </c>
      <c r="F625" s="3">
        <f>(tblSalaries[[#This Row],[clean Salary (in local currency)]])*(VLOOKUP(tblSalaries[[#This Row],[Currency]],Sheet3!$A$2:$C$31,3,FALSE))*(VLOOKUP(tblSalaries[[#This Row],[Currency]],Sheet1!$N$4:$Q$186,4,FALSE))</f>
        <v>60000</v>
      </c>
      <c r="G625" s="4">
        <f>IF(Dashboard!$J$5=VLOOKUP(tblSalaries[[#This Row],[Currency]],Sheet3!$A$2:$B$31,2,FALSE),tblSalaries[[#This Row],[clean Salary (in local currency)]],(tblSalaries[[#This Row],[PPP Adjusted  USD]]/VLOOKUP(Dashboard!$J$5,Sheet3!$B$2:$C$31,2,FALSE)))</f>
        <v>60000</v>
      </c>
      <c r="H625" t="s">
        <v>603</v>
      </c>
      <c r="I625" t="s">
        <v>603</v>
      </c>
      <c r="J625" t="s">
        <v>770</v>
      </c>
      <c r="K625" t="s">
        <v>605</v>
      </c>
      <c r="L625">
        <v>5</v>
      </c>
    </row>
    <row r="626" spans="2:12" ht="15" customHeight="1">
      <c r="B626" t="s">
        <v>3709</v>
      </c>
      <c r="C626">
        <v>60000</v>
      </c>
      <c r="D626" t="s">
        <v>252</v>
      </c>
      <c r="E626">
        <v>60000</v>
      </c>
      <c r="F626" s="3">
        <f>(tblSalaries[[#This Row],[clean Salary (in local currency)]])*(VLOOKUP(tblSalaries[[#This Row],[Currency]],Sheet3!$A$2:$C$31,3,FALSE))*(VLOOKUP(tblSalaries[[#This Row],[Currency]],Sheet1!$N$4:$Q$186,4,FALSE))</f>
        <v>60000</v>
      </c>
      <c r="G626" s="4">
        <f>IF(Dashboard!$J$5=VLOOKUP(tblSalaries[[#This Row],[Currency]],Sheet3!$A$2:$B$31,2,FALSE),tblSalaries[[#This Row],[clean Salary (in local currency)]],(tblSalaries[[#This Row],[PPP Adjusted  USD]]/VLOOKUP(Dashboard!$J$5,Sheet3!$B$2:$C$31,2,FALSE)))</f>
        <v>60000</v>
      </c>
      <c r="H626" t="s">
        <v>899</v>
      </c>
      <c r="I626" t="s">
        <v>603</v>
      </c>
      <c r="J626" t="s">
        <v>613</v>
      </c>
      <c r="K626" t="s">
        <v>617</v>
      </c>
      <c r="L626">
        <v>3</v>
      </c>
    </row>
    <row r="627" spans="2:12" ht="15" customHeight="1">
      <c r="B627" t="s">
        <v>3739</v>
      </c>
      <c r="C627">
        <v>60000</v>
      </c>
      <c r="D627" t="s">
        <v>252</v>
      </c>
      <c r="E627">
        <v>60000</v>
      </c>
      <c r="F627" s="3">
        <f>(tblSalaries[[#This Row],[clean Salary (in local currency)]])*(VLOOKUP(tblSalaries[[#This Row],[Currency]],Sheet3!$A$2:$C$31,3,FALSE))*(VLOOKUP(tblSalaries[[#This Row],[Currency]],Sheet1!$N$4:$Q$186,4,FALSE))</f>
        <v>60000</v>
      </c>
      <c r="G627" s="4">
        <f>IF(Dashboard!$J$5=VLOOKUP(tblSalaries[[#This Row],[Currency]],Sheet3!$A$2:$B$31,2,FALSE),tblSalaries[[#This Row],[clean Salary (in local currency)]],(tblSalaries[[#This Row],[PPP Adjusted  USD]]/VLOOKUP(Dashboard!$J$5,Sheet3!$B$2:$C$31,2,FALSE)))</f>
        <v>60000</v>
      </c>
      <c r="H627" t="s">
        <v>3740</v>
      </c>
      <c r="I627" t="s">
        <v>603</v>
      </c>
      <c r="J627" t="s">
        <v>613</v>
      </c>
      <c r="K627" t="s">
        <v>610</v>
      </c>
      <c r="L627">
        <v>10</v>
      </c>
    </row>
    <row r="628" spans="2:12" ht="15" customHeight="1">
      <c r="B628" t="s">
        <v>3782</v>
      </c>
      <c r="C628">
        <v>60000</v>
      </c>
      <c r="D628" t="s">
        <v>252</v>
      </c>
      <c r="E628">
        <v>60000</v>
      </c>
      <c r="F628" s="3">
        <f>(tblSalaries[[#This Row],[clean Salary (in local currency)]])*(VLOOKUP(tblSalaries[[#This Row],[Currency]],Sheet3!$A$2:$C$31,3,FALSE))*(VLOOKUP(tblSalaries[[#This Row],[Currency]],Sheet1!$N$4:$Q$186,4,FALSE))</f>
        <v>60000</v>
      </c>
      <c r="G628" s="4">
        <f>IF(Dashboard!$J$5=VLOOKUP(tblSalaries[[#This Row],[Currency]],Sheet3!$A$2:$B$31,2,FALSE),tblSalaries[[#This Row],[clean Salary (in local currency)]],(tblSalaries[[#This Row],[PPP Adjusted  USD]]/VLOOKUP(Dashboard!$J$5,Sheet3!$B$2:$C$31,2,FALSE)))</f>
        <v>60000</v>
      </c>
      <c r="H628" t="s">
        <v>3783</v>
      </c>
      <c r="I628" t="s">
        <v>625</v>
      </c>
      <c r="J628" t="s">
        <v>708</v>
      </c>
      <c r="K628" t="s">
        <v>617</v>
      </c>
      <c r="L628">
        <v>10</v>
      </c>
    </row>
    <row r="629" spans="2:12" ht="15" customHeight="1">
      <c r="B629" t="s">
        <v>2507</v>
      </c>
      <c r="C629">
        <v>40500</v>
      </c>
      <c r="D629" t="s">
        <v>204</v>
      </c>
      <c r="E629">
        <v>63835.220018725006</v>
      </c>
      <c r="F629" s="3">
        <f>(tblSalaries[[#This Row],[clean Salary (in local currency)]])*(VLOOKUP(tblSalaries[[#This Row],[Currency]],Sheet3!$A$2:$C$31,3,FALSE))*(VLOOKUP(tblSalaries[[#This Row],[Currency]],Sheet1!$N$4:$Q$186,4,FALSE))</f>
        <v>59695.833801707311</v>
      </c>
      <c r="G629" s="4">
        <f>IF(Dashboard!$J$5=VLOOKUP(tblSalaries[[#This Row],[Currency]],Sheet3!$A$2:$B$31,2,FALSE),tblSalaries[[#This Row],[clean Salary (in local currency)]],(tblSalaries[[#This Row],[PPP Adjusted  USD]]/VLOOKUP(Dashboard!$J$5,Sheet3!$B$2:$C$31,2,FALSE)))</f>
        <v>59695.833801707311</v>
      </c>
      <c r="H629" t="s">
        <v>2508</v>
      </c>
      <c r="I629" t="s">
        <v>625</v>
      </c>
      <c r="J629" t="s">
        <v>687</v>
      </c>
      <c r="K629" t="s">
        <v>617</v>
      </c>
      <c r="L629">
        <v>25</v>
      </c>
    </row>
    <row r="630" spans="2:12" ht="15" customHeight="1">
      <c r="B630" t="s">
        <v>1994</v>
      </c>
      <c r="C630">
        <v>95000</v>
      </c>
      <c r="D630" t="s">
        <v>224</v>
      </c>
      <c r="E630">
        <v>96891.417358250401</v>
      </c>
      <c r="F630" s="3">
        <f>(tblSalaries[[#This Row],[clean Salary (in local currency)]])*(VLOOKUP(tblSalaries[[#This Row],[Currency]],Sheet3!$A$2:$C$31,3,FALSE))*(VLOOKUP(tblSalaries[[#This Row],[Currency]],Sheet1!$N$4:$Q$186,4,FALSE))</f>
        <v>59537.835528868047</v>
      </c>
      <c r="G630" s="4">
        <f>IF(Dashboard!$J$5=VLOOKUP(tblSalaries[[#This Row],[Currency]],Sheet3!$A$2:$B$31,2,FALSE),tblSalaries[[#This Row],[clean Salary (in local currency)]],(tblSalaries[[#This Row],[PPP Adjusted  USD]]/VLOOKUP(Dashboard!$J$5,Sheet3!$B$2:$C$31,2,FALSE)))</f>
        <v>59537.835528868047</v>
      </c>
      <c r="H630" t="s">
        <v>1995</v>
      </c>
      <c r="I630" t="s">
        <v>603</v>
      </c>
      <c r="J630" t="s">
        <v>703</v>
      </c>
      <c r="K630" t="s">
        <v>617</v>
      </c>
      <c r="L630">
        <v>11</v>
      </c>
    </row>
    <row r="631" spans="2:12" ht="15" customHeight="1">
      <c r="B631" t="s">
        <v>2248</v>
      </c>
      <c r="C631">
        <v>95000</v>
      </c>
      <c r="D631" t="s">
        <v>224</v>
      </c>
      <c r="E631">
        <v>96891.417358250401</v>
      </c>
      <c r="F631" s="3">
        <f>(tblSalaries[[#This Row],[clean Salary (in local currency)]])*(VLOOKUP(tblSalaries[[#This Row],[Currency]],Sheet3!$A$2:$C$31,3,FALSE))*(VLOOKUP(tblSalaries[[#This Row],[Currency]],Sheet1!$N$4:$Q$186,4,FALSE))</f>
        <v>59537.835528868047</v>
      </c>
      <c r="G631" s="4">
        <f>IF(Dashboard!$J$5=VLOOKUP(tblSalaries[[#This Row],[Currency]],Sheet3!$A$2:$B$31,2,FALSE),tblSalaries[[#This Row],[clean Salary (in local currency)]],(tblSalaries[[#This Row],[PPP Adjusted  USD]]/VLOOKUP(Dashboard!$J$5,Sheet3!$B$2:$C$31,2,FALSE)))</f>
        <v>59537.835528868047</v>
      </c>
      <c r="H631" t="s">
        <v>2249</v>
      </c>
      <c r="I631" t="s">
        <v>603</v>
      </c>
      <c r="J631" t="s">
        <v>703</v>
      </c>
      <c r="K631" t="s">
        <v>627</v>
      </c>
      <c r="L631">
        <v>7</v>
      </c>
    </row>
    <row r="632" spans="2:12" ht="15" customHeight="1">
      <c r="B632" t="s">
        <v>2313</v>
      </c>
      <c r="C632">
        <v>95000</v>
      </c>
      <c r="D632" t="s">
        <v>224</v>
      </c>
      <c r="E632">
        <v>96891.417358250401</v>
      </c>
      <c r="F632" s="3">
        <f>(tblSalaries[[#This Row],[clean Salary (in local currency)]])*(VLOOKUP(tblSalaries[[#This Row],[Currency]],Sheet3!$A$2:$C$31,3,FALSE))*(VLOOKUP(tblSalaries[[#This Row],[Currency]],Sheet1!$N$4:$Q$186,4,FALSE))</f>
        <v>59537.835528868047</v>
      </c>
      <c r="G632" s="4">
        <f>IF(Dashboard!$J$5=VLOOKUP(tblSalaries[[#This Row],[Currency]],Sheet3!$A$2:$B$31,2,FALSE),tblSalaries[[#This Row],[clean Salary (in local currency)]],(tblSalaries[[#This Row],[PPP Adjusted  USD]]/VLOOKUP(Dashboard!$J$5,Sheet3!$B$2:$C$31,2,FALSE)))</f>
        <v>59537.835528868047</v>
      </c>
      <c r="H632" t="s">
        <v>823</v>
      </c>
      <c r="I632" t="s">
        <v>603</v>
      </c>
      <c r="J632" t="s">
        <v>703</v>
      </c>
      <c r="K632" t="s">
        <v>617</v>
      </c>
      <c r="L632">
        <v>20</v>
      </c>
    </row>
    <row r="633" spans="2:12" ht="15" customHeight="1">
      <c r="B633" t="s">
        <v>1290</v>
      </c>
      <c r="C633">
        <v>75000</v>
      </c>
      <c r="D633" t="s">
        <v>276</v>
      </c>
      <c r="E633">
        <v>73752.11422727452</v>
      </c>
      <c r="F633" s="3">
        <f>(tblSalaries[[#This Row],[clean Salary (in local currency)]])*(VLOOKUP(tblSalaries[[#This Row],[Currency]],Sheet3!$A$2:$C$31,3,FALSE))*(VLOOKUP(tblSalaries[[#This Row],[Currency]],Sheet1!$N$4:$Q$186,4,FALSE))</f>
        <v>59283.465240175858</v>
      </c>
      <c r="G633" s="4">
        <f>IF(Dashboard!$J$5=VLOOKUP(tblSalaries[[#This Row],[Currency]],Sheet3!$A$2:$B$31,2,FALSE),tblSalaries[[#This Row],[clean Salary (in local currency)]],(tblSalaries[[#This Row],[PPP Adjusted  USD]]/VLOOKUP(Dashboard!$J$5,Sheet3!$B$2:$C$31,2,FALSE)))</f>
        <v>59283.465240175858</v>
      </c>
      <c r="H633" t="s">
        <v>1291</v>
      </c>
      <c r="I633" t="s">
        <v>603</v>
      </c>
      <c r="J633" t="s">
        <v>708</v>
      </c>
      <c r="K633" t="s">
        <v>605</v>
      </c>
      <c r="L633" t="s">
        <v>3847</v>
      </c>
    </row>
    <row r="634" spans="2:12" ht="15" customHeight="1">
      <c r="B634" t="s">
        <v>2635</v>
      </c>
      <c r="C634">
        <v>59000</v>
      </c>
      <c r="D634" t="s">
        <v>252</v>
      </c>
      <c r="E634">
        <v>59000</v>
      </c>
      <c r="F634" s="3">
        <f>(tblSalaries[[#This Row],[clean Salary (in local currency)]])*(VLOOKUP(tblSalaries[[#This Row],[Currency]],Sheet3!$A$2:$C$31,3,FALSE))*(VLOOKUP(tblSalaries[[#This Row],[Currency]],Sheet1!$N$4:$Q$186,4,FALSE))</f>
        <v>59000</v>
      </c>
      <c r="G634" s="4">
        <f>IF(Dashboard!$J$5=VLOOKUP(tblSalaries[[#This Row],[Currency]],Sheet3!$A$2:$B$31,2,FALSE),tblSalaries[[#This Row],[clean Salary (in local currency)]],(tblSalaries[[#This Row],[PPP Adjusted  USD]]/VLOOKUP(Dashboard!$J$5,Sheet3!$B$2:$C$31,2,FALSE)))</f>
        <v>59000</v>
      </c>
      <c r="H634" t="s">
        <v>1223</v>
      </c>
      <c r="I634" t="s">
        <v>603</v>
      </c>
      <c r="J634" t="s">
        <v>613</v>
      </c>
      <c r="K634" t="s">
        <v>605</v>
      </c>
      <c r="L634">
        <v>14</v>
      </c>
    </row>
    <row r="635" spans="2:12" ht="15" customHeight="1">
      <c r="B635" t="s">
        <v>3264</v>
      </c>
      <c r="C635">
        <v>59000</v>
      </c>
      <c r="D635" t="s">
        <v>252</v>
      </c>
      <c r="E635">
        <v>59000</v>
      </c>
      <c r="F635" s="3">
        <f>(tblSalaries[[#This Row],[clean Salary (in local currency)]])*(VLOOKUP(tblSalaries[[#This Row],[Currency]],Sheet3!$A$2:$C$31,3,FALSE))*(VLOOKUP(tblSalaries[[#This Row],[Currency]],Sheet1!$N$4:$Q$186,4,FALSE))</f>
        <v>59000</v>
      </c>
      <c r="G635" s="4">
        <f>IF(Dashboard!$J$5=VLOOKUP(tblSalaries[[#This Row],[Currency]],Sheet3!$A$2:$B$31,2,FALSE),tblSalaries[[#This Row],[clean Salary (in local currency)]],(tblSalaries[[#This Row],[PPP Adjusted  USD]]/VLOOKUP(Dashboard!$J$5,Sheet3!$B$2:$C$31,2,FALSE)))</f>
        <v>59000</v>
      </c>
      <c r="H635" t="s">
        <v>3265</v>
      </c>
      <c r="I635" t="s">
        <v>625</v>
      </c>
      <c r="J635" t="s">
        <v>613</v>
      </c>
      <c r="K635" t="s">
        <v>605</v>
      </c>
      <c r="L635">
        <v>15</v>
      </c>
    </row>
    <row r="636" spans="2:12" ht="15" customHeight="1">
      <c r="B636" t="s">
        <v>3441</v>
      </c>
      <c r="C636">
        <v>59000</v>
      </c>
      <c r="D636" t="s">
        <v>252</v>
      </c>
      <c r="E636">
        <v>59000</v>
      </c>
      <c r="F636" s="3">
        <f>(tblSalaries[[#This Row],[clean Salary (in local currency)]])*(VLOOKUP(tblSalaries[[#This Row],[Currency]],Sheet3!$A$2:$C$31,3,FALSE))*(VLOOKUP(tblSalaries[[#This Row],[Currency]],Sheet1!$N$4:$Q$186,4,FALSE))</f>
        <v>59000</v>
      </c>
      <c r="G636" s="4">
        <f>IF(Dashboard!$J$5=VLOOKUP(tblSalaries[[#This Row],[Currency]],Sheet3!$A$2:$B$31,2,FALSE),tblSalaries[[#This Row],[clean Salary (in local currency)]],(tblSalaries[[#This Row],[PPP Adjusted  USD]]/VLOOKUP(Dashboard!$J$5,Sheet3!$B$2:$C$31,2,FALSE)))</f>
        <v>59000</v>
      </c>
      <c r="H636" t="s">
        <v>3442</v>
      </c>
      <c r="I636" t="s">
        <v>625</v>
      </c>
      <c r="J636" t="s">
        <v>613</v>
      </c>
      <c r="K636" t="s">
        <v>627</v>
      </c>
      <c r="L636">
        <v>3</v>
      </c>
    </row>
    <row r="637" spans="2:12" ht="15" customHeight="1">
      <c r="B637" t="s">
        <v>727</v>
      </c>
      <c r="C637">
        <v>40000</v>
      </c>
      <c r="D637" t="s">
        <v>204</v>
      </c>
      <c r="E637">
        <v>63047.130882691366</v>
      </c>
      <c r="F637" s="3">
        <f>(tblSalaries[[#This Row],[clean Salary (in local currency)]])*(VLOOKUP(tblSalaries[[#This Row],[Currency]],Sheet3!$A$2:$C$31,3,FALSE))*(VLOOKUP(tblSalaries[[#This Row],[Currency]],Sheet1!$N$4:$Q$186,4,FALSE))</f>
        <v>58958.8481992171</v>
      </c>
      <c r="G637" s="4">
        <f>IF(Dashboard!$J$5=VLOOKUP(tblSalaries[[#This Row],[Currency]],Sheet3!$A$2:$B$31,2,FALSE),tblSalaries[[#This Row],[clean Salary (in local currency)]],(tblSalaries[[#This Row],[PPP Adjusted  USD]]/VLOOKUP(Dashboard!$J$5,Sheet3!$B$2:$C$31,2,FALSE)))</f>
        <v>58958.8481992171</v>
      </c>
      <c r="H637" t="s">
        <v>710</v>
      </c>
      <c r="I637" t="s">
        <v>637</v>
      </c>
      <c r="J637" t="s">
        <v>687</v>
      </c>
      <c r="K637" t="s">
        <v>605</v>
      </c>
      <c r="L637" t="s">
        <v>3847</v>
      </c>
    </row>
    <row r="638" spans="2:12" ht="15" customHeight="1">
      <c r="B638" t="s">
        <v>2528</v>
      </c>
      <c r="C638">
        <v>40000</v>
      </c>
      <c r="D638" t="s">
        <v>204</v>
      </c>
      <c r="E638">
        <v>63047.130882691366</v>
      </c>
      <c r="F638" s="3">
        <f>(tblSalaries[[#This Row],[clean Salary (in local currency)]])*(VLOOKUP(tblSalaries[[#This Row],[Currency]],Sheet3!$A$2:$C$31,3,FALSE))*(VLOOKUP(tblSalaries[[#This Row],[Currency]],Sheet1!$N$4:$Q$186,4,FALSE))</f>
        <v>58958.8481992171</v>
      </c>
      <c r="G638" s="4">
        <f>IF(Dashboard!$J$5=VLOOKUP(tblSalaries[[#This Row],[Currency]],Sheet3!$A$2:$B$31,2,FALSE),tblSalaries[[#This Row],[clean Salary (in local currency)]],(tblSalaries[[#This Row],[PPP Adjusted  USD]]/VLOOKUP(Dashboard!$J$5,Sheet3!$B$2:$C$31,2,FALSE)))</f>
        <v>58958.8481992171</v>
      </c>
      <c r="H638" t="s">
        <v>1028</v>
      </c>
      <c r="I638" t="s">
        <v>625</v>
      </c>
      <c r="J638" t="s">
        <v>687</v>
      </c>
      <c r="K638" t="s">
        <v>627</v>
      </c>
      <c r="L638">
        <v>20</v>
      </c>
    </row>
    <row r="639" spans="2:12" ht="15" customHeight="1">
      <c r="B639" t="s">
        <v>3455</v>
      </c>
      <c r="C639">
        <v>40000</v>
      </c>
      <c r="D639" t="s">
        <v>204</v>
      </c>
      <c r="E639">
        <v>63047.130882691366</v>
      </c>
      <c r="F639" s="3">
        <f>(tblSalaries[[#This Row],[clean Salary (in local currency)]])*(VLOOKUP(tblSalaries[[#This Row],[Currency]],Sheet3!$A$2:$C$31,3,FALSE))*(VLOOKUP(tblSalaries[[#This Row],[Currency]],Sheet1!$N$4:$Q$186,4,FALSE))</f>
        <v>58958.8481992171</v>
      </c>
      <c r="G639" s="4">
        <f>IF(Dashboard!$J$5=VLOOKUP(tblSalaries[[#This Row],[Currency]],Sheet3!$A$2:$B$31,2,FALSE),tblSalaries[[#This Row],[clean Salary (in local currency)]],(tblSalaries[[#This Row],[PPP Adjusted  USD]]/VLOOKUP(Dashboard!$J$5,Sheet3!$B$2:$C$31,2,FALSE)))</f>
        <v>58958.8481992171</v>
      </c>
      <c r="H639" t="s">
        <v>3456</v>
      </c>
      <c r="I639" t="s">
        <v>640</v>
      </c>
      <c r="J639" t="s">
        <v>687</v>
      </c>
      <c r="K639" t="s">
        <v>617</v>
      </c>
      <c r="L639">
        <v>25</v>
      </c>
    </row>
    <row r="640" spans="2:12" ht="15" customHeight="1">
      <c r="B640" t="s">
        <v>3515</v>
      </c>
      <c r="C640">
        <v>40000</v>
      </c>
      <c r="D640" t="s">
        <v>204</v>
      </c>
      <c r="E640">
        <v>63047.130882691366</v>
      </c>
      <c r="F640" s="3">
        <f>(tblSalaries[[#This Row],[clean Salary (in local currency)]])*(VLOOKUP(tblSalaries[[#This Row],[Currency]],Sheet3!$A$2:$C$31,3,FALSE))*(VLOOKUP(tblSalaries[[#This Row],[Currency]],Sheet1!$N$4:$Q$186,4,FALSE))</f>
        <v>58958.8481992171</v>
      </c>
      <c r="G640" s="4">
        <f>IF(Dashboard!$J$5=VLOOKUP(tblSalaries[[#This Row],[Currency]],Sheet3!$A$2:$B$31,2,FALSE),tblSalaries[[#This Row],[clean Salary (in local currency)]],(tblSalaries[[#This Row],[PPP Adjusted  USD]]/VLOOKUP(Dashboard!$J$5,Sheet3!$B$2:$C$31,2,FALSE)))</f>
        <v>58958.8481992171</v>
      </c>
      <c r="H640" t="s">
        <v>895</v>
      </c>
      <c r="I640" t="s">
        <v>625</v>
      </c>
      <c r="J640" t="s">
        <v>687</v>
      </c>
      <c r="K640" t="s">
        <v>605</v>
      </c>
      <c r="L640">
        <v>15</v>
      </c>
    </row>
    <row r="641" spans="2:12" ht="15" customHeight="1">
      <c r="B641" t="s">
        <v>3536</v>
      </c>
      <c r="C641">
        <v>40000</v>
      </c>
      <c r="D641" t="s">
        <v>204</v>
      </c>
      <c r="E641">
        <v>63047.130882691366</v>
      </c>
      <c r="F641" s="3">
        <f>(tblSalaries[[#This Row],[clean Salary (in local currency)]])*(VLOOKUP(tblSalaries[[#This Row],[Currency]],Sheet3!$A$2:$C$31,3,FALSE))*(VLOOKUP(tblSalaries[[#This Row],[Currency]],Sheet1!$N$4:$Q$186,4,FALSE))</f>
        <v>58958.8481992171</v>
      </c>
      <c r="G641" s="4">
        <f>IF(Dashboard!$J$5=VLOOKUP(tblSalaries[[#This Row],[Currency]],Sheet3!$A$2:$B$31,2,FALSE),tblSalaries[[#This Row],[clean Salary (in local currency)]],(tblSalaries[[#This Row],[PPP Adjusted  USD]]/VLOOKUP(Dashboard!$J$5,Sheet3!$B$2:$C$31,2,FALSE)))</f>
        <v>58958.8481992171</v>
      </c>
      <c r="H641" t="s">
        <v>603</v>
      </c>
      <c r="I641" t="s">
        <v>603</v>
      </c>
      <c r="J641" t="s">
        <v>687</v>
      </c>
      <c r="K641" t="s">
        <v>605</v>
      </c>
      <c r="L641">
        <v>5</v>
      </c>
    </row>
    <row r="642" spans="2:12" ht="15" customHeight="1">
      <c r="B642" t="s">
        <v>2342</v>
      </c>
      <c r="C642">
        <v>94000</v>
      </c>
      <c r="D642" t="s">
        <v>224</v>
      </c>
      <c r="E642">
        <v>95871.50770184776</v>
      </c>
      <c r="F642" s="3">
        <f>(tblSalaries[[#This Row],[clean Salary (in local currency)]])*(VLOOKUP(tblSalaries[[#This Row],[Currency]],Sheet3!$A$2:$C$31,3,FALSE))*(VLOOKUP(tblSalaries[[#This Row],[Currency]],Sheet1!$N$4:$Q$186,4,FALSE))</f>
        <v>58911.121470669437</v>
      </c>
      <c r="G642" s="4">
        <f>IF(Dashboard!$J$5=VLOOKUP(tblSalaries[[#This Row],[Currency]],Sheet3!$A$2:$B$31,2,FALSE),tblSalaries[[#This Row],[clean Salary (in local currency)]],(tblSalaries[[#This Row],[PPP Adjusted  USD]]/VLOOKUP(Dashboard!$J$5,Sheet3!$B$2:$C$31,2,FALSE)))</f>
        <v>58911.121470669437</v>
      </c>
      <c r="H642" t="s">
        <v>899</v>
      </c>
      <c r="I642" t="s">
        <v>603</v>
      </c>
      <c r="J642" t="s">
        <v>703</v>
      </c>
      <c r="K642" t="s">
        <v>617</v>
      </c>
      <c r="L642">
        <v>2.5</v>
      </c>
    </row>
    <row r="643" spans="2:12" ht="15" customHeight="1">
      <c r="B643" t="s">
        <v>2376</v>
      </c>
      <c r="C643">
        <v>94000</v>
      </c>
      <c r="D643" t="s">
        <v>224</v>
      </c>
      <c r="E643">
        <v>95871.50770184776</v>
      </c>
      <c r="F643" s="3">
        <f>(tblSalaries[[#This Row],[clean Salary (in local currency)]])*(VLOOKUP(tblSalaries[[#This Row],[Currency]],Sheet3!$A$2:$C$31,3,FALSE))*(VLOOKUP(tblSalaries[[#This Row],[Currency]],Sheet1!$N$4:$Q$186,4,FALSE))</f>
        <v>58911.121470669437</v>
      </c>
      <c r="G643" s="4">
        <f>IF(Dashboard!$J$5=VLOOKUP(tblSalaries[[#This Row],[Currency]],Sheet3!$A$2:$B$31,2,FALSE),tblSalaries[[#This Row],[clean Salary (in local currency)]],(tblSalaries[[#This Row],[PPP Adjusted  USD]]/VLOOKUP(Dashboard!$J$5,Sheet3!$B$2:$C$31,2,FALSE)))</f>
        <v>58911.121470669437</v>
      </c>
      <c r="H643" t="s">
        <v>2377</v>
      </c>
      <c r="I643" t="s">
        <v>603</v>
      </c>
      <c r="J643" t="s">
        <v>703</v>
      </c>
      <c r="K643" t="s">
        <v>617</v>
      </c>
      <c r="L643">
        <v>14</v>
      </c>
    </row>
    <row r="644" spans="2:12" ht="15" customHeight="1">
      <c r="B644" t="s">
        <v>3263</v>
      </c>
      <c r="C644">
        <v>74000</v>
      </c>
      <c r="D644" t="s">
        <v>276</v>
      </c>
      <c r="E644">
        <v>72768.752704244194</v>
      </c>
      <c r="F644" s="3">
        <f>(tblSalaries[[#This Row],[clean Salary (in local currency)]])*(VLOOKUP(tblSalaries[[#This Row],[Currency]],Sheet3!$A$2:$C$31,3,FALSE))*(VLOOKUP(tblSalaries[[#This Row],[Currency]],Sheet1!$N$4:$Q$186,4,FALSE))</f>
        <v>58493.019036973514</v>
      </c>
      <c r="G644" s="4">
        <f>IF(Dashboard!$J$5=VLOOKUP(tblSalaries[[#This Row],[Currency]],Sheet3!$A$2:$B$31,2,FALSE),tblSalaries[[#This Row],[clean Salary (in local currency)]],(tblSalaries[[#This Row],[PPP Adjusted  USD]]/VLOOKUP(Dashboard!$J$5,Sheet3!$B$2:$C$31,2,FALSE)))</f>
        <v>58493.019036973514</v>
      </c>
      <c r="H644" t="s">
        <v>1209</v>
      </c>
      <c r="I644" t="s">
        <v>603</v>
      </c>
      <c r="J644" t="s">
        <v>708</v>
      </c>
      <c r="K644" t="s">
        <v>605</v>
      </c>
      <c r="L644">
        <v>10</v>
      </c>
    </row>
    <row r="645" spans="2:12" ht="15" customHeight="1">
      <c r="B645" t="s">
        <v>3566</v>
      </c>
      <c r="C645">
        <v>1230000</v>
      </c>
      <c r="D645" t="s">
        <v>247</v>
      </c>
      <c r="E645">
        <v>21903.737525554359</v>
      </c>
      <c r="F645" s="3">
        <f>(tblSalaries[[#This Row],[clean Salary (in local currency)]])*(VLOOKUP(tblSalaries[[#This Row],[Currency]],Sheet3!$A$2:$C$31,3,FALSE))*(VLOOKUP(tblSalaries[[#This Row],[Currency]],Sheet1!$N$4:$Q$186,4,FALSE))</f>
        <v>58254.057488899103</v>
      </c>
      <c r="G645" s="4">
        <f>IF(Dashboard!$J$5=VLOOKUP(tblSalaries[[#This Row],[Currency]],Sheet3!$A$2:$B$31,2,FALSE),tblSalaries[[#This Row],[clean Salary (in local currency)]],(tblSalaries[[#This Row],[PPP Adjusted  USD]]/VLOOKUP(Dashboard!$J$5,Sheet3!$B$2:$C$31,2,FALSE)))</f>
        <v>58254.057488899103</v>
      </c>
      <c r="H645" t="s">
        <v>3567</v>
      </c>
      <c r="I645" t="s">
        <v>603</v>
      </c>
      <c r="J645" t="s">
        <v>604</v>
      </c>
      <c r="K645" t="s">
        <v>610</v>
      </c>
      <c r="L645">
        <v>3</v>
      </c>
    </row>
    <row r="646" spans="2:12" ht="15" customHeight="1">
      <c r="B646" t="s">
        <v>611</v>
      </c>
      <c r="C646">
        <v>58000</v>
      </c>
      <c r="D646" t="s">
        <v>252</v>
      </c>
      <c r="E646">
        <v>58000</v>
      </c>
      <c r="F646" s="3">
        <f>(tblSalaries[[#This Row],[clean Salary (in local currency)]])*(VLOOKUP(tblSalaries[[#This Row],[Currency]],Sheet3!$A$2:$C$31,3,FALSE))*(VLOOKUP(tblSalaries[[#This Row],[Currency]],Sheet1!$N$4:$Q$186,4,FALSE))</f>
        <v>58000</v>
      </c>
      <c r="G646" s="4">
        <f>IF(Dashboard!$J$5=VLOOKUP(tblSalaries[[#This Row],[Currency]],Sheet3!$A$2:$B$31,2,FALSE),tblSalaries[[#This Row],[clean Salary (in local currency)]],(tblSalaries[[#This Row],[PPP Adjusted  USD]]/VLOOKUP(Dashboard!$J$5,Sheet3!$B$2:$C$31,2,FALSE)))</f>
        <v>58000</v>
      </c>
      <c r="H646" t="s">
        <v>612</v>
      </c>
      <c r="I646" t="s">
        <v>603</v>
      </c>
      <c r="J646" t="s">
        <v>613</v>
      </c>
      <c r="K646" t="s">
        <v>610</v>
      </c>
      <c r="L646" t="s">
        <v>3847</v>
      </c>
    </row>
    <row r="647" spans="2:12" ht="15" customHeight="1">
      <c r="B647" t="s">
        <v>709</v>
      </c>
      <c r="C647">
        <v>58000</v>
      </c>
      <c r="D647" t="s">
        <v>252</v>
      </c>
      <c r="E647">
        <v>58000</v>
      </c>
      <c r="F647" s="3">
        <f>(tblSalaries[[#This Row],[clean Salary (in local currency)]])*(VLOOKUP(tblSalaries[[#This Row],[Currency]],Sheet3!$A$2:$C$31,3,FALSE))*(VLOOKUP(tblSalaries[[#This Row],[Currency]],Sheet1!$N$4:$Q$186,4,FALSE))</f>
        <v>58000</v>
      </c>
      <c r="G647" s="4">
        <f>IF(Dashboard!$J$5=VLOOKUP(tblSalaries[[#This Row],[Currency]],Sheet3!$A$2:$B$31,2,FALSE),tblSalaries[[#This Row],[clean Salary (in local currency)]],(tblSalaries[[#This Row],[PPP Adjusted  USD]]/VLOOKUP(Dashboard!$J$5,Sheet3!$B$2:$C$31,2,FALSE)))</f>
        <v>58000</v>
      </c>
      <c r="H647" t="s">
        <v>710</v>
      </c>
      <c r="I647" t="s">
        <v>637</v>
      </c>
      <c r="J647" t="s">
        <v>613</v>
      </c>
      <c r="K647" t="s">
        <v>605</v>
      </c>
      <c r="L647" t="s">
        <v>3847</v>
      </c>
    </row>
    <row r="648" spans="2:12" ht="15" customHeight="1">
      <c r="B648" t="s">
        <v>845</v>
      </c>
      <c r="C648">
        <v>58000</v>
      </c>
      <c r="D648" t="s">
        <v>252</v>
      </c>
      <c r="E648">
        <v>58000</v>
      </c>
      <c r="F648" s="3">
        <f>(tblSalaries[[#This Row],[clean Salary (in local currency)]])*(VLOOKUP(tblSalaries[[#This Row],[Currency]],Sheet3!$A$2:$C$31,3,FALSE))*(VLOOKUP(tblSalaries[[#This Row],[Currency]],Sheet1!$N$4:$Q$186,4,FALSE))</f>
        <v>58000</v>
      </c>
      <c r="G648" s="4">
        <f>IF(Dashboard!$J$5=VLOOKUP(tblSalaries[[#This Row],[Currency]],Sheet3!$A$2:$B$31,2,FALSE),tblSalaries[[#This Row],[clean Salary (in local currency)]],(tblSalaries[[#This Row],[PPP Adjusted  USD]]/VLOOKUP(Dashboard!$J$5,Sheet3!$B$2:$C$31,2,FALSE)))</f>
        <v>58000</v>
      </c>
      <c r="H648" t="s">
        <v>846</v>
      </c>
      <c r="I648" t="s">
        <v>625</v>
      </c>
      <c r="J648" t="s">
        <v>613</v>
      </c>
      <c r="K648" t="s">
        <v>605</v>
      </c>
      <c r="L648" t="s">
        <v>3847</v>
      </c>
    </row>
    <row r="649" spans="2:12" ht="15" customHeight="1">
      <c r="B649" t="s">
        <v>942</v>
      </c>
      <c r="C649">
        <v>58000</v>
      </c>
      <c r="D649" t="s">
        <v>252</v>
      </c>
      <c r="E649">
        <v>58000</v>
      </c>
      <c r="F649" s="3">
        <f>(tblSalaries[[#This Row],[clean Salary (in local currency)]])*(VLOOKUP(tblSalaries[[#This Row],[Currency]],Sheet3!$A$2:$C$31,3,FALSE))*(VLOOKUP(tblSalaries[[#This Row],[Currency]],Sheet1!$N$4:$Q$186,4,FALSE))</f>
        <v>58000</v>
      </c>
      <c r="G649" s="4">
        <f>IF(Dashboard!$J$5=VLOOKUP(tblSalaries[[#This Row],[Currency]],Sheet3!$A$2:$B$31,2,FALSE),tblSalaries[[#This Row],[clean Salary (in local currency)]],(tblSalaries[[#This Row],[PPP Adjusted  USD]]/VLOOKUP(Dashboard!$J$5,Sheet3!$B$2:$C$31,2,FALSE)))</f>
        <v>58000</v>
      </c>
      <c r="H649" t="s">
        <v>943</v>
      </c>
      <c r="I649" t="s">
        <v>625</v>
      </c>
      <c r="J649" t="s">
        <v>708</v>
      </c>
      <c r="K649" t="s">
        <v>627</v>
      </c>
      <c r="L649" t="s">
        <v>3847</v>
      </c>
    </row>
    <row r="650" spans="2:12" ht="15" customHeight="1">
      <c r="B650" t="s">
        <v>3053</v>
      </c>
      <c r="C650">
        <v>57678</v>
      </c>
      <c r="D650" t="s">
        <v>252</v>
      </c>
      <c r="E650">
        <v>57678</v>
      </c>
      <c r="F650" s="3">
        <f>(tblSalaries[[#This Row],[clean Salary (in local currency)]])*(VLOOKUP(tblSalaries[[#This Row],[Currency]],Sheet3!$A$2:$C$31,3,FALSE))*(VLOOKUP(tblSalaries[[#This Row],[Currency]],Sheet1!$N$4:$Q$186,4,FALSE))</f>
        <v>57678</v>
      </c>
      <c r="G650" s="4">
        <f>IF(Dashboard!$J$5=VLOOKUP(tblSalaries[[#This Row],[Currency]],Sheet3!$A$2:$B$31,2,FALSE),tblSalaries[[#This Row],[clean Salary (in local currency)]],(tblSalaries[[#This Row],[PPP Adjusted  USD]]/VLOOKUP(Dashboard!$J$5,Sheet3!$B$2:$C$31,2,FALSE)))</f>
        <v>57678</v>
      </c>
      <c r="H650" t="s">
        <v>612</v>
      </c>
      <c r="I650" t="s">
        <v>603</v>
      </c>
      <c r="J650" t="s">
        <v>613</v>
      </c>
      <c r="K650" t="s">
        <v>605</v>
      </c>
      <c r="L650">
        <v>2</v>
      </c>
    </row>
    <row r="651" spans="2:12" ht="15" customHeight="1">
      <c r="B651" t="s">
        <v>2353</v>
      </c>
      <c r="C651">
        <v>92000</v>
      </c>
      <c r="D651" t="s">
        <v>224</v>
      </c>
      <c r="E651">
        <v>93831.688389042494</v>
      </c>
      <c r="F651" s="3">
        <f>(tblSalaries[[#This Row],[clean Salary (in local currency)]])*(VLOOKUP(tblSalaries[[#This Row],[Currency]],Sheet3!$A$2:$C$31,3,FALSE))*(VLOOKUP(tblSalaries[[#This Row],[Currency]],Sheet1!$N$4:$Q$186,4,FALSE))</f>
        <v>57657.693354272218</v>
      </c>
      <c r="G651" s="4">
        <f>IF(Dashboard!$J$5=VLOOKUP(tblSalaries[[#This Row],[Currency]],Sheet3!$A$2:$B$31,2,FALSE),tblSalaries[[#This Row],[clean Salary (in local currency)]],(tblSalaries[[#This Row],[PPP Adjusted  USD]]/VLOOKUP(Dashboard!$J$5,Sheet3!$B$2:$C$31,2,FALSE)))</f>
        <v>57657.693354272218</v>
      </c>
      <c r="H651" t="s">
        <v>2352</v>
      </c>
      <c r="I651" t="s">
        <v>603</v>
      </c>
      <c r="J651" t="s">
        <v>703</v>
      </c>
      <c r="K651" t="s">
        <v>610</v>
      </c>
      <c r="L651">
        <v>6</v>
      </c>
    </row>
    <row r="652" spans="2:12" ht="15" customHeight="1">
      <c r="B652" t="s">
        <v>2958</v>
      </c>
      <c r="C652">
        <v>57500</v>
      </c>
      <c r="D652" t="s">
        <v>252</v>
      </c>
      <c r="E652">
        <v>57500</v>
      </c>
      <c r="F652" s="3">
        <f>(tblSalaries[[#This Row],[clean Salary (in local currency)]])*(VLOOKUP(tblSalaries[[#This Row],[Currency]],Sheet3!$A$2:$C$31,3,FALSE))*(VLOOKUP(tblSalaries[[#This Row],[Currency]],Sheet1!$N$4:$Q$186,4,FALSE))</f>
        <v>57500</v>
      </c>
      <c r="G652" s="4">
        <f>IF(Dashboard!$J$5=VLOOKUP(tblSalaries[[#This Row],[Currency]],Sheet3!$A$2:$B$31,2,FALSE),tblSalaries[[#This Row],[clean Salary (in local currency)]],(tblSalaries[[#This Row],[PPP Adjusted  USD]]/VLOOKUP(Dashboard!$J$5,Sheet3!$B$2:$C$31,2,FALSE)))</f>
        <v>57500</v>
      </c>
      <c r="H652" t="s">
        <v>2959</v>
      </c>
      <c r="I652" t="s">
        <v>625</v>
      </c>
      <c r="J652" t="s">
        <v>613</v>
      </c>
      <c r="K652" t="s">
        <v>605</v>
      </c>
      <c r="L652">
        <v>30</v>
      </c>
    </row>
    <row r="653" spans="2:12" ht="15" customHeight="1">
      <c r="B653" t="s">
        <v>835</v>
      </c>
      <c r="C653">
        <v>57400</v>
      </c>
      <c r="D653" t="s">
        <v>252</v>
      </c>
      <c r="E653">
        <v>57400</v>
      </c>
      <c r="F653" s="3">
        <f>(tblSalaries[[#This Row],[clean Salary (in local currency)]])*(VLOOKUP(tblSalaries[[#This Row],[Currency]],Sheet3!$A$2:$C$31,3,FALSE))*(VLOOKUP(tblSalaries[[#This Row],[Currency]],Sheet1!$N$4:$Q$186,4,FALSE))</f>
        <v>57400</v>
      </c>
      <c r="G653" s="4">
        <f>IF(Dashboard!$J$5=VLOOKUP(tblSalaries[[#This Row],[Currency]],Sheet3!$A$2:$B$31,2,FALSE),tblSalaries[[#This Row],[clean Salary (in local currency)]],(tblSalaries[[#This Row],[PPP Adjusted  USD]]/VLOOKUP(Dashboard!$J$5,Sheet3!$B$2:$C$31,2,FALSE)))</f>
        <v>57400</v>
      </c>
      <c r="H653" t="s">
        <v>836</v>
      </c>
      <c r="I653" t="s">
        <v>603</v>
      </c>
      <c r="J653" t="s">
        <v>613</v>
      </c>
      <c r="K653" t="s">
        <v>605</v>
      </c>
      <c r="L653" t="s">
        <v>3847</v>
      </c>
    </row>
    <row r="654" spans="2:12" ht="15" customHeight="1">
      <c r="B654" t="s">
        <v>2326</v>
      </c>
      <c r="C654">
        <v>95000</v>
      </c>
      <c r="D654" t="s">
        <v>295</v>
      </c>
      <c r="E654">
        <v>75770.868892469181</v>
      </c>
      <c r="F654" s="3">
        <f>(tblSalaries[[#This Row],[clean Salary (in local currency)]])*(VLOOKUP(tblSalaries[[#This Row],[Currency]],Sheet3!$A$2:$C$31,3,FALSE))*(VLOOKUP(tblSalaries[[#This Row],[Currency]],Sheet1!$N$4:$Q$186,4,FALSE))</f>
        <v>57204.89698906702</v>
      </c>
      <c r="G654" s="4">
        <f>IF(Dashboard!$J$5=VLOOKUP(tblSalaries[[#This Row],[Currency]],Sheet3!$A$2:$B$31,2,FALSE),tblSalaries[[#This Row],[clean Salary (in local currency)]],(tblSalaries[[#This Row],[PPP Adjusted  USD]]/VLOOKUP(Dashboard!$J$5,Sheet3!$B$2:$C$31,2,FALSE)))</f>
        <v>57204.89698906702</v>
      </c>
      <c r="H654" t="s">
        <v>1883</v>
      </c>
      <c r="I654" t="s">
        <v>637</v>
      </c>
      <c r="J654" t="s">
        <v>1604</v>
      </c>
      <c r="K654" t="s">
        <v>605</v>
      </c>
      <c r="L654">
        <v>20</v>
      </c>
    </row>
    <row r="655" spans="2:12" ht="15" customHeight="1">
      <c r="B655" t="s">
        <v>725</v>
      </c>
      <c r="C655">
        <v>57000</v>
      </c>
      <c r="D655" t="s">
        <v>252</v>
      </c>
      <c r="E655">
        <v>57000</v>
      </c>
      <c r="F655" s="3">
        <f>(tblSalaries[[#This Row],[clean Salary (in local currency)]])*(VLOOKUP(tblSalaries[[#This Row],[Currency]],Sheet3!$A$2:$C$31,3,FALSE))*(VLOOKUP(tblSalaries[[#This Row],[Currency]],Sheet1!$N$4:$Q$186,4,FALSE))</f>
        <v>57000</v>
      </c>
      <c r="G655" s="4">
        <f>IF(Dashboard!$J$5=VLOOKUP(tblSalaries[[#This Row],[Currency]],Sheet3!$A$2:$B$31,2,FALSE),tblSalaries[[#This Row],[clean Salary (in local currency)]],(tblSalaries[[#This Row],[PPP Adjusted  USD]]/VLOOKUP(Dashboard!$J$5,Sheet3!$B$2:$C$31,2,FALSE)))</f>
        <v>57000</v>
      </c>
      <c r="H655" t="s">
        <v>726</v>
      </c>
      <c r="I655" t="s">
        <v>637</v>
      </c>
      <c r="J655" t="s">
        <v>613</v>
      </c>
      <c r="K655" t="s">
        <v>617</v>
      </c>
      <c r="L655" t="s">
        <v>3847</v>
      </c>
    </row>
    <row r="656" spans="2:12" ht="15" customHeight="1">
      <c r="B656" t="s">
        <v>762</v>
      </c>
      <c r="C656">
        <v>57000</v>
      </c>
      <c r="D656" t="s">
        <v>252</v>
      </c>
      <c r="E656">
        <v>57000</v>
      </c>
      <c r="F656" s="3">
        <f>(tblSalaries[[#This Row],[clean Salary (in local currency)]])*(VLOOKUP(tblSalaries[[#This Row],[Currency]],Sheet3!$A$2:$C$31,3,FALSE))*(VLOOKUP(tblSalaries[[#This Row],[Currency]],Sheet1!$N$4:$Q$186,4,FALSE))</f>
        <v>57000</v>
      </c>
      <c r="G656" s="4">
        <f>IF(Dashboard!$J$5=VLOOKUP(tblSalaries[[#This Row],[Currency]],Sheet3!$A$2:$B$31,2,FALSE),tblSalaries[[#This Row],[clean Salary (in local currency)]],(tblSalaries[[#This Row],[PPP Adjusted  USD]]/VLOOKUP(Dashboard!$J$5,Sheet3!$B$2:$C$31,2,FALSE)))</f>
        <v>57000</v>
      </c>
      <c r="H656" t="s">
        <v>763</v>
      </c>
      <c r="I656" t="s">
        <v>603</v>
      </c>
      <c r="J656" t="s">
        <v>613</v>
      </c>
      <c r="K656" t="s">
        <v>605</v>
      </c>
      <c r="L656" t="s">
        <v>3847</v>
      </c>
    </row>
    <row r="657" spans="2:12" ht="15" customHeight="1">
      <c r="B657" t="s">
        <v>819</v>
      </c>
      <c r="C657">
        <v>57000</v>
      </c>
      <c r="D657" t="s">
        <v>252</v>
      </c>
      <c r="E657">
        <v>57000</v>
      </c>
      <c r="F657" s="3">
        <f>(tblSalaries[[#This Row],[clean Salary (in local currency)]])*(VLOOKUP(tblSalaries[[#This Row],[Currency]],Sheet3!$A$2:$C$31,3,FALSE))*(VLOOKUP(tblSalaries[[#This Row],[Currency]],Sheet1!$N$4:$Q$186,4,FALSE))</f>
        <v>57000</v>
      </c>
      <c r="G657" s="4">
        <f>IF(Dashboard!$J$5=VLOOKUP(tblSalaries[[#This Row],[Currency]],Sheet3!$A$2:$B$31,2,FALSE),tblSalaries[[#This Row],[clean Salary (in local currency)]],(tblSalaries[[#This Row],[PPP Adjusted  USD]]/VLOOKUP(Dashboard!$J$5,Sheet3!$B$2:$C$31,2,FALSE)))</f>
        <v>57000</v>
      </c>
      <c r="H657" t="s">
        <v>820</v>
      </c>
      <c r="I657" t="s">
        <v>625</v>
      </c>
      <c r="J657" t="s">
        <v>613</v>
      </c>
      <c r="K657" t="s">
        <v>605</v>
      </c>
      <c r="L657" t="s">
        <v>3847</v>
      </c>
    </row>
    <row r="658" spans="2:12" ht="15" customHeight="1">
      <c r="B658" t="s">
        <v>907</v>
      </c>
      <c r="C658">
        <v>57000</v>
      </c>
      <c r="D658" t="s">
        <v>252</v>
      </c>
      <c r="E658">
        <v>57000</v>
      </c>
      <c r="F658" s="3">
        <f>(tblSalaries[[#This Row],[clean Salary (in local currency)]])*(VLOOKUP(tblSalaries[[#This Row],[Currency]],Sheet3!$A$2:$C$31,3,FALSE))*(VLOOKUP(tblSalaries[[#This Row],[Currency]],Sheet1!$N$4:$Q$186,4,FALSE))</f>
        <v>57000</v>
      </c>
      <c r="G658" s="4">
        <f>IF(Dashboard!$J$5=VLOOKUP(tblSalaries[[#This Row],[Currency]],Sheet3!$A$2:$B$31,2,FALSE),tblSalaries[[#This Row],[clean Salary (in local currency)]],(tblSalaries[[#This Row],[PPP Adjusted  USD]]/VLOOKUP(Dashboard!$J$5,Sheet3!$B$2:$C$31,2,FALSE)))</f>
        <v>57000</v>
      </c>
      <c r="H658" t="s">
        <v>908</v>
      </c>
      <c r="I658" t="s">
        <v>620</v>
      </c>
      <c r="J658" t="s">
        <v>613</v>
      </c>
      <c r="K658" t="s">
        <v>605</v>
      </c>
      <c r="L658" t="s">
        <v>3847</v>
      </c>
    </row>
    <row r="659" spans="2:12" ht="15" customHeight="1">
      <c r="B659" t="s">
        <v>1573</v>
      </c>
      <c r="C659">
        <v>57000</v>
      </c>
      <c r="D659" t="s">
        <v>252</v>
      </c>
      <c r="E659">
        <v>57000</v>
      </c>
      <c r="F659" s="3">
        <f>(tblSalaries[[#This Row],[clean Salary (in local currency)]])*(VLOOKUP(tblSalaries[[#This Row],[Currency]],Sheet3!$A$2:$C$31,3,FALSE))*(VLOOKUP(tblSalaries[[#This Row],[Currency]],Sheet1!$N$4:$Q$186,4,FALSE))</f>
        <v>57000</v>
      </c>
      <c r="G659" s="4">
        <f>IF(Dashboard!$J$5=VLOOKUP(tblSalaries[[#This Row],[Currency]],Sheet3!$A$2:$B$31,2,FALSE),tblSalaries[[#This Row],[clean Salary (in local currency)]],(tblSalaries[[#This Row],[PPP Adjusted  USD]]/VLOOKUP(Dashboard!$J$5,Sheet3!$B$2:$C$31,2,FALSE)))</f>
        <v>57000</v>
      </c>
      <c r="H659" t="s">
        <v>1574</v>
      </c>
      <c r="I659" t="s">
        <v>625</v>
      </c>
      <c r="J659" t="s">
        <v>1255</v>
      </c>
      <c r="K659" t="s">
        <v>605</v>
      </c>
      <c r="L659" t="s">
        <v>3847</v>
      </c>
    </row>
    <row r="660" spans="2:12" ht="15" customHeight="1">
      <c r="B660" t="s">
        <v>2294</v>
      </c>
      <c r="C660">
        <v>57000</v>
      </c>
      <c r="D660" t="s">
        <v>252</v>
      </c>
      <c r="E660">
        <v>57000</v>
      </c>
      <c r="F660" s="3">
        <f>(tblSalaries[[#This Row],[clean Salary (in local currency)]])*(VLOOKUP(tblSalaries[[#This Row],[Currency]],Sheet3!$A$2:$C$31,3,FALSE))*(VLOOKUP(tblSalaries[[#This Row],[Currency]],Sheet1!$N$4:$Q$186,4,FALSE))</f>
        <v>57000</v>
      </c>
      <c r="G660" s="4">
        <f>IF(Dashboard!$J$5=VLOOKUP(tblSalaries[[#This Row],[Currency]],Sheet3!$A$2:$B$31,2,FALSE),tblSalaries[[#This Row],[clean Salary (in local currency)]],(tblSalaries[[#This Row],[PPP Adjusted  USD]]/VLOOKUP(Dashboard!$J$5,Sheet3!$B$2:$C$31,2,FALSE)))</f>
        <v>57000</v>
      </c>
      <c r="H660" t="s">
        <v>2295</v>
      </c>
      <c r="I660" t="s">
        <v>620</v>
      </c>
      <c r="J660" t="s">
        <v>613</v>
      </c>
      <c r="K660" t="s">
        <v>617</v>
      </c>
      <c r="L660">
        <v>4</v>
      </c>
    </row>
    <row r="661" spans="2:12" ht="15" customHeight="1">
      <c r="B661" t="s">
        <v>3695</v>
      </c>
      <c r="C661">
        <v>57000</v>
      </c>
      <c r="D661" t="s">
        <v>252</v>
      </c>
      <c r="E661">
        <v>57000</v>
      </c>
      <c r="F661" s="3">
        <f>(tblSalaries[[#This Row],[clean Salary (in local currency)]])*(VLOOKUP(tblSalaries[[#This Row],[Currency]],Sheet3!$A$2:$C$31,3,FALSE))*(VLOOKUP(tblSalaries[[#This Row],[Currency]],Sheet1!$N$4:$Q$186,4,FALSE))</f>
        <v>57000</v>
      </c>
      <c r="G661" s="4">
        <f>IF(Dashboard!$J$5=VLOOKUP(tblSalaries[[#This Row],[Currency]],Sheet3!$A$2:$B$31,2,FALSE),tblSalaries[[#This Row],[clean Salary (in local currency)]],(tblSalaries[[#This Row],[PPP Adjusted  USD]]/VLOOKUP(Dashboard!$J$5,Sheet3!$B$2:$C$31,2,FALSE)))</f>
        <v>57000</v>
      </c>
      <c r="H661" t="s">
        <v>2720</v>
      </c>
      <c r="I661" t="s">
        <v>637</v>
      </c>
      <c r="J661" t="s">
        <v>613</v>
      </c>
      <c r="K661" t="s">
        <v>605</v>
      </c>
      <c r="L661">
        <v>9</v>
      </c>
    </row>
    <row r="662" spans="2:12" ht="15" customHeight="1">
      <c r="B662" t="s">
        <v>1370</v>
      </c>
      <c r="C662">
        <v>72000</v>
      </c>
      <c r="D662" t="s">
        <v>276</v>
      </c>
      <c r="E662">
        <v>70802.029658183528</v>
      </c>
      <c r="F662" s="3">
        <f>(tblSalaries[[#This Row],[clean Salary (in local currency)]])*(VLOOKUP(tblSalaries[[#This Row],[Currency]],Sheet3!$A$2:$C$31,3,FALSE))*(VLOOKUP(tblSalaries[[#This Row],[Currency]],Sheet1!$N$4:$Q$186,4,FALSE))</f>
        <v>56912.126630568811</v>
      </c>
      <c r="G662" s="4">
        <f>IF(Dashboard!$J$5=VLOOKUP(tblSalaries[[#This Row],[Currency]],Sheet3!$A$2:$B$31,2,FALSE),tblSalaries[[#This Row],[clean Salary (in local currency)]],(tblSalaries[[#This Row],[PPP Adjusted  USD]]/VLOOKUP(Dashboard!$J$5,Sheet3!$B$2:$C$31,2,FALSE)))</f>
        <v>56912.126630568811</v>
      </c>
      <c r="H662" t="s">
        <v>608</v>
      </c>
      <c r="I662" t="s">
        <v>608</v>
      </c>
      <c r="J662" t="s">
        <v>708</v>
      </c>
      <c r="K662" t="s">
        <v>605</v>
      </c>
      <c r="L662" t="s">
        <v>3847</v>
      </c>
    </row>
    <row r="663" spans="2:12" ht="15" customHeight="1">
      <c r="B663" t="s">
        <v>638</v>
      </c>
      <c r="C663">
        <v>51650</v>
      </c>
      <c r="D663" t="s">
        <v>200</v>
      </c>
      <c r="E663">
        <v>65616.131023916547</v>
      </c>
      <c r="F663" s="3">
        <f>(tblSalaries[[#This Row],[clean Salary (in local currency)]])*(VLOOKUP(tblSalaries[[#This Row],[Currency]],Sheet3!$A$2:$C$31,3,FALSE))*(VLOOKUP(tblSalaries[[#This Row],[Currency]],Sheet1!$N$4:$Q$186,4,FALSE))</f>
        <v>56848.721560869701</v>
      </c>
      <c r="G663" s="4">
        <f>IF(Dashboard!$J$5=VLOOKUP(tblSalaries[[#This Row],[Currency]],Sheet3!$A$2:$B$31,2,FALSE),tblSalaries[[#This Row],[clean Salary (in local currency)]],(tblSalaries[[#This Row],[PPP Adjusted  USD]]/VLOOKUP(Dashboard!$J$5,Sheet3!$B$2:$C$31,2,FALSE)))</f>
        <v>56848.721560869701</v>
      </c>
      <c r="H663" t="s">
        <v>639</v>
      </c>
      <c r="I663" t="s">
        <v>640</v>
      </c>
      <c r="J663" t="s">
        <v>641</v>
      </c>
      <c r="K663" t="s">
        <v>617</v>
      </c>
      <c r="L663" t="s">
        <v>3847</v>
      </c>
    </row>
    <row r="664" spans="2:12" ht="15" customHeight="1">
      <c r="B664" t="s">
        <v>1079</v>
      </c>
      <c r="C664">
        <v>1200000</v>
      </c>
      <c r="D664" t="s">
        <v>247</v>
      </c>
      <c r="E664">
        <v>21369.500024931083</v>
      </c>
      <c r="F664" s="3">
        <f>(tblSalaries[[#This Row],[clean Salary (in local currency)]])*(VLOOKUP(tblSalaries[[#This Row],[Currency]],Sheet3!$A$2:$C$31,3,FALSE))*(VLOOKUP(tblSalaries[[#This Row],[Currency]],Sheet1!$N$4:$Q$186,4,FALSE))</f>
        <v>56833.226818438154</v>
      </c>
      <c r="G664" s="4">
        <f>IF(Dashboard!$J$5=VLOOKUP(tblSalaries[[#This Row],[Currency]],Sheet3!$A$2:$B$31,2,FALSE),tblSalaries[[#This Row],[clean Salary (in local currency)]],(tblSalaries[[#This Row],[PPP Adjusted  USD]]/VLOOKUP(Dashboard!$J$5,Sheet3!$B$2:$C$31,2,FALSE)))</f>
        <v>56833.226818438154</v>
      </c>
      <c r="H664" t="s">
        <v>1080</v>
      </c>
      <c r="I664" t="s">
        <v>625</v>
      </c>
      <c r="J664" t="s">
        <v>604</v>
      </c>
      <c r="K664" t="s">
        <v>617</v>
      </c>
      <c r="L664" t="s">
        <v>3847</v>
      </c>
    </row>
    <row r="665" spans="2:12" ht="15" customHeight="1">
      <c r="B665" t="s">
        <v>1996</v>
      </c>
      <c r="C665">
        <v>1200000</v>
      </c>
      <c r="D665" t="s">
        <v>247</v>
      </c>
      <c r="E665">
        <v>21369.500024931083</v>
      </c>
      <c r="F665" s="3">
        <f>(tblSalaries[[#This Row],[clean Salary (in local currency)]])*(VLOOKUP(tblSalaries[[#This Row],[Currency]],Sheet3!$A$2:$C$31,3,FALSE))*(VLOOKUP(tblSalaries[[#This Row],[Currency]],Sheet1!$N$4:$Q$186,4,FALSE))</f>
        <v>56833.226818438154</v>
      </c>
      <c r="G665" s="4">
        <f>IF(Dashboard!$J$5=VLOOKUP(tblSalaries[[#This Row],[Currency]],Sheet3!$A$2:$B$31,2,FALSE),tblSalaries[[#This Row],[clean Salary (in local currency)]],(tblSalaries[[#This Row],[PPP Adjusted  USD]]/VLOOKUP(Dashboard!$J$5,Sheet3!$B$2:$C$31,2,FALSE)))</f>
        <v>56833.226818438154</v>
      </c>
      <c r="H665" t="s">
        <v>1997</v>
      </c>
      <c r="I665" t="s">
        <v>625</v>
      </c>
      <c r="J665" t="s">
        <v>604</v>
      </c>
      <c r="K665" t="s">
        <v>610</v>
      </c>
      <c r="L665">
        <v>14</v>
      </c>
    </row>
    <row r="666" spans="2:12" ht="15" customHeight="1">
      <c r="B666" t="s">
        <v>2117</v>
      </c>
      <c r="C666">
        <v>1200000</v>
      </c>
      <c r="D666" t="s">
        <v>247</v>
      </c>
      <c r="E666">
        <v>21369.500024931083</v>
      </c>
      <c r="F666" s="3">
        <f>(tblSalaries[[#This Row],[clean Salary (in local currency)]])*(VLOOKUP(tblSalaries[[#This Row],[Currency]],Sheet3!$A$2:$C$31,3,FALSE))*(VLOOKUP(tblSalaries[[#This Row],[Currency]],Sheet1!$N$4:$Q$186,4,FALSE))</f>
        <v>56833.226818438154</v>
      </c>
      <c r="G666" s="4">
        <f>IF(Dashboard!$J$5=VLOOKUP(tblSalaries[[#This Row],[Currency]],Sheet3!$A$2:$B$31,2,FALSE),tblSalaries[[#This Row],[clean Salary (in local currency)]],(tblSalaries[[#This Row],[PPP Adjusted  USD]]/VLOOKUP(Dashboard!$J$5,Sheet3!$B$2:$C$31,2,FALSE)))</f>
        <v>56833.226818438154</v>
      </c>
      <c r="H666" t="s">
        <v>895</v>
      </c>
      <c r="I666" t="s">
        <v>625</v>
      </c>
      <c r="J666" t="s">
        <v>604</v>
      </c>
      <c r="K666" t="s">
        <v>627</v>
      </c>
      <c r="L666">
        <v>18</v>
      </c>
    </row>
    <row r="667" spans="2:12" ht="15" customHeight="1">
      <c r="B667" t="s">
        <v>2206</v>
      </c>
      <c r="C667">
        <v>1200000</v>
      </c>
      <c r="D667" t="s">
        <v>247</v>
      </c>
      <c r="E667">
        <v>21369.500024931083</v>
      </c>
      <c r="F667" s="3">
        <f>(tblSalaries[[#This Row],[clean Salary (in local currency)]])*(VLOOKUP(tblSalaries[[#This Row],[Currency]],Sheet3!$A$2:$C$31,3,FALSE))*(VLOOKUP(tblSalaries[[#This Row],[Currency]],Sheet1!$N$4:$Q$186,4,FALSE))</f>
        <v>56833.226818438154</v>
      </c>
      <c r="G667" s="4">
        <f>IF(Dashboard!$J$5=VLOOKUP(tblSalaries[[#This Row],[Currency]],Sheet3!$A$2:$B$31,2,FALSE),tblSalaries[[#This Row],[clean Salary (in local currency)]],(tblSalaries[[#This Row],[PPP Adjusted  USD]]/VLOOKUP(Dashboard!$J$5,Sheet3!$B$2:$C$31,2,FALSE)))</f>
        <v>56833.226818438154</v>
      </c>
      <c r="H667" t="s">
        <v>2207</v>
      </c>
      <c r="I667" t="s">
        <v>633</v>
      </c>
      <c r="J667" t="s">
        <v>604</v>
      </c>
      <c r="K667" t="s">
        <v>605</v>
      </c>
      <c r="L667">
        <v>17</v>
      </c>
    </row>
    <row r="668" spans="2:12" ht="15" customHeight="1">
      <c r="B668" t="s">
        <v>2362</v>
      </c>
      <c r="C668">
        <v>1200000</v>
      </c>
      <c r="D668" t="s">
        <v>247</v>
      </c>
      <c r="E668">
        <v>21369.500024931083</v>
      </c>
      <c r="F668" s="3">
        <f>(tblSalaries[[#This Row],[clean Salary (in local currency)]])*(VLOOKUP(tblSalaries[[#This Row],[Currency]],Sheet3!$A$2:$C$31,3,FALSE))*(VLOOKUP(tblSalaries[[#This Row],[Currency]],Sheet1!$N$4:$Q$186,4,FALSE))</f>
        <v>56833.226818438154</v>
      </c>
      <c r="G668" s="4">
        <f>IF(Dashboard!$J$5=VLOOKUP(tblSalaries[[#This Row],[Currency]],Sheet3!$A$2:$B$31,2,FALSE),tblSalaries[[#This Row],[clean Salary (in local currency)]],(tblSalaries[[#This Row],[PPP Adjusted  USD]]/VLOOKUP(Dashboard!$J$5,Sheet3!$B$2:$C$31,2,FALSE)))</f>
        <v>56833.226818438154</v>
      </c>
      <c r="H668" t="s">
        <v>691</v>
      </c>
      <c r="I668" t="s">
        <v>692</v>
      </c>
      <c r="J668" t="s">
        <v>604</v>
      </c>
      <c r="K668" t="s">
        <v>610</v>
      </c>
      <c r="L668">
        <v>6</v>
      </c>
    </row>
    <row r="669" spans="2:12" ht="15" customHeight="1">
      <c r="B669" t="s">
        <v>2450</v>
      </c>
      <c r="C669">
        <v>1200000</v>
      </c>
      <c r="D669" t="s">
        <v>247</v>
      </c>
      <c r="E669">
        <v>21369.500024931083</v>
      </c>
      <c r="F669" s="3">
        <f>(tblSalaries[[#This Row],[clean Salary (in local currency)]])*(VLOOKUP(tblSalaries[[#This Row],[Currency]],Sheet3!$A$2:$C$31,3,FALSE))*(VLOOKUP(tblSalaries[[#This Row],[Currency]],Sheet1!$N$4:$Q$186,4,FALSE))</f>
        <v>56833.226818438154</v>
      </c>
      <c r="G669" s="4">
        <f>IF(Dashboard!$J$5=VLOOKUP(tblSalaries[[#This Row],[Currency]],Sheet3!$A$2:$B$31,2,FALSE),tblSalaries[[#This Row],[clean Salary (in local currency)]],(tblSalaries[[#This Row],[PPP Adjusted  USD]]/VLOOKUP(Dashboard!$J$5,Sheet3!$B$2:$C$31,2,FALSE)))</f>
        <v>56833.226818438154</v>
      </c>
      <c r="H669" t="s">
        <v>2074</v>
      </c>
      <c r="I669" t="s">
        <v>625</v>
      </c>
      <c r="J669" t="s">
        <v>604</v>
      </c>
      <c r="K669" t="s">
        <v>617</v>
      </c>
      <c r="L669">
        <v>2</v>
      </c>
    </row>
    <row r="670" spans="2:12" ht="15" customHeight="1">
      <c r="B670" t="s">
        <v>2470</v>
      </c>
      <c r="C670">
        <v>1200000</v>
      </c>
      <c r="D670" t="s">
        <v>247</v>
      </c>
      <c r="E670">
        <v>21369.500024931083</v>
      </c>
      <c r="F670" s="3">
        <f>(tblSalaries[[#This Row],[clean Salary (in local currency)]])*(VLOOKUP(tblSalaries[[#This Row],[Currency]],Sheet3!$A$2:$C$31,3,FALSE))*(VLOOKUP(tblSalaries[[#This Row],[Currency]],Sheet1!$N$4:$Q$186,4,FALSE))</f>
        <v>56833.226818438154</v>
      </c>
      <c r="G670" s="4">
        <f>IF(Dashboard!$J$5=VLOOKUP(tblSalaries[[#This Row],[Currency]],Sheet3!$A$2:$B$31,2,FALSE),tblSalaries[[#This Row],[clean Salary (in local currency)]],(tblSalaries[[#This Row],[PPP Adjusted  USD]]/VLOOKUP(Dashboard!$J$5,Sheet3!$B$2:$C$31,2,FALSE)))</f>
        <v>56833.226818438154</v>
      </c>
      <c r="H670" t="s">
        <v>1757</v>
      </c>
      <c r="I670" t="s">
        <v>603</v>
      </c>
      <c r="J670" t="s">
        <v>604</v>
      </c>
      <c r="K670" t="s">
        <v>605</v>
      </c>
      <c r="L670">
        <v>7</v>
      </c>
    </row>
    <row r="671" spans="2:12" ht="15" customHeight="1">
      <c r="B671" t="s">
        <v>2494</v>
      </c>
      <c r="C671">
        <v>1200000</v>
      </c>
      <c r="D671" t="s">
        <v>247</v>
      </c>
      <c r="E671">
        <v>21369.500024931083</v>
      </c>
      <c r="F671" s="3">
        <f>(tblSalaries[[#This Row],[clean Salary (in local currency)]])*(VLOOKUP(tblSalaries[[#This Row],[Currency]],Sheet3!$A$2:$C$31,3,FALSE))*(VLOOKUP(tblSalaries[[#This Row],[Currency]],Sheet1!$N$4:$Q$186,4,FALSE))</f>
        <v>56833.226818438154</v>
      </c>
      <c r="G671" s="4">
        <f>IF(Dashboard!$J$5=VLOOKUP(tblSalaries[[#This Row],[Currency]],Sheet3!$A$2:$B$31,2,FALSE),tblSalaries[[#This Row],[clean Salary (in local currency)]],(tblSalaries[[#This Row],[PPP Adjusted  USD]]/VLOOKUP(Dashboard!$J$5,Sheet3!$B$2:$C$31,2,FALSE)))</f>
        <v>56833.226818438154</v>
      </c>
      <c r="H671" t="s">
        <v>2495</v>
      </c>
      <c r="I671" t="s">
        <v>608</v>
      </c>
      <c r="J671" t="s">
        <v>604</v>
      </c>
      <c r="K671" t="s">
        <v>605</v>
      </c>
      <c r="L671">
        <v>8</v>
      </c>
    </row>
    <row r="672" spans="2:12" ht="15" customHeight="1">
      <c r="B672" t="s">
        <v>2532</v>
      </c>
      <c r="C672">
        <v>1200000</v>
      </c>
      <c r="D672" t="s">
        <v>247</v>
      </c>
      <c r="E672">
        <v>21369.500024931083</v>
      </c>
      <c r="F672" s="3">
        <f>(tblSalaries[[#This Row],[clean Salary (in local currency)]])*(VLOOKUP(tblSalaries[[#This Row],[Currency]],Sheet3!$A$2:$C$31,3,FALSE))*(VLOOKUP(tblSalaries[[#This Row],[Currency]],Sheet1!$N$4:$Q$186,4,FALSE))</f>
        <v>56833.226818438154</v>
      </c>
      <c r="G672" s="4">
        <f>IF(Dashboard!$J$5=VLOOKUP(tblSalaries[[#This Row],[Currency]],Sheet3!$A$2:$B$31,2,FALSE),tblSalaries[[#This Row],[clean Salary (in local currency)]],(tblSalaries[[#This Row],[PPP Adjusted  USD]]/VLOOKUP(Dashboard!$J$5,Sheet3!$B$2:$C$31,2,FALSE)))</f>
        <v>56833.226818438154</v>
      </c>
      <c r="H672" t="s">
        <v>2533</v>
      </c>
      <c r="I672" t="s">
        <v>625</v>
      </c>
      <c r="J672" t="s">
        <v>604</v>
      </c>
      <c r="K672" t="s">
        <v>617</v>
      </c>
      <c r="L672">
        <v>5</v>
      </c>
    </row>
    <row r="673" spans="2:12" ht="15" customHeight="1">
      <c r="B673" t="s">
        <v>2877</v>
      </c>
      <c r="C673">
        <v>1200000</v>
      </c>
      <c r="D673" t="s">
        <v>247</v>
      </c>
      <c r="E673">
        <v>21369.500024931083</v>
      </c>
      <c r="F673" s="3">
        <f>(tblSalaries[[#This Row],[clean Salary (in local currency)]])*(VLOOKUP(tblSalaries[[#This Row],[Currency]],Sheet3!$A$2:$C$31,3,FALSE))*(VLOOKUP(tblSalaries[[#This Row],[Currency]],Sheet1!$N$4:$Q$186,4,FALSE))</f>
        <v>56833.226818438154</v>
      </c>
      <c r="G673" s="4">
        <f>IF(Dashboard!$J$5=VLOOKUP(tblSalaries[[#This Row],[Currency]],Sheet3!$A$2:$B$31,2,FALSE),tblSalaries[[#This Row],[clean Salary (in local currency)]],(tblSalaries[[#This Row],[PPP Adjusted  USD]]/VLOOKUP(Dashboard!$J$5,Sheet3!$B$2:$C$31,2,FALSE)))</f>
        <v>56833.226818438154</v>
      </c>
      <c r="H673" t="s">
        <v>2878</v>
      </c>
      <c r="I673" t="s">
        <v>625</v>
      </c>
      <c r="J673" t="s">
        <v>604</v>
      </c>
      <c r="K673" t="s">
        <v>605</v>
      </c>
      <c r="L673">
        <v>9</v>
      </c>
    </row>
    <row r="674" spans="2:12" ht="15" customHeight="1">
      <c r="B674" t="s">
        <v>2912</v>
      </c>
      <c r="C674">
        <v>1200000</v>
      </c>
      <c r="D674" t="s">
        <v>247</v>
      </c>
      <c r="E674">
        <v>21369.500024931083</v>
      </c>
      <c r="F674" s="3">
        <f>(tblSalaries[[#This Row],[clean Salary (in local currency)]])*(VLOOKUP(tblSalaries[[#This Row],[Currency]],Sheet3!$A$2:$C$31,3,FALSE))*(VLOOKUP(tblSalaries[[#This Row],[Currency]],Sheet1!$N$4:$Q$186,4,FALSE))</f>
        <v>56833.226818438154</v>
      </c>
      <c r="G674" s="4">
        <f>IF(Dashboard!$J$5=VLOOKUP(tblSalaries[[#This Row],[Currency]],Sheet3!$A$2:$B$31,2,FALSE),tblSalaries[[#This Row],[clean Salary (in local currency)]],(tblSalaries[[#This Row],[PPP Adjusted  USD]]/VLOOKUP(Dashboard!$J$5,Sheet3!$B$2:$C$31,2,FALSE)))</f>
        <v>56833.226818438154</v>
      </c>
      <c r="H674" t="s">
        <v>692</v>
      </c>
      <c r="I674" t="s">
        <v>692</v>
      </c>
      <c r="J674" t="s">
        <v>604</v>
      </c>
      <c r="K674" t="s">
        <v>617</v>
      </c>
      <c r="L674">
        <v>21</v>
      </c>
    </row>
    <row r="675" spans="2:12" ht="15" customHeight="1">
      <c r="B675" t="s">
        <v>3690</v>
      </c>
      <c r="C675">
        <v>1200000</v>
      </c>
      <c r="D675" t="s">
        <v>247</v>
      </c>
      <c r="E675">
        <v>21369.500024931083</v>
      </c>
      <c r="F675" s="3">
        <f>(tblSalaries[[#This Row],[clean Salary (in local currency)]])*(VLOOKUP(tblSalaries[[#This Row],[Currency]],Sheet3!$A$2:$C$31,3,FALSE))*(VLOOKUP(tblSalaries[[#This Row],[Currency]],Sheet1!$N$4:$Q$186,4,FALSE))</f>
        <v>56833.226818438154</v>
      </c>
      <c r="G675" s="4">
        <f>IF(Dashboard!$J$5=VLOOKUP(tblSalaries[[#This Row],[Currency]],Sheet3!$A$2:$B$31,2,FALSE),tblSalaries[[#This Row],[clean Salary (in local currency)]],(tblSalaries[[#This Row],[PPP Adjusted  USD]]/VLOOKUP(Dashboard!$J$5,Sheet3!$B$2:$C$31,2,FALSE)))</f>
        <v>56833.226818438154</v>
      </c>
      <c r="H675" t="s">
        <v>3691</v>
      </c>
      <c r="I675" t="s">
        <v>625</v>
      </c>
      <c r="J675" t="s">
        <v>604</v>
      </c>
      <c r="K675" t="s">
        <v>605</v>
      </c>
      <c r="L675">
        <v>7</v>
      </c>
    </row>
    <row r="676" spans="2:12" ht="15" customHeight="1">
      <c r="B676" t="s">
        <v>3625</v>
      </c>
      <c r="C676">
        <v>56600</v>
      </c>
      <c r="D676" t="s">
        <v>252</v>
      </c>
      <c r="E676">
        <v>56600</v>
      </c>
      <c r="F676" s="3">
        <f>(tblSalaries[[#This Row],[clean Salary (in local currency)]])*(VLOOKUP(tblSalaries[[#This Row],[Currency]],Sheet3!$A$2:$C$31,3,FALSE))*(VLOOKUP(tblSalaries[[#This Row],[Currency]],Sheet1!$N$4:$Q$186,4,FALSE))</f>
        <v>56600</v>
      </c>
      <c r="G676" s="4">
        <f>IF(Dashboard!$J$5=VLOOKUP(tblSalaries[[#This Row],[Currency]],Sheet3!$A$2:$B$31,2,FALSE),tblSalaries[[#This Row],[clean Salary (in local currency)]],(tblSalaries[[#This Row],[PPP Adjusted  USD]]/VLOOKUP(Dashboard!$J$5,Sheet3!$B$2:$C$31,2,FALSE)))</f>
        <v>56600</v>
      </c>
      <c r="H676" t="s">
        <v>3626</v>
      </c>
      <c r="I676" t="s">
        <v>625</v>
      </c>
      <c r="J676" t="s">
        <v>613</v>
      </c>
      <c r="K676" t="s">
        <v>605</v>
      </c>
      <c r="L676">
        <v>12</v>
      </c>
    </row>
    <row r="677" spans="2:12" ht="15" customHeight="1">
      <c r="B677" t="s">
        <v>2314</v>
      </c>
      <c r="C677">
        <v>90000</v>
      </c>
      <c r="D677" t="s">
        <v>224</v>
      </c>
      <c r="E677">
        <v>91791.869076237213</v>
      </c>
      <c r="F677" s="3">
        <f>(tblSalaries[[#This Row],[clean Salary (in local currency)]])*(VLOOKUP(tblSalaries[[#This Row],[Currency]],Sheet3!$A$2:$C$31,3,FALSE))*(VLOOKUP(tblSalaries[[#This Row],[Currency]],Sheet1!$N$4:$Q$186,4,FALSE))</f>
        <v>56404.265237874984</v>
      </c>
      <c r="G677" s="4">
        <f>IF(Dashboard!$J$5=VLOOKUP(tblSalaries[[#This Row],[Currency]],Sheet3!$A$2:$B$31,2,FALSE),tblSalaries[[#This Row],[clean Salary (in local currency)]],(tblSalaries[[#This Row],[PPP Adjusted  USD]]/VLOOKUP(Dashboard!$J$5,Sheet3!$B$2:$C$31,2,FALSE)))</f>
        <v>56404.265237874984</v>
      </c>
      <c r="H677" t="s">
        <v>2055</v>
      </c>
      <c r="I677" t="s">
        <v>603</v>
      </c>
      <c r="J677" t="s">
        <v>703</v>
      </c>
      <c r="K677" t="s">
        <v>605</v>
      </c>
      <c r="L677">
        <v>13</v>
      </c>
    </row>
    <row r="678" spans="2:12" ht="15" customHeight="1">
      <c r="B678" t="s">
        <v>2791</v>
      </c>
      <c r="C678">
        <v>90000</v>
      </c>
      <c r="D678" t="s">
        <v>224</v>
      </c>
      <c r="E678">
        <v>91791.869076237213</v>
      </c>
      <c r="F678" s="3">
        <f>(tblSalaries[[#This Row],[clean Salary (in local currency)]])*(VLOOKUP(tblSalaries[[#This Row],[Currency]],Sheet3!$A$2:$C$31,3,FALSE))*(VLOOKUP(tblSalaries[[#This Row],[Currency]],Sheet1!$N$4:$Q$186,4,FALSE))</f>
        <v>56404.265237874984</v>
      </c>
      <c r="G678" s="4">
        <f>IF(Dashboard!$J$5=VLOOKUP(tblSalaries[[#This Row],[Currency]],Sheet3!$A$2:$B$31,2,FALSE),tblSalaries[[#This Row],[clean Salary (in local currency)]],(tblSalaries[[#This Row],[PPP Adjusted  USD]]/VLOOKUP(Dashboard!$J$5,Sheet3!$B$2:$C$31,2,FALSE)))</f>
        <v>56404.265237874984</v>
      </c>
      <c r="H678" t="s">
        <v>899</v>
      </c>
      <c r="I678" t="s">
        <v>603</v>
      </c>
      <c r="J678" t="s">
        <v>703</v>
      </c>
      <c r="K678" t="s">
        <v>605</v>
      </c>
      <c r="L678">
        <v>5</v>
      </c>
    </row>
    <row r="679" spans="2:12" ht="15" customHeight="1">
      <c r="B679" t="s">
        <v>1833</v>
      </c>
      <c r="C679">
        <v>56400</v>
      </c>
      <c r="D679" t="s">
        <v>252</v>
      </c>
      <c r="E679">
        <v>56400</v>
      </c>
      <c r="F679" s="3">
        <f>(tblSalaries[[#This Row],[clean Salary (in local currency)]])*(VLOOKUP(tblSalaries[[#This Row],[Currency]],Sheet3!$A$2:$C$31,3,FALSE))*(VLOOKUP(tblSalaries[[#This Row],[Currency]],Sheet1!$N$4:$Q$186,4,FALSE))</f>
        <v>56400</v>
      </c>
      <c r="G679" s="4">
        <f>IF(Dashboard!$J$5=VLOOKUP(tblSalaries[[#This Row],[Currency]],Sheet3!$A$2:$B$31,2,FALSE),tblSalaries[[#This Row],[clean Salary (in local currency)]],(tblSalaries[[#This Row],[PPP Adjusted  USD]]/VLOOKUP(Dashboard!$J$5,Sheet3!$B$2:$C$31,2,FALSE)))</f>
        <v>56400</v>
      </c>
      <c r="H679" t="s">
        <v>1611</v>
      </c>
      <c r="I679" t="s">
        <v>625</v>
      </c>
      <c r="J679" t="s">
        <v>770</v>
      </c>
      <c r="K679" t="s">
        <v>617</v>
      </c>
      <c r="L679">
        <v>6</v>
      </c>
    </row>
    <row r="680" spans="2:12" ht="15" customHeight="1">
      <c r="B680" t="s">
        <v>855</v>
      </c>
      <c r="C680">
        <v>56160</v>
      </c>
      <c r="D680" t="s">
        <v>252</v>
      </c>
      <c r="E680">
        <v>56160</v>
      </c>
      <c r="F680" s="3">
        <f>(tblSalaries[[#This Row],[clean Salary (in local currency)]])*(VLOOKUP(tblSalaries[[#This Row],[Currency]],Sheet3!$A$2:$C$31,3,FALSE))*(VLOOKUP(tblSalaries[[#This Row],[Currency]],Sheet1!$N$4:$Q$186,4,FALSE))</f>
        <v>56160</v>
      </c>
      <c r="G680" s="4">
        <f>IF(Dashboard!$J$5=VLOOKUP(tblSalaries[[#This Row],[Currency]],Sheet3!$A$2:$B$31,2,FALSE),tblSalaries[[#This Row],[clean Salary (in local currency)]],(tblSalaries[[#This Row],[PPP Adjusted  USD]]/VLOOKUP(Dashboard!$J$5,Sheet3!$B$2:$C$31,2,FALSE)))</f>
        <v>56160</v>
      </c>
      <c r="H680" t="s">
        <v>856</v>
      </c>
      <c r="I680" t="s">
        <v>603</v>
      </c>
      <c r="J680" t="s">
        <v>613</v>
      </c>
      <c r="K680" t="s">
        <v>605</v>
      </c>
      <c r="L680" t="s">
        <v>3847</v>
      </c>
    </row>
    <row r="681" spans="2:12" ht="15" customHeight="1">
      <c r="B681" t="s">
        <v>1474</v>
      </c>
      <c r="C681">
        <v>38000</v>
      </c>
      <c r="D681" t="s">
        <v>204</v>
      </c>
      <c r="E681">
        <v>59894.774338556796</v>
      </c>
      <c r="F681" s="3">
        <f>(tblSalaries[[#This Row],[clean Salary (in local currency)]])*(VLOOKUP(tblSalaries[[#This Row],[Currency]],Sheet3!$A$2:$C$31,3,FALSE))*(VLOOKUP(tblSalaries[[#This Row],[Currency]],Sheet1!$N$4:$Q$186,4,FALSE))</f>
        <v>56010.905789256241</v>
      </c>
      <c r="G681" s="4">
        <f>IF(Dashboard!$J$5=VLOOKUP(tblSalaries[[#This Row],[Currency]],Sheet3!$A$2:$B$31,2,FALSE),tblSalaries[[#This Row],[clean Salary (in local currency)]],(tblSalaries[[#This Row],[PPP Adjusted  USD]]/VLOOKUP(Dashboard!$J$5,Sheet3!$B$2:$C$31,2,FALSE)))</f>
        <v>56010.905789256241</v>
      </c>
      <c r="H681" t="s">
        <v>1475</v>
      </c>
      <c r="I681" t="s">
        <v>637</v>
      </c>
      <c r="J681" t="s">
        <v>687</v>
      </c>
      <c r="K681" t="s">
        <v>605</v>
      </c>
      <c r="L681" t="s">
        <v>3847</v>
      </c>
    </row>
    <row r="682" spans="2:12" ht="15" customHeight="1">
      <c r="B682" t="s">
        <v>1286</v>
      </c>
      <c r="C682">
        <v>56000</v>
      </c>
      <c r="D682" t="s">
        <v>252</v>
      </c>
      <c r="E682">
        <v>56000</v>
      </c>
      <c r="F682" s="3">
        <f>(tblSalaries[[#This Row],[clean Salary (in local currency)]])*(VLOOKUP(tblSalaries[[#This Row],[Currency]],Sheet3!$A$2:$C$31,3,FALSE))*(VLOOKUP(tblSalaries[[#This Row],[Currency]],Sheet1!$N$4:$Q$186,4,FALSE))</f>
        <v>56000</v>
      </c>
      <c r="G682" s="4">
        <f>IF(Dashboard!$J$5=VLOOKUP(tblSalaries[[#This Row],[Currency]],Sheet3!$A$2:$B$31,2,FALSE),tblSalaries[[#This Row],[clean Salary (in local currency)]],(tblSalaries[[#This Row],[PPP Adjusted  USD]]/VLOOKUP(Dashboard!$J$5,Sheet3!$B$2:$C$31,2,FALSE)))</f>
        <v>56000</v>
      </c>
      <c r="H682" t="s">
        <v>1287</v>
      </c>
      <c r="I682" t="s">
        <v>625</v>
      </c>
      <c r="J682" t="s">
        <v>613</v>
      </c>
      <c r="K682" t="s">
        <v>617</v>
      </c>
      <c r="L682" t="s">
        <v>3847</v>
      </c>
    </row>
    <row r="683" spans="2:12" ht="15" customHeight="1">
      <c r="B683" t="s">
        <v>1390</v>
      </c>
      <c r="C683">
        <v>56000</v>
      </c>
      <c r="D683" t="s">
        <v>252</v>
      </c>
      <c r="E683">
        <v>56000</v>
      </c>
      <c r="F683" s="3">
        <f>(tblSalaries[[#This Row],[clean Salary (in local currency)]])*(VLOOKUP(tblSalaries[[#This Row],[Currency]],Sheet3!$A$2:$C$31,3,FALSE))*(VLOOKUP(tblSalaries[[#This Row],[Currency]],Sheet1!$N$4:$Q$186,4,FALSE))</f>
        <v>56000</v>
      </c>
      <c r="G683" s="4">
        <f>IF(Dashboard!$J$5=VLOOKUP(tblSalaries[[#This Row],[Currency]],Sheet3!$A$2:$B$31,2,FALSE),tblSalaries[[#This Row],[clean Salary (in local currency)]],(tblSalaries[[#This Row],[PPP Adjusted  USD]]/VLOOKUP(Dashboard!$J$5,Sheet3!$B$2:$C$31,2,FALSE)))</f>
        <v>56000</v>
      </c>
      <c r="H683" t="s">
        <v>1391</v>
      </c>
      <c r="I683" t="s">
        <v>603</v>
      </c>
      <c r="J683" t="s">
        <v>613</v>
      </c>
      <c r="K683" t="s">
        <v>605</v>
      </c>
      <c r="L683" t="s">
        <v>3847</v>
      </c>
    </row>
    <row r="684" spans="2:12" ht="15" customHeight="1">
      <c r="B684" t="s">
        <v>1398</v>
      </c>
      <c r="C684">
        <v>56000</v>
      </c>
      <c r="D684" t="s">
        <v>252</v>
      </c>
      <c r="E684">
        <v>56000</v>
      </c>
      <c r="F684" s="3">
        <f>(tblSalaries[[#This Row],[clean Salary (in local currency)]])*(VLOOKUP(tblSalaries[[#This Row],[Currency]],Sheet3!$A$2:$C$31,3,FALSE))*(VLOOKUP(tblSalaries[[#This Row],[Currency]],Sheet1!$N$4:$Q$186,4,FALSE))</f>
        <v>56000</v>
      </c>
      <c r="G684" s="4">
        <f>IF(Dashboard!$J$5=VLOOKUP(tblSalaries[[#This Row],[Currency]],Sheet3!$A$2:$B$31,2,FALSE),tblSalaries[[#This Row],[clean Salary (in local currency)]],(tblSalaries[[#This Row],[PPP Adjusted  USD]]/VLOOKUP(Dashboard!$J$5,Sheet3!$B$2:$C$31,2,FALSE)))</f>
        <v>56000</v>
      </c>
      <c r="H684" t="s">
        <v>1399</v>
      </c>
      <c r="I684" t="s">
        <v>625</v>
      </c>
      <c r="J684" t="s">
        <v>613</v>
      </c>
      <c r="K684" t="s">
        <v>610</v>
      </c>
      <c r="L684" t="s">
        <v>3847</v>
      </c>
    </row>
    <row r="685" spans="2:12" ht="15" customHeight="1">
      <c r="B685" t="s">
        <v>2674</v>
      </c>
      <c r="C685">
        <v>56000</v>
      </c>
      <c r="D685" t="s">
        <v>252</v>
      </c>
      <c r="E685">
        <v>56000</v>
      </c>
      <c r="F685" s="3">
        <f>(tblSalaries[[#This Row],[clean Salary (in local currency)]])*(VLOOKUP(tblSalaries[[#This Row],[Currency]],Sheet3!$A$2:$C$31,3,FALSE))*(VLOOKUP(tblSalaries[[#This Row],[Currency]],Sheet1!$N$4:$Q$186,4,FALSE))</f>
        <v>56000</v>
      </c>
      <c r="G685" s="4">
        <f>IF(Dashboard!$J$5=VLOOKUP(tblSalaries[[#This Row],[Currency]],Sheet3!$A$2:$B$31,2,FALSE),tblSalaries[[#This Row],[clean Salary (in local currency)]],(tblSalaries[[#This Row],[PPP Adjusted  USD]]/VLOOKUP(Dashboard!$J$5,Sheet3!$B$2:$C$31,2,FALSE)))</f>
        <v>56000</v>
      </c>
      <c r="H685" t="s">
        <v>603</v>
      </c>
      <c r="I685" t="s">
        <v>603</v>
      </c>
      <c r="J685" t="s">
        <v>613</v>
      </c>
      <c r="K685" t="s">
        <v>627</v>
      </c>
      <c r="L685">
        <v>2</v>
      </c>
    </row>
    <row r="686" spans="2:12" ht="15" customHeight="1">
      <c r="B686" t="s">
        <v>2757</v>
      </c>
      <c r="C686">
        <v>56000</v>
      </c>
      <c r="D686" t="s">
        <v>252</v>
      </c>
      <c r="E686">
        <v>56000</v>
      </c>
      <c r="F686" s="3">
        <f>(tblSalaries[[#This Row],[clean Salary (in local currency)]])*(VLOOKUP(tblSalaries[[#This Row],[Currency]],Sheet3!$A$2:$C$31,3,FALSE))*(VLOOKUP(tblSalaries[[#This Row],[Currency]],Sheet1!$N$4:$Q$186,4,FALSE))</f>
        <v>56000</v>
      </c>
      <c r="G686" s="4">
        <f>IF(Dashboard!$J$5=VLOOKUP(tblSalaries[[#This Row],[Currency]],Sheet3!$A$2:$B$31,2,FALSE),tblSalaries[[#This Row],[clean Salary (in local currency)]],(tblSalaries[[#This Row],[PPP Adjusted  USD]]/VLOOKUP(Dashboard!$J$5,Sheet3!$B$2:$C$31,2,FALSE)))</f>
        <v>56000</v>
      </c>
      <c r="H686" t="s">
        <v>637</v>
      </c>
      <c r="I686" t="s">
        <v>637</v>
      </c>
      <c r="J686" t="s">
        <v>613</v>
      </c>
      <c r="K686" t="s">
        <v>605</v>
      </c>
      <c r="L686">
        <v>1</v>
      </c>
    </row>
    <row r="687" spans="2:12" ht="15" customHeight="1">
      <c r="B687" t="s">
        <v>1553</v>
      </c>
      <c r="C687">
        <v>55500</v>
      </c>
      <c r="D687" t="s">
        <v>252</v>
      </c>
      <c r="E687">
        <v>55500</v>
      </c>
      <c r="F687" s="3">
        <f>(tblSalaries[[#This Row],[clean Salary (in local currency)]])*(VLOOKUP(tblSalaries[[#This Row],[Currency]],Sheet3!$A$2:$C$31,3,FALSE))*(VLOOKUP(tblSalaries[[#This Row],[Currency]],Sheet1!$N$4:$Q$186,4,FALSE))</f>
        <v>55500</v>
      </c>
      <c r="G687" s="4">
        <f>IF(Dashboard!$J$5=VLOOKUP(tblSalaries[[#This Row],[Currency]],Sheet3!$A$2:$B$31,2,FALSE),tblSalaries[[#This Row],[clean Salary (in local currency)]],(tblSalaries[[#This Row],[PPP Adjusted  USD]]/VLOOKUP(Dashboard!$J$5,Sheet3!$B$2:$C$31,2,FALSE)))</f>
        <v>55500</v>
      </c>
      <c r="H687" t="s">
        <v>1554</v>
      </c>
      <c r="I687" t="s">
        <v>608</v>
      </c>
      <c r="J687" t="s">
        <v>770</v>
      </c>
      <c r="K687" t="s">
        <v>605</v>
      </c>
      <c r="L687" t="s">
        <v>3847</v>
      </c>
    </row>
    <row r="688" spans="2:12" ht="15" customHeight="1">
      <c r="B688" t="s">
        <v>706</v>
      </c>
      <c r="C688">
        <v>70000</v>
      </c>
      <c r="D688" t="s">
        <v>276</v>
      </c>
      <c r="E688">
        <v>68835.306612122877</v>
      </c>
      <c r="F688" s="3">
        <f>(tblSalaries[[#This Row],[clean Salary (in local currency)]])*(VLOOKUP(tblSalaries[[#This Row],[Currency]],Sheet3!$A$2:$C$31,3,FALSE))*(VLOOKUP(tblSalaries[[#This Row],[Currency]],Sheet1!$N$4:$Q$186,4,FALSE))</f>
        <v>55331.234224164124</v>
      </c>
      <c r="G688" s="4">
        <f>IF(Dashboard!$J$5=VLOOKUP(tblSalaries[[#This Row],[Currency]],Sheet3!$A$2:$B$31,2,FALSE),tblSalaries[[#This Row],[clean Salary (in local currency)]],(tblSalaries[[#This Row],[PPP Adjusted  USD]]/VLOOKUP(Dashboard!$J$5,Sheet3!$B$2:$C$31,2,FALSE)))</f>
        <v>55331.234224164124</v>
      </c>
      <c r="H688" t="s">
        <v>707</v>
      </c>
      <c r="I688" t="s">
        <v>620</v>
      </c>
      <c r="J688" t="s">
        <v>708</v>
      </c>
      <c r="K688" t="s">
        <v>617</v>
      </c>
      <c r="L688" t="s">
        <v>3847</v>
      </c>
    </row>
    <row r="689" spans="2:12" ht="15" customHeight="1">
      <c r="B689" t="s">
        <v>894</v>
      </c>
      <c r="C689">
        <v>70000</v>
      </c>
      <c r="D689" t="s">
        <v>276</v>
      </c>
      <c r="E689">
        <v>68835.306612122877</v>
      </c>
      <c r="F689" s="3">
        <f>(tblSalaries[[#This Row],[clean Salary (in local currency)]])*(VLOOKUP(tblSalaries[[#This Row],[Currency]],Sheet3!$A$2:$C$31,3,FALSE))*(VLOOKUP(tblSalaries[[#This Row],[Currency]],Sheet1!$N$4:$Q$186,4,FALSE))</f>
        <v>55331.234224164124</v>
      </c>
      <c r="G689" s="4">
        <f>IF(Dashboard!$J$5=VLOOKUP(tblSalaries[[#This Row],[Currency]],Sheet3!$A$2:$B$31,2,FALSE),tblSalaries[[#This Row],[clean Salary (in local currency)]],(tblSalaries[[#This Row],[PPP Adjusted  USD]]/VLOOKUP(Dashboard!$J$5,Sheet3!$B$2:$C$31,2,FALSE)))</f>
        <v>55331.234224164124</v>
      </c>
      <c r="H689" t="s">
        <v>895</v>
      </c>
      <c r="I689" t="s">
        <v>625</v>
      </c>
      <c r="J689" t="s">
        <v>708</v>
      </c>
      <c r="K689" t="s">
        <v>605</v>
      </c>
      <c r="L689" t="s">
        <v>3847</v>
      </c>
    </row>
    <row r="690" spans="2:12" ht="15" customHeight="1">
      <c r="B690" t="s">
        <v>1486</v>
      </c>
      <c r="C690">
        <v>70000</v>
      </c>
      <c r="D690" t="s">
        <v>276</v>
      </c>
      <c r="E690">
        <v>68835.306612122877</v>
      </c>
      <c r="F690" s="3">
        <f>(tblSalaries[[#This Row],[clean Salary (in local currency)]])*(VLOOKUP(tblSalaries[[#This Row],[Currency]],Sheet3!$A$2:$C$31,3,FALSE))*(VLOOKUP(tblSalaries[[#This Row],[Currency]],Sheet1!$N$4:$Q$186,4,FALSE))</f>
        <v>55331.234224164124</v>
      </c>
      <c r="G690" s="4">
        <f>IF(Dashboard!$J$5=VLOOKUP(tblSalaries[[#This Row],[Currency]],Sheet3!$A$2:$B$31,2,FALSE),tblSalaries[[#This Row],[clean Salary (in local currency)]],(tblSalaries[[#This Row],[PPP Adjusted  USD]]/VLOOKUP(Dashboard!$J$5,Sheet3!$B$2:$C$31,2,FALSE)))</f>
        <v>55331.234224164124</v>
      </c>
      <c r="H690" t="s">
        <v>1487</v>
      </c>
      <c r="I690" t="s">
        <v>625</v>
      </c>
      <c r="J690" t="s">
        <v>708</v>
      </c>
      <c r="K690" t="s">
        <v>627</v>
      </c>
      <c r="L690" t="s">
        <v>3847</v>
      </c>
    </row>
    <row r="691" spans="2:12" ht="15" customHeight="1">
      <c r="B691" t="s">
        <v>3525</v>
      </c>
      <c r="C691">
        <v>70000</v>
      </c>
      <c r="D691" t="s">
        <v>276</v>
      </c>
      <c r="E691">
        <v>68835.306612122877</v>
      </c>
      <c r="F691" s="3">
        <f>(tblSalaries[[#This Row],[clean Salary (in local currency)]])*(VLOOKUP(tblSalaries[[#This Row],[Currency]],Sheet3!$A$2:$C$31,3,FALSE))*(VLOOKUP(tblSalaries[[#This Row],[Currency]],Sheet1!$N$4:$Q$186,4,FALSE))</f>
        <v>55331.234224164124</v>
      </c>
      <c r="G691" s="4">
        <f>IF(Dashboard!$J$5=VLOOKUP(tblSalaries[[#This Row],[Currency]],Sheet3!$A$2:$B$31,2,FALSE),tblSalaries[[#This Row],[clean Salary (in local currency)]],(tblSalaries[[#This Row],[PPP Adjusted  USD]]/VLOOKUP(Dashboard!$J$5,Sheet3!$B$2:$C$31,2,FALSE)))</f>
        <v>55331.234224164124</v>
      </c>
      <c r="H691" t="s">
        <v>612</v>
      </c>
      <c r="I691" t="s">
        <v>603</v>
      </c>
      <c r="J691" t="s">
        <v>708</v>
      </c>
      <c r="K691" t="s">
        <v>610</v>
      </c>
      <c r="L691">
        <v>2</v>
      </c>
    </row>
    <row r="692" spans="2:12" ht="15" customHeight="1">
      <c r="B692" t="s">
        <v>2613</v>
      </c>
      <c r="C692">
        <v>37500</v>
      </c>
      <c r="D692" t="s">
        <v>204</v>
      </c>
      <c r="E692">
        <v>59106.685202523156</v>
      </c>
      <c r="F692" s="3">
        <f>(tblSalaries[[#This Row],[clean Salary (in local currency)]])*(VLOOKUP(tblSalaries[[#This Row],[Currency]],Sheet3!$A$2:$C$31,3,FALSE))*(VLOOKUP(tblSalaries[[#This Row],[Currency]],Sheet1!$N$4:$Q$186,4,FALSE))</f>
        <v>55273.92018676603</v>
      </c>
      <c r="G692" s="4">
        <f>IF(Dashboard!$J$5=VLOOKUP(tblSalaries[[#This Row],[Currency]],Sheet3!$A$2:$B$31,2,FALSE),tblSalaries[[#This Row],[clean Salary (in local currency)]],(tblSalaries[[#This Row],[PPP Adjusted  USD]]/VLOOKUP(Dashboard!$J$5,Sheet3!$B$2:$C$31,2,FALSE)))</f>
        <v>55273.92018676603</v>
      </c>
      <c r="H692" t="s">
        <v>2614</v>
      </c>
      <c r="I692" t="s">
        <v>637</v>
      </c>
      <c r="J692" t="s">
        <v>687</v>
      </c>
      <c r="K692" t="s">
        <v>617</v>
      </c>
      <c r="L692">
        <v>5</v>
      </c>
    </row>
    <row r="693" spans="2:12" ht="15" customHeight="1">
      <c r="B693" t="s">
        <v>1024</v>
      </c>
      <c r="C693">
        <v>50000</v>
      </c>
      <c r="D693" t="s">
        <v>200</v>
      </c>
      <c r="E693">
        <v>63519.971949580387</v>
      </c>
      <c r="F693" s="3">
        <f>(tblSalaries[[#This Row],[clean Salary (in local currency)]])*(VLOOKUP(tblSalaries[[#This Row],[Currency]],Sheet3!$A$2:$C$31,3,FALSE))*(VLOOKUP(tblSalaries[[#This Row],[Currency]],Sheet1!$N$4:$Q$186,4,FALSE))</f>
        <v>55032.644299002604</v>
      </c>
      <c r="G693" s="4">
        <f>IF(Dashboard!$J$5=VLOOKUP(tblSalaries[[#This Row],[Currency]],Sheet3!$A$2:$B$31,2,FALSE),tblSalaries[[#This Row],[clean Salary (in local currency)]],(tblSalaries[[#This Row],[PPP Adjusted  USD]]/VLOOKUP(Dashboard!$J$5,Sheet3!$B$2:$C$31,2,FALSE)))</f>
        <v>55032.644299002604</v>
      </c>
      <c r="H693" t="s">
        <v>811</v>
      </c>
      <c r="I693" t="s">
        <v>603</v>
      </c>
      <c r="J693" t="s">
        <v>641</v>
      </c>
      <c r="K693" t="s">
        <v>605</v>
      </c>
      <c r="L693" t="s">
        <v>3847</v>
      </c>
    </row>
    <row r="694" spans="2:12" ht="15" customHeight="1">
      <c r="B694" t="s">
        <v>1644</v>
      </c>
      <c r="C694">
        <v>50000</v>
      </c>
      <c r="D694" t="s">
        <v>200</v>
      </c>
      <c r="E694">
        <v>63519.971949580387</v>
      </c>
      <c r="F694" s="3">
        <f>(tblSalaries[[#This Row],[clean Salary (in local currency)]])*(VLOOKUP(tblSalaries[[#This Row],[Currency]],Sheet3!$A$2:$C$31,3,FALSE))*(VLOOKUP(tblSalaries[[#This Row],[Currency]],Sheet1!$N$4:$Q$186,4,FALSE))</f>
        <v>55032.644299002604</v>
      </c>
      <c r="G694" s="4">
        <f>IF(Dashboard!$J$5=VLOOKUP(tblSalaries[[#This Row],[Currency]],Sheet3!$A$2:$B$31,2,FALSE),tblSalaries[[#This Row],[clean Salary (in local currency)]],(tblSalaries[[#This Row],[PPP Adjusted  USD]]/VLOOKUP(Dashboard!$J$5,Sheet3!$B$2:$C$31,2,FALSE)))</f>
        <v>55032.644299002604</v>
      </c>
      <c r="H694" t="s">
        <v>1645</v>
      </c>
      <c r="I694" t="s">
        <v>625</v>
      </c>
      <c r="J694" t="s">
        <v>785</v>
      </c>
      <c r="K694" t="s">
        <v>617</v>
      </c>
      <c r="L694" t="s">
        <v>3847</v>
      </c>
    </row>
    <row r="695" spans="2:12" ht="15" customHeight="1">
      <c r="B695" t="s">
        <v>1702</v>
      </c>
      <c r="C695">
        <v>50000</v>
      </c>
      <c r="D695" t="s">
        <v>200</v>
      </c>
      <c r="E695">
        <v>63519.971949580387</v>
      </c>
      <c r="F695" s="3">
        <f>(tblSalaries[[#This Row],[clean Salary (in local currency)]])*(VLOOKUP(tblSalaries[[#This Row],[Currency]],Sheet3!$A$2:$C$31,3,FALSE))*(VLOOKUP(tblSalaries[[#This Row],[Currency]],Sheet1!$N$4:$Q$186,4,FALSE))</f>
        <v>55032.644299002604</v>
      </c>
      <c r="G695" s="4">
        <f>IF(Dashboard!$J$5=VLOOKUP(tblSalaries[[#This Row],[Currency]],Sheet3!$A$2:$B$31,2,FALSE),tblSalaries[[#This Row],[clean Salary (in local currency)]],(tblSalaries[[#This Row],[PPP Adjusted  USD]]/VLOOKUP(Dashboard!$J$5,Sheet3!$B$2:$C$31,2,FALSE)))</f>
        <v>55032.644299002604</v>
      </c>
      <c r="H695" t="s">
        <v>603</v>
      </c>
      <c r="I695" t="s">
        <v>603</v>
      </c>
      <c r="J695" t="s">
        <v>626</v>
      </c>
      <c r="K695" t="s">
        <v>617</v>
      </c>
      <c r="L695">
        <v>4</v>
      </c>
    </row>
    <row r="696" spans="2:12" ht="15" customHeight="1">
      <c r="B696" t="s">
        <v>2564</v>
      </c>
      <c r="C696">
        <v>50000</v>
      </c>
      <c r="D696" t="s">
        <v>200</v>
      </c>
      <c r="E696">
        <v>63519.971949580387</v>
      </c>
      <c r="F696" s="3">
        <f>(tblSalaries[[#This Row],[clean Salary (in local currency)]])*(VLOOKUP(tblSalaries[[#This Row],[Currency]],Sheet3!$A$2:$C$31,3,FALSE))*(VLOOKUP(tblSalaries[[#This Row],[Currency]],Sheet1!$N$4:$Q$186,4,FALSE))</f>
        <v>55032.644299002604</v>
      </c>
      <c r="G696" s="4">
        <f>IF(Dashboard!$J$5=VLOOKUP(tblSalaries[[#This Row],[Currency]],Sheet3!$A$2:$B$31,2,FALSE),tblSalaries[[#This Row],[clean Salary (in local currency)]],(tblSalaries[[#This Row],[PPP Adjusted  USD]]/VLOOKUP(Dashboard!$J$5,Sheet3!$B$2:$C$31,2,FALSE)))</f>
        <v>55032.644299002604</v>
      </c>
      <c r="H696" t="s">
        <v>2565</v>
      </c>
      <c r="I696" t="s">
        <v>620</v>
      </c>
      <c r="J696" t="s">
        <v>634</v>
      </c>
      <c r="K696" t="s">
        <v>617</v>
      </c>
      <c r="L696">
        <v>14</v>
      </c>
    </row>
    <row r="697" spans="2:12" ht="15" customHeight="1">
      <c r="B697" t="s">
        <v>3182</v>
      </c>
      <c r="C697">
        <v>50000</v>
      </c>
      <c r="D697" t="s">
        <v>200</v>
      </c>
      <c r="E697">
        <v>63519.971949580387</v>
      </c>
      <c r="F697" s="3">
        <f>(tblSalaries[[#This Row],[clean Salary (in local currency)]])*(VLOOKUP(tblSalaries[[#This Row],[Currency]],Sheet3!$A$2:$C$31,3,FALSE))*(VLOOKUP(tblSalaries[[#This Row],[Currency]],Sheet1!$N$4:$Q$186,4,FALSE))</f>
        <v>55032.644299002604</v>
      </c>
      <c r="G697" s="4">
        <f>IF(Dashboard!$J$5=VLOOKUP(tblSalaries[[#This Row],[Currency]],Sheet3!$A$2:$B$31,2,FALSE),tblSalaries[[#This Row],[clean Salary (in local currency)]],(tblSalaries[[#This Row],[PPP Adjusted  USD]]/VLOOKUP(Dashboard!$J$5,Sheet3!$B$2:$C$31,2,FALSE)))</f>
        <v>55032.644299002604</v>
      </c>
      <c r="H697" t="s">
        <v>2065</v>
      </c>
      <c r="I697" t="s">
        <v>637</v>
      </c>
      <c r="J697" t="s">
        <v>2010</v>
      </c>
      <c r="K697" t="s">
        <v>610</v>
      </c>
      <c r="L697">
        <v>15</v>
      </c>
    </row>
    <row r="698" spans="2:12" ht="15" customHeight="1">
      <c r="B698" t="s">
        <v>3339</v>
      </c>
      <c r="C698">
        <v>50000</v>
      </c>
      <c r="D698" t="s">
        <v>200</v>
      </c>
      <c r="E698">
        <v>63519.971949580387</v>
      </c>
      <c r="F698" s="3">
        <f>(tblSalaries[[#This Row],[clean Salary (in local currency)]])*(VLOOKUP(tblSalaries[[#This Row],[Currency]],Sheet3!$A$2:$C$31,3,FALSE))*(VLOOKUP(tblSalaries[[#This Row],[Currency]],Sheet1!$N$4:$Q$186,4,FALSE))</f>
        <v>55032.644299002604</v>
      </c>
      <c r="G698" s="4">
        <f>IF(Dashboard!$J$5=VLOOKUP(tblSalaries[[#This Row],[Currency]],Sheet3!$A$2:$B$31,2,FALSE),tblSalaries[[#This Row],[clean Salary (in local currency)]],(tblSalaries[[#This Row],[PPP Adjusted  USD]]/VLOOKUP(Dashboard!$J$5,Sheet3!$B$2:$C$31,2,FALSE)))</f>
        <v>55032.644299002604</v>
      </c>
      <c r="H698" t="s">
        <v>608</v>
      </c>
      <c r="I698" t="s">
        <v>608</v>
      </c>
      <c r="J698" t="s">
        <v>722</v>
      </c>
      <c r="K698" t="s">
        <v>605</v>
      </c>
      <c r="L698">
        <v>10</v>
      </c>
    </row>
    <row r="699" spans="2:12" ht="15" customHeight="1">
      <c r="B699" t="s">
        <v>944</v>
      </c>
      <c r="C699">
        <v>55000</v>
      </c>
      <c r="D699" t="s">
        <v>252</v>
      </c>
      <c r="E699">
        <v>55000</v>
      </c>
      <c r="F699" s="3">
        <f>(tblSalaries[[#This Row],[clean Salary (in local currency)]])*(VLOOKUP(tblSalaries[[#This Row],[Currency]],Sheet3!$A$2:$C$31,3,FALSE))*(VLOOKUP(tblSalaries[[#This Row],[Currency]],Sheet1!$N$4:$Q$186,4,FALSE))</f>
        <v>55000</v>
      </c>
      <c r="G699" s="4">
        <f>IF(Dashboard!$J$5=VLOOKUP(tblSalaries[[#This Row],[Currency]],Sheet3!$A$2:$B$31,2,FALSE),tblSalaries[[#This Row],[clean Salary (in local currency)]],(tblSalaries[[#This Row],[PPP Adjusted  USD]]/VLOOKUP(Dashboard!$J$5,Sheet3!$B$2:$C$31,2,FALSE)))</f>
        <v>55000</v>
      </c>
      <c r="H699" t="s">
        <v>945</v>
      </c>
      <c r="I699" t="s">
        <v>625</v>
      </c>
      <c r="J699" t="s">
        <v>613</v>
      </c>
      <c r="K699" t="s">
        <v>617</v>
      </c>
      <c r="L699" t="s">
        <v>3847</v>
      </c>
    </row>
    <row r="700" spans="2:12" ht="15" customHeight="1">
      <c r="B700" t="s">
        <v>1142</v>
      </c>
      <c r="C700">
        <v>55000</v>
      </c>
      <c r="D700" t="s">
        <v>252</v>
      </c>
      <c r="E700">
        <v>55000</v>
      </c>
      <c r="F700" s="3">
        <f>(tblSalaries[[#This Row],[clean Salary (in local currency)]])*(VLOOKUP(tblSalaries[[#This Row],[Currency]],Sheet3!$A$2:$C$31,3,FALSE))*(VLOOKUP(tblSalaries[[#This Row],[Currency]],Sheet1!$N$4:$Q$186,4,FALSE))</f>
        <v>55000</v>
      </c>
      <c r="G700" s="4">
        <f>IF(Dashboard!$J$5=VLOOKUP(tblSalaries[[#This Row],[Currency]],Sheet3!$A$2:$B$31,2,FALSE),tblSalaries[[#This Row],[clean Salary (in local currency)]],(tblSalaries[[#This Row],[PPP Adjusted  USD]]/VLOOKUP(Dashboard!$J$5,Sheet3!$B$2:$C$31,2,FALSE)))</f>
        <v>55000</v>
      </c>
      <c r="H700" t="s">
        <v>910</v>
      </c>
      <c r="I700" t="s">
        <v>603</v>
      </c>
      <c r="J700" t="s">
        <v>613</v>
      </c>
      <c r="K700" t="s">
        <v>610</v>
      </c>
      <c r="L700" t="s">
        <v>3847</v>
      </c>
    </row>
    <row r="701" spans="2:12" ht="15" customHeight="1">
      <c r="B701" t="s">
        <v>1221</v>
      </c>
      <c r="C701">
        <v>55000</v>
      </c>
      <c r="D701" t="s">
        <v>252</v>
      </c>
      <c r="E701">
        <v>55000</v>
      </c>
      <c r="F701" s="3">
        <f>(tblSalaries[[#This Row],[clean Salary (in local currency)]])*(VLOOKUP(tblSalaries[[#This Row],[Currency]],Sheet3!$A$2:$C$31,3,FALSE))*(VLOOKUP(tblSalaries[[#This Row],[Currency]],Sheet1!$N$4:$Q$186,4,FALSE))</f>
        <v>55000</v>
      </c>
      <c r="G701" s="4">
        <f>IF(Dashboard!$J$5=VLOOKUP(tblSalaries[[#This Row],[Currency]],Sheet3!$A$2:$B$31,2,FALSE),tblSalaries[[#This Row],[clean Salary (in local currency)]],(tblSalaries[[#This Row],[PPP Adjusted  USD]]/VLOOKUP(Dashboard!$J$5,Sheet3!$B$2:$C$31,2,FALSE)))</f>
        <v>55000</v>
      </c>
      <c r="H701" t="s">
        <v>899</v>
      </c>
      <c r="I701" t="s">
        <v>603</v>
      </c>
      <c r="J701" t="s">
        <v>613</v>
      </c>
      <c r="K701" t="s">
        <v>605</v>
      </c>
      <c r="L701" t="s">
        <v>3847</v>
      </c>
    </row>
    <row r="702" spans="2:12" ht="15" customHeight="1">
      <c r="B702" t="s">
        <v>1346</v>
      </c>
      <c r="C702">
        <v>55000</v>
      </c>
      <c r="D702" t="s">
        <v>252</v>
      </c>
      <c r="E702">
        <v>55000</v>
      </c>
      <c r="F702" s="3">
        <f>(tblSalaries[[#This Row],[clean Salary (in local currency)]])*(VLOOKUP(tblSalaries[[#This Row],[Currency]],Sheet3!$A$2:$C$31,3,FALSE))*(VLOOKUP(tblSalaries[[#This Row],[Currency]],Sheet1!$N$4:$Q$186,4,FALSE))</f>
        <v>55000</v>
      </c>
      <c r="G702" s="4">
        <f>IF(Dashboard!$J$5=VLOOKUP(tblSalaries[[#This Row],[Currency]],Sheet3!$A$2:$B$31,2,FALSE),tblSalaries[[#This Row],[clean Salary (in local currency)]],(tblSalaries[[#This Row],[PPP Adjusted  USD]]/VLOOKUP(Dashboard!$J$5,Sheet3!$B$2:$C$31,2,FALSE)))</f>
        <v>55000</v>
      </c>
      <c r="H702" t="s">
        <v>637</v>
      </c>
      <c r="I702" t="s">
        <v>637</v>
      </c>
      <c r="J702" t="s">
        <v>613</v>
      </c>
      <c r="K702" t="s">
        <v>605</v>
      </c>
      <c r="L702" t="s">
        <v>3847</v>
      </c>
    </row>
    <row r="703" spans="2:12" ht="15" customHeight="1">
      <c r="B703" t="s">
        <v>1529</v>
      </c>
      <c r="C703">
        <v>55000</v>
      </c>
      <c r="D703" t="s">
        <v>252</v>
      </c>
      <c r="E703">
        <v>55000</v>
      </c>
      <c r="F703" s="3">
        <f>(tblSalaries[[#This Row],[clean Salary (in local currency)]])*(VLOOKUP(tblSalaries[[#This Row],[Currency]],Sheet3!$A$2:$C$31,3,FALSE))*(VLOOKUP(tblSalaries[[#This Row],[Currency]],Sheet1!$N$4:$Q$186,4,FALSE))</f>
        <v>55000</v>
      </c>
      <c r="G703" s="4">
        <f>IF(Dashboard!$J$5=VLOOKUP(tblSalaries[[#This Row],[Currency]],Sheet3!$A$2:$B$31,2,FALSE),tblSalaries[[#This Row],[clean Salary (in local currency)]],(tblSalaries[[#This Row],[PPP Adjusted  USD]]/VLOOKUP(Dashboard!$J$5,Sheet3!$B$2:$C$31,2,FALSE)))</f>
        <v>55000</v>
      </c>
      <c r="H703" t="s">
        <v>603</v>
      </c>
      <c r="I703" t="s">
        <v>603</v>
      </c>
      <c r="J703" t="s">
        <v>613</v>
      </c>
      <c r="K703" t="s">
        <v>617</v>
      </c>
      <c r="L703" t="s">
        <v>3847</v>
      </c>
    </row>
    <row r="704" spans="2:12" ht="15" customHeight="1">
      <c r="B704" t="s">
        <v>1624</v>
      </c>
      <c r="C704">
        <v>55000</v>
      </c>
      <c r="D704" t="s">
        <v>252</v>
      </c>
      <c r="E704">
        <v>55000</v>
      </c>
      <c r="F704" s="3">
        <f>(tblSalaries[[#This Row],[clean Salary (in local currency)]])*(VLOOKUP(tblSalaries[[#This Row],[Currency]],Sheet3!$A$2:$C$31,3,FALSE))*(VLOOKUP(tblSalaries[[#This Row],[Currency]],Sheet1!$N$4:$Q$186,4,FALSE))</f>
        <v>55000</v>
      </c>
      <c r="G704" s="4">
        <f>IF(Dashboard!$J$5=VLOOKUP(tblSalaries[[#This Row],[Currency]],Sheet3!$A$2:$B$31,2,FALSE),tblSalaries[[#This Row],[clean Salary (in local currency)]],(tblSalaries[[#This Row],[PPP Adjusted  USD]]/VLOOKUP(Dashboard!$J$5,Sheet3!$B$2:$C$31,2,FALSE)))</f>
        <v>55000</v>
      </c>
      <c r="H704" t="s">
        <v>1211</v>
      </c>
      <c r="I704" t="s">
        <v>603</v>
      </c>
      <c r="J704" t="s">
        <v>613</v>
      </c>
      <c r="K704" t="s">
        <v>617</v>
      </c>
      <c r="L704" t="s">
        <v>3847</v>
      </c>
    </row>
    <row r="705" spans="2:12" ht="15" customHeight="1">
      <c r="B705" t="s">
        <v>2135</v>
      </c>
      <c r="C705">
        <v>55000</v>
      </c>
      <c r="D705" t="s">
        <v>252</v>
      </c>
      <c r="E705">
        <v>55000</v>
      </c>
      <c r="F705" s="3">
        <f>(tblSalaries[[#This Row],[clean Salary (in local currency)]])*(VLOOKUP(tblSalaries[[#This Row],[Currency]],Sheet3!$A$2:$C$31,3,FALSE))*(VLOOKUP(tblSalaries[[#This Row],[Currency]],Sheet1!$N$4:$Q$186,4,FALSE))</f>
        <v>55000</v>
      </c>
      <c r="G705" s="4">
        <f>IF(Dashboard!$J$5=VLOOKUP(tblSalaries[[#This Row],[Currency]],Sheet3!$A$2:$B$31,2,FALSE),tblSalaries[[#This Row],[clean Salary (in local currency)]],(tblSalaries[[#This Row],[PPP Adjusted  USD]]/VLOOKUP(Dashboard!$J$5,Sheet3!$B$2:$C$31,2,FALSE)))</f>
        <v>55000</v>
      </c>
      <c r="H705" t="s">
        <v>603</v>
      </c>
      <c r="I705" t="s">
        <v>603</v>
      </c>
      <c r="J705" t="s">
        <v>613</v>
      </c>
      <c r="K705" t="s">
        <v>605</v>
      </c>
      <c r="L705">
        <v>10</v>
      </c>
    </row>
    <row r="706" spans="2:12" ht="15" customHeight="1">
      <c r="B706" t="s">
        <v>2445</v>
      </c>
      <c r="C706">
        <v>55000</v>
      </c>
      <c r="D706" t="s">
        <v>252</v>
      </c>
      <c r="E706">
        <v>55000</v>
      </c>
      <c r="F706" s="3">
        <f>(tblSalaries[[#This Row],[clean Salary (in local currency)]])*(VLOOKUP(tblSalaries[[#This Row],[Currency]],Sheet3!$A$2:$C$31,3,FALSE))*(VLOOKUP(tblSalaries[[#This Row],[Currency]],Sheet1!$N$4:$Q$186,4,FALSE))</f>
        <v>55000</v>
      </c>
      <c r="G706" s="4">
        <f>IF(Dashboard!$J$5=VLOOKUP(tblSalaries[[#This Row],[Currency]],Sheet3!$A$2:$B$31,2,FALSE),tblSalaries[[#This Row],[clean Salary (in local currency)]],(tblSalaries[[#This Row],[PPP Adjusted  USD]]/VLOOKUP(Dashboard!$J$5,Sheet3!$B$2:$C$31,2,FALSE)))</f>
        <v>55000</v>
      </c>
      <c r="H706" t="s">
        <v>1337</v>
      </c>
      <c r="I706" t="s">
        <v>658</v>
      </c>
      <c r="J706" t="s">
        <v>1255</v>
      </c>
      <c r="K706" t="s">
        <v>605</v>
      </c>
      <c r="L706">
        <v>6</v>
      </c>
    </row>
    <row r="707" spans="2:12" ht="15" customHeight="1">
      <c r="B707" t="s">
        <v>2768</v>
      </c>
      <c r="C707">
        <v>55000</v>
      </c>
      <c r="D707" t="s">
        <v>252</v>
      </c>
      <c r="E707">
        <v>55000</v>
      </c>
      <c r="F707" s="3">
        <f>(tblSalaries[[#This Row],[clean Salary (in local currency)]])*(VLOOKUP(tblSalaries[[#This Row],[Currency]],Sheet3!$A$2:$C$31,3,FALSE))*(VLOOKUP(tblSalaries[[#This Row],[Currency]],Sheet1!$N$4:$Q$186,4,FALSE))</f>
        <v>55000</v>
      </c>
      <c r="G707" s="4">
        <f>IF(Dashboard!$J$5=VLOOKUP(tblSalaries[[#This Row],[Currency]],Sheet3!$A$2:$B$31,2,FALSE),tblSalaries[[#This Row],[clean Salary (in local currency)]],(tblSalaries[[#This Row],[PPP Adjusted  USD]]/VLOOKUP(Dashboard!$J$5,Sheet3!$B$2:$C$31,2,FALSE)))</f>
        <v>55000</v>
      </c>
      <c r="H707" t="s">
        <v>2535</v>
      </c>
      <c r="I707" t="s">
        <v>603</v>
      </c>
      <c r="J707" t="s">
        <v>613</v>
      </c>
      <c r="K707" t="s">
        <v>627</v>
      </c>
      <c r="L707">
        <v>7</v>
      </c>
    </row>
    <row r="708" spans="2:12" ht="15" customHeight="1">
      <c r="B708" t="s">
        <v>3022</v>
      </c>
      <c r="C708">
        <v>55000</v>
      </c>
      <c r="D708" t="s">
        <v>252</v>
      </c>
      <c r="E708">
        <v>55000</v>
      </c>
      <c r="F708" s="3">
        <f>(tblSalaries[[#This Row],[clean Salary (in local currency)]])*(VLOOKUP(tblSalaries[[#This Row],[Currency]],Sheet3!$A$2:$C$31,3,FALSE))*(VLOOKUP(tblSalaries[[#This Row],[Currency]],Sheet1!$N$4:$Q$186,4,FALSE))</f>
        <v>55000</v>
      </c>
      <c r="G708" s="4">
        <f>IF(Dashboard!$J$5=VLOOKUP(tblSalaries[[#This Row],[Currency]],Sheet3!$A$2:$B$31,2,FALSE),tblSalaries[[#This Row],[clean Salary (in local currency)]],(tblSalaries[[#This Row],[PPP Adjusted  USD]]/VLOOKUP(Dashboard!$J$5,Sheet3!$B$2:$C$31,2,FALSE)))</f>
        <v>55000</v>
      </c>
      <c r="H708" t="s">
        <v>3023</v>
      </c>
      <c r="I708" t="s">
        <v>603</v>
      </c>
      <c r="J708" t="s">
        <v>613</v>
      </c>
      <c r="K708" t="s">
        <v>610</v>
      </c>
      <c r="L708">
        <v>1</v>
      </c>
    </row>
    <row r="709" spans="2:12" ht="15" customHeight="1">
      <c r="B709" t="s">
        <v>3174</v>
      </c>
      <c r="C709">
        <v>55000</v>
      </c>
      <c r="D709" t="s">
        <v>252</v>
      </c>
      <c r="E709">
        <v>55000</v>
      </c>
      <c r="F709" s="3">
        <f>(tblSalaries[[#This Row],[clean Salary (in local currency)]])*(VLOOKUP(tblSalaries[[#This Row],[Currency]],Sheet3!$A$2:$C$31,3,FALSE))*(VLOOKUP(tblSalaries[[#This Row],[Currency]],Sheet1!$N$4:$Q$186,4,FALSE))</f>
        <v>55000</v>
      </c>
      <c r="G709" s="4">
        <f>IF(Dashboard!$J$5=VLOOKUP(tblSalaries[[#This Row],[Currency]],Sheet3!$A$2:$B$31,2,FALSE),tblSalaries[[#This Row],[clean Salary (in local currency)]],(tblSalaries[[#This Row],[PPP Adjusted  USD]]/VLOOKUP(Dashboard!$J$5,Sheet3!$B$2:$C$31,2,FALSE)))</f>
        <v>55000</v>
      </c>
      <c r="H709" t="s">
        <v>3175</v>
      </c>
      <c r="I709" t="s">
        <v>625</v>
      </c>
      <c r="J709" t="s">
        <v>613</v>
      </c>
      <c r="K709" t="s">
        <v>617</v>
      </c>
      <c r="L709">
        <v>14</v>
      </c>
    </row>
    <row r="710" spans="2:12" ht="15" customHeight="1">
      <c r="B710" t="s">
        <v>3341</v>
      </c>
      <c r="C710">
        <v>55000</v>
      </c>
      <c r="D710" t="s">
        <v>252</v>
      </c>
      <c r="E710">
        <v>55000</v>
      </c>
      <c r="F710" s="3">
        <f>(tblSalaries[[#This Row],[clean Salary (in local currency)]])*(VLOOKUP(tblSalaries[[#This Row],[Currency]],Sheet3!$A$2:$C$31,3,FALSE))*(VLOOKUP(tblSalaries[[#This Row],[Currency]],Sheet1!$N$4:$Q$186,4,FALSE))</f>
        <v>55000</v>
      </c>
      <c r="G710" s="4">
        <f>IF(Dashboard!$J$5=VLOOKUP(tblSalaries[[#This Row],[Currency]],Sheet3!$A$2:$B$31,2,FALSE),tblSalaries[[#This Row],[clean Salary (in local currency)]],(tblSalaries[[#This Row],[PPP Adjusted  USD]]/VLOOKUP(Dashboard!$J$5,Sheet3!$B$2:$C$31,2,FALSE)))</f>
        <v>55000</v>
      </c>
      <c r="H710" t="s">
        <v>899</v>
      </c>
      <c r="I710" t="s">
        <v>603</v>
      </c>
      <c r="J710" t="s">
        <v>613</v>
      </c>
      <c r="K710" t="s">
        <v>605</v>
      </c>
      <c r="L710">
        <v>2</v>
      </c>
    </row>
    <row r="711" spans="2:12" ht="15" customHeight="1">
      <c r="B711" t="s">
        <v>3368</v>
      </c>
      <c r="C711">
        <v>55000</v>
      </c>
      <c r="D711" t="s">
        <v>252</v>
      </c>
      <c r="E711">
        <v>55000</v>
      </c>
      <c r="F711" s="3">
        <f>(tblSalaries[[#This Row],[clean Salary (in local currency)]])*(VLOOKUP(tblSalaries[[#This Row],[Currency]],Sheet3!$A$2:$C$31,3,FALSE))*(VLOOKUP(tblSalaries[[#This Row],[Currency]],Sheet1!$N$4:$Q$186,4,FALSE))</f>
        <v>55000</v>
      </c>
      <c r="G711" s="4">
        <f>IF(Dashboard!$J$5=VLOOKUP(tblSalaries[[#This Row],[Currency]],Sheet3!$A$2:$B$31,2,FALSE),tblSalaries[[#This Row],[clean Salary (in local currency)]],(tblSalaries[[#This Row],[PPP Adjusted  USD]]/VLOOKUP(Dashboard!$J$5,Sheet3!$B$2:$C$31,2,FALSE)))</f>
        <v>55000</v>
      </c>
      <c r="H711" t="s">
        <v>1248</v>
      </c>
      <c r="I711" t="s">
        <v>603</v>
      </c>
      <c r="J711" t="s">
        <v>613</v>
      </c>
      <c r="K711" t="s">
        <v>605</v>
      </c>
      <c r="L711">
        <v>1</v>
      </c>
    </row>
    <row r="712" spans="2:12" ht="15" customHeight="1">
      <c r="B712" t="s">
        <v>3443</v>
      </c>
      <c r="C712">
        <v>55000</v>
      </c>
      <c r="D712" t="s">
        <v>252</v>
      </c>
      <c r="E712">
        <v>55000</v>
      </c>
      <c r="F712" s="3">
        <f>(tblSalaries[[#This Row],[clean Salary (in local currency)]])*(VLOOKUP(tblSalaries[[#This Row],[Currency]],Sheet3!$A$2:$C$31,3,FALSE))*(VLOOKUP(tblSalaries[[#This Row],[Currency]],Sheet1!$N$4:$Q$186,4,FALSE))</f>
        <v>55000</v>
      </c>
      <c r="G712" s="4">
        <f>IF(Dashboard!$J$5=VLOOKUP(tblSalaries[[#This Row],[Currency]],Sheet3!$A$2:$B$31,2,FALSE),tblSalaries[[#This Row],[clean Salary (in local currency)]],(tblSalaries[[#This Row],[PPP Adjusted  USD]]/VLOOKUP(Dashboard!$J$5,Sheet3!$B$2:$C$31,2,FALSE)))</f>
        <v>55000</v>
      </c>
      <c r="H712" t="s">
        <v>3444</v>
      </c>
      <c r="I712" t="s">
        <v>603</v>
      </c>
      <c r="J712" t="s">
        <v>613</v>
      </c>
      <c r="K712" t="s">
        <v>605</v>
      </c>
      <c r="L712">
        <v>15</v>
      </c>
    </row>
    <row r="713" spans="2:12" ht="15" customHeight="1">
      <c r="B713" t="s">
        <v>2039</v>
      </c>
      <c r="C713">
        <v>1152000</v>
      </c>
      <c r="D713" t="s">
        <v>247</v>
      </c>
      <c r="E713">
        <v>20514.720023933838</v>
      </c>
      <c r="F713" s="3">
        <f>(tblSalaries[[#This Row],[clean Salary (in local currency)]])*(VLOOKUP(tblSalaries[[#This Row],[Currency]],Sheet3!$A$2:$C$31,3,FALSE))*(VLOOKUP(tblSalaries[[#This Row],[Currency]],Sheet1!$N$4:$Q$186,4,FALSE))</f>
        <v>54559.897745700619</v>
      </c>
      <c r="G713" s="4">
        <f>IF(Dashboard!$J$5=VLOOKUP(tblSalaries[[#This Row],[Currency]],Sheet3!$A$2:$B$31,2,FALSE),tblSalaries[[#This Row],[clean Salary (in local currency)]],(tblSalaries[[#This Row],[PPP Adjusted  USD]]/VLOOKUP(Dashboard!$J$5,Sheet3!$B$2:$C$31,2,FALSE)))</f>
        <v>54559.897745700619</v>
      </c>
      <c r="H713" t="s">
        <v>2040</v>
      </c>
      <c r="I713" t="s">
        <v>637</v>
      </c>
      <c r="J713" t="s">
        <v>604</v>
      </c>
      <c r="K713" t="s">
        <v>605</v>
      </c>
      <c r="L713">
        <v>6</v>
      </c>
    </row>
    <row r="714" spans="2:12" ht="15" customHeight="1">
      <c r="B714" t="s">
        <v>3129</v>
      </c>
      <c r="C714">
        <v>37000</v>
      </c>
      <c r="D714" t="s">
        <v>204</v>
      </c>
      <c r="E714">
        <v>58318.59606648951</v>
      </c>
      <c r="F714" s="3">
        <f>(tblSalaries[[#This Row],[clean Salary (in local currency)]])*(VLOOKUP(tblSalaries[[#This Row],[Currency]],Sheet3!$A$2:$C$31,3,FALSE))*(VLOOKUP(tblSalaries[[#This Row],[Currency]],Sheet1!$N$4:$Q$186,4,FALSE))</f>
        <v>54536.934584275812</v>
      </c>
      <c r="G714" s="4">
        <f>IF(Dashboard!$J$5=VLOOKUP(tblSalaries[[#This Row],[Currency]],Sheet3!$A$2:$B$31,2,FALSE),tblSalaries[[#This Row],[clean Salary (in local currency)]],(tblSalaries[[#This Row],[PPP Adjusted  USD]]/VLOOKUP(Dashboard!$J$5,Sheet3!$B$2:$C$31,2,FALSE)))</f>
        <v>54536.934584275812</v>
      </c>
      <c r="H714" t="s">
        <v>3130</v>
      </c>
      <c r="I714" t="s">
        <v>625</v>
      </c>
      <c r="J714" t="s">
        <v>687</v>
      </c>
      <c r="K714" t="s">
        <v>610</v>
      </c>
      <c r="L714">
        <v>20</v>
      </c>
    </row>
    <row r="715" spans="2:12" ht="15" customHeight="1">
      <c r="B715" t="s">
        <v>3365</v>
      </c>
      <c r="C715">
        <v>37000</v>
      </c>
      <c r="D715" t="s">
        <v>204</v>
      </c>
      <c r="E715">
        <v>58318.59606648951</v>
      </c>
      <c r="F715" s="3">
        <f>(tblSalaries[[#This Row],[clean Salary (in local currency)]])*(VLOOKUP(tblSalaries[[#This Row],[Currency]],Sheet3!$A$2:$C$31,3,FALSE))*(VLOOKUP(tblSalaries[[#This Row],[Currency]],Sheet1!$N$4:$Q$186,4,FALSE))</f>
        <v>54536.934584275812</v>
      </c>
      <c r="G715" s="4">
        <f>IF(Dashboard!$J$5=VLOOKUP(tblSalaries[[#This Row],[Currency]],Sheet3!$A$2:$B$31,2,FALSE),tblSalaries[[#This Row],[clean Salary (in local currency)]],(tblSalaries[[#This Row],[PPP Adjusted  USD]]/VLOOKUP(Dashboard!$J$5,Sheet3!$B$2:$C$31,2,FALSE)))</f>
        <v>54536.934584275812</v>
      </c>
      <c r="H715" t="s">
        <v>3366</v>
      </c>
      <c r="I715" t="s">
        <v>603</v>
      </c>
      <c r="J715" t="s">
        <v>687</v>
      </c>
      <c r="K715" t="s">
        <v>605</v>
      </c>
      <c r="L715">
        <v>9</v>
      </c>
    </row>
    <row r="716" spans="2:12" ht="15" customHeight="1">
      <c r="B716" t="s">
        <v>1852</v>
      </c>
      <c r="C716">
        <v>1150000</v>
      </c>
      <c r="D716" t="s">
        <v>247</v>
      </c>
      <c r="E716">
        <v>20479.104190558952</v>
      </c>
      <c r="F716" s="3">
        <f>(tblSalaries[[#This Row],[clean Salary (in local currency)]])*(VLOOKUP(tblSalaries[[#This Row],[Currency]],Sheet3!$A$2:$C$31,3,FALSE))*(VLOOKUP(tblSalaries[[#This Row],[Currency]],Sheet1!$N$4:$Q$186,4,FALSE))</f>
        <v>54465.175701003216</v>
      </c>
      <c r="G716" s="4">
        <f>IF(Dashboard!$J$5=VLOOKUP(tblSalaries[[#This Row],[Currency]],Sheet3!$A$2:$B$31,2,FALSE),tblSalaries[[#This Row],[clean Salary (in local currency)]],(tblSalaries[[#This Row],[PPP Adjusted  USD]]/VLOOKUP(Dashboard!$J$5,Sheet3!$B$2:$C$31,2,FALSE)))</f>
        <v>54465.175701003216</v>
      </c>
      <c r="H716" t="s">
        <v>1853</v>
      </c>
      <c r="I716" t="s">
        <v>625</v>
      </c>
      <c r="J716" t="s">
        <v>604</v>
      </c>
      <c r="K716" t="s">
        <v>617</v>
      </c>
      <c r="L716">
        <v>7</v>
      </c>
    </row>
    <row r="717" spans="2:12" ht="15" customHeight="1">
      <c r="B717" t="s">
        <v>3112</v>
      </c>
      <c r="C717">
        <v>1150000</v>
      </c>
      <c r="D717" t="s">
        <v>247</v>
      </c>
      <c r="E717">
        <v>20479.104190558952</v>
      </c>
      <c r="F717" s="3">
        <f>(tblSalaries[[#This Row],[clean Salary (in local currency)]])*(VLOOKUP(tblSalaries[[#This Row],[Currency]],Sheet3!$A$2:$C$31,3,FALSE))*(VLOOKUP(tblSalaries[[#This Row],[Currency]],Sheet1!$N$4:$Q$186,4,FALSE))</f>
        <v>54465.175701003216</v>
      </c>
      <c r="G717" s="4">
        <f>IF(Dashboard!$J$5=VLOOKUP(tblSalaries[[#This Row],[Currency]],Sheet3!$A$2:$B$31,2,FALSE),tblSalaries[[#This Row],[clean Salary (in local currency)]],(tblSalaries[[#This Row],[PPP Adjusted  USD]]/VLOOKUP(Dashboard!$J$5,Sheet3!$B$2:$C$31,2,FALSE)))</f>
        <v>54465.175701003216</v>
      </c>
      <c r="H717" t="s">
        <v>889</v>
      </c>
      <c r="I717" t="s">
        <v>625</v>
      </c>
      <c r="J717" t="s">
        <v>604</v>
      </c>
      <c r="K717" t="s">
        <v>610</v>
      </c>
      <c r="L717">
        <v>12</v>
      </c>
    </row>
    <row r="718" spans="2:12" ht="15" customHeight="1">
      <c r="B718" t="s">
        <v>1589</v>
      </c>
      <c r="C718">
        <v>49248</v>
      </c>
      <c r="D718" t="s">
        <v>200</v>
      </c>
      <c r="E718">
        <v>62564.631571458704</v>
      </c>
      <c r="F718" s="3">
        <f>(tblSalaries[[#This Row],[clean Salary (in local currency)]])*(VLOOKUP(tblSalaries[[#This Row],[Currency]],Sheet3!$A$2:$C$31,3,FALSE))*(VLOOKUP(tblSalaries[[#This Row],[Currency]],Sheet1!$N$4:$Q$186,4,FALSE))</f>
        <v>54204.953328745614</v>
      </c>
      <c r="G718" s="4">
        <f>IF(Dashboard!$J$5=VLOOKUP(tblSalaries[[#This Row],[Currency]],Sheet3!$A$2:$B$31,2,FALSE),tblSalaries[[#This Row],[clean Salary (in local currency)]],(tblSalaries[[#This Row],[PPP Adjusted  USD]]/VLOOKUP(Dashboard!$J$5,Sheet3!$B$2:$C$31,2,FALSE)))</f>
        <v>54204.953328745614</v>
      </c>
      <c r="H718" t="s">
        <v>1590</v>
      </c>
      <c r="I718" t="s">
        <v>637</v>
      </c>
      <c r="J718" t="s">
        <v>722</v>
      </c>
      <c r="K718" t="s">
        <v>610</v>
      </c>
      <c r="L718" t="s">
        <v>3847</v>
      </c>
    </row>
    <row r="719" spans="2:12" ht="15" customHeight="1">
      <c r="B719" t="s">
        <v>1546</v>
      </c>
      <c r="C719">
        <v>68500</v>
      </c>
      <c r="D719" t="s">
        <v>276</v>
      </c>
      <c r="E719">
        <v>67360.264327577388</v>
      </c>
      <c r="F719" s="3">
        <f>(tblSalaries[[#This Row],[clean Salary (in local currency)]])*(VLOOKUP(tblSalaries[[#This Row],[Currency]],Sheet3!$A$2:$C$31,3,FALSE))*(VLOOKUP(tblSalaries[[#This Row],[Currency]],Sheet1!$N$4:$Q$186,4,FALSE))</f>
        <v>54145.564919360608</v>
      </c>
      <c r="G719" s="4">
        <f>IF(Dashboard!$J$5=VLOOKUP(tblSalaries[[#This Row],[Currency]],Sheet3!$A$2:$B$31,2,FALSE),tblSalaries[[#This Row],[clean Salary (in local currency)]],(tblSalaries[[#This Row],[PPP Adjusted  USD]]/VLOOKUP(Dashboard!$J$5,Sheet3!$B$2:$C$31,2,FALSE)))</f>
        <v>54145.564919360608</v>
      </c>
      <c r="H719" t="s">
        <v>612</v>
      </c>
      <c r="I719" t="s">
        <v>603</v>
      </c>
      <c r="J719" t="s">
        <v>708</v>
      </c>
      <c r="K719" t="s">
        <v>605</v>
      </c>
      <c r="L719" t="s">
        <v>3847</v>
      </c>
    </row>
    <row r="720" spans="2:12" ht="15" customHeight="1">
      <c r="B720" t="s">
        <v>618</v>
      </c>
      <c r="C720">
        <v>54000</v>
      </c>
      <c r="D720" t="s">
        <v>252</v>
      </c>
      <c r="E720">
        <v>54000</v>
      </c>
      <c r="F720" s="3">
        <f>(tblSalaries[[#This Row],[clean Salary (in local currency)]])*(VLOOKUP(tblSalaries[[#This Row],[Currency]],Sheet3!$A$2:$C$31,3,FALSE))*(VLOOKUP(tblSalaries[[#This Row],[Currency]],Sheet1!$N$4:$Q$186,4,FALSE))</f>
        <v>54000</v>
      </c>
      <c r="G720" s="4">
        <f>IF(Dashboard!$J$5=VLOOKUP(tblSalaries[[#This Row],[Currency]],Sheet3!$A$2:$B$31,2,FALSE),tblSalaries[[#This Row],[clean Salary (in local currency)]],(tblSalaries[[#This Row],[PPP Adjusted  USD]]/VLOOKUP(Dashboard!$J$5,Sheet3!$B$2:$C$31,2,FALSE)))</f>
        <v>54000</v>
      </c>
      <c r="H720" t="s">
        <v>619</v>
      </c>
      <c r="I720" t="s">
        <v>620</v>
      </c>
      <c r="J720" t="s">
        <v>613</v>
      </c>
      <c r="K720" t="s">
        <v>610</v>
      </c>
      <c r="L720" t="s">
        <v>3847</v>
      </c>
    </row>
    <row r="721" spans="2:12" ht="15" customHeight="1">
      <c r="B721" t="s">
        <v>886</v>
      </c>
      <c r="C721">
        <v>54000</v>
      </c>
      <c r="D721" t="s">
        <v>252</v>
      </c>
      <c r="E721">
        <v>54000</v>
      </c>
      <c r="F721" s="3">
        <f>(tblSalaries[[#This Row],[clean Salary (in local currency)]])*(VLOOKUP(tblSalaries[[#This Row],[Currency]],Sheet3!$A$2:$C$31,3,FALSE))*(VLOOKUP(tblSalaries[[#This Row],[Currency]],Sheet1!$N$4:$Q$186,4,FALSE))</f>
        <v>54000</v>
      </c>
      <c r="G721" s="4">
        <f>IF(Dashboard!$J$5=VLOOKUP(tblSalaries[[#This Row],[Currency]],Sheet3!$A$2:$B$31,2,FALSE),tblSalaries[[#This Row],[clean Salary (in local currency)]],(tblSalaries[[#This Row],[PPP Adjusted  USD]]/VLOOKUP(Dashboard!$J$5,Sheet3!$B$2:$C$31,2,FALSE)))</f>
        <v>54000</v>
      </c>
      <c r="H721" t="s">
        <v>887</v>
      </c>
      <c r="I721" t="s">
        <v>603</v>
      </c>
      <c r="J721" t="s">
        <v>613</v>
      </c>
      <c r="K721" t="s">
        <v>617</v>
      </c>
      <c r="L721" t="s">
        <v>3847</v>
      </c>
    </row>
    <row r="722" spans="2:12" ht="15" customHeight="1">
      <c r="B722" t="s">
        <v>1127</v>
      </c>
      <c r="C722">
        <v>54000</v>
      </c>
      <c r="D722" t="s">
        <v>252</v>
      </c>
      <c r="E722">
        <v>54000</v>
      </c>
      <c r="F722" s="3">
        <f>(tblSalaries[[#This Row],[clean Salary (in local currency)]])*(VLOOKUP(tblSalaries[[#This Row],[Currency]],Sheet3!$A$2:$C$31,3,FALSE))*(VLOOKUP(tblSalaries[[#This Row],[Currency]],Sheet1!$N$4:$Q$186,4,FALSE))</f>
        <v>54000</v>
      </c>
      <c r="G722" s="4">
        <f>IF(Dashboard!$J$5=VLOOKUP(tblSalaries[[#This Row],[Currency]],Sheet3!$A$2:$B$31,2,FALSE),tblSalaries[[#This Row],[clean Salary (in local currency)]],(tblSalaries[[#This Row],[PPP Adjusted  USD]]/VLOOKUP(Dashboard!$J$5,Sheet3!$B$2:$C$31,2,FALSE)))</f>
        <v>54000</v>
      </c>
      <c r="H722" t="s">
        <v>1128</v>
      </c>
      <c r="I722" t="s">
        <v>625</v>
      </c>
      <c r="J722" t="s">
        <v>613</v>
      </c>
      <c r="K722" t="s">
        <v>610</v>
      </c>
      <c r="L722" t="s">
        <v>3847</v>
      </c>
    </row>
    <row r="723" spans="2:12" ht="15" customHeight="1">
      <c r="B723" t="s">
        <v>1572</v>
      </c>
      <c r="C723">
        <v>54000</v>
      </c>
      <c r="D723" t="s">
        <v>252</v>
      </c>
      <c r="E723">
        <v>54000</v>
      </c>
      <c r="F723" s="3">
        <f>(tblSalaries[[#This Row],[clean Salary (in local currency)]])*(VLOOKUP(tblSalaries[[#This Row],[Currency]],Sheet3!$A$2:$C$31,3,FALSE))*(VLOOKUP(tblSalaries[[#This Row],[Currency]],Sheet1!$N$4:$Q$186,4,FALSE))</f>
        <v>54000</v>
      </c>
      <c r="G723" s="4">
        <f>IF(Dashboard!$J$5=VLOOKUP(tblSalaries[[#This Row],[Currency]],Sheet3!$A$2:$B$31,2,FALSE),tblSalaries[[#This Row],[clean Salary (in local currency)]],(tblSalaries[[#This Row],[PPP Adjusted  USD]]/VLOOKUP(Dashboard!$J$5,Sheet3!$B$2:$C$31,2,FALSE)))</f>
        <v>54000</v>
      </c>
      <c r="H723" t="s">
        <v>899</v>
      </c>
      <c r="I723" t="s">
        <v>603</v>
      </c>
      <c r="J723" t="s">
        <v>613</v>
      </c>
      <c r="K723" t="s">
        <v>605</v>
      </c>
      <c r="L723" t="s">
        <v>3847</v>
      </c>
    </row>
    <row r="724" spans="2:12" ht="15" customHeight="1">
      <c r="B724" t="s">
        <v>1646</v>
      </c>
      <c r="C724">
        <v>54000</v>
      </c>
      <c r="D724" t="s">
        <v>252</v>
      </c>
      <c r="E724">
        <v>54000</v>
      </c>
      <c r="F724" s="3">
        <f>(tblSalaries[[#This Row],[clean Salary (in local currency)]])*(VLOOKUP(tblSalaries[[#This Row],[Currency]],Sheet3!$A$2:$C$31,3,FALSE))*(VLOOKUP(tblSalaries[[#This Row],[Currency]],Sheet1!$N$4:$Q$186,4,FALSE))</f>
        <v>54000</v>
      </c>
      <c r="G724" s="4">
        <f>IF(Dashboard!$J$5=VLOOKUP(tblSalaries[[#This Row],[Currency]],Sheet3!$A$2:$B$31,2,FALSE),tblSalaries[[#This Row],[clean Salary (in local currency)]],(tblSalaries[[#This Row],[PPP Adjusted  USD]]/VLOOKUP(Dashboard!$J$5,Sheet3!$B$2:$C$31,2,FALSE)))</f>
        <v>54000</v>
      </c>
      <c r="H724" t="s">
        <v>1647</v>
      </c>
      <c r="I724" t="s">
        <v>640</v>
      </c>
      <c r="J724" t="s">
        <v>613</v>
      </c>
      <c r="K724" t="s">
        <v>610</v>
      </c>
      <c r="L724">
        <v>5</v>
      </c>
    </row>
    <row r="725" spans="2:12" ht="15" customHeight="1">
      <c r="B725" t="s">
        <v>2828</v>
      </c>
      <c r="C725">
        <v>54000</v>
      </c>
      <c r="D725" t="s">
        <v>252</v>
      </c>
      <c r="E725">
        <v>54000</v>
      </c>
      <c r="F725" s="3">
        <f>(tblSalaries[[#This Row],[clean Salary (in local currency)]])*(VLOOKUP(tblSalaries[[#This Row],[Currency]],Sheet3!$A$2:$C$31,3,FALSE))*(VLOOKUP(tblSalaries[[#This Row],[Currency]],Sheet1!$N$4:$Q$186,4,FALSE))</f>
        <v>54000</v>
      </c>
      <c r="G725" s="4">
        <f>IF(Dashboard!$J$5=VLOOKUP(tblSalaries[[#This Row],[Currency]],Sheet3!$A$2:$B$31,2,FALSE),tblSalaries[[#This Row],[clean Salary (in local currency)]],(tblSalaries[[#This Row],[PPP Adjusted  USD]]/VLOOKUP(Dashboard!$J$5,Sheet3!$B$2:$C$31,2,FALSE)))</f>
        <v>54000</v>
      </c>
      <c r="H725" t="s">
        <v>2829</v>
      </c>
      <c r="I725" t="s">
        <v>603</v>
      </c>
      <c r="J725" t="s">
        <v>613</v>
      </c>
      <c r="K725" t="s">
        <v>610</v>
      </c>
      <c r="L725">
        <v>6</v>
      </c>
    </row>
    <row r="726" spans="2:12" ht="15" customHeight="1">
      <c r="B726" t="s">
        <v>3389</v>
      </c>
      <c r="C726">
        <v>54000</v>
      </c>
      <c r="D726" t="s">
        <v>252</v>
      </c>
      <c r="E726">
        <v>54000</v>
      </c>
      <c r="F726" s="3">
        <f>(tblSalaries[[#This Row],[clean Salary (in local currency)]])*(VLOOKUP(tblSalaries[[#This Row],[Currency]],Sheet3!$A$2:$C$31,3,FALSE))*(VLOOKUP(tblSalaries[[#This Row],[Currency]],Sheet1!$N$4:$Q$186,4,FALSE))</f>
        <v>54000</v>
      </c>
      <c r="G726" s="4">
        <f>IF(Dashboard!$J$5=VLOOKUP(tblSalaries[[#This Row],[Currency]],Sheet3!$A$2:$B$31,2,FALSE),tblSalaries[[#This Row],[clean Salary (in local currency)]],(tblSalaries[[#This Row],[PPP Adjusted  USD]]/VLOOKUP(Dashboard!$J$5,Sheet3!$B$2:$C$31,2,FALSE)))</f>
        <v>54000</v>
      </c>
      <c r="H726" t="s">
        <v>3390</v>
      </c>
      <c r="I726" t="s">
        <v>633</v>
      </c>
      <c r="J726" t="s">
        <v>613</v>
      </c>
      <c r="K726" t="s">
        <v>605</v>
      </c>
      <c r="L726">
        <v>10</v>
      </c>
    </row>
    <row r="727" spans="2:12" ht="15" customHeight="1">
      <c r="B727" t="s">
        <v>3492</v>
      </c>
      <c r="C727">
        <v>54000</v>
      </c>
      <c r="D727" t="s">
        <v>252</v>
      </c>
      <c r="E727">
        <v>54000</v>
      </c>
      <c r="F727" s="3">
        <f>(tblSalaries[[#This Row],[clean Salary (in local currency)]])*(VLOOKUP(tblSalaries[[#This Row],[Currency]],Sheet3!$A$2:$C$31,3,FALSE))*(VLOOKUP(tblSalaries[[#This Row],[Currency]],Sheet1!$N$4:$Q$186,4,FALSE))</f>
        <v>54000</v>
      </c>
      <c r="G727" s="4">
        <f>IF(Dashboard!$J$5=VLOOKUP(tblSalaries[[#This Row],[Currency]],Sheet3!$A$2:$B$31,2,FALSE),tblSalaries[[#This Row],[clean Salary (in local currency)]],(tblSalaries[[#This Row],[PPP Adjusted  USD]]/VLOOKUP(Dashboard!$J$5,Sheet3!$B$2:$C$31,2,FALSE)))</f>
        <v>54000</v>
      </c>
      <c r="H727" t="s">
        <v>1077</v>
      </c>
      <c r="I727" t="s">
        <v>603</v>
      </c>
      <c r="J727" t="s">
        <v>613</v>
      </c>
      <c r="K727" t="s">
        <v>610</v>
      </c>
      <c r="L727">
        <v>6</v>
      </c>
    </row>
    <row r="728" spans="2:12" ht="15" customHeight="1">
      <c r="B728" t="s">
        <v>3743</v>
      </c>
      <c r="C728">
        <v>54000</v>
      </c>
      <c r="D728" t="s">
        <v>252</v>
      </c>
      <c r="E728">
        <v>54000</v>
      </c>
      <c r="F728" s="3">
        <f>(tblSalaries[[#This Row],[clean Salary (in local currency)]])*(VLOOKUP(tblSalaries[[#This Row],[Currency]],Sheet3!$A$2:$C$31,3,FALSE))*(VLOOKUP(tblSalaries[[#This Row],[Currency]],Sheet1!$N$4:$Q$186,4,FALSE))</f>
        <v>54000</v>
      </c>
      <c r="G728" s="4">
        <f>IF(Dashboard!$J$5=VLOOKUP(tblSalaries[[#This Row],[Currency]],Sheet3!$A$2:$B$31,2,FALSE),tblSalaries[[#This Row],[clean Salary (in local currency)]],(tblSalaries[[#This Row],[PPP Adjusted  USD]]/VLOOKUP(Dashboard!$J$5,Sheet3!$B$2:$C$31,2,FALSE)))</f>
        <v>54000</v>
      </c>
      <c r="H728" t="s">
        <v>3744</v>
      </c>
      <c r="I728" t="s">
        <v>603</v>
      </c>
      <c r="J728" t="s">
        <v>613</v>
      </c>
      <c r="K728" t="s">
        <v>605</v>
      </c>
      <c r="L728">
        <v>18</v>
      </c>
    </row>
    <row r="729" spans="2:12" ht="15" customHeight="1">
      <c r="B729" t="s">
        <v>736</v>
      </c>
      <c r="C729">
        <v>49000</v>
      </c>
      <c r="D729" t="s">
        <v>200</v>
      </c>
      <c r="E729">
        <v>62249.572510588783</v>
      </c>
      <c r="F729" s="3">
        <f>(tblSalaries[[#This Row],[clean Salary (in local currency)]])*(VLOOKUP(tblSalaries[[#This Row],[Currency]],Sheet3!$A$2:$C$31,3,FALSE))*(VLOOKUP(tblSalaries[[#This Row],[Currency]],Sheet1!$N$4:$Q$186,4,FALSE))</f>
        <v>53931.991413022559</v>
      </c>
      <c r="G729" s="4">
        <f>IF(Dashboard!$J$5=VLOOKUP(tblSalaries[[#This Row],[Currency]],Sheet3!$A$2:$B$31,2,FALSE),tblSalaries[[#This Row],[clean Salary (in local currency)]],(tblSalaries[[#This Row],[PPP Adjusted  USD]]/VLOOKUP(Dashboard!$J$5,Sheet3!$B$2:$C$31,2,FALSE)))</f>
        <v>53931.991413022559</v>
      </c>
      <c r="H729" t="s">
        <v>737</v>
      </c>
      <c r="I729" t="s">
        <v>625</v>
      </c>
      <c r="J729" t="s">
        <v>738</v>
      </c>
      <c r="K729" t="s">
        <v>617</v>
      </c>
      <c r="L729" t="s">
        <v>3847</v>
      </c>
    </row>
    <row r="730" spans="2:12" ht="15" customHeight="1">
      <c r="B730" t="s">
        <v>3098</v>
      </c>
      <c r="C730">
        <v>86000</v>
      </c>
      <c r="D730" t="s">
        <v>224</v>
      </c>
      <c r="E730">
        <v>87712.230450626681</v>
      </c>
      <c r="F730" s="3">
        <f>(tblSalaries[[#This Row],[clean Salary (in local currency)]])*(VLOOKUP(tblSalaries[[#This Row],[Currency]],Sheet3!$A$2:$C$31,3,FALSE))*(VLOOKUP(tblSalaries[[#This Row],[Currency]],Sheet1!$N$4:$Q$186,4,FALSE))</f>
        <v>53897.409005080553</v>
      </c>
      <c r="G730" s="4">
        <f>IF(Dashboard!$J$5=VLOOKUP(tblSalaries[[#This Row],[Currency]],Sheet3!$A$2:$B$31,2,FALSE),tblSalaries[[#This Row],[clean Salary (in local currency)]],(tblSalaries[[#This Row],[PPP Adjusted  USD]]/VLOOKUP(Dashboard!$J$5,Sheet3!$B$2:$C$31,2,FALSE)))</f>
        <v>53897.409005080553</v>
      </c>
      <c r="H730" t="s">
        <v>910</v>
      </c>
      <c r="I730" t="s">
        <v>603</v>
      </c>
      <c r="J730" t="s">
        <v>703</v>
      </c>
      <c r="K730" t="s">
        <v>605</v>
      </c>
      <c r="L730">
        <v>10</v>
      </c>
    </row>
    <row r="731" spans="2:12" ht="15" customHeight="1">
      <c r="B731" t="s">
        <v>1591</v>
      </c>
      <c r="C731">
        <v>36500</v>
      </c>
      <c r="D731" t="s">
        <v>204</v>
      </c>
      <c r="E731">
        <v>57530.506930455871</v>
      </c>
      <c r="F731" s="3">
        <f>(tblSalaries[[#This Row],[clean Salary (in local currency)]])*(VLOOKUP(tblSalaries[[#This Row],[Currency]],Sheet3!$A$2:$C$31,3,FALSE))*(VLOOKUP(tblSalaries[[#This Row],[Currency]],Sheet1!$N$4:$Q$186,4,FALSE))</f>
        <v>53799.948981785601</v>
      </c>
      <c r="G731" s="4">
        <f>IF(Dashboard!$J$5=VLOOKUP(tblSalaries[[#This Row],[Currency]],Sheet3!$A$2:$B$31,2,FALSE),tblSalaries[[#This Row],[clean Salary (in local currency)]],(tblSalaries[[#This Row],[PPP Adjusted  USD]]/VLOOKUP(Dashboard!$J$5,Sheet3!$B$2:$C$31,2,FALSE)))</f>
        <v>53799.948981785601</v>
      </c>
      <c r="H731" t="s">
        <v>1592</v>
      </c>
      <c r="I731" t="s">
        <v>625</v>
      </c>
      <c r="J731" t="s">
        <v>687</v>
      </c>
      <c r="K731" t="s">
        <v>617</v>
      </c>
      <c r="L731" t="s">
        <v>3847</v>
      </c>
    </row>
    <row r="732" spans="2:12" ht="15" customHeight="1">
      <c r="B732" t="s">
        <v>3568</v>
      </c>
      <c r="C732">
        <v>1130000</v>
      </c>
      <c r="D732" t="s">
        <v>247</v>
      </c>
      <c r="E732">
        <v>20122.945856810104</v>
      </c>
      <c r="F732" s="3">
        <f>(tblSalaries[[#This Row],[clean Salary (in local currency)]])*(VLOOKUP(tblSalaries[[#This Row],[Currency]],Sheet3!$A$2:$C$31,3,FALSE))*(VLOOKUP(tblSalaries[[#This Row],[Currency]],Sheet1!$N$4:$Q$186,4,FALSE))</f>
        <v>53517.955254029257</v>
      </c>
      <c r="G732" s="4">
        <f>IF(Dashboard!$J$5=VLOOKUP(tblSalaries[[#This Row],[Currency]],Sheet3!$A$2:$B$31,2,FALSE),tblSalaries[[#This Row],[clean Salary (in local currency)]],(tblSalaries[[#This Row],[PPP Adjusted  USD]]/VLOOKUP(Dashboard!$J$5,Sheet3!$B$2:$C$31,2,FALSE)))</f>
        <v>53517.955254029257</v>
      </c>
      <c r="H732" t="s">
        <v>3567</v>
      </c>
      <c r="I732" t="s">
        <v>603</v>
      </c>
      <c r="J732" t="s">
        <v>604</v>
      </c>
      <c r="K732" t="s">
        <v>610</v>
      </c>
      <c r="L732">
        <v>3</v>
      </c>
    </row>
    <row r="733" spans="2:12" ht="15" customHeight="1">
      <c r="B733" t="s">
        <v>2867</v>
      </c>
      <c r="C733">
        <v>48500</v>
      </c>
      <c r="D733" t="s">
        <v>200</v>
      </c>
      <c r="E733">
        <v>61614.372791092981</v>
      </c>
      <c r="F733" s="3">
        <f>(tblSalaries[[#This Row],[clean Salary (in local currency)]])*(VLOOKUP(tblSalaries[[#This Row],[Currency]],Sheet3!$A$2:$C$31,3,FALSE))*(VLOOKUP(tblSalaries[[#This Row],[Currency]],Sheet1!$N$4:$Q$186,4,FALSE))</f>
        <v>53381.664970032536</v>
      </c>
      <c r="G733" s="4">
        <f>IF(Dashboard!$J$5=VLOOKUP(tblSalaries[[#This Row],[Currency]],Sheet3!$A$2:$B$31,2,FALSE),tblSalaries[[#This Row],[clean Salary (in local currency)]],(tblSalaries[[#This Row],[PPP Adjusted  USD]]/VLOOKUP(Dashboard!$J$5,Sheet3!$B$2:$C$31,2,FALSE)))</f>
        <v>53381.664970032536</v>
      </c>
      <c r="H733" t="s">
        <v>2868</v>
      </c>
      <c r="I733" t="s">
        <v>603</v>
      </c>
      <c r="J733" t="s">
        <v>722</v>
      </c>
      <c r="K733" t="s">
        <v>605</v>
      </c>
      <c r="L733">
        <v>8</v>
      </c>
    </row>
    <row r="734" spans="2:12" ht="15" customHeight="1">
      <c r="B734" t="s">
        <v>754</v>
      </c>
      <c r="C734">
        <v>85000</v>
      </c>
      <c r="D734" t="s">
        <v>224</v>
      </c>
      <c r="E734">
        <v>86692.320794224041</v>
      </c>
      <c r="F734" s="3">
        <f>(tblSalaries[[#This Row],[clean Salary (in local currency)]])*(VLOOKUP(tblSalaries[[#This Row],[Currency]],Sheet3!$A$2:$C$31,3,FALSE))*(VLOOKUP(tblSalaries[[#This Row],[Currency]],Sheet1!$N$4:$Q$186,4,FALSE))</f>
        <v>53270.694946881937</v>
      </c>
      <c r="G734" s="4">
        <f>IF(Dashboard!$J$5=VLOOKUP(tblSalaries[[#This Row],[Currency]],Sheet3!$A$2:$B$31,2,FALSE),tblSalaries[[#This Row],[clean Salary (in local currency)]],(tblSalaries[[#This Row],[PPP Adjusted  USD]]/VLOOKUP(Dashboard!$J$5,Sheet3!$B$2:$C$31,2,FALSE)))</f>
        <v>53270.694946881937</v>
      </c>
      <c r="H734" t="s">
        <v>755</v>
      </c>
      <c r="I734" t="s">
        <v>633</v>
      </c>
      <c r="J734" t="s">
        <v>703</v>
      </c>
      <c r="K734" t="s">
        <v>605</v>
      </c>
      <c r="L734" t="s">
        <v>3847</v>
      </c>
    </row>
    <row r="735" spans="2:12" ht="15" customHeight="1">
      <c r="B735" t="s">
        <v>1618</v>
      </c>
      <c r="C735">
        <v>85000</v>
      </c>
      <c r="D735" t="s">
        <v>224</v>
      </c>
      <c r="E735">
        <v>86692.320794224041</v>
      </c>
      <c r="F735" s="3">
        <f>(tblSalaries[[#This Row],[clean Salary (in local currency)]])*(VLOOKUP(tblSalaries[[#This Row],[Currency]],Sheet3!$A$2:$C$31,3,FALSE))*(VLOOKUP(tblSalaries[[#This Row],[Currency]],Sheet1!$N$4:$Q$186,4,FALSE))</f>
        <v>53270.694946881937</v>
      </c>
      <c r="G735" s="4">
        <f>IF(Dashboard!$J$5=VLOOKUP(tblSalaries[[#This Row],[Currency]],Sheet3!$A$2:$B$31,2,FALSE),tblSalaries[[#This Row],[clean Salary (in local currency)]],(tblSalaries[[#This Row],[PPP Adjusted  USD]]/VLOOKUP(Dashboard!$J$5,Sheet3!$B$2:$C$31,2,FALSE)))</f>
        <v>53270.694946881937</v>
      </c>
      <c r="H735" t="s">
        <v>1619</v>
      </c>
      <c r="I735" t="s">
        <v>603</v>
      </c>
      <c r="J735" t="s">
        <v>703</v>
      </c>
      <c r="K735" t="s">
        <v>605</v>
      </c>
      <c r="L735" t="s">
        <v>3847</v>
      </c>
    </row>
    <row r="736" spans="2:12" ht="15" customHeight="1">
      <c r="B736" t="s">
        <v>1750</v>
      </c>
      <c r="C736">
        <v>85000</v>
      </c>
      <c r="D736" t="s">
        <v>224</v>
      </c>
      <c r="E736">
        <v>86692.320794224041</v>
      </c>
      <c r="F736" s="3">
        <f>(tblSalaries[[#This Row],[clean Salary (in local currency)]])*(VLOOKUP(tblSalaries[[#This Row],[Currency]],Sheet3!$A$2:$C$31,3,FALSE))*(VLOOKUP(tblSalaries[[#This Row],[Currency]],Sheet1!$N$4:$Q$186,4,FALSE))</f>
        <v>53270.694946881937</v>
      </c>
      <c r="G736" s="4">
        <f>IF(Dashboard!$J$5=VLOOKUP(tblSalaries[[#This Row],[Currency]],Sheet3!$A$2:$B$31,2,FALSE),tblSalaries[[#This Row],[clean Salary (in local currency)]],(tblSalaries[[#This Row],[PPP Adjusted  USD]]/VLOOKUP(Dashboard!$J$5,Sheet3!$B$2:$C$31,2,FALSE)))</f>
        <v>53270.694946881937</v>
      </c>
      <c r="H736" t="s">
        <v>1617</v>
      </c>
      <c r="I736" t="s">
        <v>692</v>
      </c>
      <c r="J736" t="s">
        <v>703</v>
      </c>
      <c r="K736" t="s">
        <v>627</v>
      </c>
      <c r="L736">
        <v>20</v>
      </c>
    </row>
    <row r="737" spans="2:12" ht="15" customHeight="1">
      <c r="B737" t="s">
        <v>3225</v>
      </c>
      <c r="C737">
        <v>85000</v>
      </c>
      <c r="D737" t="s">
        <v>224</v>
      </c>
      <c r="E737">
        <v>86692.320794224041</v>
      </c>
      <c r="F737" s="3">
        <f>(tblSalaries[[#This Row],[clean Salary (in local currency)]])*(VLOOKUP(tblSalaries[[#This Row],[Currency]],Sheet3!$A$2:$C$31,3,FALSE))*(VLOOKUP(tblSalaries[[#This Row],[Currency]],Sheet1!$N$4:$Q$186,4,FALSE))</f>
        <v>53270.694946881937</v>
      </c>
      <c r="G737" s="4">
        <f>IF(Dashboard!$J$5=VLOOKUP(tblSalaries[[#This Row],[Currency]],Sheet3!$A$2:$B$31,2,FALSE),tblSalaries[[#This Row],[clean Salary (in local currency)]],(tblSalaries[[#This Row],[PPP Adjusted  USD]]/VLOOKUP(Dashboard!$J$5,Sheet3!$B$2:$C$31,2,FALSE)))</f>
        <v>53270.694946881937</v>
      </c>
      <c r="H737" t="s">
        <v>3226</v>
      </c>
      <c r="I737" t="s">
        <v>603</v>
      </c>
      <c r="J737" t="s">
        <v>703</v>
      </c>
      <c r="K737" t="s">
        <v>627</v>
      </c>
      <c r="L737">
        <v>5</v>
      </c>
    </row>
    <row r="738" spans="2:12" ht="15" customHeight="1">
      <c r="B738" t="s">
        <v>3307</v>
      </c>
      <c r="C738">
        <v>85000</v>
      </c>
      <c r="D738" t="s">
        <v>224</v>
      </c>
      <c r="E738">
        <v>86692.320794224041</v>
      </c>
      <c r="F738" s="3">
        <f>(tblSalaries[[#This Row],[clean Salary (in local currency)]])*(VLOOKUP(tblSalaries[[#This Row],[Currency]],Sheet3!$A$2:$C$31,3,FALSE))*(VLOOKUP(tblSalaries[[#This Row],[Currency]],Sheet1!$N$4:$Q$186,4,FALSE))</f>
        <v>53270.694946881937</v>
      </c>
      <c r="G738" s="4">
        <f>IF(Dashboard!$J$5=VLOOKUP(tblSalaries[[#This Row],[Currency]],Sheet3!$A$2:$B$31,2,FALSE),tblSalaries[[#This Row],[clean Salary (in local currency)]],(tblSalaries[[#This Row],[PPP Adjusted  USD]]/VLOOKUP(Dashboard!$J$5,Sheet3!$B$2:$C$31,2,FALSE)))</f>
        <v>53270.694946881937</v>
      </c>
      <c r="H738" t="s">
        <v>3308</v>
      </c>
      <c r="I738" t="s">
        <v>603</v>
      </c>
      <c r="J738" t="s">
        <v>703</v>
      </c>
      <c r="K738" t="s">
        <v>605</v>
      </c>
      <c r="L738">
        <v>30</v>
      </c>
    </row>
    <row r="739" spans="2:12" ht="15" customHeight="1">
      <c r="B739" t="s">
        <v>3516</v>
      </c>
      <c r="C739">
        <v>36000</v>
      </c>
      <c r="D739" t="s">
        <v>204</v>
      </c>
      <c r="E739">
        <v>56742.417794422225</v>
      </c>
      <c r="F739" s="3">
        <f>(tblSalaries[[#This Row],[clean Salary (in local currency)]])*(VLOOKUP(tblSalaries[[#This Row],[Currency]],Sheet3!$A$2:$C$31,3,FALSE))*(VLOOKUP(tblSalaries[[#This Row],[Currency]],Sheet1!$N$4:$Q$186,4,FALSE))</f>
        <v>53062.963379295383</v>
      </c>
      <c r="G739" s="4">
        <f>IF(Dashboard!$J$5=VLOOKUP(tblSalaries[[#This Row],[Currency]],Sheet3!$A$2:$B$31,2,FALSE),tblSalaries[[#This Row],[clean Salary (in local currency)]],(tblSalaries[[#This Row],[PPP Adjusted  USD]]/VLOOKUP(Dashboard!$J$5,Sheet3!$B$2:$C$31,2,FALSE)))</f>
        <v>53062.963379295383</v>
      </c>
      <c r="H739" t="s">
        <v>3517</v>
      </c>
      <c r="I739" t="s">
        <v>625</v>
      </c>
      <c r="J739" t="s">
        <v>687</v>
      </c>
      <c r="K739" t="s">
        <v>627</v>
      </c>
      <c r="L739">
        <v>25</v>
      </c>
    </row>
    <row r="740" spans="2:12" ht="15" customHeight="1">
      <c r="B740" t="s">
        <v>3688</v>
      </c>
      <c r="C740">
        <v>36000</v>
      </c>
      <c r="D740" t="s">
        <v>204</v>
      </c>
      <c r="E740">
        <v>56742.417794422225</v>
      </c>
      <c r="F740" s="3">
        <f>(tblSalaries[[#This Row],[clean Salary (in local currency)]])*(VLOOKUP(tblSalaries[[#This Row],[Currency]],Sheet3!$A$2:$C$31,3,FALSE))*(VLOOKUP(tblSalaries[[#This Row],[Currency]],Sheet1!$N$4:$Q$186,4,FALSE))</f>
        <v>53062.963379295383</v>
      </c>
      <c r="G740" s="4">
        <f>IF(Dashboard!$J$5=VLOOKUP(tblSalaries[[#This Row],[Currency]],Sheet3!$A$2:$B$31,2,FALSE),tblSalaries[[#This Row],[clean Salary (in local currency)]],(tblSalaries[[#This Row],[PPP Adjusted  USD]]/VLOOKUP(Dashboard!$J$5,Sheet3!$B$2:$C$31,2,FALSE)))</f>
        <v>53062.963379295383</v>
      </c>
      <c r="H740" t="s">
        <v>3689</v>
      </c>
      <c r="I740" t="s">
        <v>625</v>
      </c>
      <c r="J740" t="s">
        <v>687</v>
      </c>
      <c r="K740" t="s">
        <v>610</v>
      </c>
      <c r="L740">
        <v>7</v>
      </c>
    </row>
    <row r="741" spans="2:12" ht="15" customHeight="1">
      <c r="B741" t="s">
        <v>904</v>
      </c>
      <c r="C741">
        <v>53000</v>
      </c>
      <c r="D741" t="s">
        <v>252</v>
      </c>
      <c r="E741">
        <v>53000</v>
      </c>
      <c r="F741" s="3">
        <f>(tblSalaries[[#This Row],[clean Salary (in local currency)]])*(VLOOKUP(tblSalaries[[#This Row],[Currency]],Sheet3!$A$2:$C$31,3,FALSE))*(VLOOKUP(tblSalaries[[#This Row],[Currency]],Sheet1!$N$4:$Q$186,4,FALSE))</f>
        <v>53000</v>
      </c>
      <c r="G741" s="4">
        <f>IF(Dashboard!$J$5=VLOOKUP(tblSalaries[[#This Row],[Currency]],Sheet3!$A$2:$B$31,2,FALSE),tblSalaries[[#This Row],[clean Salary (in local currency)]],(tblSalaries[[#This Row],[PPP Adjusted  USD]]/VLOOKUP(Dashboard!$J$5,Sheet3!$B$2:$C$31,2,FALSE)))</f>
        <v>53000</v>
      </c>
      <c r="H741" t="s">
        <v>811</v>
      </c>
      <c r="I741" t="s">
        <v>603</v>
      </c>
      <c r="J741" t="s">
        <v>613</v>
      </c>
      <c r="K741" t="s">
        <v>605</v>
      </c>
      <c r="L741" t="s">
        <v>3847</v>
      </c>
    </row>
    <row r="742" spans="2:12" ht="15" customHeight="1">
      <c r="B742" t="s">
        <v>1194</v>
      </c>
      <c r="C742">
        <v>53000</v>
      </c>
      <c r="D742" t="s">
        <v>252</v>
      </c>
      <c r="E742">
        <v>53000</v>
      </c>
      <c r="F742" s="3">
        <f>(tblSalaries[[#This Row],[clean Salary (in local currency)]])*(VLOOKUP(tblSalaries[[#This Row],[Currency]],Sheet3!$A$2:$C$31,3,FALSE))*(VLOOKUP(tblSalaries[[#This Row],[Currency]],Sheet1!$N$4:$Q$186,4,FALSE))</f>
        <v>53000</v>
      </c>
      <c r="G742" s="4">
        <f>IF(Dashboard!$J$5=VLOOKUP(tblSalaries[[#This Row],[Currency]],Sheet3!$A$2:$B$31,2,FALSE),tblSalaries[[#This Row],[clean Salary (in local currency)]],(tblSalaries[[#This Row],[PPP Adjusted  USD]]/VLOOKUP(Dashboard!$J$5,Sheet3!$B$2:$C$31,2,FALSE)))</f>
        <v>53000</v>
      </c>
      <c r="H742" t="s">
        <v>811</v>
      </c>
      <c r="I742" t="s">
        <v>603</v>
      </c>
      <c r="J742" t="s">
        <v>613</v>
      </c>
      <c r="K742" t="s">
        <v>605</v>
      </c>
      <c r="L742" t="s">
        <v>3847</v>
      </c>
    </row>
    <row r="743" spans="2:12" ht="15" customHeight="1">
      <c r="B743" t="s">
        <v>1277</v>
      </c>
      <c r="C743">
        <v>53000</v>
      </c>
      <c r="D743" t="s">
        <v>252</v>
      </c>
      <c r="E743">
        <v>53000</v>
      </c>
      <c r="F743" s="3">
        <f>(tblSalaries[[#This Row],[clean Salary (in local currency)]])*(VLOOKUP(tblSalaries[[#This Row],[Currency]],Sheet3!$A$2:$C$31,3,FALSE))*(VLOOKUP(tblSalaries[[#This Row],[Currency]],Sheet1!$N$4:$Q$186,4,FALSE))</f>
        <v>53000</v>
      </c>
      <c r="G743" s="4">
        <f>IF(Dashboard!$J$5=VLOOKUP(tblSalaries[[#This Row],[Currency]],Sheet3!$A$2:$B$31,2,FALSE),tblSalaries[[#This Row],[clean Salary (in local currency)]],(tblSalaries[[#This Row],[PPP Adjusted  USD]]/VLOOKUP(Dashboard!$J$5,Sheet3!$B$2:$C$31,2,FALSE)))</f>
        <v>53000</v>
      </c>
      <c r="H743" t="s">
        <v>1278</v>
      </c>
      <c r="I743" t="s">
        <v>625</v>
      </c>
      <c r="J743" t="s">
        <v>613</v>
      </c>
      <c r="K743" t="s">
        <v>617</v>
      </c>
      <c r="L743" t="s">
        <v>3847</v>
      </c>
    </row>
    <row r="744" spans="2:12" ht="15" customHeight="1">
      <c r="B744" t="s">
        <v>1782</v>
      </c>
      <c r="C744">
        <v>53000</v>
      </c>
      <c r="D744" t="s">
        <v>252</v>
      </c>
      <c r="E744">
        <v>53000</v>
      </c>
      <c r="F744" s="3">
        <f>(tblSalaries[[#This Row],[clean Salary (in local currency)]])*(VLOOKUP(tblSalaries[[#This Row],[Currency]],Sheet3!$A$2:$C$31,3,FALSE))*(VLOOKUP(tblSalaries[[#This Row],[Currency]],Sheet1!$N$4:$Q$186,4,FALSE))</f>
        <v>53000</v>
      </c>
      <c r="G744" s="4">
        <f>IF(Dashboard!$J$5=VLOOKUP(tblSalaries[[#This Row],[Currency]],Sheet3!$A$2:$B$31,2,FALSE),tblSalaries[[#This Row],[clean Salary (in local currency)]],(tblSalaries[[#This Row],[PPP Adjusted  USD]]/VLOOKUP(Dashboard!$J$5,Sheet3!$B$2:$C$31,2,FALSE)))</f>
        <v>53000</v>
      </c>
      <c r="H744" t="s">
        <v>612</v>
      </c>
      <c r="I744" t="s">
        <v>603</v>
      </c>
      <c r="J744" t="s">
        <v>613</v>
      </c>
      <c r="K744" t="s">
        <v>605</v>
      </c>
      <c r="L744">
        <v>30</v>
      </c>
    </row>
    <row r="745" spans="2:12" ht="15" customHeight="1">
      <c r="B745" t="s">
        <v>3417</v>
      </c>
      <c r="C745">
        <v>84000</v>
      </c>
      <c r="D745" t="s">
        <v>224</v>
      </c>
      <c r="E745">
        <v>85672.4111378214</v>
      </c>
      <c r="F745" s="3">
        <f>(tblSalaries[[#This Row],[clean Salary (in local currency)]])*(VLOOKUP(tblSalaries[[#This Row],[Currency]],Sheet3!$A$2:$C$31,3,FALSE))*(VLOOKUP(tblSalaries[[#This Row],[Currency]],Sheet1!$N$4:$Q$186,4,FALSE))</f>
        <v>52643.98088868332</v>
      </c>
      <c r="G745" s="4">
        <f>IF(Dashboard!$J$5=VLOOKUP(tblSalaries[[#This Row],[Currency]],Sheet3!$A$2:$B$31,2,FALSE),tblSalaries[[#This Row],[clean Salary (in local currency)]],(tblSalaries[[#This Row],[PPP Adjusted  USD]]/VLOOKUP(Dashboard!$J$5,Sheet3!$B$2:$C$31,2,FALSE)))</f>
        <v>52643.98088868332</v>
      </c>
      <c r="H745" t="s">
        <v>702</v>
      </c>
      <c r="I745" t="s">
        <v>692</v>
      </c>
      <c r="J745" t="s">
        <v>703</v>
      </c>
      <c r="K745" t="s">
        <v>605</v>
      </c>
      <c r="L745">
        <v>6</v>
      </c>
    </row>
    <row r="746" spans="2:12" ht="15" customHeight="1">
      <c r="B746" t="s">
        <v>1072</v>
      </c>
      <c r="C746">
        <v>52500</v>
      </c>
      <c r="D746" t="s">
        <v>252</v>
      </c>
      <c r="E746">
        <v>52500</v>
      </c>
      <c r="F746" s="3">
        <f>(tblSalaries[[#This Row],[clean Salary (in local currency)]])*(VLOOKUP(tblSalaries[[#This Row],[Currency]],Sheet3!$A$2:$C$31,3,FALSE))*(VLOOKUP(tblSalaries[[#This Row],[Currency]],Sheet1!$N$4:$Q$186,4,FALSE))</f>
        <v>52500</v>
      </c>
      <c r="G746" s="4">
        <f>IF(Dashboard!$J$5=VLOOKUP(tblSalaries[[#This Row],[Currency]],Sheet3!$A$2:$B$31,2,FALSE),tblSalaries[[#This Row],[clean Salary (in local currency)]],(tblSalaries[[#This Row],[PPP Adjusted  USD]]/VLOOKUP(Dashboard!$J$5,Sheet3!$B$2:$C$31,2,FALSE)))</f>
        <v>52500</v>
      </c>
      <c r="H746" t="s">
        <v>1073</v>
      </c>
      <c r="I746" t="s">
        <v>603</v>
      </c>
      <c r="J746" t="s">
        <v>613</v>
      </c>
      <c r="K746" t="s">
        <v>605</v>
      </c>
      <c r="L746" t="s">
        <v>3847</v>
      </c>
    </row>
    <row r="747" spans="2:12" ht="15" customHeight="1">
      <c r="B747" t="s">
        <v>1104</v>
      </c>
      <c r="C747">
        <v>52500</v>
      </c>
      <c r="D747" t="s">
        <v>252</v>
      </c>
      <c r="E747">
        <v>52500</v>
      </c>
      <c r="F747" s="3">
        <f>(tblSalaries[[#This Row],[clean Salary (in local currency)]])*(VLOOKUP(tblSalaries[[#This Row],[Currency]],Sheet3!$A$2:$C$31,3,FALSE))*(VLOOKUP(tblSalaries[[#This Row],[Currency]],Sheet1!$N$4:$Q$186,4,FALSE))</f>
        <v>52500</v>
      </c>
      <c r="G747" s="4">
        <f>IF(Dashboard!$J$5=VLOOKUP(tblSalaries[[#This Row],[Currency]],Sheet3!$A$2:$B$31,2,FALSE),tblSalaries[[#This Row],[clean Salary (in local currency)]],(tblSalaries[[#This Row],[PPP Adjusted  USD]]/VLOOKUP(Dashboard!$J$5,Sheet3!$B$2:$C$31,2,FALSE)))</f>
        <v>52500</v>
      </c>
      <c r="H747" t="s">
        <v>603</v>
      </c>
      <c r="I747" t="s">
        <v>603</v>
      </c>
      <c r="J747" t="s">
        <v>613</v>
      </c>
      <c r="K747" t="s">
        <v>605</v>
      </c>
      <c r="L747" t="s">
        <v>3847</v>
      </c>
    </row>
    <row r="748" spans="2:12" ht="15" customHeight="1">
      <c r="B748" t="s">
        <v>3583</v>
      </c>
      <c r="C748">
        <v>52500</v>
      </c>
      <c r="D748" t="s">
        <v>252</v>
      </c>
      <c r="E748">
        <v>52500</v>
      </c>
      <c r="F748" s="3">
        <f>(tblSalaries[[#This Row],[clean Salary (in local currency)]])*(VLOOKUP(tblSalaries[[#This Row],[Currency]],Sheet3!$A$2:$C$31,3,FALSE))*(VLOOKUP(tblSalaries[[#This Row],[Currency]],Sheet1!$N$4:$Q$186,4,FALSE))</f>
        <v>52500</v>
      </c>
      <c r="G748" s="4">
        <f>IF(Dashboard!$J$5=VLOOKUP(tblSalaries[[#This Row],[Currency]],Sheet3!$A$2:$B$31,2,FALSE),tblSalaries[[#This Row],[clean Salary (in local currency)]],(tblSalaries[[#This Row],[PPP Adjusted  USD]]/VLOOKUP(Dashboard!$J$5,Sheet3!$B$2:$C$31,2,FALSE)))</f>
        <v>52500</v>
      </c>
      <c r="H748" t="s">
        <v>3584</v>
      </c>
      <c r="I748" t="s">
        <v>625</v>
      </c>
      <c r="J748" t="s">
        <v>613</v>
      </c>
      <c r="K748" t="s">
        <v>610</v>
      </c>
      <c r="L748">
        <v>3</v>
      </c>
    </row>
    <row r="749" spans="2:12" ht="15" customHeight="1">
      <c r="B749" t="s">
        <v>3823</v>
      </c>
      <c r="C749">
        <v>52500</v>
      </c>
      <c r="D749" t="s">
        <v>252</v>
      </c>
      <c r="E749">
        <v>52500</v>
      </c>
      <c r="F749" s="3">
        <f>(tblSalaries[[#This Row],[clean Salary (in local currency)]])*(VLOOKUP(tblSalaries[[#This Row],[Currency]],Sheet3!$A$2:$C$31,3,FALSE))*(VLOOKUP(tblSalaries[[#This Row],[Currency]],Sheet1!$N$4:$Q$186,4,FALSE))</f>
        <v>52500</v>
      </c>
      <c r="G749" s="4">
        <f>IF(Dashboard!$J$5=VLOOKUP(tblSalaries[[#This Row],[Currency]],Sheet3!$A$2:$B$31,2,FALSE),tblSalaries[[#This Row],[clean Salary (in local currency)]],(tblSalaries[[#This Row],[PPP Adjusted  USD]]/VLOOKUP(Dashboard!$J$5,Sheet3!$B$2:$C$31,2,FALSE)))</f>
        <v>52500</v>
      </c>
      <c r="H749" t="s">
        <v>3824</v>
      </c>
      <c r="I749" t="s">
        <v>603</v>
      </c>
      <c r="J749" t="s">
        <v>659</v>
      </c>
      <c r="K749" t="s">
        <v>605</v>
      </c>
      <c r="L749">
        <v>21</v>
      </c>
    </row>
    <row r="750" spans="2:12" ht="15" customHeight="1">
      <c r="B750" t="s">
        <v>3480</v>
      </c>
      <c r="C750">
        <v>35500</v>
      </c>
      <c r="D750" t="s">
        <v>204</v>
      </c>
      <c r="E750">
        <v>55954.328658388586</v>
      </c>
      <c r="F750" s="3">
        <f>(tblSalaries[[#This Row],[clean Salary (in local currency)]])*(VLOOKUP(tblSalaries[[#This Row],[Currency]],Sheet3!$A$2:$C$31,3,FALSE))*(VLOOKUP(tblSalaries[[#This Row],[Currency]],Sheet1!$N$4:$Q$186,4,FALSE))</f>
        <v>52325.977776805172</v>
      </c>
      <c r="G750" s="4">
        <f>IF(Dashboard!$J$5=VLOOKUP(tblSalaries[[#This Row],[Currency]],Sheet3!$A$2:$B$31,2,FALSE),tblSalaries[[#This Row],[clean Salary (in local currency)]],(tblSalaries[[#This Row],[PPP Adjusted  USD]]/VLOOKUP(Dashboard!$J$5,Sheet3!$B$2:$C$31,2,FALSE)))</f>
        <v>52325.977776805172</v>
      </c>
      <c r="H750" t="s">
        <v>2604</v>
      </c>
      <c r="I750" t="s">
        <v>637</v>
      </c>
      <c r="J750" t="s">
        <v>687</v>
      </c>
      <c r="K750" t="s">
        <v>605</v>
      </c>
      <c r="L750">
        <v>8</v>
      </c>
    </row>
    <row r="751" spans="2:12" ht="15" customHeight="1">
      <c r="B751" t="s">
        <v>2028</v>
      </c>
      <c r="C751">
        <v>66000</v>
      </c>
      <c r="D751" t="s">
        <v>276</v>
      </c>
      <c r="E751">
        <v>64901.860520001574</v>
      </c>
      <c r="F751" s="3">
        <f>(tblSalaries[[#This Row],[clean Salary (in local currency)]])*(VLOOKUP(tblSalaries[[#This Row],[Currency]],Sheet3!$A$2:$C$31,3,FALSE))*(VLOOKUP(tblSalaries[[#This Row],[Currency]],Sheet1!$N$4:$Q$186,4,FALSE))</f>
        <v>52169.449411354748</v>
      </c>
      <c r="G751" s="4">
        <f>IF(Dashboard!$J$5=VLOOKUP(tblSalaries[[#This Row],[Currency]],Sheet3!$A$2:$B$31,2,FALSE),tblSalaries[[#This Row],[clean Salary (in local currency)]],(tblSalaries[[#This Row],[PPP Adjusted  USD]]/VLOOKUP(Dashboard!$J$5,Sheet3!$B$2:$C$31,2,FALSE)))</f>
        <v>52169.449411354748</v>
      </c>
      <c r="H751" t="s">
        <v>2029</v>
      </c>
      <c r="I751" t="s">
        <v>603</v>
      </c>
      <c r="J751" t="s">
        <v>708</v>
      </c>
      <c r="K751" t="s">
        <v>617</v>
      </c>
      <c r="L751">
        <v>20</v>
      </c>
    </row>
    <row r="752" spans="2:12" ht="15" customHeight="1">
      <c r="B752" t="s">
        <v>967</v>
      </c>
      <c r="C752">
        <v>1100000</v>
      </c>
      <c r="D752" t="s">
        <v>247</v>
      </c>
      <c r="E752">
        <v>19588.708356186824</v>
      </c>
      <c r="F752" s="3">
        <f>(tblSalaries[[#This Row],[clean Salary (in local currency)]])*(VLOOKUP(tblSalaries[[#This Row],[Currency]],Sheet3!$A$2:$C$31,3,FALSE))*(VLOOKUP(tblSalaries[[#This Row],[Currency]],Sheet1!$N$4:$Q$186,4,FALSE))</f>
        <v>52097.1245835683</v>
      </c>
      <c r="G752" s="4">
        <f>IF(Dashboard!$J$5=VLOOKUP(tblSalaries[[#This Row],[Currency]],Sheet3!$A$2:$B$31,2,FALSE),tblSalaries[[#This Row],[clean Salary (in local currency)]],(tblSalaries[[#This Row],[PPP Adjusted  USD]]/VLOOKUP(Dashboard!$J$5,Sheet3!$B$2:$C$31,2,FALSE)))</f>
        <v>52097.1245835683</v>
      </c>
      <c r="H752" t="s">
        <v>968</v>
      </c>
      <c r="I752" t="s">
        <v>625</v>
      </c>
      <c r="J752" t="s">
        <v>604</v>
      </c>
      <c r="K752" t="s">
        <v>605</v>
      </c>
      <c r="L752" t="s">
        <v>3847</v>
      </c>
    </row>
    <row r="753" spans="2:12" ht="15" customHeight="1">
      <c r="B753" t="s">
        <v>1444</v>
      </c>
      <c r="C753">
        <v>1100000</v>
      </c>
      <c r="D753" t="s">
        <v>247</v>
      </c>
      <c r="E753">
        <v>19588.708356186824</v>
      </c>
      <c r="F753" s="3">
        <f>(tblSalaries[[#This Row],[clean Salary (in local currency)]])*(VLOOKUP(tblSalaries[[#This Row],[Currency]],Sheet3!$A$2:$C$31,3,FALSE))*(VLOOKUP(tblSalaries[[#This Row],[Currency]],Sheet1!$N$4:$Q$186,4,FALSE))</f>
        <v>52097.1245835683</v>
      </c>
      <c r="G753" s="4">
        <f>IF(Dashboard!$J$5=VLOOKUP(tblSalaries[[#This Row],[Currency]],Sheet3!$A$2:$B$31,2,FALSE),tblSalaries[[#This Row],[clean Salary (in local currency)]],(tblSalaries[[#This Row],[PPP Adjusted  USD]]/VLOOKUP(Dashboard!$J$5,Sheet3!$B$2:$C$31,2,FALSE)))</f>
        <v>52097.1245835683</v>
      </c>
      <c r="H753" t="s">
        <v>1445</v>
      </c>
      <c r="I753" t="s">
        <v>625</v>
      </c>
      <c r="J753" t="s">
        <v>604</v>
      </c>
      <c r="K753" t="s">
        <v>605</v>
      </c>
      <c r="L753" t="s">
        <v>3847</v>
      </c>
    </row>
    <row r="754" spans="2:12" ht="15" customHeight="1">
      <c r="B754" t="s">
        <v>2691</v>
      </c>
      <c r="C754">
        <v>1100000</v>
      </c>
      <c r="D754" t="s">
        <v>247</v>
      </c>
      <c r="E754">
        <v>19588.708356186824</v>
      </c>
      <c r="F754" s="3">
        <f>(tblSalaries[[#This Row],[clean Salary (in local currency)]])*(VLOOKUP(tblSalaries[[#This Row],[Currency]],Sheet3!$A$2:$C$31,3,FALSE))*(VLOOKUP(tblSalaries[[#This Row],[Currency]],Sheet1!$N$4:$Q$186,4,FALSE))</f>
        <v>52097.1245835683</v>
      </c>
      <c r="G754" s="4">
        <f>IF(Dashboard!$J$5=VLOOKUP(tblSalaries[[#This Row],[Currency]],Sheet3!$A$2:$B$31,2,FALSE),tblSalaries[[#This Row],[clean Salary (in local currency)]],(tblSalaries[[#This Row],[PPP Adjusted  USD]]/VLOOKUP(Dashboard!$J$5,Sheet3!$B$2:$C$31,2,FALSE)))</f>
        <v>52097.1245835683</v>
      </c>
      <c r="H754" t="s">
        <v>2692</v>
      </c>
      <c r="I754" t="s">
        <v>692</v>
      </c>
      <c r="J754" t="s">
        <v>604</v>
      </c>
      <c r="K754" t="s">
        <v>610</v>
      </c>
      <c r="L754">
        <v>13</v>
      </c>
    </row>
    <row r="755" spans="2:12" ht="15" customHeight="1">
      <c r="B755" t="s">
        <v>829</v>
      </c>
      <c r="C755">
        <v>52000</v>
      </c>
      <c r="D755" t="s">
        <v>252</v>
      </c>
      <c r="E755">
        <v>52000</v>
      </c>
      <c r="F755" s="3">
        <f>(tblSalaries[[#This Row],[clean Salary (in local currency)]])*(VLOOKUP(tblSalaries[[#This Row],[Currency]],Sheet3!$A$2:$C$31,3,FALSE))*(VLOOKUP(tblSalaries[[#This Row],[Currency]],Sheet1!$N$4:$Q$186,4,FALSE))</f>
        <v>52000</v>
      </c>
      <c r="G755" s="4">
        <f>IF(Dashboard!$J$5=VLOOKUP(tblSalaries[[#This Row],[Currency]],Sheet3!$A$2:$B$31,2,FALSE),tblSalaries[[#This Row],[clean Salary (in local currency)]],(tblSalaries[[#This Row],[PPP Adjusted  USD]]/VLOOKUP(Dashboard!$J$5,Sheet3!$B$2:$C$31,2,FALSE)))</f>
        <v>52000</v>
      </c>
      <c r="H755" t="s">
        <v>830</v>
      </c>
      <c r="I755" t="s">
        <v>625</v>
      </c>
      <c r="J755" t="s">
        <v>613</v>
      </c>
      <c r="K755" t="s">
        <v>605</v>
      </c>
      <c r="L755" t="s">
        <v>3847</v>
      </c>
    </row>
    <row r="756" spans="2:12" ht="15" customHeight="1">
      <c r="B756" t="s">
        <v>860</v>
      </c>
      <c r="C756">
        <v>52000</v>
      </c>
      <c r="D756" t="s">
        <v>252</v>
      </c>
      <c r="E756">
        <v>52000</v>
      </c>
      <c r="F756" s="3">
        <f>(tblSalaries[[#This Row],[clean Salary (in local currency)]])*(VLOOKUP(tblSalaries[[#This Row],[Currency]],Sheet3!$A$2:$C$31,3,FALSE))*(VLOOKUP(tblSalaries[[#This Row],[Currency]],Sheet1!$N$4:$Q$186,4,FALSE))</f>
        <v>52000</v>
      </c>
      <c r="G756" s="4">
        <f>IF(Dashboard!$J$5=VLOOKUP(tblSalaries[[#This Row],[Currency]],Sheet3!$A$2:$B$31,2,FALSE),tblSalaries[[#This Row],[clean Salary (in local currency)]],(tblSalaries[[#This Row],[PPP Adjusted  USD]]/VLOOKUP(Dashboard!$J$5,Sheet3!$B$2:$C$31,2,FALSE)))</f>
        <v>52000</v>
      </c>
      <c r="H756" t="s">
        <v>861</v>
      </c>
      <c r="I756" t="s">
        <v>603</v>
      </c>
      <c r="J756" t="s">
        <v>613</v>
      </c>
      <c r="K756" t="s">
        <v>862</v>
      </c>
      <c r="L756" t="s">
        <v>3847</v>
      </c>
    </row>
    <row r="757" spans="2:12" ht="15" customHeight="1">
      <c r="B757" t="s">
        <v>1373</v>
      </c>
      <c r="C757">
        <v>52000</v>
      </c>
      <c r="D757" t="s">
        <v>252</v>
      </c>
      <c r="E757">
        <v>52000</v>
      </c>
      <c r="F757" s="3">
        <f>(tblSalaries[[#This Row],[clean Salary (in local currency)]])*(VLOOKUP(tblSalaries[[#This Row],[Currency]],Sheet3!$A$2:$C$31,3,FALSE))*(VLOOKUP(tblSalaries[[#This Row],[Currency]],Sheet1!$N$4:$Q$186,4,FALSE))</f>
        <v>52000</v>
      </c>
      <c r="G757" s="4">
        <f>IF(Dashboard!$J$5=VLOOKUP(tblSalaries[[#This Row],[Currency]],Sheet3!$A$2:$B$31,2,FALSE),tblSalaries[[#This Row],[clean Salary (in local currency)]],(tblSalaries[[#This Row],[PPP Adjusted  USD]]/VLOOKUP(Dashboard!$J$5,Sheet3!$B$2:$C$31,2,FALSE)))</f>
        <v>52000</v>
      </c>
      <c r="H757" t="s">
        <v>811</v>
      </c>
      <c r="I757" t="s">
        <v>603</v>
      </c>
      <c r="J757" t="s">
        <v>613</v>
      </c>
      <c r="K757" t="s">
        <v>605</v>
      </c>
      <c r="L757" t="s">
        <v>3847</v>
      </c>
    </row>
    <row r="758" spans="2:12" ht="15" customHeight="1">
      <c r="B758" t="s">
        <v>1392</v>
      </c>
      <c r="C758">
        <v>52000</v>
      </c>
      <c r="D758" t="s">
        <v>252</v>
      </c>
      <c r="E758">
        <v>52000</v>
      </c>
      <c r="F758" s="3">
        <f>(tblSalaries[[#This Row],[clean Salary (in local currency)]])*(VLOOKUP(tblSalaries[[#This Row],[Currency]],Sheet3!$A$2:$C$31,3,FALSE))*(VLOOKUP(tblSalaries[[#This Row],[Currency]],Sheet1!$N$4:$Q$186,4,FALSE))</f>
        <v>52000</v>
      </c>
      <c r="G758" s="4">
        <f>IF(Dashboard!$J$5=VLOOKUP(tblSalaries[[#This Row],[Currency]],Sheet3!$A$2:$B$31,2,FALSE),tblSalaries[[#This Row],[clean Salary (in local currency)]],(tblSalaries[[#This Row],[PPP Adjusted  USD]]/VLOOKUP(Dashboard!$J$5,Sheet3!$B$2:$C$31,2,FALSE)))</f>
        <v>52000</v>
      </c>
      <c r="H758" t="s">
        <v>1393</v>
      </c>
      <c r="I758" t="s">
        <v>637</v>
      </c>
      <c r="J758" t="s">
        <v>613</v>
      </c>
      <c r="K758" t="s">
        <v>605</v>
      </c>
      <c r="L758" t="s">
        <v>3847</v>
      </c>
    </row>
    <row r="759" spans="2:12" ht="15" customHeight="1">
      <c r="B759" t="s">
        <v>1480</v>
      </c>
      <c r="C759">
        <v>52000</v>
      </c>
      <c r="D759" t="s">
        <v>252</v>
      </c>
      <c r="E759">
        <v>52000</v>
      </c>
      <c r="F759" s="3">
        <f>(tblSalaries[[#This Row],[clean Salary (in local currency)]])*(VLOOKUP(tblSalaries[[#This Row],[Currency]],Sheet3!$A$2:$C$31,3,FALSE))*(VLOOKUP(tblSalaries[[#This Row],[Currency]],Sheet1!$N$4:$Q$186,4,FALSE))</f>
        <v>52000</v>
      </c>
      <c r="G759" s="4">
        <f>IF(Dashboard!$J$5=VLOOKUP(tblSalaries[[#This Row],[Currency]],Sheet3!$A$2:$B$31,2,FALSE),tblSalaries[[#This Row],[clean Salary (in local currency)]],(tblSalaries[[#This Row],[PPP Adjusted  USD]]/VLOOKUP(Dashboard!$J$5,Sheet3!$B$2:$C$31,2,FALSE)))</f>
        <v>52000</v>
      </c>
      <c r="H759" t="s">
        <v>1481</v>
      </c>
      <c r="I759" t="s">
        <v>603</v>
      </c>
      <c r="J759" t="s">
        <v>613</v>
      </c>
      <c r="K759" t="s">
        <v>617</v>
      </c>
      <c r="L759" t="s">
        <v>3847</v>
      </c>
    </row>
    <row r="760" spans="2:12" ht="15" customHeight="1">
      <c r="B760" t="s">
        <v>1513</v>
      </c>
      <c r="C760">
        <v>52000</v>
      </c>
      <c r="D760" t="s">
        <v>252</v>
      </c>
      <c r="E760">
        <v>52000</v>
      </c>
      <c r="F760" s="3">
        <f>(tblSalaries[[#This Row],[clean Salary (in local currency)]])*(VLOOKUP(tblSalaries[[#This Row],[Currency]],Sheet3!$A$2:$C$31,3,FALSE))*(VLOOKUP(tblSalaries[[#This Row],[Currency]],Sheet1!$N$4:$Q$186,4,FALSE))</f>
        <v>52000</v>
      </c>
      <c r="G760" s="4">
        <f>IF(Dashboard!$J$5=VLOOKUP(tblSalaries[[#This Row],[Currency]],Sheet3!$A$2:$B$31,2,FALSE),tblSalaries[[#This Row],[clean Salary (in local currency)]],(tblSalaries[[#This Row],[PPP Adjusted  USD]]/VLOOKUP(Dashboard!$J$5,Sheet3!$B$2:$C$31,2,FALSE)))</f>
        <v>52000</v>
      </c>
      <c r="H760" t="s">
        <v>1514</v>
      </c>
      <c r="I760" t="s">
        <v>603</v>
      </c>
      <c r="J760" t="s">
        <v>613</v>
      </c>
      <c r="K760" t="s">
        <v>605</v>
      </c>
      <c r="L760" t="s">
        <v>3847</v>
      </c>
    </row>
    <row r="761" spans="2:12" ht="15" customHeight="1">
      <c r="B761" t="s">
        <v>1845</v>
      </c>
      <c r="C761">
        <v>52000</v>
      </c>
      <c r="D761" t="s">
        <v>252</v>
      </c>
      <c r="E761">
        <v>52000</v>
      </c>
      <c r="F761" s="3">
        <f>(tblSalaries[[#This Row],[clean Salary (in local currency)]])*(VLOOKUP(tblSalaries[[#This Row],[Currency]],Sheet3!$A$2:$C$31,3,FALSE))*(VLOOKUP(tblSalaries[[#This Row],[Currency]],Sheet1!$N$4:$Q$186,4,FALSE))</f>
        <v>52000</v>
      </c>
      <c r="G761" s="4">
        <f>IF(Dashboard!$J$5=VLOOKUP(tblSalaries[[#This Row],[Currency]],Sheet3!$A$2:$B$31,2,FALSE),tblSalaries[[#This Row],[clean Salary (in local currency)]],(tblSalaries[[#This Row],[PPP Adjusted  USD]]/VLOOKUP(Dashboard!$J$5,Sheet3!$B$2:$C$31,2,FALSE)))</f>
        <v>52000</v>
      </c>
      <c r="H761" t="s">
        <v>1846</v>
      </c>
      <c r="I761" t="s">
        <v>640</v>
      </c>
      <c r="J761" t="s">
        <v>613</v>
      </c>
      <c r="K761" t="s">
        <v>605</v>
      </c>
      <c r="L761">
        <v>18</v>
      </c>
    </row>
    <row r="762" spans="2:12" ht="15" customHeight="1">
      <c r="B762" t="s">
        <v>3320</v>
      </c>
      <c r="C762">
        <v>52000</v>
      </c>
      <c r="D762" t="s">
        <v>252</v>
      </c>
      <c r="E762">
        <v>52000</v>
      </c>
      <c r="F762" s="3">
        <f>(tblSalaries[[#This Row],[clean Salary (in local currency)]])*(VLOOKUP(tblSalaries[[#This Row],[Currency]],Sheet3!$A$2:$C$31,3,FALSE))*(VLOOKUP(tblSalaries[[#This Row],[Currency]],Sheet1!$N$4:$Q$186,4,FALSE))</f>
        <v>52000</v>
      </c>
      <c r="G762" s="4">
        <f>IF(Dashboard!$J$5=VLOOKUP(tblSalaries[[#This Row],[Currency]],Sheet3!$A$2:$B$31,2,FALSE),tblSalaries[[#This Row],[clean Salary (in local currency)]],(tblSalaries[[#This Row],[PPP Adjusted  USD]]/VLOOKUP(Dashboard!$J$5,Sheet3!$B$2:$C$31,2,FALSE)))</f>
        <v>52000</v>
      </c>
      <c r="H762" t="s">
        <v>1424</v>
      </c>
      <c r="I762" t="s">
        <v>603</v>
      </c>
      <c r="J762" t="s">
        <v>613</v>
      </c>
      <c r="K762" t="s">
        <v>610</v>
      </c>
      <c r="L762">
        <v>5</v>
      </c>
    </row>
    <row r="763" spans="2:12" ht="15" customHeight="1">
      <c r="B763" t="s">
        <v>1394</v>
      </c>
      <c r="C763">
        <v>51613</v>
      </c>
      <c r="D763" t="s">
        <v>252</v>
      </c>
      <c r="E763">
        <v>51613</v>
      </c>
      <c r="F763" s="3">
        <f>(tblSalaries[[#This Row],[clean Salary (in local currency)]])*(VLOOKUP(tblSalaries[[#This Row],[Currency]],Sheet3!$A$2:$C$31,3,FALSE))*(VLOOKUP(tblSalaries[[#This Row],[Currency]],Sheet1!$N$4:$Q$186,4,FALSE))</f>
        <v>51613</v>
      </c>
      <c r="G763" s="4">
        <f>IF(Dashboard!$J$5=VLOOKUP(tblSalaries[[#This Row],[Currency]],Sheet3!$A$2:$B$31,2,FALSE),tblSalaries[[#This Row],[clean Salary (in local currency)]],(tblSalaries[[#This Row],[PPP Adjusted  USD]]/VLOOKUP(Dashboard!$J$5,Sheet3!$B$2:$C$31,2,FALSE)))</f>
        <v>51613</v>
      </c>
      <c r="H763" t="s">
        <v>1395</v>
      </c>
      <c r="I763" t="s">
        <v>603</v>
      </c>
      <c r="J763" t="s">
        <v>613</v>
      </c>
      <c r="K763" t="s">
        <v>610</v>
      </c>
      <c r="L763" t="s">
        <v>3847</v>
      </c>
    </row>
    <row r="764" spans="2:12" ht="15" customHeight="1">
      <c r="B764" t="s">
        <v>685</v>
      </c>
      <c r="C764">
        <v>35000</v>
      </c>
      <c r="D764" t="s">
        <v>204</v>
      </c>
      <c r="E764">
        <v>55166.239522354947</v>
      </c>
      <c r="F764" s="3">
        <f>(tblSalaries[[#This Row],[clean Salary (in local currency)]])*(VLOOKUP(tblSalaries[[#This Row],[Currency]],Sheet3!$A$2:$C$31,3,FALSE))*(VLOOKUP(tblSalaries[[#This Row],[Currency]],Sheet1!$N$4:$Q$186,4,FALSE))</f>
        <v>51588.992174314961</v>
      </c>
      <c r="G764" s="4">
        <f>IF(Dashboard!$J$5=VLOOKUP(tblSalaries[[#This Row],[Currency]],Sheet3!$A$2:$B$31,2,FALSE),tblSalaries[[#This Row],[clean Salary (in local currency)]],(tblSalaries[[#This Row],[PPP Adjusted  USD]]/VLOOKUP(Dashboard!$J$5,Sheet3!$B$2:$C$31,2,FALSE)))</f>
        <v>51588.992174314961</v>
      </c>
      <c r="H764" t="s">
        <v>686</v>
      </c>
      <c r="I764" t="s">
        <v>603</v>
      </c>
      <c r="J764" t="s">
        <v>687</v>
      </c>
      <c r="K764" t="s">
        <v>610</v>
      </c>
      <c r="L764" t="s">
        <v>3847</v>
      </c>
    </row>
    <row r="765" spans="2:12" ht="15" customHeight="1">
      <c r="B765" t="s">
        <v>1379</v>
      </c>
      <c r="C765">
        <v>35000</v>
      </c>
      <c r="D765" t="s">
        <v>204</v>
      </c>
      <c r="E765">
        <v>55166.239522354947</v>
      </c>
      <c r="F765" s="3">
        <f>(tblSalaries[[#This Row],[clean Salary (in local currency)]])*(VLOOKUP(tblSalaries[[#This Row],[Currency]],Sheet3!$A$2:$C$31,3,FALSE))*(VLOOKUP(tblSalaries[[#This Row],[Currency]],Sheet1!$N$4:$Q$186,4,FALSE))</f>
        <v>51588.992174314961</v>
      </c>
      <c r="G765" s="4">
        <f>IF(Dashboard!$J$5=VLOOKUP(tblSalaries[[#This Row],[Currency]],Sheet3!$A$2:$B$31,2,FALSE),tblSalaries[[#This Row],[clean Salary (in local currency)]],(tblSalaries[[#This Row],[PPP Adjusted  USD]]/VLOOKUP(Dashboard!$J$5,Sheet3!$B$2:$C$31,2,FALSE)))</f>
        <v>51588.992174314961</v>
      </c>
      <c r="H765" t="s">
        <v>1380</v>
      </c>
      <c r="I765" t="s">
        <v>637</v>
      </c>
      <c r="J765" t="s">
        <v>687</v>
      </c>
      <c r="K765" t="s">
        <v>605</v>
      </c>
      <c r="L765" t="s">
        <v>3847</v>
      </c>
    </row>
    <row r="766" spans="2:12" ht="15" customHeight="1">
      <c r="B766" t="s">
        <v>2534</v>
      </c>
      <c r="C766">
        <v>35000</v>
      </c>
      <c r="D766" t="s">
        <v>204</v>
      </c>
      <c r="E766">
        <v>55166.239522354947</v>
      </c>
      <c r="F766" s="3">
        <f>(tblSalaries[[#This Row],[clean Salary (in local currency)]])*(VLOOKUP(tblSalaries[[#This Row],[Currency]],Sheet3!$A$2:$C$31,3,FALSE))*(VLOOKUP(tblSalaries[[#This Row],[Currency]],Sheet1!$N$4:$Q$186,4,FALSE))</f>
        <v>51588.992174314961</v>
      </c>
      <c r="G766" s="4">
        <f>IF(Dashboard!$J$5=VLOOKUP(tblSalaries[[#This Row],[Currency]],Sheet3!$A$2:$B$31,2,FALSE),tblSalaries[[#This Row],[clean Salary (in local currency)]],(tblSalaries[[#This Row],[PPP Adjusted  USD]]/VLOOKUP(Dashboard!$J$5,Sheet3!$B$2:$C$31,2,FALSE)))</f>
        <v>51588.992174314961</v>
      </c>
      <c r="H766" t="s">
        <v>2535</v>
      </c>
      <c r="I766" t="s">
        <v>603</v>
      </c>
      <c r="J766" t="s">
        <v>687</v>
      </c>
      <c r="K766" t="s">
        <v>617</v>
      </c>
      <c r="L766">
        <v>6</v>
      </c>
    </row>
    <row r="767" spans="2:12" ht="15" customHeight="1">
      <c r="B767" t="s">
        <v>2607</v>
      </c>
      <c r="C767">
        <v>35000</v>
      </c>
      <c r="D767" t="s">
        <v>204</v>
      </c>
      <c r="E767">
        <v>55166.239522354947</v>
      </c>
      <c r="F767" s="3">
        <f>(tblSalaries[[#This Row],[clean Salary (in local currency)]])*(VLOOKUP(tblSalaries[[#This Row],[Currency]],Sheet3!$A$2:$C$31,3,FALSE))*(VLOOKUP(tblSalaries[[#This Row],[Currency]],Sheet1!$N$4:$Q$186,4,FALSE))</f>
        <v>51588.992174314961</v>
      </c>
      <c r="G767" s="4">
        <f>IF(Dashboard!$J$5=VLOOKUP(tblSalaries[[#This Row],[Currency]],Sheet3!$A$2:$B$31,2,FALSE),tblSalaries[[#This Row],[clean Salary (in local currency)]],(tblSalaries[[#This Row],[PPP Adjusted  USD]]/VLOOKUP(Dashboard!$J$5,Sheet3!$B$2:$C$31,2,FALSE)))</f>
        <v>51588.992174314961</v>
      </c>
      <c r="H767" t="s">
        <v>2608</v>
      </c>
      <c r="I767" t="s">
        <v>603</v>
      </c>
      <c r="J767" t="s">
        <v>687</v>
      </c>
      <c r="K767" t="s">
        <v>605</v>
      </c>
      <c r="L767">
        <v>10</v>
      </c>
    </row>
    <row r="768" spans="2:12" ht="15" customHeight="1">
      <c r="B768" t="s">
        <v>3251</v>
      </c>
      <c r="C768">
        <v>35000</v>
      </c>
      <c r="D768" t="s">
        <v>204</v>
      </c>
      <c r="E768">
        <v>55166.239522354947</v>
      </c>
      <c r="F768" s="3">
        <f>(tblSalaries[[#This Row],[clean Salary (in local currency)]])*(VLOOKUP(tblSalaries[[#This Row],[Currency]],Sheet3!$A$2:$C$31,3,FALSE))*(VLOOKUP(tblSalaries[[#This Row],[Currency]],Sheet1!$N$4:$Q$186,4,FALSE))</f>
        <v>51588.992174314961</v>
      </c>
      <c r="G768" s="4">
        <f>IF(Dashboard!$J$5=VLOOKUP(tblSalaries[[#This Row],[Currency]],Sheet3!$A$2:$B$31,2,FALSE),tblSalaries[[#This Row],[clean Salary (in local currency)]],(tblSalaries[[#This Row],[PPP Adjusted  USD]]/VLOOKUP(Dashboard!$J$5,Sheet3!$B$2:$C$31,2,FALSE)))</f>
        <v>51588.992174314961</v>
      </c>
      <c r="H768" t="s">
        <v>887</v>
      </c>
      <c r="I768" t="s">
        <v>603</v>
      </c>
      <c r="J768" t="s">
        <v>687</v>
      </c>
      <c r="K768" t="s">
        <v>605</v>
      </c>
      <c r="L768">
        <v>3</v>
      </c>
    </row>
    <row r="769" spans="2:12" ht="15" customHeight="1">
      <c r="B769" t="s">
        <v>3292</v>
      </c>
      <c r="C769">
        <v>35000</v>
      </c>
      <c r="D769" t="s">
        <v>204</v>
      </c>
      <c r="E769">
        <v>55166.239522354947</v>
      </c>
      <c r="F769" s="3">
        <f>(tblSalaries[[#This Row],[clean Salary (in local currency)]])*(VLOOKUP(tblSalaries[[#This Row],[Currency]],Sheet3!$A$2:$C$31,3,FALSE))*(VLOOKUP(tblSalaries[[#This Row],[Currency]],Sheet1!$N$4:$Q$186,4,FALSE))</f>
        <v>51588.992174314961</v>
      </c>
      <c r="G769" s="4">
        <f>IF(Dashboard!$J$5=VLOOKUP(tblSalaries[[#This Row],[Currency]],Sheet3!$A$2:$B$31,2,FALSE),tblSalaries[[#This Row],[clean Salary (in local currency)]],(tblSalaries[[#This Row],[PPP Adjusted  USD]]/VLOOKUP(Dashboard!$J$5,Sheet3!$B$2:$C$31,2,FALSE)))</f>
        <v>51588.992174314961</v>
      </c>
      <c r="H769" t="s">
        <v>3293</v>
      </c>
      <c r="I769" t="s">
        <v>633</v>
      </c>
      <c r="J769" t="s">
        <v>687</v>
      </c>
      <c r="K769" t="s">
        <v>617</v>
      </c>
      <c r="L769">
        <v>30</v>
      </c>
    </row>
    <row r="770" spans="2:12" ht="15" customHeight="1">
      <c r="B770" t="s">
        <v>3779</v>
      </c>
      <c r="C770">
        <v>35000</v>
      </c>
      <c r="D770" t="s">
        <v>204</v>
      </c>
      <c r="E770">
        <v>55166.239522354947</v>
      </c>
      <c r="F770" s="3">
        <f>(tblSalaries[[#This Row],[clean Salary (in local currency)]])*(VLOOKUP(tblSalaries[[#This Row],[Currency]],Sheet3!$A$2:$C$31,3,FALSE))*(VLOOKUP(tblSalaries[[#This Row],[Currency]],Sheet1!$N$4:$Q$186,4,FALSE))</f>
        <v>51588.992174314961</v>
      </c>
      <c r="G770" s="4">
        <f>IF(Dashboard!$J$5=VLOOKUP(tblSalaries[[#This Row],[Currency]],Sheet3!$A$2:$B$31,2,FALSE),tblSalaries[[#This Row],[clean Salary (in local currency)]],(tblSalaries[[#This Row],[PPP Adjusted  USD]]/VLOOKUP(Dashboard!$J$5,Sheet3!$B$2:$C$31,2,FALSE)))</f>
        <v>51588.992174314961</v>
      </c>
      <c r="H770" t="s">
        <v>3780</v>
      </c>
      <c r="I770" t="s">
        <v>603</v>
      </c>
      <c r="J770" t="s">
        <v>687</v>
      </c>
      <c r="K770" t="s">
        <v>610</v>
      </c>
      <c r="L770">
        <v>34</v>
      </c>
    </row>
    <row r="771" spans="2:12" ht="15" customHeight="1">
      <c r="B771" t="s">
        <v>3383</v>
      </c>
      <c r="C771">
        <v>485000</v>
      </c>
      <c r="D771" t="s">
        <v>312</v>
      </c>
      <c r="E771">
        <v>82888.5550559455</v>
      </c>
      <c r="F771" s="3">
        <f>(tblSalaries[[#This Row],[clean Salary (in local currency)]])*(VLOOKUP(tblSalaries[[#This Row],[Currency]],Sheet3!$A$2:$C$31,3,FALSE))*(VLOOKUP(tblSalaries[[#This Row],[Currency]],Sheet1!$N$4:$Q$186,4,FALSE))</f>
        <v>51385.541369194259</v>
      </c>
      <c r="G771" s="4">
        <f>IF(Dashboard!$J$5=VLOOKUP(tblSalaries[[#This Row],[Currency]],Sheet3!$A$2:$B$31,2,FALSE),tblSalaries[[#This Row],[clean Salary (in local currency)]],(tblSalaries[[#This Row],[PPP Adjusted  USD]]/VLOOKUP(Dashboard!$J$5,Sheet3!$B$2:$C$31,2,FALSE)))</f>
        <v>51385.541369194259</v>
      </c>
      <c r="H771" t="s">
        <v>608</v>
      </c>
      <c r="I771" t="s">
        <v>608</v>
      </c>
      <c r="J771" t="s">
        <v>1984</v>
      </c>
      <c r="K771" t="s">
        <v>605</v>
      </c>
      <c r="L771">
        <v>18</v>
      </c>
    </row>
    <row r="772" spans="2:12" ht="15" customHeight="1">
      <c r="B772" t="s">
        <v>1093</v>
      </c>
      <c r="C772">
        <v>65000</v>
      </c>
      <c r="D772" t="s">
        <v>276</v>
      </c>
      <c r="E772">
        <v>63918.498996971248</v>
      </c>
      <c r="F772" s="3">
        <f>(tblSalaries[[#This Row],[clean Salary (in local currency)]])*(VLOOKUP(tblSalaries[[#This Row],[Currency]],Sheet3!$A$2:$C$31,3,FALSE))*(VLOOKUP(tblSalaries[[#This Row],[Currency]],Sheet1!$N$4:$Q$186,4,FALSE))</f>
        <v>51379.003208152404</v>
      </c>
      <c r="G772" s="4">
        <f>IF(Dashboard!$J$5=VLOOKUP(tblSalaries[[#This Row],[Currency]],Sheet3!$A$2:$B$31,2,FALSE),tblSalaries[[#This Row],[clean Salary (in local currency)]],(tblSalaries[[#This Row],[PPP Adjusted  USD]]/VLOOKUP(Dashboard!$J$5,Sheet3!$B$2:$C$31,2,FALSE)))</f>
        <v>51379.003208152404</v>
      </c>
      <c r="H772" t="s">
        <v>1094</v>
      </c>
      <c r="I772" t="s">
        <v>625</v>
      </c>
      <c r="J772" t="s">
        <v>708</v>
      </c>
      <c r="K772" t="s">
        <v>605</v>
      </c>
      <c r="L772" t="s">
        <v>3847</v>
      </c>
    </row>
    <row r="773" spans="2:12" ht="15" customHeight="1">
      <c r="B773" t="s">
        <v>1245</v>
      </c>
      <c r="C773">
        <v>65000</v>
      </c>
      <c r="D773" t="s">
        <v>276</v>
      </c>
      <c r="E773">
        <v>63918.498996971248</v>
      </c>
      <c r="F773" s="3">
        <f>(tblSalaries[[#This Row],[clean Salary (in local currency)]])*(VLOOKUP(tblSalaries[[#This Row],[Currency]],Sheet3!$A$2:$C$31,3,FALSE))*(VLOOKUP(tblSalaries[[#This Row],[Currency]],Sheet1!$N$4:$Q$186,4,FALSE))</f>
        <v>51379.003208152404</v>
      </c>
      <c r="G773" s="4">
        <f>IF(Dashboard!$J$5=VLOOKUP(tblSalaries[[#This Row],[Currency]],Sheet3!$A$2:$B$31,2,FALSE),tblSalaries[[#This Row],[clean Salary (in local currency)]],(tblSalaries[[#This Row],[PPP Adjusted  USD]]/VLOOKUP(Dashboard!$J$5,Sheet3!$B$2:$C$31,2,FALSE)))</f>
        <v>51379.003208152404</v>
      </c>
      <c r="H773" t="s">
        <v>1246</v>
      </c>
      <c r="I773" t="s">
        <v>625</v>
      </c>
      <c r="J773" t="s">
        <v>708</v>
      </c>
      <c r="K773" t="s">
        <v>617</v>
      </c>
      <c r="L773" t="s">
        <v>3847</v>
      </c>
    </row>
    <row r="774" spans="2:12" ht="15" customHeight="1">
      <c r="B774" t="s">
        <v>2632</v>
      </c>
      <c r="C774">
        <v>65000</v>
      </c>
      <c r="D774" t="s">
        <v>276</v>
      </c>
      <c r="E774">
        <v>63918.498996971248</v>
      </c>
      <c r="F774" s="3">
        <f>(tblSalaries[[#This Row],[clean Salary (in local currency)]])*(VLOOKUP(tblSalaries[[#This Row],[Currency]],Sheet3!$A$2:$C$31,3,FALSE))*(VLOOKUP(tblSalaries[[#This Row],[Currency]],Sheet1!$N$4:$Q$186,4,FALSE))</f>
        <v>51379.003208152404</v>
      </c>
      <c r="G774" s="4">
        <f>IF(Dashboard!$J$5=VLOOKUP(tblSalaries[[#This Row],[Currency]],Sheet3!$A$2:$B$31,2,FALSE),tblSalaries[[#This Row],[clean Salary (in local currency)]],(tblSalaries[[#This Row],[PPP Adjusted  USD]]/VLOOKUP(Dashboard!$J$5,Sheet3!$B$2:$C$31,2,FALSE)))</f>
        <v>51379.003208152404</v>
      </c>
      <c r="H774" t="s">
        <v>2633</v>
      </c>
      <c r="I774" t="s">
        <v>603</v>
      </c>
      <c r="J774" t="s">
        <v>708</v>
      </c>
      <c r="K774" t="s">
        <v>605</v>
      </c>
      <c r="L774">
        <v>20</v>
      </c>
    </row>
    <row r="775" spans="2:12" ht="15" customHeight="1">
      <c r="B775" t="s">
        <v>2782</v>
      </c>
      <c r="C775">
        <v>65000</v>
      </c>
      <c r="D775" t="s">
        <v>276</v>
      </c>
      <c r="E775">
        <v>63918.498996971248</v>
      </c>
      <c r="F775" s="3">
        <f>(tblSalaries[[#This Row],[clean Salary (in local currency)]])*(VLOOKUP(tblSalaries[[#This Row],[Currency]],Sheet3!$A$2:$C$31,3,FALSE))*(VLOOKUP(tblSalaries[[#This Row],[Currency]],Sheet1!$N$4:$Q$186,4,FALSE))</f>
        <v>51379.003208152404</v>
      </c>
      <c r="G775" s="4">
        <f>IF(Dashboard!$J$5=VLOOKUP(tblSalaries[[#This Row],[Currency]],Sheet3!$A$2:$B$31,2,FALSE),tblSalaries[[#This Row],[clean Salary (in local currency)]],(tblSalaries[[#This Row],[PPP Adjusted  USD]]/VLOOKUP(Dashboard!$J$5,Sheet3!$B$2:$C$31,2,FALSE)))</f>
        <v>51379.003208152404</v>
      </c>
      <c r="H775" t="s">
        <v>2783</v>
      </c>
      <c r="I775" t="s">
        <v>625</v>
      </c>
      <c r="J775" t="s">
        <v>708</v>
      </c>
      <c r="K775" t="s">
        <v>617</v>
      </c>
      <c r="L775">
        <v>15</v>
      </c>
    </row>
    <row r="776" spans="2:12" ht="15" customHeight="1">
      <c r="B776" t="s">
        <v>1908</v>
      </c>
      <c r="C776">
        <v>85000</v>
      </c>
      <c r="D776" t="s">
        <v>295</v>
      </c>
      <c r="E776">
        <v>67794.987956419791</v>
      </c>
      <c r="F776" s="3">
        <f>(tblSalaries[[#This Row],[clean Salary (in local currency)]])*(VLOOKUP(tblSalaries[[#This Row],[Currency]],Sheet3!$A$2:$C$31,3,FALSE))*(VLOOKUP(tblSalaries[[#This Row],[Currency]],Sheet1!$N$4:$Q$186,4,FALSE))</f>
        <v>51183.328884954703</v>
      </c>
      <c r="G776" s="4">
        <f>IF(Dashboard!$J$5=VLOOKUP(tblSalaries[[#This Row],[Currency]],Sheet3!$A$2:$B$31,2,FALSE),tblSalaries[[#This Row],[clean Salary (in local currency)]],(tblSalaries[[#This Row],[PPP Adjusted  USD]]/VLOOKUP(Dashboard!$J$5,Sheet3!$B$2:$C$31,2,FALSE)))</f>
        <v>51183.328884954703</v>
      </c>
      <c r="H776" t="s">
        <v>1909</v>
      </c>
      <c r="I776" t="s">
        <v>625</v>
      </c>
      <c r="J776" t="s">
        <v>1604</v>
      </c>
      <c r="K776" t="s">
        <v>605</v>
      </c>
      <c r="L776">
        <v>15</v>
      </c>
    </row>
    <row r="777" spans="2:12" ht="15" customHeight="1">
      <c r="B777" t="s">
        <v>2391</v>
      </c>
      <c r="C777">
        <v>308500</v>
      </c>
      <c r="D777" t="s">
        <v>400</v>
      </c>
      <c r="E777">
        <v>37612.869087708088</v>
      </c>
      <c r="F777" s="3">
        <f>(tblSalaries[[#This Row],[clean Salary (in local currency)]])*(VLOOKUP(tblSalaries[[#This Row],[Currency]],Sheet3!$A$2:$C$31,3,FALSE))*(VLOOKUP(tblSalaries[[#This Row],[Currency]],Sheet1!$N$4:$Q$186,4,FALSE))</f>
        <v>51167.637409233968</v>
      </c>
      <c r="G777" s="4">
        <f>IF(Dashboard!$J$5=VLOOKUP(tblSalaries[[#This Row],[Currency]],Sheet3!$A$2:$B$31,2,FALSE),tblSalaries[[#This Row],[clean Salary (in local currency)]],(tblSalaries[[#This Row],[PPP Adjusted  USD]]/VLOOKUP(Dashboard!$J$5,Sheet3!$B$2:$C$31,2,FALSE)))</f>
        <v>51167.637409233968</v>
      </c>
      <c r="H777" t="s">
        <v>2392</v>
      </c>
      <c r="I777" t="s">
        <v>625</v>
      </c>
      <c r="J777" t="s">
        <v>659</v>
      </c>
      <c r="K777" t="s">
        <v>610</v>
      </c>
      <c r="L777">
        <v>3</v>
      </c>
    </row>
    <row r="778" spans="2:12" ht="15" customHeight="1">
      <c r="B778" t="s">
        <v>1016</v>
      </c>
      <c r="C778">
        <v>51000</v>
      </c>
      <c r="D778" t="s">
        <v>252</v>
      </c>
      <c r="E778">
        <v>51000</v>
      </c>
      <c r="F778" s="3">
        <f>(tblSalaries[[#This Row],[clean Salary (in local currency)]])*(VLOOKUP(tblSalaries[[#This Row],[Currency]],Sheet3!$A$2:$C$31,3,FALSE))*(VLOOKUP(tblSalaries[[#This Row],[Currency]],Sheet1!$N$4:$Q$186,4,FALSE))</f>
        <v>51000</v>
      </c>
      <c r="G778" s="4">
        <f>IF(Dashboard!$J$5=VLOOKUP(tblSalaries[[#This Row],[Currency]],Sheet3!$A$2:$B$31,2,FALSE),tblSalaries[[#This Row],[clean Salary (in local currency)]],(tblSalaries[[#This Row],[PPP Adjusted  USD]]/VLOOKUP(Dashboard!$J$5,Sheet3!$B$2:$C$31,2,FALSE)))</f>
        <v>51000</v>
      </c>
      <c r="H778" t="s">
        <v>1017</v>
      </c>
      <c r="I778" t="s">
        <v>625</v>
      </c>
      <c r="J778" t="s">
        <v>613</v>
      </c>
      <c r="K778" t="s">
        <v>605</v>
      </c>
      <c r="L778" t="s">
        <v>3847</v>
      </c>
    </row>
    <row r="779" spans="2:12" ht="15" customHeight="1">
      <c r="B779" t="s">
        <v>1114</v>
      </c>
      <c r="C779">
        <v>51000</v>
      </c>
      <c r="D779" t="s">
        <v>252</v>
      </c>
      <c r="E779">
        <v>51000</v>
      </c>
      <c r="F779" s="3">
        <f>(tblSalaries[[#This Row],[clean Salary (in local currency)]])*(VLOOKUP(tblSalaries[[#This Row],[Currency]],Sheet3!$A$2:$C$31,3,FALSE))*(VLOOKUP(tblSalaries[[#This Row],[Currency]],Sheet1!$N$4:$Q$186,4,FALSE))</f>
        <v>51000</v>
      </c>
      <c r="G779" s="4">
        <f>IF(Dashboard!$J$5=VLOOKUP(tblSalaries[[#This Row],[Currency]],Sheet3!$A$2:$B$31,2,FALSE),tblSalaries[[#This Row],[clean Salary (in local currency)]],(tblSalaries[[#This Row],[PPP Adjusted  USD]]/VLOOKUP(Dashboard!$J$5,Sheet3!$B$2:$C$31,2,FALSE)))</f>
        <v>51000</v>
      </c>
      <c r="H779" t="s">
        <v>1115</v>
      </c>
      <c r="I779" t="s">
        <v>603</v>
      </c>
      <c r="J779" t="s">
        <v>613</v>
      </c>
      <c r="K779" t="s">
        <v>617</v>
      </c>
      <c r="L779" t="s">
        <v>3847</v>
      </c>
    </row>
    <row r="780" spans="2:12" ht="15" customHeight="1">
      <c r="B780" t="s">
        <v>1452</v>
      </c>
      <c r="C780">
        <v>51000</v>
      </c>
      <c r="D780" t="s">
        <v>252</v>
      </c>
      <c r="E780">
        <v>51000</v>
      </c>
      <c r="F780" s="3">
        <f>(tblSalaries[[#This Row],[clean Salary (in local currency)]])*(VLOOKUP(tblSalaries[[#This Row],[Currency]],Sheet3!$A$2:$C$31,3,FALSE))*(VLOOKUP(tblSalaries[[#This Row],[Currency]],Sheet1!$N$4:$Q$186,4,FALSE))</f>
        <v>51000</v>
      </c>
      <c r="G780" s="4">
        <f>IF(Dashboard!$J$5=VLOOKUP(tblSalaries[[#This Row],[Currency]],Sheet3!$A$2:$B$31,2,FALSE),tblSalaries[[#This Row],[clean Salary (in local currency)]],(tblSalaries[[#This Row],[PPP Adjusted  USD]]/VLOOKUP(Dashboard!$J$5,Sheet3!$B$2:$C$31,2,FALSE)))</f>
        <v>51000</v>
      </c>
      <c r="H780" t="s">
        <v>1453</v>
      </c>
      <c r="I780" t="s">
        <v>625</v>
      </c>
      <c r="J780" t="s">
        <v>613</v>
      </c>
      <c r="K780" t="s">
        <v>617</v>
      </c>
      <c r="L780" t="s">
        <v>3847</v>
      </c>
    </row>
    <row r="781" spans="2:12" ht="15" customHeight="1">
      <c r="B781" t="s">
        <v>2771</v>
      </c>
      <c r="C781">
        <v>50846</v>
      </c>
      <c r="D781" t="s">
        <v>252</v>
      </c>
      <c r="E781">
        <v>50846</v>
      </c>
      <c r="F781" s="3">
        <f>(tblSalaries[[#This Row],[clean Salary (in local currency)]])*(VLOOKUP(tblSalaries[[#This Row],[Currency]],Sheet3!$A$2:$C$31,3,FALSE))*(VLOOKUP(tblSalaries[[#This Row],[Currency]],Sheet1!$N$4:$Q$186,4,FALSE))</f>
        <v>50846</v>
      </c>
      <c r="G781" s="4">
        <f>IF(Dashboard!$J$5=VLOOKUP(tblSalaries[[#This Row],[Currency]],Sheet3!$A$2:$B$31,2,FALSE),tblSalaries[[#This Row],[clean Salary (in local currency)]],(tblSalaries[[#This Row],[PPP Adjusted  USD]]/VLOOKUP(Dashboard!$J$5,Sheet3!$B$2:$C$31,2,FALSE)))</f>
        <v>50846</v>
      </c>
      <c r="H781" t="s">
        <v>2772</v>
      </c>
      <c r="I781" t="s">
        <v>603</v>
      </c>
      <c r="J781" t="s">
        <v>613</v>
      </c>
      <c r="K781" t="s">
        <v>605</v>
      </c>
      <c r="L781">
        <v>25</v>
      </c>
    </row>
    <row r="782" spans="2:12" ht="15" customHeight="1">
      <c r="B782" t="s">
        <v>2776</v>
      </c>
      <c r="C782">
        <v>50700</v>
      </c>
      <c r="D782" t="s">
        <v>252</v>
      </c>
      <c r="E782">
        <v>50700</v>
      </c>
      <c r="F782" s="3">
        <f>(tblSalaries[[#This Row],[clean Salary (in local currency)]])*(VLOOKUP(tblSalaries[[#This Row],[Currency]],Sheet3!$A$2:$C$31,3,FALSE))*(VLOOKUP(tblSalaries[[#This Row],[Currency]],Sheet1!$N$4:$Q$186,4,FALSE))</f>
        <v>50700</v>
      </c>
      <c r="G782" s="4">
        <f>IF(Dashboard!$J$5=VLOOKUP(tblSalaries[[#This Row],[Currency]],Sheet3!$A$2:$B$31,2,FALSE),tblSalaries[[#This Row],[clean Salary (in local currency)]],(tblSalaries[[#This Row],[PPP Adjusted  USD]]/VLOOKUP(Dashboard!$J$5,Sheet3!$B$2:$C$31,2,FALSE)))</f>
        <v>50700</v>
      </c>
      <c r="H782" t="s">
        <v>2777</v>
      </c>
      <c r="I782" t="s">
        <v>603</v>
      </c>
      <c r="J782" t="s">
        <v>795</v>
      </c>
      <c r="K782" t="s">
        <v>627</v>
      </c>
      <c r="L782">
        <v>15</v>
      </c>
    </row>
    <row r="783" spans="2:12" ht="15" customHeight="1">
      <c r="B783" t="s">
        <v>2311</v>
      </c>
      <c r="C783">
        <v>80000</v>
      </c>
      <c r="D783" t="s">
        <v>224</v>
      </c>
      <c r="E783">
        <v>81592.772512210868</v>
      </c>
      <c r="F783" s="3">
        <f>(tblSalaries[[#This Row],[clean Salary (in local currency)]])*(VLOOKUP(tblSalaries[[#This Row],[Currency]],Sheet3!$A$2:$C$31,3,FALSE))*(VLOOKUP(tblSalaries[[#This Row],[Currency]],Sheet1!$N$4:$Q$186,4,FALSE))</f>
        <v>50137.124655888889</v>
      </c>
      <c r="G783" s="4">
        <f>IF(Dashboard!$J$5=VLOOKUP(tblSalaries[[#This Row],[Currency]],Sheet3!$A$2:$B$31,2,FALSE),tblSalaries[[#This Row],[clean Salary (in local currency)]],(tblSalaries[[#This Row],[PPP Adjusted  USD]]/VLOOKUP(Dashboard!$J$5,Sheet3!$B$2:$C$31,2,FALSE)))</f>
        <v>50137.124655888889</v>
      </c>
      <c r="H783" t="s">
        <v>2312</v>
      </c>
      <c r="I783" t="s">
        <v>625</v>
      </c>
      <c r="J783" t="s">
        <v>703</v>
      </c>
      <c r="K783" t="s">
        <v>605</v>
      </c>
      <c r="L783">
        <v>25</v>
      </c>
    </row>
    <row r="784" spans="2:12" ht="15" customHeight="1">
      <c r="B784" t="s">
        <v>2774</v>
      </c>
      <c r="C784">
        <v>80000</v>
      </c>
      <c r="D784" t="s">
        <v>224</v>
      </c>
      <c r="E784">
        <v>81592.772512210868</v>
      </c>
      <c r="F784" s="3">
        <f>(tblSalaries[[#This Row],[clean Salary (in local currency)]])*(VLOOKUP(tblSalaries[[#This Row],[Currency]],Sheet3!$A$2:$C$31,3,FALSE))*(VLOOKUP(tblSalaries[[#This Row],[Currency]],Sheet1!$N$4:$Q$186,4,FALSE))</f>
        <v>50137.124655888889</v>
      </c>
      <c r="G784" s="4">
        <f>IF(Dashboard!$J$5=VLOOKUP(tblSalaries[[#This Row],[Currency]],Sheet3!$A$2:$B$31,2,FALSE),tblSalaries[[#This Row],[clean Salary (in local currency)]],(tblSalaries[[#This Row],[PPP Adjusted  USD]]/VLOOKUP(Dashboard!$J$5,Sheet3!$B$2:$C$31,2,FALSE)))</f>
        <v>50137.124655888889</v>
      </c>
      <c r="H784" t="s">
        <v>2775</v>
      </c>
      <c r="I784" t="s">
        <v>637</v>
      </c>
      <c r="J784" t="s">
        <v>703</v>
      </c>
      <c r="K784" t="s">
        <v>605</v>
      </c>
      <c r="L784">
        <v>5</v>
      </c>
    </row>
    <row r="785" spans="2:12" ht="15" customHeight="1">
      <c r="B785" t="s">
        <v>3498</v>
      </c>
      <c r="C785">
        <v>80000</v>
      </c>
      <c r="D785" t="s">
        <v>224</v>
      </c>
      <c r="E785">
        <v>81592.772512210868</v>
      </c>
      <c r="F785" s="3">
        <f>(tblSalaries[[#This Row],[clean Salary (in local currency)]])*(VLOOKUP(tblSalaries[[#This Row],[Currency]],Sheet3!$A$2:$C$31,3,FALSE))*(VLOOKUP(tblSalaries[[#This Row],[Currency]],Sheet1!$N$4:$Q$186,4,FALSE))</f>
        <v>50137.124655888889</v>
      </c>
      <c r="G785" s="4">
        <f>IF(Dashboard!$J$5=VLOOKUP(tblSalaries[[#This Row],[Currency]],Sheet3!$A$2:$B$31,2,FALSE),tblSalaries[[#This Row],[clean Salary (in local currency)]],(tblSalaries[[#This Row],[PPP Adjusted  USD]]/VLOOKUP(Dashboard!$J$5,Sheet3!$B$2:$C$31,2,FALSE)))</f>
        <v>50137.124655888889</v>
      </c>
      <c r="H785" t="s">
        <v>3499</v>
      </c>
      <c r="I785" t="s">
        <v>640</v>
      </c>
      <c r="J785" t="s">
        <v>703</v>
      </c>
      <c r="K785" t="s">
        <v>605</v>
      </c>
      <c r="L785">
        <v>5</v>
      </c>
    </row>
    <row r="786" spans="2:12" ht="15" customHeight="1">
      <c r="B786" t="s">
        <v>2694</v>
      </c>
      <c r="C786">
        <v>34000</v>
      </c>
      <c r="D786" t="s">
        <v>204</v>
      </c>
      <c r="E786">
        <v>53590.061250287661</v>
      </c>
      <c r="F786" s="3">
        <f>(tblSalaries[[#This Row],[clean Salary (in local currency)]])*(VLOOKUP(tblSalaries[[#This Row],[Currency]],Sheet3!$A$2:$C$31,3,FALSE))*(VLOOKUP(tblSalaries[[#This Row],[Currency]],Sheet1!$N$4:$Q$186,4,FALSE))</f>
        <v>50115.020969334531</v>
      </c>
      <c r="G786" s="4">
        <f>IF(Dashboard!$J$5=VLOOKUP(tblSalaries[[#This Row],[Currency]],Sheet3!$A$2:$B$31,2,FALSE),tblSalaries[[#This Row],[clean Salary (in local currency)]],(tblSalaries[[#This Row],[PPP Adjusted  USD]]/VLOOKUP(Dashboard!$J$5,Sheet3!$B$2:$C$31,2,FALSE)))</f>
        <v>50115.020969334531</v>
      </c>
      <c r="H786" t="s">
        <v>2695</v>
      </c>
      <c r="I786" t="s">
        <v>637</v>
      </c>
      <c r="J786" t="s">
        <v>687</v>
      </c>
      <c r="K786" t="s">
        <v>610</v>
      </c>
      <c r="L786">
        <v>10</v>
      </c>
    </row>
    <row r="787" spans="2:12" ht="15" customHeight="1">
      <c r="B787" t="s">
        <v>2696</v>
      </c>
      <c r="C787">
        <v>34000</v>
      </c>
      <c r="D787" t="s">
        <v>204</v>
      </c>
      <c r="E787">
        <v>53590.061250287661</v>
      </c>
      <c r="F787" s="3">
        <f>(tblSalaries[[#This Row],[clean Salary (in local currency)]])*(VLOOKUP(tblSalaries[[#This Row],[Currency]],Sheet3!$A$2:$C$31,3,FALSE))*(VLOOKUP(tblSalaries[[#This Row],[Currency]],Sheet1!$N$4:$Q$186,4,FALSE))</f>
        <v>50115.020969334531</v>
      </c>
      <c r="G787" s="4">
        <f>IF(Dashboard!$J$5=VLOOKUP(tblSalaries[[#This Row],[Currency]],Sheet3!$A$2:$B$31,2,FALSE),tblSalaries[[#This Row],[clean Salary (in local currency)]],(tblSalaries[[#This Row],[PPP Adjusted  USD]]/VLOOKUP(Dashboard!$J$5,Sheet3!$B$2:$C$31,2,FALSE)))</f>
        <v>50115.020969334531</v>
      </c>
      <c r="H787" t="s">
        <v>2695</v>
      </c>
      <c r="I787" t="s">
        <v>637</v>
      </c>
      <c r="J787" t="s">
        <v>687</v>
      </c>
      <c r="K787" t="s">
        <v>610</v>
      </c>
      <c r="L787">
        <v>10</v>
      </c>
    </row>
    <row r="788" spans="2:12" ht="15" customHeight="1">
      <c r="B788" t="s">
        <v>2760</v>
      </c>
      <c r="C788">
        <v>34000</v>
      </c>
      <c r="D788" t="s">
        <v>204</v>
      </c>
      <c r="E788">
        <v>53590.061250287661</v>
      </c>
      <c r="F788" s="3">
        <f>(tblSalaries[[#This Row],[clean Salary (in local currency)]])*(VLOOKUP(tblSalaries[[#This Row],[Currency]],Sheet3!$A$2:$C$31,3,FALSE))*(VLOOKUP(tblSalaries[[#This Row],[Currency]],Sheet1!$N$4:$Q$186,4,FALSE))</f>
        <v>50115.020969334531</v>
      </c>
      <c r="G788" s="4">
        <f>IF(Dashboard!$J$5=VLOOKUP(tblSalaries[[#This Row],[Currency]],Sheet3!$A$2:$B$31,2,FALSE),tblSalaries[[#This Row],[clean Salary (in local currency)]],(tblSalaries[[#This Row],[PPP Adjusted  USD]]/VLOOKUP(Dashboard!$J$5,Sheet3!$B$2:$C$31,2,FALSE)))</f>
        <v>50115.020969334531</v>
      </c>
      <c r="H788" t="s">
        <v>2761</v>
      </c>
      <c r="I788" t="s">
        <v>637</v>
      </c>
      <c r="J788" t="s">
        <v>687</v>
      </c>
      <c r="K788" t="s">
        <v>610</v>
      </c>
      <c r="L788">
        <v>10</v>
      </c>
    </row>
    <row r="789" spans="2:12" ht="15" customHeight="1">
      <c r="B789" t="s">
        <v>662</v>
      </c>
      <c r="C789">
        <v>50000</v>
      </c>
      <c r="D789" t="s">
        <v>252</v>
      </c>
      <c r="E789">
        <v>50000</v>
      </c>
      <c r="F789" s="3">
        <f>(tblSalaries[[#This Row],[clean Salary (in local currency)]])*(VLOOKUP(tblSalaries[[#This Row],[Currency]],Sheet3!$A$2:$C$31,3,FALSE))*(VLOOKUP(tblSalaries[[#This Row],[Currency]],Sheet1!$N$4:$Q$186,4,FALSE))</f>
        <v>50000</v>
      </c>
      <c r="G789" s="4">
        <f>IF(Dashboard!$J$5=VLOOKUP(tblSalaries[[#This Row],[Currency]],Sheet3!$A$2:$B$31,2,FALSE),tblSalaries[[#This Row],[clean Salary (in local currency)]],(tblSalaries[[#This Row],[PPP Adjusted  USD]]/VLOOKUP(Dashboard!$J$5,Sheet3!$B$2:$C$31,2,FALSE)))</f>
        <v>50000</v>
      </c>
      <c r="H789" t="s">
        <v>663</v>
      </c>
      <c r="I789" t="s">
        <v>625</v>
      </c>
      <c r="J789" t="s">
        <v>604</v>
      </c>
      <c r="K789" t="s">
        <v>627</v>
      </c>
      <c r="L789" t="s">
        <v>3847</v>
      </c>
    </row>
    <row r="790" spans="2:12" ht="15" customHeight="1">
      <c r="B790" t="s">
        <v>758</v>
      </c>
      <c r="C790">
        <v>50000</v>
      </c>
      <c r="D790" t="s">
        <v>252</v>
      </c>
      <c r="E790">
        <v>50000</v>
      </c>
      <c r="F790" s="3">
        <f>(tblSalaries[[#This Row],[clean Salary (in local currency)]])*(VLOOKUP(tblSalaries[[#This Row],[Currency]],Sheet3!$A$2:$C$31,3,FALSE))*(VLOOKUP(tblSalaries[[#This Row],[Currency]],Sheet1!$N$4:$Q$186,4,FALSE))</f>
        <v>50000</v>
      </c>
      <c r="G790" s="4">
        <f>IF(Dashboard!$J$5=VLOOKUP(tblSalaries[[#This Row],[Currency]],Sheet3!$A$2:$B$31,2,FALSE),tblSalaries[[#This Row],[clean Salary (in local currency)]],(tblSalaries[[#This Row],[PPP Adjusted  USD]]/VLOOKUP(Dashboard!$J$5,Sheet3!$B$2:$C$31,2,FALSE)))</f>
        <v>50000</v>
      </c>
      <c r="H790" t="s">
        <v>759</v>
      </c>
      <c r="I790" t="s">
        <v>603</v>
      </c>
      <c r="J790" t="s">
        <v>613</v>
      </c>
      <c r="K790" t="s">
        <v>610</v>
      </c>
      <c r="L790" t="s">
        <v>3847</v>
      </c>
    </row>
    <row r="791" spans="2:12" ht="15" customHeight="1">
      <c r="B791" t="s">
        <v>781</v>
      </c>
      <c r="C791">
        <v>50000</v>
      </c>
      <c r="D791" t="s">
        <v>252</v>
      </c>
      <c r="E791">
        <v>50000</v>
      </c>
      <c r="F791" s="3">
        <f>(tblSalaries[[#This Row],[clean Salary (in local currency)]])*(VLOOKUP(tblSalaries[[#This Row],[Currency]],Sheet3!$A$2:$C$31,3,FALSE))*(VLOOKUP(tblSalaries[[#This Row],[Currency]],Sheet1!$N$4:$Q$186,4,FALSE))</f>
        <v>50000</v>
      </c>
      <c r="G791" s="4">
        <f>IF(Dashboard!$J$5=VLOOKUP(tblSalaries[[#This Row],[Currency]],Sheet3!$A$2:$B$31,2,FALSE),tblSalaries[[#This Row],[clean Salary (in local currency)]],(tblSalaries[[#This Row],[PPP Adjusted  USD]]/VLOOKUP(Dashboard!$J$5,Sheet3!$B$2:$C$31,2,FALSE)))</f>
        <v>50000</v>
      </c>
      <c r="H791" t="s">
        <v>782</v>
      </c>
      <c r="I791" t="s">
        <v>625</v>
      </c>
      <c r="J791" t="s">
        <v>613</v>
      </c>
      <c r="K791" t="s">
        <v>617</v>
      </c>
      <c r="L791" t="s">
        <v>3847</v>
      </c>
    </row>
    <row r="792" spans="2:12" ht="15" customHeight="1">
      <c r="B792" t="s">
        <v>843</v>
      </c>
      <c r="C792">
        <v>50000</v>
      </c>
      <c r="D792" t="s">
        <v>252</v>
      </c>
      <c r="E792">
        <v>50000</v>
      </c>
      <c r="F792" s="3">
        <f>(tblSalaries[[#This Row],[clean Salary (in local currency)]])*(VLOOKUP(tblSalaries[[#This Row],[Currency]],Sheet3!$A$2:$C$31,3,FALSE))*(VLOOKUP(tblSalaries[[#This Row],[Currency]],Sheet1!$N$4:$Q$186,4,FALSE))</f>
        <v>50000</v>
      </c>
      <c r="G792" s="4">
        <f>IF(Dashboard!$J$5=VLOOKUP(tblSalaries[[#This Row],[Currency]],Sheet3!$A$2:$B$31,2,FALSE),tblSalaries[[#This Row],[clean Salary (in local currency)]],(tblSalaries[[#This Row],[PPP Adjusted  USD]]/VLOOKUP(Dashboard!$J$5,Sheet3!$B$2:$C$31,2,FALSE)))</f>
        <v>50000</v>
      </c>
      <c r="H792" t="s">
        <v>844</v>
      </c>
      <c r="I792" t="s">
        <v>640</v>
      </c>
      <c r="J792" t="s">
        <v>613</v>
      </c>
      <c r="K792" t="s">
        <v>605</v>
      </c>
      <c r="L792" t="s">
        <v>3847</v>
      </c>
    </row>
    <row r="793" spans="2:12" ht="15" customHeight="1">
      <c r="B793" t="s">
        <v>867</v>
      </c>
      <c r="C793">
        <v>50000</v>
      </c>
      <c r="D793" t="s">
        <v>252</v>
      </c>
      <c r="E793">
        <v>50000</v>
      </c>
      <c r="F793" s="3">
        <f>(tblSalaries[[#This Row],[clean Salary (in local currency)]])*(VLOOKUP(tblSalaries[[#This Row],[Currency]],Sheet3!$A$2:$C$31,3,FALSE))*(VLOOKUP(tblSalaries[[#This Row],[Currency]],Sheet1!$N$4:$Q$186,4,FALSE))</f>
        <v>50000</v>
      </c>
      <c r="G793" s="4">
        <f>IF(Dashboard!$J$5=VLOOKUP(tblSalaries[[#This Row],[Currency]],Sheet3!$A$2:$B$31,2,FALSE),tblSalaries[[#This Row],[clean Salary (in local currency)]],(tblSalaries[[#This Row],[PPP Adjusted  USD]]/VLOOKUP(Dashboard!$J$5,Sheet3!$B$2:$C$31,2,FALSE)))</f>
        <v>50000</v>
      </c>
      <c r="H793" t="s">
        <v>868</v>
      </c>
      <c r="I793" t="s">
        <v>640</v>
      </c>
      <c r="J793" t="s">
        <v>613</v>
      </c>
      <c r="K793" t="s">
        <v>605</v>
      </c>
      <c r="L793" t="s">
        <v>3847</v>
      </c>
    </row>
    <row r="794" spans="2:12" ht="15" customHeight="1">
      <c r="B794" t="s">
        <v>919</v>
      </c>
      <c r="C794">
        <v>50000</v>
      </c>
      <c r="D794" t="s">
        <v>252</v>
      </c>
      <c r="E794">
        <v>50000</v>
      </c>
      <c r="F794" s="3">
        <f>(tblSalaries[[#This Row],[clean Salary (in local currency)]])*(VLOOKUP(tblSalaries[[#This Row],[Currency]],Sheet3!$A$2:$C$31,3,FALSE))*(VLOOKUP(tblSalaries[[#This Row],[Currency]],Sheet1!$N$4:$Q$186,4,FALSE))</f>
        <v>50000</v>
      </c>
      <c r="G794" s="4">
        <f>IF(Dashboard!$J$5=VLOOKUP(tblSalaries[[#This Row],[Currency]],Sheet3!$A$2:$B$31,2,FALSE),tblSalaries[[#This Row],[clean Salary (in local currency)]],(tblSalaries[[#This Row],[PPP Adjusted  USD]]/VLOOKUP(Dashboard!$J$5,Sheet3!$B$2:$C$31,2,FALSE)))</f>
        <v>50000</v>
      </c>
      <c r="H794" t="s">
        <v>920</v>
      </c>
      <c r="I794" t="s">
        <v>603</v>
      </c>
      <c r="J794" t="s">
        <v>833</v>
      </c>
      <c r="K794" t="s">
        <v>610</v>
      </c>
      <c r="L794" t="s">
        <v>3847</v>
      </c>
    </row>
    <row r="795" spans="2:12" ht="15" customHeight="1">
      <c r="B795" t="s">
        <v>1027</v>
      </c>
      <c r="C795">
        <v>50000</v>
      </c>
      <c r="D795" t="s">
        <v>252</v>
      </c>
      <c r="E795">
        <v>50000</v>
      </c>
      <c r="F795" s="3">
        <f>(tblSalaries[[#This Row],[clean Salary (in local currency)]])*(VLOOKUP(tblSalaries[[#This Row],[Currency]],Sheet3!$A$2:$C$31,3,FALSE))*(VLOOKUP(tblSalaries[[#This Row],[Currency]],Sheet1!$N$4:$Q$186,4,FALSE))</f>
        <v>50000</v>
      </c>
      <c r="G795" s="4">
        <f>IF(Dashboard!$J$5=VLOOKUP(tblSalaries[[#This Row],[Currency]],Sheet3!$A$2:$B$31,2,FALSE),tblSalaries[[#This Row],[clean Salary (in local currency)]],(tblSalaries[[#This Row],[PPP Adjusted  USD]]/VLOOKUP(Dashboard!$J$5,Sheet3!$B$2:$C$31,2,FALSE)))</f>
        <v>50000</v>
      </c>
      <c r="H795" t="s">
        <v>1028</v>
      </c>
      <c r="I795" t="s">
        <v>625</v>
      </c>
      <c r="J795" t="s">
        <v>613</v>
      </c>
      <c r="K795" t="s">
        <v>605</v>
      </c>
      <c r="L795" t="s">
        <v>3847</v>
      </c>
    </row>
    <row r="796" spans="2:12" ht="15" customHeight="1">
      <c r="B796" t="s">
        <v>1060</v>
      </c>
      <c r="C796">
        <v>50000</v>
      </c>
      <c r="D796" t="s">
        <v>252</v>
      </c>
      <c r="E796">
        <v>50000</v>
      </c>
      <c r="F796" s="3">
        <f>(tblSalaries[[#This Row],[clean Salary (in local currency)]])*(VLOOKUP(tblSalaries[[#This Row],[Currency]],Sheet3!$A$2:$C$31,3,FALSE))*(VLOOKUP(tblSalaries[[#This Row],[Currency]],Sheet1!$N$4:$Q$186,4,FALSE))</f>
        <v>50000</v>
      </c>
      <c r="G796" s="4">
        <f>IF(Dashboard!$J$5=VLOOKUP(tblSalaries[[#This Row],[Currency]],Sheet3!$A$2:$B$31,2,FALSE),tblSalaries[[#This Row],[clean Salary (in local currency)]],(tblSalaries[[#This Row],[PPP Adjusted  USD]]/VLOOKUP(Dashboard!$J$5,Sheet3!$B$2:$C$31,2,FALSE)))</f>
        <v>50000</v>
      </c>
      <c r="H796" t="s">
        <v>889</v>
      </c>
      <c r="I796" t="s">
        <v>625</v>
      </c>
      <c r="J796" t="s">
        <v>613</v>
      </c>
      <c r="K796" t="s">
        <v>605</v>
      </c>
      <c r="L796" t="s">
        <v>3847</v>
      </c>
    </row>
    <row r="797" spans="2:12" ht="15" customHeight="1">
      <c r="B797" t="s">
        <v>1086</v>
      </c>
      <c r="C797">
        <v>50000</v>
      </c>
      <c r="D797" t="s">
        <v>252</v>
      </c>
      <c r="E797">
        <v>50000</v>
      </c>
      <c r="F797" s="3">
        <f>(tblSalaries[[#This Row],[clean Salary (in local currency)]])*(VLOOKUP(tblSalaries[[#This Row],[Currency]],Sheet3!$A$2:$C$31,3,FALSE))*(VLOOKUP(tblSalaries[[#This Row],[Currency]],Sheet1!$N$4:$Q$186,4,FALSE))</f>
        <v>50000</v>
      </c>
      <c r="G797" s="4">
        <f>IF(Dashboard!$J$5=VLOOKUP(tblSalaries[[#This Row],[Currency]],Sheet3!$A$2:$B$31,2,FALSE),tblSalaries[[#This Row],[clean Salary (in local currency)]],(tblSalaries[[#This Row],[PPP Adjusted  USD]]/VLOOKUP(Dashboard!$J$5,Sheet3!$B$2:$C$31,2,FALSE)))</f>
        <v>50000</v>
      </c>
      <c r="H797" t="s">
        <v>910</v>
      </c>
      <c r="I797" t="s">
        <v>603</v>
      </c>
      <c r="J797" t="s">
        <v>613</v>
      </c>
      <c r="K797" t="s">
        <v>610</v>
      </c>
      <c r="L797" t="s">
        <v>3847</v>
      </c>
    </row>
    <row r="798" spans="2:12" ht="15" customHeight="1">
      <c r="B798" t="s">
        <v>1177</v>
      </c>
      <c r="C798">
        <v>50000</v>
      </c>
      <c r="D798" t="s">
        <v>252</v>
      </c>
      <c r="E798">
        <v>50000</v>
      </c>
      <c r="F798" s="3">
        <f>(tblSalaries[[#This Row],[clean Salary (in local currency)]])*(VLOOKUP(tblSalaries[[#This Row],[Currency]],Sheet3!$A$2:$C$31,3,FALSE))*(VLOOKUP(tblSalaries[[#This Row],[Currency]],Sheet1!$N$4:$Q$186,4,FALSE))</f>
        <v>50000</v>
      </c>
      <c r="G798" s="4">
        <f>IF(Dashboard!$J$5=VLOOKUP(tblSalaries[[#This Row],[Currency]],Sheet3!$A$2:$B$31,2,FALSE),tblSalaries[[#This Row],[clean Salary (in local currency)]],(tblSalaries[[#This Row],[PPP Adjusted  USD]]/VLOOKUP(Dashboard!$J$5,Sheet3!$B$2:$C$31,2,FALSE)))</f>
        <v>50000</v>
      </c>
      <c r="H798" t="s">
        <v>1178</v>
      </c>
      <c r="I798" t="s">
        <v>603</v>
      </c>
      <c r="J798" t="s">
        <v>613</v>
      </c>
      <c r="K798" t="s">
        <v>610</v>
      </c>
      <c r="L798" t="s">
        <v>3847</v>
      </c>
    </row>
    <row r="799" spans="2:12" ht="15" customHeight="1">
      <c r="B799" t="s">
        <v>1247</v>
      </c>
      <c r="C799">
        <v>50000</v>
      </c>
      <c r="D799" t="s">
        <v>252</v>
      </c>
      <c r="E799">
        <v>50000</v>
      </c>
      <c r="F799" s="3">
        <f>(tblSalaries[[#This Row],[clean Salary (in local currency)]])*(VLOOKUP(tblSalaries[[#This Row],[Currency]],Sheet3!$A$2:$C$31,3,FALSE))*(VLOOKUP(tblSalaries[[#This Row],[Currency]],Sheet1!$N$4:$Q$186,4,FALSE))</f>
        <v>50000</v>
      </c>
      <c r="G799" s="4">
        <f>IF(Dashboard!$J$5=VLOOKUP(tblSalaries[[#This Row],[Currency]],Sheet3!$A$2:$B$31,2,FALSE),tblSalaries[[#This Row],[clean Salary (in local currency)]],(tblSalaries[[#This Row],[PPP Adjusted  USD]]/VLOOKUP(Dashboard!$J$5,Sheet3!$B$2:$C$31,2,FALSE)))</f>
        <v>50000</v>
      </c>
      <c r="H799" t="s">
        <v>1248</v>
      </c>
      <c r="I799" t="s">
        <v>603</v>
      </c>
      <c r="J799" t="s">
        <v>613</v>
      </c>
      <c r="K799" t="s">
        <v>610</v>
      </c>
      <c r="L799" t="s">
        <v>3847</v>
      </c>
    </row>
    <row r="800" spans="2:12" ht="15" customHeight="1">
      <c r="B800" t="s">
        <v>1349</v>
      </c>
      <c r="C800">
        <v>50000</v>
      </c>
      <c r="D800" t="s">
        <v>252</v>
      </c>
      <c r="E800">
        <v>50000</v>
      </c>
      <c r="F800" s="3">
        <f>(tblSalaries[[#This Row],[clean Salary (in local currency)]])*(VLOOKUP(tblSalaries[[#This Row],[Currency]],Sheet3!$A$2:$C$31,3,FALSE))*(VLOOKUP(tblSalaries[[#This Row],[Currency]],Sheet1!$N$4:$Q$186,4,FALSE))</f>
        <v>50000</v>
      </c>
      <c r="G800" s="4">
        <f>IF(Dashboard!$J$5=VLOOKUP(tblSalaries[[#This Row],[Currency]],Sheet3!$A$2:$B$31,2,FALSE),tblSalaries[[#This Row],[clean Salary (in local currency)]],(tblSalaries[[#This Row],[PPP Adjusted  USD]]/VLOOKUP(Dashboard!$J$5,Sheet3!$B$2:$C$31,2,FALSE)))</f>
        <v>50000</v>
      </c>
      <c r="H800" t="s">
        <v>1350</v>
      </c>
      <c r="I800" t="s">
        <v>625</v>
      </c>
      <c r="J800" t="s">
        <v>613</v>
      </c>
      <c r="K800" t="s">
        <v>617</v>
      </c>
      <c r="L800" t="s">
        <v>3847</v>
      </c>
    </row>
    <row r="801" spans="2:12" ht="15" customHeight="1">
      <c r="B801" t="s">
        <v>1458</v>
      </c>
      <c r="C801">
        <v>50000</v>
      </c>
      <c r="D801" t="s">
        <v>252</v>
      </c>
      <c r="E801">
        <v>50000</v>
      </c>
      <c r="F801" s="3">
        <f>(tblSalaries[[#This Row],[clean Salary (in local currency)]])*(VLOOKUP(tblSalaries[[#This Row],[Currency]],Sheet3!$A$2:$C$31,3,FALSE))*(VLOOKUP(tblSalaries[[#This Row],[Currency]],Sheet1!$N$4:$Q$186,4,FALSE))</f>
        <v>50000</v>
      </c>
      <c r="G801" s="4">
        <f>IF(Dashboard!$J$5=VLOOKUP(tblSalaries[[#This Row],[Currency]],Sheet3!$A$2:$B$31,2,FALSE),tblSalaries[[#This Row],[clean Salary (in local currency)]],(tblSalaries[[#This Row],[PPP Adjusted  USD]]/VLOOKUP(Dashboard!$J$5,Sheet3!$B$2:$C$31,2,FALSE)))</f>
        <v>50000</v>
      </c>
      <c r="H801" t="s">
        <v>1459</v>
      </c>
      <c r="I801" t="s">
        <v>603</v>
      </c>
      <c r="J801" t="s">
        <v>613</v>
      </c>
      <c r="K801" t="s">
        <v>605</v>
      </c>
      <c r="L801" t="s">
        <v>3847</v>
      </c>
    </row>
    <row r="802" spans="2:12" ht="15" customHeight="1">
      <c r="B802" t="s">
        <v>1496</v>
      </c>
      <c r="C802">
        <v>50000</v>
      </c>
      <c r="D802" t="s">
        <v>252</v>
      </c>
      <c r="E802">
        <v>50000</v>
      </c>
      <c r="F802" s="3">
        <f>(tblSalaries[[#This Row],[clean Salary (in local currency)]])*(VLOOKUP(tblSalaries[[#This Row],[Currency]],Sheet3!$A$2:$C$31,3,FALSE))*(VLOOKUP(tblSalaries[[#This Row],[Currency]],Sheet1!$N$4:$Q$186,4,FALSE))</f>
        <v>50000</v>
      </c>
      <c r="G802" s="4">
        <f>IF(Dashboard!$J$5=VLOOKUP(tblSalaries[[#This Row],[Currency]],Sheet3!$A$2:$B$31,2,FALSE),tblSalaries[[#This Row],[clean Salary (in local currency)]],(tblSalaries[[#This Row],[PPP Adjusted  USD]]/VLOOKUP(Dashboard!$J$5,Sheet3!$B$2:$C$31,2,FALSE)))</f>
        <v>50000</v>
      </c>
      <c r="H802" t="s">
        <v>1497</v>
      </c>
      <c r="I802" t="s">
        <v>603</v>
      </c>
      <c r="J802" t="s">
        <v>613</v>
      </c>
      <c r="K802" t="s">
        <v>605</v>
      </c>
      <c r="L802" t="s">
        <v>3847</v>
      </c>
    </row>
    <row r="803" spans="2:12" ht="15" customHeight="1">
      <c r="B803" t="s">
        <v>1524</v>
      </c>
      <c r="C803">
        <v>50000</v>
      </c>
      <c r="D803" t="s">
        <v>252</v>
      </c>
      <c r="E803">
        <v>50000</v>
      </c>
      <c r="F803" s="3">
        <f>(tblSalaries[[#This Row],[clean Salary (in local currency)]])*(VLOOKUP(tblSalaries[[#This Row],[Currency]],Sheet3!$A$2:$C$31,3,FALSE))*(VLOOKUP(tblSalaries[[#This Row],[Currency]],Sheet1!$N$4:$Q$186,4,FALSE))</f>
        <v>50000</v>
      </c>
      <c r="G803" s="4">
        <f>IF(Dashboard!$J$5=VLOOKUP(tblSalaries[[#This Row],[Currency]],Sheet3!$A$2:$B$31,2,FALSE),tblSalaries[[#This Row],[clean Salary (in local currency)]],(tblSalaries[[#This Row],[PPP Adjusted  USD]]/VLOOKUP(Dashboard!$J$5,Sheet3!$B$2:$C$31,2,FALSE)))</f>
        <v>50000</v>
      </c>
      <c r="H803" t="s">
        <v>1525</v>
      </c>
      <c r="I803" t="s">
        <v>603</v>
      </c>
      <c r="J803" t="s">
        <v>613</v>
      </c>
      <c r="K803" t="s">
        <v>605</v>
      </c>
      <c r="L803" t="s">
        <v>3847</v>
      </c>
    </row>
    <row r="804" spans="2:12" ht="15" customHeight="1">
      <c r="B804" t="s">
        <v>1608</v>
      </c>
      <c r="C804">
        <v>50000</v>
      </c>
      <c r="D804" t="s">
        <v>252</v>
      </c>
      <c r="E804">
        <v>50000</v>
      </c>
      <c r="F804" s="3">
        <f>(tblSalaries[[#This Row],[clean Salary (in local currency)]])*(VLOOKUP(tblSalaries[[#This Row],[Currency]],Sheet3!$A$2:$C$31,3,FALSE))*(VLOOKUP(tblSalaries[[#This Row],[Currency]],Sheet1!$N$4:$Q$186,4,FALSE))</f>
        <v>50000</v>
      </c>
      <c r="G804" s="4">
        <f>IF(Dashboard!$J$5=VLOOKUP(tblSalaries[[#This Row],[Currency]],Sheet3!$A$2:$B$31,2,FALSE),tblSalaries[[#This Row],[clean Salary (in local currency)]],(tblSalaries[[#This Row],[PPP Adjusted  USD]]/VLOOKUP(Dashboard!$J$5,Sheet3!$B$2:$C$31,2,FALSE)))</f>
        <v>50000</v>
      </c>
      <c r="H804" t="s">
        <v>1609</v>
      </c>
      <c r="I804" t="s">
        <v>603</v>
      </c>
      <c r="J804" t="s">
        <v>613</v>
      </c>
      <c r="K804" t="s">
        <v>617</v>
      </c>
      <c r="L804" t="s">
        <v>3847</v>
      </c>
    </row>
    <row r="805" spans="2:12" ht="15" customHeight="1">
      <c r="B805" t="s">
        <v>1612</v>
      </c>
      <c r="C805">
        <v>50000</v>
      </c>
      <c r="D805" t="s">
        <v>252</v>
      </c>
      <c r="E805">
        <v>50000</v>
      </c>
      <c r="F805" s="3">
        <f>(tblSalaries[[#This Row],[clean Salary (in local currency)]])*(VLOOKUP(tblSalaries[[#This Row],[Currency]],Sheet3!$A$2:$C$31,3,FALSE))*(VLOOKUP(tblSalaries[[#This Row],[Currency]],Sheet1!$N$4:$Q$186,4,FALSE))</f>
        <v>50000</v>
      </c>
      <c r="G805" s="4">
        <f>IF(Dashboard!$J$5=VLOOKUP(tblSalaries[[#This Row],[Currency]],Sheet3!$A$2:$B$31,2,FALSE),tblSalaries[[#This Row],[clean Salary (in local currency)]],(tblSalaries[[#This Row],[PPP Adjusted  USD]]/VLOOKUP(Dashboard!$J$5,Sheet3!$B$2:$C$31,2,FALSE)))</f>
        <v>50000</v>
      </c>
      <c r="H805" t="s">
        <v>1613</v>
      </c>
      <c r="I805" t="s">
        <v>603</v>
      </c>
      <c r="J805" t="s">
        <v>1614</v>
      </c>
      <c r="K805" t="s">
        <v>605</v>
      </c>
      <c r="L805" t="s">
        <v>3847</v>
      </c>
    </row>
    <row r="806" spans="2:12" ht="15" customHeight="1">
      <c r="B806" t="s">
        <v>1629</v>
      </c>
      <c r="C806">
        <v>50000</v>
      </c>
      <c r="D806" t="s">
        <v>252</v>
      </c>
      <c r="E806">
        <v>50000</v>
      </c>
      <c r="F806" s="3">
        <f>(tblSalaries[[#This Row],[clean Salary (in local currency)]])*(VLOOKUP(tblSalaries[[#This Row],[Currency]],Sheet3!$A$2:$C$31,3,FALSE))*(VLOOKUP(tblSalaries[[#This Row],[Currency]],Sheet1!$N$4:$Q$186,4,FALSE))</f>
        <v>50000</v>
      </c>
      <c r="G806" s="4">
        <f>IF(Dashboard!$J$5=VLOOKUP(tblSalaries[[#This Row],[Currency]],Sheet3!$A$2:$B$31,2,FALSE),tblSalaries[[#This Row],[clean Salary (in local currency)]],(tblSalaries[[#This Row],[PPP Adjusted  USD]]/VLOOKUP(Dashboard!$J$5,Sheet3!$B$2:$C$31,2,FALSE)))</f>
        <v>50000</v>
      </c>
      <c r="H806" t="s">
        <v>1630</v>
      </c>
      <c r="I806" t="s">
        <v>625</v>
      </c>
      <c r="J806" t="s">
        <v>613</v>
      </c>
      <c r="K806" t="s">
        <v>605</v>
      </c>
      <c r="L806" t="s">
        <v>3847</v>
      </c>
    </row>
    <row r="807" spans="2:12" ht="15" customHeight="1">
      <c r="B807" t="s">
        <v>1680</v>
      </c>
      <c r="C807">
        <v>50000</v>
      </c>
      <c r="D807" t="s">
        <v>252</v>
      </c>
      <c r="E807">
        <v>50000</v>
      </c>
      <c r="F807" s="3">
        <f>(tblSalaries[[#This Row],[clean Salary (in local currency)]])*(VLOOKUP(tblSalaries[[#This Row],[Currency]],Sheet3!$A$2:$C$31,3,FALSE))*(VLOOKUP(tblSalaries[[#This Row],[Currency]],Sheet1!$N$4:$Q$186,4,FALSE))</f>
        <v>50000</v>
      </c>
      <c r="G807" s="4">
        <f>IF(Dashboard!$J$5=VLOOKUP(tblSalaries[[#This Row],[Currency]],Sheet3!$A$2:$B$31,2,FALSE),tblSalaries[[#This Row],[clean Salary (in local currency)]],(tblSalaries[[#This Row],[PPP Adjusted  USD]]/VLOOKUP(Dashboard!$J$5,Sheet3!$B$2:$C$31,2,FALSE)))</f>
        <v>50000</v>
      </c>
      <c r="H807" t="s">
        <v>1647</v>
      </c>
      <c r="I807" t="s">
        <v>640</v>
      </c>
      <c r="J807" t="s">
        <v>613</v>
      </c>
      <c r="K807" t="s">
        <v>617</v>
      </c>
      <c r="L807">
        <v>10</v>
      </c>
    </row>
    <row r="808" spans="2:12" ht="15" customHeight="1">
      <c r="B808" t="s">
        <v>1708</v>
      </c>
      <c r="C808">
        <v>50000</v>
      </c>
      <c r="D808" t="s">
        <v>252</v>
      </c>
      <c r="E808">
        <v>50000</v>
      </c>
      <c r="F808" s="3">
        <f>(tblSalaries[[#This Row],[clean Salary (in local currency)]])*(VLOOKUP(tblSalaries[[#This Row],[Currency]],Sheet3!$A$2:$C$31,3,FALSE))*(VLOOKUP(tblSalaries[[#This Row],[Currency]],Sheet1!$N$4:$Q$186,4,FALSE))</f>
        <v>50000</v>
      </c>
      <c r="G808" s="4">
        <f>IF(Dashboard!$J$5=VLOOKUP(tblSalaries[[#This Row],[Currency]],Sheet3!$A$2:$B$31,2,FALSE),tblSalaries[[#This Row],[clean Salary (in local currency)]],(tblSalaries[[#This Row],[PPP Adjusted  USD]]/VLOOKUP(Dashboard!$J$5,Sheet3!$B$2:$C$31,2,FALSE)))</f>
        <v>50000</v>
      </c>
      <c r="H808" t="s">
        <v>1709</v>
      </c>
      <c r="I808" t="s">
        <v>625</v>
      </c>
      <c r="J808" t="s">
        <v>604</v>
      </c>
      <c r="K808" t="s">
        <v>627</v>
      </c>
      <c r="L808">
        <v>25</v>
      </c>
    </row>
    <row r="809" spans="2:12" ht="15" customHeight="1">
      <c r="B809" t="s">
        <v>1718</v>
      </c>
      <c r="C809">
        <v>50000</v>
      </c>
      <c r="D809" t="s">
        <v>252</v>
      </c>
      <c r="E809">
        <v>50000</v>
      </c>
      <c r="F809" s="3">
        <f>(tblSalaries[[#This Row],[clean Salary (in local currency)]])*(VLOOKUP(tblSalaries[[#This Row],[Currency]],Sheet3!$A$2:$C$31,3,FALSE))*(VLOOKUP(tblSalaries[[#This Row],[Currency]],Sheet1!$N$4:$Q$186,4,FALSE))</f>
        <v>50000</v>
      </c>
      <c r="G809" s="4">
        <f>IF(Dashboard!$J$5=VLOOKUP(tblSalaries[[#This Row],[Currency]],Sheet3!$A$2:$B$31,2,FALSE),tblSalaries[[#This Row],[clean Salary (in local currency)]],(tblSalaries[[#This Row],[PPP Adjusted  USD]]/VLOOKUP(Dashboard!$J$5,Sheet3!$B$2:$C$31,2,FALSE)))</f>
        <v>50000</v>
      </c>
      <c r="H809" t="s">
        <v>1719</v>
      </c>
      <c r="I809" t="s">
        <v>625</v>
      </c>
      <c r="J809" t="s">
        <v>604</v>
      </c>
      <c r="K809" t="s">
        <v>627</v>
      </c>
      <c r="L809">
        <v>10</v>
      </c>
    </row>
    <row r="810" spans="2:12" ht="15" customHeight="1">
      <c r="B810" t="s">
        <v>1751</v>
      </c>
      <c r="C810">
        <v>50000</v>
      </c>
      <c r="D810" t="s">
        <v>252</v>
      </c>
      <c r="E810">
        <v>50000</v>
      </c>
      <c r="F810" s="3">
        <f>(tblSalaries[[#This Row],[clean Salary (in local currency)]])*(VLOOKUP(tblSalaries[[#This Row],[Currency]],Sheet3!$A$2:$C$31,3,FALSE))*(VLOOKUP(tblSalaries[[#This Row],[Currency]],Sheet1!$N$4:$Q$186,4,FALSE))</f>
        <v>50000</v>
      </c>
      <c r="G810" s="4">
        <f>IF(Dashboard!$J$5=VLOOKUP(tblSalaries[[#This Row],[Currency]],Sheet3!$A$2:$B$31,2,FALSE),tblSalaries[[#This Row],[clean Salary (in local currency)]],(tblSalaries[[#This Row],[PPP Adjusted  USD]]/VLOOKUP(Dashboard!$J$5,Sheet3!$B$2:$C$31,2,FALSE)))</f>
        <v>50000</v>
      </c>
      <c r="H810" t="s">
        <v>1752</v>
      </c>
      <c r="I810" t="s">
        <v>625</v>
      </c>
      <c r="J810" t="s">
        <v>613</v>
      </c>
      <c r="K810" t="s">
        <v>605</v>
      </c>
      <c r="L810">
        <v>20</v>
      </c>
    </row>
    <row r="811" spans="2:12" ht="15" customHeight="1">
      <c r="B811" t="s">
        <v>1856</v>
      </c>
      <c r="C811">
        <v>50000</v>
      </c>
      <c r="D811" t="s">
        <v>252</v>
      </c>
      <c r="E811">
        <v>50000</v>
      </c>
      <c r="F811" s="3">
        <f>(tblSalaries[[#This Row],[clean Salary (in local currency)]])*(VLOOKUP(tblSalaries[[#This Row],[Currency]],Sheet3!$A$2:$C$31,3,FALSE))*(VLOOKUP(tblSalaries[[#This Row],[Currency]],Sheet1!$N$4:$Q$186,4,FALSE))</f>
        <v>50000</v>
      </c>
      <c r="G811" s="4">
        <f>IF(Dashboard!$J$5=VLOOKUP(tblSalaries[[#This Row],[Currency]],Sheet3!$A$2:$B$31,2,FALSE),tblSalaries[[#This Row],[clean Salary (in local currency)]],(tblSalaries[[#This Row],[PPP Adjusted  USD]]/VLOOKUP(Dashboard!$J$5,Sheet3!$B$2:$C$31,2,FALSE)))</f>
        <v>50000</v>
      </c>
      <c r="H811" t="s">
        <v>1857</v>
      </c>
      <c r="I811" t="s">
        <v>625</v>
      </c>
      <c r="J811" t="s">
        <v>604</v>
      </c>
      <c r="K811" t="s">
        <v>617</v>
      </c>
      <c r="L811">
        <v>20</v>
      </c>
    </row>
    <row r="812" spans="2:12" ht="15" customHeight="1">
      <c r="B812" t="s">
        <v>2155</v>
      </c>
      <c r="C812">
        <v>50000</v>
      </c>
      <c r="D812" t="s">
        <v>252</v>
      </c>
      <c r="E812">
        <v>50000</v>
      </c>
      <c r="F812" s="3">
        <f>(tblSalaries[[#This Row],[clean Salary (in local currency)]])*(VLOOKUP(tblSalaries[[#This Row],[Currency]],Sheet3!$A$2:$C$31,3,FALSE))*(VLOOKUP(tblSalaries[[#This Row],[Currency]],Sheet1!$N$4:$Q$186,4,FALSE))</f>
        <v>50000</v>
      </c>
      <c r="G812" s="4">
        <f>IF(Dashboard!$J$5=VLOOKUP(tblSalaries[[#This Row],[Currency]],Sheet3!$A$2:$B$31,2,FALSE),tblSalaries[[#This Row],[clean Salary (in local currency)]],(tblSalaries[[#This Row],[PPP Adjusted  USD]]/VLOOKUP(Dashboard!$J$5,Sheet3!$B$2:$C$31,2,FALSE)))</f>
        <v>50000</v>
      </c>
      <c r="H812" t="s">
        <v>2156</v>
      </c>
      <c r="I812" t="s">
        <v>633</v>
      </c>
      <c r="J812" t="s">
        <v>613</v>
      </c>
      <c r="K812" t="s">
        <v>610</v>
      </c>
      <c r="L812">
        <v>15</v>
      </c>
    </row>
    <row r="813" spans="2:12" ht="15" customHeight="1">
      <c r="B813" t="s">
        <v>2473</v>
      </c>
      <c r="C813">
        <v>50000</v>
      </c>
      <c r="D813" t="s">
        <v>252</v>
      </c>
      <c r="E813">
        <v>50000</v>
      </c>
      <c r="F813" s="3">
        <f>(tblSalaries[[#This Row],[clean Salary (in local currency)]])*(VLOOKUP(tblSalaries[[#This Row],[Currency]],Sheet3!$A$2:$C$31,3,FALSE))*(VLOOKUP(tblSalaries[[#This Row],[Currency]],Sheet1!$N$4:$Q$186,4,FALSE))</f>
        <v>50000</v>
      </c>
      <c r="G813" s="4">
        <f>IF(Dashboard!$J$5=VLOOKUP(tblSalaries[[#This Row],[Currency]],Sheet3!$A$2:$B$31,2,FALSE),tblSalaries[[#This Row],[clean Salary (in local currency)]],(tblSalaries[[#This Row],[PPP Adjusted  USD]]/VLOOKUP(Dashboard!$J$5,Sheet3!$B$2:$C$31,2,FALSE)))</f>
        <v>50000</v>
      </c>
      <c r="H813" t="s">
        <v>1533</v>
      </c>
      <c r="I813" t="s">
        <v>633</v>
      </c>
      <c r="J813" t="s">
        <v>604</v>
      </c>
      <c r="K813" t="s">
        <v>627</v>
      </c>
      <c r="L813">
        <v>26</v>
      </c>
    </row>
    <row r="814" spans="2:12" ht="15" customHeight="1">
      <c r="B814" t="s">
        <v>2501</v>
      </c>
      <c r="C814">
        <v>50000</v>
      </c>
      <c r="D814" t="s">
        <v>252</v>
      </c>
      <c r="E814">
        <v>50000</v>
      </c>
      <c r="F814" s="3">
        <f>(tblSalaries[[#This Row],[clean Salary (in local currency)]])*(VLOOKUP(tblSalaries[[#This Row],[Currency]],Sheet3!$A$2:$C$31,3,FALSE))*(VLOOKUP(tblSalaries[[#This Row],[Currency]],Sheet1!$N$4:$Q$186,4,FALSE))</f>
        <v>50000</v>
      </c>
      <c r="G814" s="4">
        <f>IF(Dashboard!$J$5=VLOOKUP(tblSalaries[[#This Row],[Currency]],Sheet3!$A$2:$B$31,2,FALSE),tblSalaries[[#This Row],[clean Salary (in local currency)]],(tblSalaries[[#This Row],[PPP Adjusted  USD]]/VLOOKUP(Dashboard!$J$5,Sheet3!$B$2:$C$31,2,FALSE)))</f>
        <v>50000</v>
      </c>
      <c r="H814" t="s">
        <v>2502</v>
      </c>
      <c r="I814" t="s">
        <v>625</v>
      </c>
      <c r="J814" t="s">
        <v>604</v>
      </c>
      <c r="K814" t="s">
        <v>617</v>
      </c>
      <c r="L814">
        <v>30</v>
      </c>
    </row>
    <row r="815" spans="2:12" ht="15" customHeight="1">
      <c r="B815" t="s">
        <v>2636</v>
      </c>
      <c r="C815">
        <v>50000</v>
      </c>
      <c r="D815" t="s">
        <v>252</v>
      </c>
      <c r="E815">
        <v>50000</v>
      </c>
      <c r="F815" s="3">
        <f>(tblSalaries[[#This Row],[clean Salary (in local currency)]])*(VLOOKUP(tblSalaries[[#This Row],[Currency]],Sheet3!$A$2:$C$31,3,FALSE))*(VLOOKUP(tblSalaries[[#This Row],[Currency]],Sheet1!$N$4:$Q$186,4,FALSE))</f>
        <v>50000</v>
      </c>
      <c r="G815" s="4">
        <f>IF(Dashboard!$J$5=VLOOKUP(tblSalaries[[#This Row],[Currency]],Sheet3!$A$2:$B$31,2,FALSE),tblSalaries[[#This Row],[clean Salary (in local currency)]],(tblSalaries[[#This Row],[PPP Adjusted  USD]]/VLOOKUP(Dashboard!$J$5,Sheet3!$B$2:$C$31,2,FALSE)))</f>
        <v>50000</v>
      </c>
      <c r="H815" t="s">
        <v>1487</v>
      </c>
      <c r="I815" t="s">
        <v>625</v>
      </c>
      <c r="J815" t="s">
        <v>708</v>
      </c>
      <c r="K815" t="s">
        <v>627</v>
      </c>
      <c r="L815">
        <v>5</v>
      </c>
    </row>
    <row r="816" spans="2:12" ht="15" customHeight="1">
      <c r="B816" t="s">
        <v>2659</v>
      </c>
      <c r="C816">
        <v>50000</v>
      </c>
      <c r="D816" t="s">
        <v>252</v>
      </c>
      <c r="E816">
        <v>50000</v>
      </c>
      <c r="F816" s="3">
        <f>(tblSalaries[[#This Row],[clean Salary (in local currency)]])*(VLOOKUP(tblSalaries[[#This Row],[Currency]],Sheet3!$A$2:$C$31,3,FALSE))*(VLOOKUP(tblSalaries[[#This Row],[Currency]],Sheet1!$N$4:$Q$186,4,FALSE))</f>
        <v>50000</v>
      </c>
      <c r="G816" s="4">
        <f>IF(Dashboard!$J$5=VLOOKUP(tblSalaries[[#This Row],[Currency]],Sheet3!$A$2:$B$31,2,FALSE),tblSalaries[[#This Row],[clean Salary (in local currency)]],(tblSalaries[[#This Row],[PPP Adjusted  USD]]/VLOOKUP(Dashboard!$J$5,Sheet3!$B$2:$C$31,2,FALSE)))</f>
        <v>50000</v>
      </c>
      <c r="H816" t="s">
        <v>620</v>
      </c>
      <c r="I816" t="s">
        <v>620</v>
      </c>
      <c r="J816" t="s">
        <v>1035</v>
      </c>
      <c r="K816" t="s">
        <v>617</v>
      </c>
      <c r="L816">
        <v>25</v>
      </c>
    </row>
    <row r="817" spans="2:12" ht="15" customHeight="1">
      <c r="B817" t="s">
        <v>2820</v>
      </c>
      <c r="C817">
        <v>50000</v>
      </c>
      <c r="D817" t="s">
        <v>252</v>
      </c>
      <c r="E817">
        <v>50000</v>
      </c>
      <c r="F817" s="3">
        <f>(tblSalaries[[#This Row],[clean Salary (in local currency)]])*(VLOOKUP(tblSalaries[[#This Row],[Currency]],Sheet3!$A$2:$C$31,3,FALSE))*(VLOOKUP(tblSalaries[[#This Row],[Currency]],Sheet1!$N$4:$Q$186,4,FALSE))</f>
        <v>50000</v>
      </c>
      <c r="G817" s="4">
        <f>IF(Dashboard!$J$5=VLOOKUP(tblSalaries[[#This Row],[Currency]],Sheet3!$A$2:$B$31,2,FALSE),tblSalaries[[#This Row],[clean Salary (in local currency)]],(tblSalaries[[#This Row],[PPP Adjusted  USD]]/VLOOKUP(Dashboard!$J$5,Sheet3!$B$2:$C$31,2,FALSE)))</f>
        <v>50000</v>
      </c>
      <c r="H817" t="s">
        <v>811</v>
      </c>
      <c r="I817" t="s">
        <v>603</v>
      </c>
      <c r="J817" t="s">
        <v>613</v>
      </c>
      <c r="K817" t="s">
        <v>605</v>
      </c>
      <c r="L817">
        <v>3</v>
      </c>
    </row>
    <row r="818" spans="2:12" ht="15" customHeight="1">
      <c r="B818" t="s">
        <v>2971</v>
      </c>
      <c r="C818">
        <v>50000</v>
      </c>
      <c r="D818" t="s">
        <v>252</v>
      </c>
      <c r="E818">
        <v>50000</v>
      </c>
      <c r="F818" s="3">
        <f>(tblSalaries[[#This Row],[clean Salary (in local currency)]])*(VLOOKUP(tblSalaries[[#This Row],[Currency]],Sheet3!$A$2:$C$31,3,FALSE))*(VLOOKUP(tblSalaries[[#This Row],[Currency]],Sheet1!$N$4:$Q$186,4,FALSE))</f>
        <v>50000</v>
      </c>
      <c r="G818" s="4">
        <f>IF(Dashboard!$J$5=VLOOKUP(tblSalaries[[#This Row],[Currency]],Sheet3!$A$2:$B$31,2,FALSE),tblSalaries[[#This Row],[clean Salary (in local currency)]],(tblSalaries[[#This Row],[PPP Adjusted  USD]]/VLOOKUP(Dashboard!$J$5,Sheet3!$B$2:$C$31,2,FALSE)))</f>
        <v>50000</v>
      </c>
      <c r="H818" t="s">
        <v>2972</v>
      </c>
      <c r="I818" t="s">
        <v>620</v>
      </c>
      <c r="J818" t="s">
        <v>613</v>
      </c>
      <c r="K818" t="s">
        <v>605</v>
      </c>
      <c r="L818">
        <v>0.5</v>
      </c>
    </row>
    <row r="819" spans="2:12" ht="15" customHeight="1">
      <c r="B819" t="s">
        <v>3036</v>
      </c>
      <c r="C819">
        <v>50000</v>
      </c>
      <c r="D819" t="s">
        <v>252</v>
      </c>
      <c r="E819">
        <v>50000</v>
      </c>
      <c r="F819" s="3">
        <f>(tblSalaries[[#This Row],[clean Salary (in local currency)]])*(VLOOKUP(tblSalaries[[#This Row],[Currency]],Sheet3!$A$2:$C$31,3,FALSE))*(VLOOKUP(tblSalaries[[#This Row],[Currency]],Sheet1!$N$4:$Q$186,4,FALSE))</f>
        <v>50000</v>
      </c>
      <c r="G819" s="4">
        <f>IF(Dashboard!$J$5=VLOOKUP(tblSalaries[[#This Row],[Currency]],Sheet3!$A$2:$B$31,2,FALSE),tblSalaries[[#This Row],[clean Salary (in local currency)]],(tblSalaries[[#This Row],[PPP Adjusted  USD]]/VLOOKUP(Dashboard!$J$5,Sheet3!$B$2:$C$31,2,FALSE)))</f>
        <v>50000</v>
      </c>
      <c r="H819" t="s">
        <v>3037</v>
      </c>
      <c r="I819" t="s">
        <v>637</v>
      </c>
      <c r="J819" t="s">
        <v>613</v>
      </c>
      <c r="K819" t="s">
        <v>605</v>
      </c>
      <c r="L819">
        <v>15</v>
      </c>
    </row>
    <row r="820" spans="2:12" ht="15" customHeight="1">
      <c r="B820" t="s">
        <v>3051</v>
      </c>
      <c r="C820">
        <v>50000</v>
      </c>
      <c r="D820" t="s">
        <v>252</v>
      </c>
      <c r="E820">
        <v>50000</v>
      </c>
      <c r="F820" s="3">
        <f>(tblSalaries[[#This Row],[clean Salary (in local currency)]])*(VLOOKUP(tblSalaries[[#This Row],[Currency]],Sheet3!$A$2:$C$31,3,FALSE))*(VLOOKUP(tblSalaries[[#This Row],[Currency]],Sheet1!$N$4:$Q$186,4,FALSE))</f>
        <v>50000</v>
      </c>
      <c r="G820" s="4">
        <f>IF(Dashboard!$J$5=VLOOKUP(tblSalaries[[#This Row],[Currency]],Sheet3!$A$2:$B$31,2,FALSE),tblSalaries[[#This Row],[clean Salary (in local currency)]],(tblSalaries[[#This Row],[PPP Adjusted  USD]]/VLOOKUP(Dashboard!$J$5,Sheet3!$B$2:$C$31,2,FALSE)))</f>
        <v>50000</v>
      </c>
      <c r="H820" t="s">
        <v>3052</v>
      </c>
      <c r="I820" t="s">
        <v>603</v>
      </c>
      <c r="J820" t="s">
        <v>613</v>
      </c>
      <c r="K820" t="s">
        <v>605</v>
      </c>
      <c r="L820">
        <v>7</v>
      </c>
    </row>
    <row r="821" spans="2:12" ht="15" customHeight="1">
      <c r="B821" t="s">
        <v>3157</v>
      </c>
      <c r="C821">
        <v>50000</v>
      </c>
      <c r="D821" t="s">
        <v>252</v>
      </c>
      <c r="E821">
        <v>50000</v>
      </c>
      <c r="F821" s="3">
        <f>(tblSalaries[[#This Row],[clean Salary (in local currency)]])*(VLOOKUP(tblSalaries[[#This Row],[Currency]],Sheet3!$A$2:$C$31,3,FALSE))*(VLOOKUP(tblSalaries[[#This Row],[Currency]],Sheet1!$N$4:$Q$186,4,FALSE))</f>
        <v>50000</v>
      </c>
      <c r="G821" s="4">
        <f>IF(Dashboard!$J$5=VLOOKUP(tblSalaries[[#This Row],[Currency]],Sheet3!$A$2:$B$31,2,FALSE),tblSalaries[[#This Row],[clean Salary (in local currency)]],(tblSalaries[[#This Row],[PPP Adjusted  USD]]/VLOOKUP(Dashboard!$J$5,Sheet3!$B$2:$C$31,2,FALSE)))</f>
        <v>50000</v>
      </c>
      <c r="H821" t="s">
        <v>1026</v>
      </c>
      <c r="I821" t="s">
        <v>603</v>
      </c>
      <c r="J821" t="s">
        <v>2424</v>
      </c>
      <c r="K821" t="s">
        <v>605</v>
      </c>
      <c r="L821">
        <v>13</v>
      </c>
    </row>
    <row r="822" spans="2:12" ht="15" customHeight="1">
      <c r="B822" t="s">
        <v>3300</v>
      </c>
      <c r="C822">
        <v>50000</v>
      </c>
      <c r="D822" t="s">
        <v>252</v>
      </c>
      <c r="E822">
        <v>50000</v>
      </c>
      <c r="F822" s="3">
        <f>(tblSalaries[[#This Row],[clean Salary (in local currency)]])*(VLOOKUP(tblSalaries[[#This Row],[Currency]],Sheet3!$A$2:$C$31,3,FALSE))*(VLOOKUP(tblSalaries[[#This Row],[Currency]],Sheet1!$N$4:$Q$186,4,FALSE))</f>
        <v>50000</v>
      </c>
      <c r="G822" s="4">
        <f>IF(Dashboard!$J$5=VLOOKUP(tblSalaries[[#This Row],[Currency]],Sheet3!$A$2:$B$31,2,FALSE),tblSalaries[[#This Row],[clean Salary (in local currency)]],(tblSalaries[[#This Row],[PPP Adjusted  USD]]/VLOOKUP(Dashboard!$J$5,Sheet3!$B$2:$C$31,2,FALSE)))</f>
        <v>50000</v>
      </c>
      <c r="H822" t="s">
        <v>2720</v>
      </c>
      <c r="I822" t="s">
        <v>637</v>
      </c>
      <c r="J822" t="s">
        <v>613</v>
      </c>
      <c r="K822" t="s">
        <v>605</v>
      </c>
      <c r="L822">
        <v>15</v>
      </c>
    </row>
    <row r="823" spans="2:12" ht="15" customHeight="1">
      <c r="B823" t="s">
        <v>3332</v>
      </c>
      <c r="C823">
        <v>50000</v>
      </c>
      <c r="D823" t="s">
        <v>252</v>
      </c>
      <c r="E823">
        <v>50000</v>
      </c>
      <c r="F823" s="3">
        <f>(tblSalaries[[#This Row],[clean Salary (in local currency)]])*(VLOOKUP(tblSalaries[[#This Row],[Currency]],Sheet3!$A$2:$C$31,3,FALSE))*(VLOOKUP(tblSalaries[[#This Row],[Currency]],Sheet1!$N$4:$Q$186,4,FALSE))</f>
        <v>50000</v>
      </c>
      <c r="G823" s="4">
        <f>IF(Dashboard!$J$5=VLOOKUP(tblSalaries[[#This Row],[Currency]],Sheet3!$A$2:$B$31,2,FALSE),tblSalaries[[#This Row],[clean Salary (in local currency)]],(tblSalaries[[#This Row],[PPP Adjusted  USD]]/VLOOKUP(Dashboard!$J$5,Sheet3!$B$2:$C$31,2,FALSE)))</f>
        <v>50000</v>
      </c>
      <c r="H823" t="s">
        <v>1359</v>
      </c>
      <c r="I823" t="s">
        <v>603</v>
      </c>
      <c r="J823" t="s">
        <v>613</v>
      </c>
      <c r="K823" t="s">
        <v>610</v>
      </c>
      <c r="L823">
        <v>2</v>
      </c>
    </row>
    <row r="824" spans="2:12" ht="15" customHeight="1">
      <c r="B824" t="s">
        <v>3335</v>
      </c>
      <c r="C824">
        <v>50000</v>
      </c>
      <c r="D824" t="s">
        <v>252</v>
      </c>
      <c r="E824">
        <v>50000</v>
      </c>
      <c r="F824" s="3">
        <f>(tblSalaries[[#This Row],[clean Salary (in local currency)]])*(VLOOKUP(tblSalaries[[#This Row],[Currency]],Sheet3!$A$2:$C$31,3,FALSE))*(VLOOKUP(tblSalaries[[#This Row],[Currency]],Sheet1!$N$4:$Q$186,4,FALSE))</f>
        <v>50000</v>
      </c>
      <c r="G824" s="4">
        <f>IF(Dashboard!$J$5=VLOOKUP(tblSalaries[[#This Row],[Currency]],Sheet3!$A$2:$B$31,2,FALSE),tblSalaries[[#This Row],[clean Salary (in local currency)]],(tblSalaries[[#This Row],[PPP Adjusted  USD]]/VLOOKUP(Dashboard!$J$5,Sheet3!$B$2:$C$31,2,FALSE)))</f>
        <v>50000</v>
      </c>
      <c r="H824" t="s">
        <v>3336</v>
      </c>
      <c r="I824" t="s">
        <v>603</v>
      </c>
      <c r="J824" t="s">
        <v>613</v>
      </c>
      <c r="K824" t="s">
        <v>610</v>
      </c>
      <c r="L824">
        <v>12</v>
      </c>
    </row>
    <row r="825" spans="2:12" ht="15" customHeight="1">
      <c r="B825" t="s">
        <v>3358</v>
      </c>
      <c r="C825">
        <v>50000</v>
      </c>
      <c r="D825" t="s">
        <v>252</v>
      </c>
      <c r="E825">
        <v>50000</v>
      </c>
      <c r="F825" s="3">
        <f>(tblSalaries[[#This Row],[clean Salary (in local currency)]])*(VLOOKUP(tblSalaries[[#This Row],[Currency]],Sheet3!$A$2:$C$31,3,FALSE))*(VLOOKUP(tblSalaries[[#This Row],[Currency]],Sheet1!$N$4:$Q$186,4,FALSE))</f>
        <v>50000</v>
      </c>
      <c r="G825" s="4">
        <f>IF(Dashboard!$J$5=VLOOKUP(tblSalaries[[#This Row],[Currency]],Sheet3!$A$2:$B$31,2,FALSE),tblSalaries[[#This Row],[clean Salary (in local currency)]],(tblSalaries[[#This Row],[PPP Adjusted  USD]]/VLOOKUP(Dashboard!$J$5,Sheet3!$B$2:$C$31,2,FALSE)))</f>
        <v>50000</v>
      </c>
      <c r="H825" t="s">
        <v>3359</v>
      </c>
      <c r="I825" t="s">
        <v>633</v>
      </c>
      <c r="J825" t="s">
        <v>604</v>
      </c>
      <c r="K825" t="s">
        <v>627</v>
      </c>
      <c r="L825">
        <v>8</v>
      </c>
    </row>
    <row r="826" spans="2:12" ht="15" customHeight="1">
      <c r="B826" t="s">
        <v>3706</v>
      </c>
      <c r="C826">
        <v>50000</v>
      </c>
      <c r="D826" t="s">
        <v>252</v>
      </c>
      <c r="E826">
        <v>50000</v>
      </c>
      <c r="F826" s="3">
        <f>(tblSalaries[[#This Row],[clean Salary (in local currency)]])*(VLOOKUP(tblSalaries[[#This Row],[Currency]],Sheet3!$A$2:$C$31,3,FALSE))*(VLOOKUP(tblSalaries[[#This Row],[Currency]],Sheet1!$N$4:$Q$186,4,FALSE))</f>
        <v>50000</v>
      </c>
      <c r="G826" s="4">
        <f>IF(Dashboard!$J$5=VLOOKUP(tblSalaries[[#This Row],[Currency]],Sheet3!$A$2:$B$31,2,FALSE),tblSalaries[[#This Row],[clean Salary (in local currency)]],(tblSalaries[[#This Row],[PPP Adjusted  USD]]/VLOOKUP(Dashboard!$J$5,Sheet3!$B$2:$C$31,2,FALSE)))</f>
        <v>50000</v>
      </c>
      <c r="H826" t="s">
        <v>3707</v>
      </c>
      <c r="I826" t="s">
        <v>603</v>
      </c>
      <c r="J826" t="s">
        <v>613</v>
      </c>
      <c r="K826" t="s">
        <v>610</v>
      </c>
      <c r="L826">
        <v>15</v>
      </c>
    </row>
    <row r="827" spans="2:12" ht="15" customHeight="1">
      <c r="B827" t="s">
        <v>3815</v>
      </c>
      <c r="C827">
        <v>50000</v>
      </c>
      <c r="D827" t="s">
        <v>252</v>
      </c>
      <c r="E827">
        <v>50000</v>
      </c>
      <c r="F827" s="3">
        <f>(tblSalaries[[#This Row],[clean Salary (in local currency)]])*(VLOOKUP(tblSalaries[[#This Row],[Currency]],Sheet3!$A$2:$C$31,3,FALSE))*(VLOOKUP(tblSalaries[[#This Row],[Currency]],Sheet1!$N$4:$Q$186,4,FALSE))</f>
        <v>50000</v>
      </c>
      <c r="G827" s="4">
        <f>IF(Dashboard!$J$5=VLOOKUP(tblSalaries[[#This Row],[Currency]],Sheet3!$A$2:$B$31,2,FALSE),tblSalaries[[#This Row],[clean Salary (in local currency)]],(tblSalaries[[#This Row],[PPP Adjusted  USD]]/VLOOKUP(Dashboard!$J$5,Sheet3!$B$2:$C$31,2,FALSE)))</f>
        <v>50000</v>
      </c>
      <c r="H827" t="s">
        <v>3816</v>
      </c>
      <c r="I827" t="s">
        <v>603</v>
      </c>
      <c r="J827" t="s">
        <v>613</v>
      </c>
      <c r="K827" t="s">
        <v>610</v>
      </c>
      <c r="L827">
        <v>3.5</v>
      </c>
    </row>
    <row r="828" spans="2:12" ht="15" customHeight="1">
      <c r="B828" t="s">
        <v>2231</v>
      </c>
      <c r="C828">
        <v>1050000</v>
      </c>
      <c r="D828" t="s">
        <v>247</v>
      </c>
      <c r="E828">
        <v>18698.312521814696</v>
      </c>
      <c r="F828" s="3">
        <f>(tblSalaries[[#This Row],[clean Salary (in local currency)]])*(VLOOKUP(tblSalaries[[#This Row],[Currency]],Sheet3!$A$2:$C$31,3,FALSE))*(VLOOKUP(tblSalaries[[#This Row],[Currency]],Sheet1!$N$4:$Q$186,4,FALSE))</f>
        <v>49729.073466133377</v>
      </c>
      <c r="G828" s="4">
        <f>IF(Dashboard!$J$5=VLOOKUP(tblSalaries[[#This Row],[Currency]],Sheet3!$A$2:$B$31,2,FALSE),tblSalaries[[#This Row],[clean Salary (in local currency)]],(tblSalaries[[#This Row],[PPP Adjusted  USD]]/VLOOKUP(Dashboard!$J$5,Sheet3!$B$2:$C$31,2,FALSE)))</f>
        <v>49729.073466133377</v>
      </c>
      <c r="H828" t="s">
        <v>2232</v>
      </c>
      <c r="I828" t="s">
        <v>625</v>
      </c>
      <c r="J828" t="s">
        <v>604</v>
      </c>
      <c r="K828" t="s">
        <v>610</v>
      </c>
      <c r="L828">
        <v>5</v>
      </c>
    </row>
    <row r="829" spans="2:12" ht="15" customHeight="1">
      <c r="B829" t="s">
        <v>720</v>
      </c>
      <c r="C829">
        <v>45000</v>
      </c>
      <c r="D829" t="s">
        <v>200</v>
      </c>
      <c r="E829">
        <v>57167.974754622352</v>
      </c>
      <c r="F829" s="3">
        <f>(tblSalaries[[#This Row],[clean Salary (in local currency)]])*(VLOOKUP(tblSalaries[[#This Row],[Currency]],Sheet3!$A$2:$C$31,3,FALSE))*(VLOOKUP(tblSalaries[[#This Row],[Currency]],Sheet1!$N$4:$Q$186,4,FALSE))</f>
        <v>49529.379869102348</v>
      </c>
      <c r="G829" s="4">
        <f>IF(Dashboard!$J$5=VLOOKUP(tblSalaries[[#This Row],[Currency]],Sheet3!$A$2:$B$31,2,FALSE),tblSalaries[[#This Row],[clean Salary (in local currency)]],(tblSalaries[[#This Row],[PPP Adjusted  USD]]/VLOOKUP(Dashboard!$J$5,Sheet3!$B$2:$C$31,2,FALSE)))</f>
        <v>49529.379869102348</v>
      </c>
      <c r="H829" t="s">
        <v>721</v>
      </c>
      <c r="I829" t="s">
        <v>625</v>
      </c>
      <c r="J829" t="s">
        <v>722</v>
      </c>
      <c r="K829" t="s">
        <v>605</v>
      </c>
      <c r="L829" t="s">
        <v>3847</v>
      </c>
    </row>
    <row r="830" spans="2:12" ht="15" customHeight="1">
      <c r="B830" t="s">
        <v>2300</v>
      </c>
      <c r="C830">
        <v>45000</v>
      </c>
      <c r="D830" t="s">
        <v>200</v>
      </c>
      <c r="E830">
        <v>57167.974754622352</v>
      </c>
      <c r="F830" s="3">
        <f>(tblSalaries[[#This Row],[clean Salary (in local currency)]])*(VLOOKUP(tblSalaries[[#This Row],[Currency]],Sheet3!$A$2:$C$31,3,FALSE))*(VLOOKUP(tblSalaries[[#This Row],[Currency]],Sheet1!$N$4:$Q$186,4,FALSE))</f>
        <v>49529.379869102348</v>
      </c>
      <c r="G830" s="4">
        <f>IF(Dashboard!$J$5=VLOOKUP(tblSalaries[[#This Row],[Currency]],Sheet3!$A$2:$B$31,2,FALSE),tblSalaries[[#This Row],[clean Salary (in local currency)]],(tblSalaries[[#This Row],[PPP Adjusted  USD]]/VLOOKUP(Dashboard!$J$5,Sheet3!$B$2:$C$31,2,FALSE)))</f>
        <v>49529.379869102348</v>
      </c>
      <c r="H830" t="s">
        <v>2301</v>
      </c>
      <c r="I830" t="s">
        <v>603</v>
      </c>
      <c r="J830" t="s">
        <v>722</v>
      </c>
      <c r="K830" t="s">
        <v>617</v>
      </c>
      <c r="L830">
        <v>10</v>
      </c>
    </row>
    <row r="831" spans="2:12" ht="15" customHeight="1">
      <c r="B831" t="s">
        <v>2573</v>
      </c>
      <c r="C831">
        <v>45000</v>
      </c>
      <c r="D831" t="s">
        <v>200</v>
      </c>
      <c r="E831">
        <v>57167.974754622352</v>
      </c>
      <c r="F831" s="3">
        <f>(tblSalaries[[#This Row],[clean Salary (in local currency)]])*(VLOOKUP(tblSalaries[[#This Row],[Currency]],Sheet3!$A$2:$C$31,3,FALSE))*(VLOOKUP(tblSalaries[[#This Row],[Currency]],Sheet1!$N$4:$Q$186,4,FALSE))</f>
        <v>49529.379869102348</v>
      </c>
      <c r="G831" s="4">
        <f>IF(Dashboard!$J$5=VLOOKUP(tblSalaries[[#This Row],[Currency]],Sheet3!$A$2:$B$31,2,FALSE),tblSalaries[[#This Row],[clean Salary (in local currency)]],(tblSalaries[[#This Row],[PPP Adjusted  USD]]/VLOOKUP(Dashboard!$J$5,Sheet3!$B$2:$C$31,2,FALSE)))</f>
        <v>49529.379869102348</v>
      </c>
      <c r="H831" t="s">
        <v>2574</v>
      </c>
      <c r="I831" t="s">
        <v>625</v>
      </c>
      <c r="J831" t="s">
        <v>1557</v>
      </c>
      <c r="K831" t="s">
        <v>605</v>
      </c>
      <c r="L831">
        <v>14</v>
      </c>
    </row>
    <row r="832" spans="2:12" ht="15" customHeight="1">
      <c r="B832" t="s">
        <v>2954</v>
      </c>
      <c r="C832">
        <v>45000</v>
      </c>
      <c r="D832" t="s">
        <v>200</v>
      </c>
      <c r="E832">
        <v>57167.974754622352</v>
      </c>
      <c r="F832" s="3">
        <f>(tblSalaries[[#This Row],[clean Salary (in local currency)]])*(VLOOKUP(tblSalaries[[#This Row],[Currency]],Sheet3!$A$2:$C$31,3,FALSE))*(VLOOKUP(tblSalaries[[#This Row],[Currency]],Sheet1!$N$4:$Q$186,4,FALSE))</f>
        <v>49529.379869102348</v>
      </c>
      <c r="G832" s="4">
        <f>IF(Dashboard!$J$5=VLOOKUP(tblSalaries[[#This Row],[Currency]],Sheet3!$A$2:$B$31,2,FALSE),tblSalaries[[#This Row],[clean Salary (in local currency)]],(tblSalaries[[#This Row],[PPP Adjusted  USD]]/VLOOKUP(Dashboard!$J$5,Sheet3!$B$2:$C$31,2,FALSE)))</f>
        <v>49529.379869102348</v>
      </c>
      <c r="H832" t="s">
        <v>2955</v>
      </c>
      <c r="I832" t="s">
        <v>608</v>
      </c>
      <c r="J832" t="s">
        <v>626</v>
      </c>
      <c r="K832" t="s">
        <v>605</v>
      </c>
      <c r="L832">
        <v>12</v>
      </c>
    </row>
    <row r="833" spans="2:12" ht="15" customHeight="1">
      <c r="B833" t="s">
        <v>3663</v>
      </c>
      <c r="C833">
        <v>45000</v>
      </c>
      <c r="D833" t="s">
        <v>200</v>
      </c>
      <c r="E833">
        <v>57167.974754622352</v>
      </c>
      <c r="F833" s="3">
        <f>(tblSalaries[[#This Row],[clean Salary (in local currency)]])*(VLOOKUP(tblSalaries[[#This Row],[Currency]],Sheet3!$A$2:$C$31,3,FALSE))*(VLOOKUP(tblSalaries[[#This Row],[Currency]],Sheet1!$N$4:$Q$186,4,FALSE))</f>
        <v>49529.379869102348</v>
      </c>
      <c r="G833" s="4">
        <f>IF(Dashboard!$J$5=VLOOKUP(tblSalaries[[#This Row],[Currency]],Sheet3!$A$2:$B$31,2,FALSE),tblSalaries[[#This Row],[clean Salary (in local currency)]],(tblSalaries[[#This Row],[PPP Adjusted  USD]]/VLOOKUP(Dashboard!$J$5,Sheet3!$B$2:$C$31,2,FALSE)))</f>
        <v>49529.379869102348</v>
      </c>
      <c r="H833" t="s">
        <v>3664</v>
      </c>
      <c r="I833" t="s">
        <v>603</v>
      </c>
      <c r="J833" t="s">
        <v>722</v>
      </c>
      <c r="K833" t="s">
        <v>617</v>
      </c>
      <c r="L833">
        <v>14</v>
      </c>
    </row>
    <row r="834" spans="2:12" ht="15" customHeight="1">
      <c r="B834" t="s">
        <v>2920</v>
      </c>
      <c r="C834">
        <v>49500</v>
      </c>
      <c r="D834" t="s">
        <v>252</v>
      </c>
      <c r="E834">
        <v>49500</v>
      </c>
      <c r="F834" s="3">
        <f>(tblSalaries[[#This Row],[clean Salary (in local currency)]])*(VLOOKUP(tblSalaries[[#This Row],[Currency]],Sheet3!$A$2:$C$31,3,FALSE))*(VLOOKUP(tblSalaries[[#This Row],[Currency]],Sheet1!$N$4:$Q$186,4,FALSE))</f>
        <v>49500</v>
      </c>
      <c r="G834" s="4">
        <f>IF(Dashboard!$J$5=VLOOKUP(tblSalaries[[#This Row],[Currency]],Sheet3!$A$2:$B$31,2,FALSE),tblSalaries[[#This Row],[clean Salary (in local currency)]],(tblSalaries[[#This Row],[PPP Adjusted  USD]]/VLOOKUP(Dashboard!$J$5,Sheet3!$B$2:$C$31,2,FALSE)))</f>
        <v>49500</v>
      </c>
      <c r="H834" t="s">
        <v>759</v>
      </c>
      <c r="I834" t="s">
        <v>603</v>
      </c>
      <c r="J834" t="s">
        <v>613</v>
      </c>
      <c r="K834" t="s">
        <v>605</v>
      </c>
      <c r="L834">
        <v>4.5</v>
      </c>
    </row>
    <row r="835" spans="2:12" ht="15" customHeight="1">
      <c r="B835" t="s">
        <v>3716</v>
      </c>
      <c r="C835">
        <v>33500</v>
      </c>
      <c r="D835" t="s">
        <v>204</v>
      </c>
      <c r="E835">
        <v>52801.972114254015</v>
      </c>
      <c r="F835" s="3">
        <f>(tblSalaries[[#This Row],[clean Salary (in local currency)]])*(VLOOKUP(tblSalaries[[#This Row],[Currency]],Sheet3!$A$2:$C$31,3,FALSE))*(VLOOKUP(tblSalaries[[#This Row],[Currency]],Sheet1!$N$4:$Q$186,4,FALSE))</f>
        <v>49378.035366844313</v>
      </c>
      <c r="G835" s="4">
        <f>IF(Dashboard!$J$5=VLOOKUP(tblSalaries[[#This Row],[Currency]],Sheet3!$A$2:$B$31,2,FALSE),tblSalaries[[#This Row],[clean Salary (in local currency)]],(tblSalaries[[#This Row],[PPP Adjusted  USD]]/VLOOKUP(Dashboard!$J$5,Sheet3!$B$2:$C$31,2,FALSE)))</f>
        <v>49378.035366844313</v>
      </c>
      <c r="H835" t="s">
        <v>3717</v>
      </c>
      <c r="I835" t="s">
        <v>620</v>
      </c>
      <c r="J835" t="s">
        <v>687</v>
      </c>
      <c r="K835" t="s">
        <v>617</v>
      </c>
      <c r="L835">
        <v>7</v>
      </c>
    </row>
    <row r="836" spans="2:12" ht="15" customHeight="1">
      <c r="B836" t="s">
        <v>2667</v>
      </c>
      <c r="C836">
        <v>2000000</v>
      </c>
      <c r="D836" t="s">
        <v>461</v>
      </c>
      <c r="E836">
        <v>21228.177433598263</v>
      </c>
      <c r="F836" s="3">
        <f>(tblSalaries[[#This Row],[clean Salary (in local currency)]])*(VLOOKUP(tblSalaries[[#This Row],[Currency]],Sheet3!$A$2:$C$31,3,FALSE))*(VLOOKUP(tblSalaries[[#This Row],[Currency]],Sheet1!$N$4:$Q$186,4,FALSE))</f>
        <v>49256.114142394494</v>
      </c>
      <c r="G836" s="4">
        <f>IF(Dashboard!$J$5=VLOOKUP(tblSalaries[[#This Row],[Currency]],Sheet3!$A$2:$B$31,2,FALSE),tblSalaries[[#This Row],[clean Salary (in local currency)]],(tblSalaries[[#This Row],[PPP Adjusted  USD]]/VLOOKUP(Dashboard!$J$5,Sheet3!$B$2:$C$31,2,FALSE)))</f>
        <v>49256.114142394494</v>
      </c>
      <c r="H836" t="s">
        <v>2668</v>
      </c>
      <c r="I836" t="s">
        <v>692</v>
      </c>
      <c r="J836" t="s">
        <v>616</v>
      </c>
      <c r="K836" t="s">
        <v>610</v>
      </c>
      <c r="L836">
        <v>8</v>
      </c>
    </row>
    <row r="837" spans="2:12" ht="15" customHeight="1">
      <c r="B837" t="s">
        <v>2733</v>
      </c>
      <c r="C837">
        <v>49200</v>
      </c>
      <c r="D837" t="s">
        <v>252</v>
      </c>
      <c r="E837">
        <v>49200</v>
      </c>
      <c r="F837" s="3">
        <f>(tblSalaries[[#This Row],[clean Salary (in local currency)]])*(VLOOKUP(tblSalaries[[#This Row],[Currency]],Sheet3!$A$2:$C$31,3,FALSE))*(VLOOKUP(tblSalaries[[#This Row],[Currency]],Sheet1!$N$4:$Q$186,4,FALSE))</f>
        <v>49200</v>
      </c>
      <c r="G837" s="4">
        <f>IF(Dashboard!$J$5=VLOOKUP(tblSalaries[[#This Row],[Currency]],Sheet3!$A$2:$B$31,2,FALSE),tblSalaries[[#This Row],[clean Salary (in local currency)]],(tblSalaries[[#This Row],[PPP Adjusted  USD]]/VLOOKUP(Dashboard!$J$5,Sheet3!$B$2:$C$31,2,FALSE)))</f>
        <v>49200</v>
      </c>
      <c r="H837" t="s">
        <v>2702</v>
      </c>
      <c r="I837" t="s">
        <v>637</v>
      </c>
      <c r="J837" t="s">
        <v>2178</v>
      </c>
      <c r="K837" t="s">
        <v>617</v>
      </c>
      <c r="L837">
        <v>25</v>
      </c>
    </row>
    <row r="838" spans="2:12" ht="15" customHeight="1">
      <c r="B838" t="s">
        <v>900</v>
      </c>
      <c r="C838">
        <v>62000</v>
      </c>
      <c r="D838" t="s">
        <v>276</v>
      </c>
      <c r="E838">
        <v>60968.414427880263</v>
      </c>
      <c r="F838" s="3">
        <f>(tblSalaries[[#This Row],[clean Salary (in local currency)]])*(VLOOKUP(tblSalaries[[#This Row],[Currency]],Sheet3!$A$2:$C$31,3,FALSE))*(VLOOKUP(tblSalaries[[#This Row],[Currency]],Sheet1!$N$4:$Q$186,4,FALSE))</f>
        <v>49007.664598545365</v>
      </c>
      <c r="G838" s="4">
        <f>IF(Dashboard!$J$5=VLOOKUP(tblSalaries[[#This Row],[Currency]],Sheet3!$A$2:$B$31,2,FALSE),tblSalaries[[#This Row],[clean Salary (in local currency)]],(tblSalaries[[#This Row],[PPP Adjusted  USD]]/VLOOKUP(Dashboard!$J$5,Sheet3!$B$2:$C$31,2,FALSE)))</f>
        <v>49007.664598545365</v>
      </c>
      <c r="H838" t="s">
        <v>901</v>
      </c>
      <c r="I838" t="s">
        <v>603</v>
      </c>
      <c r="J838" t="s">
        <v>708</v>
      </c>
      <c r="K838" t="s">
        <v>617</v>
      </c>
      <c r="L838" t="s">
        <v>3847</v>
      </c>
    </row>
    <row r="839" spans="2:12" ht="15" customHeight="1">
      <c r="B839" t="s">
        <v>647</v>
      </c>
      <c r="C839">
        <v>49000</v>
      </c>
      <c r="D839" t="s">
        <v>252</v>
      </c>
      <c r="E839">
        <v>49000</v>
      </c>
      <c r="F839" s="3">
        <f>(tblSalaries[[#This Row],[clean Salary (in local currency)]])*(VLOOKUP(tblSalaries[[#This Row],[Currency]],Sheet3!$A$2:$C$31,3,FALSE))*(VLOOKUP(tblSalaries[[#This Row],[Currency]],Sheet1!$N$4:$Q$186,4,FALSE))</f>
        <v>49000</v>
      </c>
      <c r="G839" s="4">
        <f>IF(Dashboard!$J$5=VLOOKUP(tblSalaries[[#This Row],[Currency]],Sheet3!$A$2:$B$31,2,FALSE),tblSalaries[[#This Row],[clean Salary (in local currency)]],(tblSalaries[[#This Row],[PPP Adjusted  USD]]/VLOOKUP(Dashboard!$J$5,Sheet3!$B$2:$C$31,2,FALSE)))</f>
        <v>49000</v>
      </c>
      <c r="H839" t="s">
        <v>648</v>
      </c>
      <c r="I839" t="s">
        <v>603</v>
      </c>
      <c r="J839" t="s">
        <v>613</v>
      </c>
      <c r="K839" t="s">
        <v>610</v>
      </c>
      <c r="L839" t="s">
        <v>3847</v>
      </c>
    </row>
    <row r="840" spans="2:12" ht="15" customHeight="1">
      <c r="B840" t="s">
        <v>3020</v>
      </c>
      <c r="C840">
        <v>49000</v>
      </c>
      <c r="D840" t="s">
        <v>252</v>
      </c>
      <c r="E840">
        <v>49000</v>
      </c>
      <c r="F840" s="3">
        <f>(tblSalaries[[#This Row],[clean Salary (in local currency)]])*(VLOOKUP(tblSalaries[[#This Row],[Currency]],Sheet3!$A$2:$C$31,3,FALSE))*(VLOOKUP(tblSalaries[[#This Row],[Currency]],Sheet1!$N$4:$Q$186,4,FALSE))</f>
        <v>49000</v>
      </c>
      <c r="G840" s="4">
        <f>IF(Dashboard!$J$5=VLOOKUP(tblSalaries[[#This Row],[Currency]],Sheet3!$A$2:$B$31,2,FALSE),tblSalaries[[#This Row],[clean Salary (in local currency)]],(tblSalaries[[#This Row],[PPP Adjusted  USD]]/VLOOKUP(Dashboard!$J$5,Sheet3!$B$2:$C$31,2,FALSE)))</f>
        <v>49000</v>
      </c>
      <c r="H840" t="s">
        <v>887</v>
      </c>
      <c r="I840" t="s">
        <v>603</v>
      </c>
      <c r="J840" t="s">
        <v>613</v>
      </c>
      <c r="K840" t="s">
        <v>605</v>
      </c>
      <c r="L840">
        <v>10</v>
      </c>
    </row>
    <row r="841" spans="2:12" ht="15" customHeight="1">
      <c r="B841" t="s">
        <v>3046</v>
      </c>
      <c r="C841">
        <v>49000</v>
      </c>
      <c r="D841" t="s">
        <v>252</v>
      </c>
      <c r="E841">
        <v>49000</v>
      </c>
      <c r="F841" s="3">
        <f>(tblSalaries[[#This Row],[clean Salary (in local currency)]])*(VLOOKUP(tblSalaries[[#This Row],[Currency]],Sheet3!$A$2:$C$31,3,FALSE))*(VLOOKUP(tblSalaries[[#This Row],[Currency]],Sheet1!$N$4:$Q$186,4,FALSE))</f>
        <v>49000</v>
      </c>
      <c r="G841" s="4">
        <f>IF(Dashboard!$J$5=VLOOKUP(tblSalaries[[#This Row],[Currency]],Sheet3!$A$2:$B$31,2,FALSE),tblSalaries[[#This Row],[clean Salary (in local currency)]],(tblSalaries[[#This Row],[PPP Adjusted  USD]]/VLOOKUP(Dashboard!$J$5,Sheet3!$B$2:$C$31,2,FALSE)))</f>
        <v>49000</v>
      </c>
      <c r="H841" t="s">
        <v>3047</v>
      </c>
      <c r="I841" t="s">
        <v>640</v>
      </c>
      <c r="J841" t="s">
        <v>613</v>
      </c>
      <c r="K841" t="s">
        <v>605</v>
      </c>
      <c r="L841">
        <v>5</v>
      </c>
    </row>
    <row r="842" spans="2:12" ht="15" customHeight="1">
      <c r="B842" t="s">
        <v>3439</v>
      </c>
      <c r="C842">
        <v>49000</v>
      </c>
      <c r="D842" t="s">
        <v>252</v>
      </c>
      <c r="E842">
        <v>49000</v>
      </c>
      <c r="F842" s="3">
        <f>(tblSalaries[[#This Row],[clean Salary (in local currency)]])*(VLOOKUP(tblSalaries[[#This Row],[Currency]],Sheet3!$A$2:$C$31,3,FALSE))*(VLOOKUP(tblSalaries[[#This Row],[Currency]],Sheet1!$N$4:$Q$186,4,FALSE))</f>
        <v>49000</v>
      </c>
      <c r="G842" s="4">
        <f>IF(Dashboard!$J$5=VLOOKUP(tblSalaries[[#This Row],[Currency]],Sheet3!$A$2:$B$31,2,FALSE),tblSalaries[[#This Row],[clean Salary (in local currency)]],(tblSalaries[[#This Row],[PPP Adjusted  USD]]/VLOOKUP(Dashboard!$J$5,Sheet3!$B$2:$C$31,2,FALSE)))</f>
        <v>49000</v>
      </c>
      <c r="H842" t="s">
        <v>3440</v>
      </c>
      <c r="I842" t="s">
        <v>603</v>
      </c>
      <c r="J842" t="s">
        <v>613</v>
      </c>
      <c r="K842" t="s">
        <v>617</v>
      </c>
      <c r="L842">
        <v>3</v>
      </c>
    </row>
    <row r="843" spans="2:12" ht="15" customHeight="1">
      <c r="B843" t="s">
        <v>1299</v>
      </c>
      <c r="C843">
        <v>480000</v>
      </c>
      <c r="D843" t="s">
        <v>523</v>
      </c>
      <c r="E843">
        <v>68954.520184280962</v>
      </c>
      <c r="F843" s="3">
        <f>(tblSalaries[[#This Row],[clean Salary (in local currency)]])*(VLOOKUP(tblSalaries[[#This Row],[Currency]],Sheet3!$A$2:$C$31,3,FALSE))*(VLOOKUP(tblSalaries[[#This Row],[Currency]],Sheet1!$N$4:$Q$186,4,FALSE))</f>
        <v>48902.714771046114</v>
      </c>
      <c r="G843" s="4">
        <f>IF(Dashboard!$J$5=VLOOKUP(tblSalaries[[#This Row],[Currency]],Sheet3!$A$2:$B$31,2,FALSE),tblSalaries[[#This Row],[clean Salary (in local currency)]],(tblSalaries[[#This Row],[PPP Adjusted  USD]]/VLOOKUP(Dashboard!$J$5,Sheet3!$B$2:$C$31,2,FALSE)))</f>
        <v>48902.714771046114</v>
      </c>
      <c r="H843" t="s">
        <v>1300</v>
      </c>
      <c r="I843" t="s">
        <v>692</v>
      </c>
      <c r="J843" t="s">
        <v>1301</v>
      </c>
      <c r="K843" t="s">
        <v>627</v>
      </c>
      <c r="L843" t="s">
        <v>3847</v>
      </c>
    </row>
    <row r="844" spans="2:12" ht="15" customHeight="1">
      <c r="B844" t="s">
        <v>1768</v>
      </c>
      <c r="C844">
        <v>78000</v>
      </c>
      <c r="D844" t="s">
        <v>224</v>
      </c>
      <c r="E844">
        <v>79552.953199405587</v>
      </c>
      <c r="F844" s="3">
        <f>(tblSalaries[[#This Row],[clean Salary (in local currency)]])*(VLOOKUP(tblSalaries[[#This Row],[Currency]],Sheet3!$A$2:$C$31,3,FALSE))*(VLOOKUP(tblSalaries[[#This Row],[Currency]],Sheet1!$N$4:$Q$186,4,FALSE))</f>
        <v>48883.696539491655</v>
      </c>
      <c r="G844" s="4">
        <f>IF(Dashboard!$J$5=VLOOKUP(tblSalaries[[#This Row],[Currency]],Sheet3!$A$2:$B$31,2,FALSE),tblSalaries[[#This Row],[clean Salary (in local currency)]],(tblSalaries[[#This Row],[PPP Adjusted  USD]]/VLOOKUP(Dashboard!$J$5,Sheet3!$B$2:$C$31,2,FALSE)))</f>
        <v>48883.696539491655</v>
      </c>
      <c r="H844" t="s">
        <v>1769</v>
      </c>
      <c r="I844" t="s">
        <v>637</v>
      </c>
      <c r="J844" t="s">
        <v>703</v>
      </c>
      <c r="K844" t="s">
        <v>610</v>
      </c>
      <c r="L844">
        <v>4</v>
      </c>
    </row>
    <row r="845" spans="2:12" ht="15" customHeight="1">
      <c r="B845" t="s">
        <v>1542</v>
      </c>
      <c r="C845">
        <v>33000</v>
      </c>
      <c r="D845" t="s">
        <v>204</v>
      </c>
      <c r="E845">
        <v>52013.882978220376</v>
      </c>
      <c r="F845" s="3">
        <f>(tblSalaries[[#This Row],[clean Salary (in local currency)]])*(VLOOKUP(tblSalaries[[#This Row],[Currency]],Sheet3!$A$2:$C$31,3,FALSE))*(VLOOKUP(tblSalaries[[#This Row],[Currency]],Sheet1!$N$4:$Q$186,4,FALSE))</f>
        <v>48641.049764354102</v>
      </c>
      <c r="G845" s="4">
        <f>IF(Dashboard!$J$5=VLOOKUP(tblSalaries[[#This Row],[Currency]],Sheet3!$A$2:$B$31,2,FALSE),tblSalaries[[#This Row],[clean Salary (in local currency)]],(tblSalaries[[#This Row],[PPP Adjusted  USD]]/VLOOKUP(Dashboard!$J$5,Sheet3!$B$2:$C$31,2,FALSE)))</f>
        <v>48641.049764354102</v>
      </c>
      <c r="H845" t="s">
        <v>1543</v>
      </c>
      <c r="I845" t="s">
        <v>625</v>
      </c>
      <c r="J845" t="s">
        <v>687</v>
      </c>
      <c r="K845" t="s">
        <v>605</v>
      </c>
      <c r="L845" t="s">
        <v>3847</v>
      </c>
    </row>
    <row r="846" spans="2:12" ht="15" customHeight="1">
      <c r="B846" t="s">
        <v>2049</v>
      </c>
      <c r="C846">
        <v>48500</v>
      </c>
      <c r="D846" t="s">
        <v>252</v>
      </c>
      <c r="E846">
        <v>48500</v>
      </c>
      <c r="F846" s="3">
        <f>(tblSalaries[[#This Row],[clean Salary (in local currency)]])*(VLOOKUP(tblSalaries[[#This Row],[Currency]],Sheet3!$A$2:$C$31,3,FALSE))*(VLOOKUP(tblSalaries[[#This Row],[Currency]],Sheet1!$N$4:$Q$186,4,FALSE))</f>
        <v>48500</v>
      </c>
      <c r="G846" s="4">
        <f>IF(Dashboard!$J$5=VLOOKUP(tblSalaries[[#This Row],[Currency]],Sheet3!$A$2:$B$31,2,FALSE),tblSalaries[[#This Row],[clean Salary (in local currency)]],(tblSalaries[[#This Row],[PPP Adjusted  USD]]/VLOOKUP(Dashboard!$J$5,Sheet3!$B$2:$C$31,2,FALSE)))</f>
        <v>48500</v>
      </c>
      <c r="H846" t="s">
        <v>2050</v>
      </c>
      <c r="I846" t="s">
        <v>625</v>
      </c>
      <c r="J846" t="s">
        <v>613</v>
      </c>
      <c r="K846" t="s">
        <v>617</v>
      </c>
      <c r="L846">
        <v>10</v>
      </c>
    </row>
    <row r="847" spans="2:12" ht="15" customHeight="1">
      <c r="B847" t="s">
        <v>3453</v>
      </c>
      <c r="C847">
        <v>48500</v>
      </c>
      <c r="D847" t="s">
        <v>252</v>
      </c>
      <c r="E847">
        <v>48500</v>
      </c>
      <c r="F847" s="3">
        <f>(tblSalaries[[#This Row],[clean Salary (in local currency)]])*(VLOOKUP(tblSalaries[[#This Row],[Currency]],Sheet3!$A$2:$C$31,3,FALSE))*(VLOOKUP(tblSalaries[[#This Row],[Currency]],Sheet1!$N$4:$Q$186,4,FALSE))</f>
        <v>48500</v>
      </c>
      <c r="G847" s="4">
        <f>IF(Dashboard!$J$5=VLOOKUP(tblSalaries[[#This Row],[Currency]],Sheet3!$A$2:$B$31,2,FALSE),tblSalaries[[#This Row],[clean Salary (in local currency)]],(tblSalaries[[#This Row],[PPP Adjusted  USD]]/VLOOKUP(Dashboard!$J$5,Sheet3!$B$2:$C$31,2,FALSE)))</f>
        <v>48500</v>
      </c>
      <c r="H847" t="s">
        <v>3454</v>
      </c>
      <c r="I847" t="s">
        <v>603</v>
      </c>
      <c r="J847" t="s">
        <v>613</v>
      </c>
      <c r="K847" t="s">
        <v>605</v>
      </c>
      <c r="L847">
        <v>6</v>
      </c>
    </row>
    <row r="848" spans="2:12" ht="15" customHeight="1">
      <c r="B848" t="s">
        <v>1639</v>
      </c>
      <c r="C848">
        <v>77000</v>
      </c>
      <c r="D848" t="s">
        <v>224</v>
      </c>
      <c r="E848">
        <v>78533.043543002947</v>
      </c>
      <c r="F848" s="3">
        <f>(tblSalaries[[#This Row],[clean Salary (in local currency)]])*(VLOOKUP(tblSalaries[[#This Row],[Currency]],Sheet3!$A$2:$C$31,3,FALSE))*(VLOOKUP(tblSalaries[[#This Row],[Currency]],Sheet1!$N$4:$Q$186,4,FALSE))</f>
        <v>48256.982481293046</v>
      </c>
      <c r="G848" s="4">
        <f>IF(Dashboard!$J$5=VLOOKUP(tblSalaries[[#This Row],[Currency]],Sheet3!$A$2:$B$31,2,FALSE),tblSalaries[[#This Row],[clean Salary (in local currency)]],(tblSalaries[[#This Row],[PPP Adjusted  USD]]/VLOOKUP(Dashboard!$J$5,Sheet3!$B$2:$C$31,2,FALSE)))</f>
        <v>48256.982481293046</v>
      </c>
      <c r="H848" t="s">
        <v>1640</v>
      </c>
      <c r="I848" t="s">
        <v>603</v>
      </c>
      <c r="J848" t="s">
        <v>703</v>
      </c>
      <c r="K848" t="s">
        <v>617</v>
      </c>
      <c r="L848" t="s">
        <v>3847</v>
      </c>
    </row>
    <row r="849" spans="2:12" ht="15" customHeight="1">
      <c r="B849" t="s">
        <v>1662</v>
      </c>
      <c r="C849">
        <v>80000</v>
      </c>
      <c r="D849" t="s">
        <v>295</v>
      </c>
      <c r="E849">
        <v>63807.047488395103</v>
      </c>
      <c r="F849" s="3">
        <f>(tblSalaries[[#This Row],[clean Salary (in local currency)]])*(VLOOKUP(tblSalaries[[#This Row],[Currency]],Sheet3!$A$2:$C$31,3,FALSE))*(VLOOKUP(tblSalaries[[#This Row],[Currency]],Sheet1!$N$4:$Q$186,4,FALSE))</f>
        <v>48172.544832898544</v>
      </c>
      <c r="G849" s="4">
        <f>IF(Dashboard!$J$5=VLOOKUP(tblSalaries[[#This Row],[Currency]],Sheet3!$A$2:$B$31,2,FALSE),tblSalaries[[#This Row],[clean Salary (in local currency)]],(tblSalaries[[#This Row],[PPP Adjusted  USD]]/VLOOKUP(Dashboard!$J$5,Sheet3!$B$2:$C$31,2,FALSE)))</f>
        <v>48172.544832898544</v>
      </c>
      <c r="H849" t="s">
        <v>1663</v>
      </c>
      <c r="I849" t="s">
        <v>603</v>
      </c>
      <c r="J849" t="s">
        <v>1604</v>
      </c>
      <c r="K849" t="s">
        <v>605</v>
      </c>
      <c r="L849">
        <v>23</v>
      </c>
    </row>
    <row r="850" spans="2:12" ht="15" customHeight="1">
      <c r="B850" t="s">
        <v>2900</v>
      </c>
      <c r="C850">
        <v>80000</v>
      </c>
      <c r="D850" t="s">
        <v>295</v>
      </c>
      <c r="E850">
        <v>63807.047488395103</v>
      </c>
      <c r="F850" s="3">
        <f>(tblSalaries[[#This Row],[clean Salary (in local currency)]])*(VLOOKUP(tblSalaries[[#This Row],[Currency]],Sheet3!$A$2:$C$31,3,FALSE))*(VLOOKUP(tblSalaries[[#This Row],[Currency]],Sheet1!$N$4:$Q$186,4,FALSE))</f>
        <v>48172.544832898544</v>
      </c>
      <c r="G850" s="4">
        <f>IF(Dashboard!$J$5=VLOOKUP(tblSalaries[[#This Row],[Currency]],Sheet3!$A$2:$B$31,2,FALSE),tblSalaries[[#This Row],[clean Salary (in local currency)]],(tblSalaries[[#This Row],[PPP Adjusted  USD]]/VLOOKUP(Dashboard!$J$5,Sheet3!$B$2:$C$31,2,FALSE)))</f>
        <v>48172.544832898544</v>
      </c>
      <c r="H850" t="s">
        <v>2065</v>
      </c>
      <c r="I850" t="s">
        <v>637</v>
      </c>
      <c r="J850" t="s">
        <v>1604</v>
      </c>
      <c r="K850" t="s">
        <v>610</v>
      </c>
      <c r="L850">
        <v>15</v>
      </c>
    </row>
    <row r="851" spans="2:12" ht="15" customHeight="1">
      <c r="B851" t="s">
        <v>614</v>
      </c>
      <c r="C851">
        <v>48000</v>
      </c>
      <c r="D851" t="s">
        <v>252</v>
      </c>
      <c r="E851">
        <v>48000</v>
      </c>
      <c r="F851" s="3">
        <f>(tblSalaries[[#This Row],[clean Salary (in local currency)]])*(VLOOKUP(tblSalaries[[#This Row],[Currency]],Sheet3!$A$2:$C$31,3,FALSE))*(VLOOKUP(tblSalaries[[#This Row],[Currency]],Sheet1!$N$4:$Q$186,4,FALSE))</f>
        <v>48000</v>
      </c>
      <c r="G851" s="4">
        <f>IF(Dashboard!$J$5=VLOOKUP(tblSalaries[[#This Row],[Currency]],Sheet3!$A$2:$B$31,2,FALSE),tblSalaries[[#This Row],[clean Salary (in local currency)]],(tblSalaries[[#This Row],[PPP Adjusted  USD]]/VLOOKUP(Dashboard!$J$5,Sheet3!$B$2:$C$31,2,FALSE)))</f>
        <v>48000</v>
      </c>
      <c r="H851" t="s">
        <v>615</v>
      </c>
      <c r="I851" t="s">
        <v>608</v>
      </c>
      <c r="J851" t="s">
        <v>616</v>
      </c>
      <c r="K851" t="s">
        <v>617</v>
      </c>
      <c r="L851" t="s">
        <v>3847</v>
      </c>
    </row>
    <row r="852" spans="2:12" ht="15" customHeight="1">
      <c r="B852" t="s">
        <v>849</v>
      </c>
      <c r="C852">
        <v>48000</v>
      </c>
      <c r="D852" t="s">
        <v>252</v>
      </c>
      <c r="E852">
        <v>48000</v>
      </c>
      <c r="F852" s="3">
        <f>(tblSalaries[[#This Row],[clean Salary (in local currency)]])*(VLOOKUP(tblSalaries[[#This Row],[Currency]],Sheet3!$A$2:$C$31,3,FALSE))*(VLOOKUP(tblSalaries[[#This Row],[Currency]],Sheet1!$N$4:$Q$186,4,FALSE))</f>
        <v>48000</v>
      </c>
      <c r="G852" s="4">
        <f>IF(Dashboard!$J$5=VLOOKUP(tblSalaries[[#This Row],[Currency]],Sheet3!$A$2:$B$31,2,FALSE),tblSalaries[[#This Row],[clean Salary (in local currency)]],(tblSalaries[[#This Row],[PPP Adjusted  USD]]/VLOOKUP(Dashboard!$J$5,Sheet3!$B$2:$C$31,2,FALSE)))</f>
        <v>48000</v>
      </c>
      <c r="H852" t="s">
        <v>850</v>
      </c>
      <c r="I852" t="s">
        <v>625</v>
      </c>
      <c r="J852" t="s">
        <v>770</v>
      </c>
      <c r="K852" t="s">
        <v>617</v>
      </c>
      <c r="L852" t="s">
        <v>3847</v>
      </c>
    </row>
    <row r="853" spans="2:12" ht="15" customHeight="1">
      <c r="B853" t="s">
        <v>1332</v>
      </c>
      <c r="C853">
        <v>48000</v>
      </c>
      <c r="D853" t="s">
        <v>252</v>
      </c>
      <c r="E853">
        <v>48000</v>
      </c>
      <c r="F853" s="3">
        <f>(tblSalaries[[#This Row],[clean Salary (in local currency)]])*(VLOOKUP(tblSalaries[[#This Row],[Currency]],Sheet3!$A$2:$C$31,3,FALSE))*(VLOOKUP(tblSalaries[[#This Row],[Currency]],Sheet1!$N$4:$Q$186,4,FALSE))</f>
        <v>48000</v>
      </c>
      <c r="G853" s="4">
        <f>IF(Dashboard!$J$5=VLOOKUP(tblSalaries[[#This Row],[Currency]],Sheet3!$A$2:$B$31,2,FALSE),tblSalaries[[#This Row],[clean Salary (in local currency)]],(tblSalaries[[#This Row],[PPP Adjusted  USD]]/VLOOKUP(Dashboard!$J$5,Sheet3!$B$2:$C$31,2,FALSE)))</f>
        <v>48000</v>
      </c>
      <c r="H853" t="s">
        <v>1333</v>
      </c>
      <c r="I853" t="s">
        <v>603</v>
      </c>
      <c r="J853" t="s">
        <v>613</v>
      </c>
      <c r="K853" t="s">
        <v>627</v>
      </c>
      <c r="L853" t="s">
        <v>3847</v>
      </c>
    </row>
    <row r="854" spans="2:12" ht="15" customHeight="1">
      <c r="B854" t="s">
        <v>2004</v>
      </c>
      <c r="C854">
        <v>48000</v>
      </c>
      <c r="D854" t="s">
        <v>252</v>
      </c>
      <c r="E854">
        <v>48000</v>
      </c>
      <c r="F854" s="3">
        <f>(tblSalaries[[#This Row],[clean Salary (in local currency)]])*(VLOOKUP(tblSalaries[[#This Row],[Currency]],Sheet3!$A$2:$C$31,3,FALSE))*(VLOOKUP(tblSalaries[[#This Row],[Currency]],Sheet1!$N$4:$Q$186,4,FALSE))</f>
        <v>48000</v>
      </c>
      <c r="G854" s="4">
        <f>IF(Dashboard!$J$5=VLOOKUP(tblSalaries[[#This Row],[Currency]],Sheet3!$A$2:$B$31,2,FALSE),tblSalaries[[#This Row],[clean Salary (in local currency)]],(tblSalaries[[#This Row],[PPP Adjusted  USD]]/VLOOKUP(Dashboard!$J$5,Sheet3!$B$2:$C$31,2,FALSE)))</f>
        <v>48000</v>
      </c>
      <c r="H854" t="s">
        <v>692</v>
      </c>
      <c r="I854" t="s">
        <v>692</v>
      </c>
      <c r="J854" t="s">
        <v>1035</v>
      </c>
      <c r="K854" t="s">
        <v>610</v>
      </c>
      <c r="L854">
        <v>3</v>
      </c>
    </row>
    <row r="855" spans="2:12" ht="15" customHeight="1">
      <c r="B855" t="s">
        <v>2060</v>
      </c>
      <c r="C855">
        <v>48000</v>
      </c>
      <c r="D855" t="s">
        <v>252</v>
      </c>
      <c r="E855">
        <v>48000</v>
      </c>
      <c r="F855" s="3">
        <f>(tblSalaries[[#This Row],[clean Salary (in local currency)]])*(VLOOKUP(tblSalaries[[#This Row],[Currency]],Sheet3!$A$2:$C$31,3,FALSE))*(VLOOKUP(tblSalaries[[#This Row],[Currency]],Sheet1!$N$4:$Q$186,4,FALSE))</f>
        <v>48000</v>
      </c>
      <c r="G855" s="4">
        <f>IF(Dashboard!$J$5=VLOOKUP(tblSalaries[[#This Row],[Currency]],Sheet3!$A$2:$B$31,2,FALSE),tblSalaries[[#This Row],[clean Salary (in local currency)]],(tblSalaries[[#This Row],[PPP Adjusted  USD]]/VLOOKUP(Dashboard!$J$5,Sheet3!$B$2:$C$31,2,FALSE)))</f>
        <v>48000</v>
      </c>
      <c r="H855" t="s">
        <v>2061</v>
      </c>
      <c r="I855" t="s">
        <v>625</v>
      </c>
      <c r="J855" t="s">
        <v>613</v>
      </c>
      <c r="K855" t="s">
        <v>617</v>
      </c>
      <c r="L855">
        <v>16</v>
      </c>
    </row>
    <row r="856" spans="2:12" ht="15" customHeight="1">
      <c r="B856" t="s">
        <v>2305</v>
      </c>
      <c r="C856">
        <v>48000</v>
      </c>
      <c r="D856" t="s">
        <v>252</v>
      </c>
      <c r="E856">
        <v>48000</v>
      </c>
      <c r="F856" s="3">
        <f>(tblSalaries[[#This Row],[clean Salary (in local currency)]])*(VLOOKUP(tblSalaries[[#This Row],[Currency]],Sheet3!$A$2:$C$31,3,FALSE))*(VLOOKUP(tblSalaries[[#This Row],[Currency]],Sheet1!$N$4:$Q$186,4,FALSE))</f>
        <v>48000</v>
      </c>
      <c r="G856" s="4">
        <f>IF(Dashboard!$J$5=VLOOKUP(tblSalaries[[#This Row],[Currency]],Sheet3!$A$2:$B$31,2,FALSE),tblSalaries[[#This Row],[clean Salary (in local currency)]],(tblSalaries[[#This Row],[PPP Adjusted  USD]]/VLOOKUP(Dashboard!$J$5,Sheet3!$B$2:$C$31,2,FALSE)))</f>
        <v>48000</v>
      </c>
      <c r="H856" t="s">
        <v>2306</v>
      </c>
      <c r="I856" t="s">
        <v>625</v>
      </c>
      <c r="J856" t="s">
        <v>738</v>
      </c>
      <c r="K856" t="s">
        <v>605</v>
      </c>
      <c r="L856">
        <v>5</v>
      </c>
    </row>
    <row r="857" spans="2:12" ht="15" customHeight="1">
      <c r="B857" t="s">
        <v>2660</v>
      </c>
      <c r="C857">
        <v>48000</v>
      </c>
      <c r="D857" t="s">
        <v>252</v>
      </c>
      <c r="E857">
        <v>48000</v>
      </c>
      <c r="F857" s="3">
        <f>(tblSalaries[[#This Row],[clean Salary (in local currency)]])*(VLOOKUP(tblSalaries[[#This Row],[Currency]],Sheet3!$A$2:$C$31,3,FALSE))*(VLOOKUP(tblSalaries[[#This Row],[Currency]],Sheet1!$N$4:$Q$186,4,FALSE))</f>
        <v>48000</v>
      </c>
      <c r="G857" s="4">
        <f>IF(Dashboard!$J$5=VLOOKUP(tblSalaries[[#This Row],[Currency]],Sheet3!$A$2:$B$31,2,FALSE),tblSalaries[[#This Row],[clean Salary (in local currency)]],(tblSalaries[[#This Row],[PPP Adjusted  USD]]/VLOOKUP(Dashboard!$J$5,Sheet3!$B$2:$C$31,2,FALSE)))</f>
        <v>48000</v>
      </c>
      <c r="H857" t="s">
        <v>2661</v>
      </c>
      <c r="I857" t="s">
        <v>608</v>
      </c>
      <c r="J857" t="s">
        <v>2178</v>
      </c>
      <c r="K857" t="s">
        <v>617</v>
      </c>
      <c r="L857">
        <v>10</v>
      </c>
    </row>
    <row r="858" spans="2:12" ht="15" customHeight="1">
      <c r="B858" t="s">
        <v>3720</v>
      </c>
      <c r="C858">
        <v>48000</v>
      </c>
      <c r="D858" t="s">
        <v>252</v>
      </c>
      <c r="E858">
        <v>48000</v>
      </c>
      <c r="F858" s="3">
        <f>(tblSalaries[[#This Row],[clean Salary (in local currency)]])*(VLOOKUP(tblSalaries[[#This Row],[Currency]],Sheet3!$A$2:$C$31,3,FALSE))*(VLOOKUP(tblSalaries[[#This Row],[Currency]],Sheet1!$N$4:$Q$186,4,FALSE))</f>
        <v>48000</v>
      </c>
      <c r="G858" s="4">
        <f>IF(Dashboard!$J$5=VLOOKUP(tblSalaries[[#This Row],[Currency]],Sheet3!$A$2:$B$31,2,FALSE),tblSalaries[[#This Row],[clean Salary (in local currency)]],(tblSalaries[[#This Row],[PPP Adjusted  USD]]/VLOOKUP(Dashboard!$J$5,Sheet3!$B$2:$C$31,2,FALSE)))</f>
        <v>48000</v>
      </c>
      <c r="H858" t="s">
        <v>637</v>
      </c>
      <c r="I858" t="s">
        <v>637</v>
      </c>
      <c r="J858" t="s">
        <v>613</v>
      </c>
      <c r="K858" t="s">
        <v>605</v>
      </c>
      <c r="L858">
        <v>1</v>
      </c>
    </row>
    <row r="859" spans="2:12" ht="15" customHeight="1">
      <c r="B859" t="s">
        <v>3721</v>
      </c>
      <c r="C859">
        <v>48000</v>
      </c>
      <c r="D859" t="s">
        <v>252</v>
      </c>
      <c r="E859">
        <v>48000</v>
      </c>
      <c r="F859" s="3">
        <f>(tblSalaries[[#This Row],[clean Salary (in local currency)]])*(VLOOKUP(tblSalaries[[#This Row],[Currency]],Sheet3!$A$2:$C$31,3,FALSE))*(VLOOKUP(tblSalaries[[#This Row],[Currency]],Sheet1!$N$4:$Q$186,4,FALSE))</f>
        <v>48000</v>
      </c>
      <c r="G859" s="4">
        <f>IF(Dashboard!$J$5=VLOOKUP(tblSalaries[[#This Row],[Currency]],Sheet3!$A$2:$B$31,2,FALSE),tblSalaries[[#This Row],[clean Salary (in local currency)]],(tblSalaries[[#This Row],[PPP Adjusted  USD]]/VLOOKUP(Dashboard!$J$5,Sheet3!$B$2:$C$31,2,FALSE)))</f>
        <v>48000</v>
      </c>
      <c r="H859" t="s">
        <v>637</v>
      </c>
      <c r="I859" t="s">
        <v>637</v>
      </c>
      <c r="J859" t="s">
        <v>613</v>
      </c>
      <c r="K859" t="s">
        <v>605</v>
      </c>
      <c r="L859">
        <v>1</v>
      </c>
    </row>
    <row r="860" spans="2:12" ht="15" customHeight="1">
      <c r="B860" t="s">
        <v>3786</v>
      </c>
      <c r="C860">
        <v>48000</v>
      </c>
      <c r="D860" t="s">
        <v>252</v>
      </c>
      <c r="E860">
        <v>48000</v>
      </c>
      <c r="F860" s="3">
        <f>(tblSalaries[[#This Row],[clean Salary (in local currency)]])*(VLOOKUP(tblSalaries[[#This Row],[Currency]],Sheet3!$A$2:$C$31,3,FALSE))*(VLOOKUP(tblSalaries[[#This Row],[Currency]],Sheet1!$N$4:$Q$186,4,FALSE))</f>
        <v>48000</v>
      </c>
      <c r="G860" s="4">
        <f>IF(Dashboard!$J$5=VLOOKUP(tblSalaries[[#This Row],[Currency]],Sheet3!$A$2:$B$31,2,FALSE),tblSalaries[[#This Row],[clean Salary (in local currency)]],(tblSalaries[[#This Row],[PPP Adjusted  USD]]/VLOOKUP(Dashboard!$J$5,Sheet3!$B$2:$C$31,2,FALSE)))</f>
        <v>48000</v>
      </c>
      <c r="H860" t="s">
        <v>3787</v>
      </c>
      <c r="I860" t="s">
        <v>603</v>
      </c>
      <c r="J860" t="s">
        <v>613</v>
      </c>
      <c r="K860" t="s">
        <v>605</v>
      </c>
      <c r="L860">
        <v>12</v>
      </c>
    </row>
    <row r="861" spans="2:12" ht="15" customHeight="1">
      <c r="B861" t="s">
        <v>3801</v>
      </c>
      <c r="C861">
        <v>48000</v>
      </c>
      <c r="D861" t="s">
        <v>252</v>
      </c>
      <c r="E861">
        <v>48000</v>
      </c>
      <c r="F861" s="3">
        <f>(tblSalaries[[#This Row],[clean Salary (in local currency)]])*(VLOOKUP(tblSalaries[[#This Row],[Currency]],Sheet3!$A$2:$C$31,3,FALSE))*(VLOOKUP(tblSalaries[[#This Row],[Currency]],Sheet1!$N$4:$Q$186,4,FALSE))</f>
        <v>48000</v>
      </c>
      <c r="G861" s="4">
        <f>IF(Dashboard!$J$5=VLOOKUP(tblSalaries[[#This Row],[Currency]],Sheet3!$A$2:$B$31,2,FALSE),tblSalaries[[#This Row],[clean Salary (in local currency)]],(tblSalaries[[#This Row],[PPP Adjusted  USD]]/VLOOKUP(Dashboard!$J$5,Sheet3!$B$2:$C$31,2,FALSE)))</f>
        <v>48000</v>
      </c>
      <c r="H861" t="s">
        <v>3802</v>
      </c>
      <c r="I861" t="s">
        <v>603</v>
      </c>
      <c r="J861" t="s">
        <v>613</v>
      </c>
      <c r="K861" t="s">
        <v>605</v>
      </c>
      <c r="L861">
        <v>1</v>
      </c>
    </row>
    <row r="862" spans="2:12" ht="15" customHeight="1">
      <c r="B862" t="s">
        <v>2448</v>
      </c>
      <c r="C862">
        <v>43500</v>
      </c>
      <c r="D862" t="s">
        <v>200</v>
      </c>
      <c r="E862">
        <v>55262.375596134938</v>
      </c>
      <c r="F862" s="3">
        <f>(tblSalaries[[#This Row],[clean Salary (in local currency)]])*(VLOOKUP(tblSalaries[[#This Row],[Currency]],Sheet3!$A$2:$C$31,3,FALSE))*(VLOOKUP(tblSalaries[[#This Row],[Currency]],Sheet1!$N$4:$Q$186,4,FALSE))</f>
        <v>47878.400540132272</v>
      </c>
      <c r="G862" s="4">
        <f>IF(Dashboard!$J$5=VLOOKUP(tblSalaries[[#This Row],[Currency]],Sheet3!$A$2:$B$31,2,FALSE),tblSalaries[[#This Row],[clean Salary (in local currency)]],(tblSalaries[[#This Row],[PPP Adjusted  USD]]/VLOOKUP(Dashboard!$J$5,Sheet3!$B$2:$C$31,2,FALSE)))</f>
        <v>47878.400540132272</v>
      </c>
      <c r="H862" t="s">
        <v>2449</v>
      </c>
      <c r="I862" t="s">
        <v>625</v>
      </c>
      <c r="J862" t="s">
        <v>1557</v>
      </c>
      <c r="K862" t="s">
        <v>617</v>
      </c>
      <c r="L862">
        <v>10</v>
      </c>
    </row>
    <row r="863" spans="2:12" ht="15" customHeight="1">
      <c r="B863" t="s">
        <v>3776</v>
      </c>
      <c r="C863">
        <v>76300</v>
      </c>
      <c r="D863" t="s">
        <v>224</v>
      </c>
      <c r="E863">
        <v>77819.106783521114</v>
      </c>
      <c r="F863" s="3">
        <f>(tblSalaries[[#This Row],[clean Salary (in local currency)]])*(VLOOKUP(tblSalaries[[#This Row],[Currency]],Sheet3!$A$2:$C$31,3,FALSE))*(VLOOKUP(tblSalaries[[#This Row],[Currency]],Sheet1!$N$4:$Q$186,4,FALSE))</f>
        <v>47818.282640554025</v>
      </c>
      <c r="G863" s="4">
        <f>IF(Dashboard!$J$5=VLOOKUP(tblSalaries[[#This Row],[Currency]],Sheet3!$A$2:$B$31,2,FALSE),tblSalaries[[#This Row],[clean Salary (in local currency)]],(tblSalaries[[#This Row],[PPP Adjusted  USD]]/VLOOKUP(Dashboard!$J$5,Sheet3!$B$2:$C$31,2,FALSE)))</f>
        <v>47818.282640554025</v>
      </c>
      <c r="H863" t="s">
        <v>1209</v>
      </c>
      <c r="I863" t="s">
        <v>603</v>
      </c>
      <c r="J863" t="s">
        <v>703</v>
      </c>
      <c r="K863" t="s">
        <v>610</v>
      </c>
      <c r="L863">
        <v>3</v>
      </c>
    </row>
    <row r="864" spans="2:12" ht="15" customHeight="1">
      <c r="B864" t="s">
        <v>1101</v>
      </c>
      <c r="C864">
        <v>47700</v>
      </c>
      <c r="D864" t="s">
        <v>252</v>
      </c>
      <c r="E864">
        <v>47700</v>
      </c>
      <c r="F864" s="3">
        <f>(tblSalaries[[#This Row],[clean Salary (in local currency)]])*(VLOOKUP(tblSalaries[[#This Row],[Currency]],Sheet3!$A$2:$C$31,3,FALSE))*(VLOOKUP(tblSalaries[[#This Row],[Currency]],Sheet1!$N$4:$Q$186,4,FALSE))</f>
        <v>47700</v>
      </c>
      <c r="G864" s="4">
        <f>IF(Dashboard!$J$5=VLOOKUP(tblSalaries[[#This Row],[Currency]],Sheet3!$A$2:$B$31,2,FALSE),tblSalaries[[#This Row],[clean Salary (in local currency)]],(tblSalaries[[#This Row],[PPP Adjusted  USD]]/VLOOKUP(Dashboard!$J$5,Sheet3!$B$2:$C$31,2,FALSE)))</f>
        <v>47700</v>
      </c>
      <c r="H864" t="s">
        <v>1102</v>
      </c>
      <c r="I864" t="s">
        <v>603</v>
      </c>
      <c r="J864" t="s">
        <v>613</v>
      </c>
      <c r="K864" t="s">
        <v>605</v>
      </c>
      <c r="L864" t="s">
        <v>3847</v>
      </c>
    </row>
    <row r="865" spans="2:12" ht="15" customHeight="1">
      <c r="B865" t="s">
        <v>2762</v>
      </c>
      <c r="C865">
        <v>450000</v>
      </c>
      <c r="D865" t="s">
        <v>312</v>
      </c>
      <c r="E865">
        <v>76906.906752939132</v>
      </c>
      <c r="F865" s="3">
        <f>(tblSalaries[[#This Row],[clean Salary (in local currency)]])*(VLOOKUP(tblSalaries[[#This Row],[Currency]],Sheet3!$A$2:$C$31,3,FALSE))*(VLOOKUP(tblSalaries[[#This Row],[Currency]],Sheet1!$N$4:$Q$186,4,FALSE))</f>
        <v>47677.306425025607</v>
      </c>
      <c r="G865" s="4">
        <f>IF(Dashboard!$J$5=VLOOKUP(tblSalaries[[#This Row],[Currency]],Sheet3!$A$2:$B$31,2,FALSE),tblSalaries[[#This Row],[clean Salary (in local currency)]],(tblSalaries[[#This Row],[PPP Adjusted  USD]]/VLOOKUP(Dashboard!$J$5,Sheet3!$B$2:$C$31,2,FALSE)))</f>
        <v>47677.306425025607</v>
      </c>
      <c r="H865" t="s">
        <v>2763</v>
      </c>
      <c r="I865" t="s">
        <v>633</v>
      </c>
      <c r="J865" t="s">
        <v>1984</v>
      </c>
      <c r="K865" t="s">
        <v>610</v>
      </c>
      <c r="L865">
        <v>17</v>
      </c>
    </row>
    <row r="866" spans="2:12" ht="15" customHeight="1">
      <c r="B866" t="s">
        <v>936</v>
      </c>
      <c r="C866">
        <v>32250</v>
      </c>
      <c r="D866" t="s">
        <v>204</v>
      </c>
      <c r="E866">
        <v>50831.74927416991</v>
      </c>
      <c r="F866" s="3">
        <f>(tblSalaries[[#This Row],[clean Salary (in local currency)]])*(VLOOKUP(tblSalaries[[#This Row],[Currency]],Sheet3!$A$2:$C$31,3,FALSE))*(VLOOKUP(tblSalaries[[#This Row],[Currency]],Sheet1!$N$4:$Q$186,4,FALSE))</f>
        <v>47535.571360618786</v>
      </c>
      <c r="G866" s="4">
        <f>IF(Dashboard!$J$5=VLOOKUP(tblSalaries[[#This Row],[Currency]],Sheet3!$A$2:$B$31,2,FALSE),tblSalaries[[#This Row],[clean Salary (in local currency)]],(tblSalaries[[#This Row],[PPP Adjusted  USD]]/VLOOKUP(Dashboard!$J$5,Sheet3!$B$2:$C$31,2,FALSE)))</f>
        <v>47535.571360618786</v>
      </c>
      <c r="H866" t="s">
        <v>937</v>
      </c>
      <c r="I866" t="s">
        <v>625</v>
      </c>
      <c r="J866" t="s">
        <v>687</v>
      </c>
      <c r="K866" t="s">
        <v>605</v>
      </c>
      <c r="L866" t="s">
        <v>3847</v>
      </c>
    </row>
    <row r="867" spans="2:12" ht="15" customHeight="1">
      <c r="B867" t="s">
        <v>1309</v>
      </c>
      <c r="C867">
        <v>47500</v>
      </c>
      <c r="D867" t="s">
        <v>252</v>
      </c>
      <c r="E867">
        <v>47500</v>
      </c>
      <c r="F867" s="3">
        <f>(tblSalaries[[#This Row],[clean Salary (in local currency)]])*(VLOOKUP(tblSalaries[[#This Row],[Currency]],Sheet3!$A$2:$C$31,3,FALSE))*(VLOOKUP(tblSalaries[[#This Row],[Currency]],Sheet1!$N$4:$Q$186,4,FALSE))</f>
        <v>47500</v>
      </c>
      <c r="G867" s="4">
        <f>IF(Dashboard!$J$5=VLOOKUP(tblSalaries[[#This Row],[Currency]],Sheet3!$A$2:$B$31,2,FALSE),tblSalaries[[#This Row],[clean Salary (in local currency)]],(tblSalaries[[#This Row],[PPP Adjusted  USD]]/VLOOKUP(Dashboard!$J$5,Sheet3!$B$2:$C$31,2,FALSE)))</f>
        <v>47500</v>
      </c>
      <c r="H867" t="s">
        <v>1310</v>
      </c>
      <c r="I867" t="s">
        <v>625</v>
      </c>
      <c r="J867" t="s">
        <v>613</v>
      </c>
      <c r="K867" t="s">
        <v>610</v>
      </c>
      <c r="L867" t="s">
        <v>3847</v>
      </c>
    </row>
    <row r="868" spans="2:12" ht="15" customHeight="1">
      <c r="B868" t="s">
        <v>863</v>
      </c>
      <c r="C868">
        <v>60000</v>
      </c>
      <c r="D868" t="s">
        <v>276</v>
      </c>
      <c r="E868">
        <v>59001.691381819612</v>
      </c>
      <c r="F868" s="3">
        <f>(tblSalaries[[#This Row],[clean Salary (in local currency)]])*(VLOOKUP(tblSalaries[[#This Row],[Currency]],Sheet3!$A$2:$C$31,3,FALSE))*(VLOOKUP(tblSalaries[[#This Row],[Currency]],Sheet1!$N$4:$Q$186,4,FALSE))</f>
        <v>47426.772192140677</v>
      </c>
      <c r="G868" s="4">
        <f>IF(Dashboard!$J$5=VLOOKUP(tblSalaries[[#This Row],[Currency]],Sheet3!$A$2:$B$31,2,FALSE),tblSalaries[[#This Row],[clean Salary (in local currency)]],(tblSalaries[[#This Row],[PPP Adjusted  USD]]/VLOOKUP(Dashboard!$J$5,Sheet3!$B$2:$C$31,2,FALSE)))</f>
        <v>47426.772192140677</v>
      </c>
      <c r="H868" t="s">
        <v>864</v>
      </c>
      <c r="I868" t="s">
        <v>603</v>
      </c>
      <c r="J868" t="s">
        <v>708</v>
      </c>
      <c r="K868" t="s">
        <v>862</v>
      </c>
      <c r="L868" t="s">
        <v>3847</v>
      </c>
    </row>
    <row r="869" spans="2:12" ht="15" customHeight="1">
      <c r="B869" t="s">
        <v>996</v>
      </c>
      <c r="C869">
        <v>60000</v>
      </c>
      <c r="D869" t="s">
        <v>276</v>
      </c>
      <c r="E869">
        <v>59001.691381819612</v>
      </c>
      <c r="F869" s="3">
        <f>(tblSalaries[[#This Row],[clean Salary (in local currency)]])*(VLOOKUP(tblSalaries[[#This Row],[Currency]],Sheet3!$A$2:$C$31,3,FALSE))*(VLOOKUP(tblSalaries[[#This Row],[Currency]],Sheet1!$N$4:$Q$186,4,FALSE))</f>
        <v>47426.772192140677</v>
      </c>
      <c r="G869" s="4">
        <f>IF(Dashboard!$J$5=VLOOKUP(tblSalaries[[#This Row],[Currency]],Sheet3!$A$2:$B$31,2,FALSE),tblSalaries[[#This Row],[clean Salary (in local currency)]],(tblSalaries[[#This Row],[PPP Adjusted  USD]]/VLOOKUP(Dashboard!$J$5,Sheet3!$B$2:$C$31,2,FALSE)))</f>
        <v>47426.772192140677</v>
      </c>
      <c r="H869" t="s">
        <v>997</v>
      </c>
      <c r="I869" t="s">
        <v>603</v>
      </c>
      <c r="J869" t="s">
        <v>708</v>
      </c>
      <c r="K869" t="s">
        <v>617</v>
      </c>
      <c r="L869" t="s">
        <v>3847</v>
      </c>
    </row>
    <row r="870" spans="2:12" ht="15" customHeight="1">
      <c r="B870" t="s">
        <v>1214</v>
      </c>
      <c r="C870">
        <v>60000</v>
      </c>
      <c r="D870" t="s">
        <v>276</v>
      </c>
      <c r="E870">
        <v>59001.691381819612</v>
      </c>
      <c r="F870" s="3">
        <f>(tblSalaries[[#This Row],[clean Salary (in local currency)]])*(VLOOKUP(tblSalaries[[#This Row],[Currency]],Sheet3!$A$2:$C$31,3,FALSE))*(VLOOKUP(tblSalaries[[#This Row],[Currency]],Sheet1!$N$4:$Q$186,4,FALSE))</f>
        <v>47426.772192140677</v>
      </c>
      <c r="G870" s="4">
        <f>IF(Dashboard!$J$5=VLOOKUP(tblSalaries[[#This Row],[Currency]],Sheet3!$A$2:$B$31,2,FALSE),tblSalaries[[#This Row],[clean Salary (in local currency)]],(tblSalaries[[#This Row],[PPP Adjusted  USD]]/VLOOKUP(Dashboard!$J$5,Sheet3!$B$2:$C$31,2,FALSE)))</f>
        <v>47426.772192140677</v>
      </c>
      <c r="H870" t="s">
        <v>1215</v>
      </c>
      <c r="I870" t="s">
        <v>603</v>
      </c>
      <c r="J870" t="s">
        <v>708</v>
      </c>
      <c r="K870" t="s">
        <v>610</v>
      </c>
      <c r="L870" t="s">
        <v>3847</v>
      </c>
    </row>
    <row r="871" spans="2:12" ht="15" customHeight="1">
      <c r="B871" t="s">
        <v>667</v>
      </c>
      <c r="C871">
        <v>1000000</v>
      </c>
      <c r="D871" t="s">
        <v>247</v>
      </c>
      <c r="E871">
        <v>17807.916687442568</v>
      </c>
      <c r="F871" s="3">
        <f>(tblSalaries[[#This Row],[clean Salary (in local currency)]])*(VLOOKUP(tblSalaries[[#This Row],[Currency]],Sheet3!$A$2:$C$31,3,FALSE))*(VLOOKUP(tblSalaries[[#This Row],[Currency]],Sheet1!$N$4:$Q$186,4,FALSE))</f>
        <v>47361.022348698454</v>
      </c>
      <c r="G871" s="4">
        <f>IF(Dashboard!$J$5=VLOOKUP(tblSalaries[[#This Row],[Currency]],Sheet3!$A$2:$B$31,2,FALSE),tblSalaries[[#This Row],[clean Salary (in local currency)]],(tblSalaries[[#This Row],[PPP Adjusted  USD]]/VLOOKUP(Dashboard!$J$5,Sheet3!$B$2:$C$31,2,FALSE)))</f>
        <v>47361.022348698454</v>
      </c>
      <c r="H871" t="s">
        <v>625</v>
      </c>
      <c r="I871" t="s">
        <v>625</v>
      </c>
      <c r="J871" t="s">
        <v>604</v>
      </c>
      <c r="K871" t="s">
        <v>605</v>
      </c>
      <c r="L871" t="s">
        <v>3847</v>
      </c>
    </row>
    <row r="872" spans="2:12" ht="15" customHeight="1">
      <c r="B872" t="s">
        <v>1224</v>
      </c>
      <c r="C872">
        <v>1000000</v>
      </c>
      <c r="D872" t="s">
        <v>247</v>
      </c>
      <c r="E872">
        <v>17807.916687442568</v>
      </c>
      <c r="F872" s="3">
        <f>(tblSalaries[[#This Row],[clean Salary (in local currency)]])*(VLOOKUP(tblSalaries[[#This Row],[Currency]],Sheet3!$A$2:$C$31,3,FALSE))*(VLOOKUP(tblSalaries[[#This Row],[Currency]],Sheet1!$N$4:$Q$186,4,FALSE))</f>
        <v>47361.022348698454</v>
      </c>
      <c r="G872" s="4">
        <f>IF(Dashboard!$J$5=VLOOKUP(tblSalaries[[#This Row],[Currency]],Sheet3!$A$2:$B$31,2,FALSE),tblSalaries[[#This Row],[clean Salary (in local currency)]],(tblSalaries[[#This Row],[PPP Adjusted  USD]]/VLOOKUP(Dashboard!$J$5,Sheet3!$B$2:$C$31,2,FALSE)))</f>
        <v>47361.022348698454</v>
      </c>
      <c r="H872" t="s">
        <v>625</v>
      </c>
      <c r="I872" t="s">
        <v>625</v>
      </c>
      <c r="J872" t="s">
        <v>604</v>
      </c>
      <c r="K872" t="s">
        <v>605</v>
      </c>
      <c r="L872" t="s">
        <v>3847</v>
      </c>
    </row>
    <row r="873" spans="2:12" ht="15" customHeight="1">
      <c r="B873" t="s">
        <v>1926</v>
      </c>
      <c r="C873">
        <v>1000000</v>
      </c>
      <c r="D873" t="s">
        <v>247</v>
      </c>
      <c r="E873">
        <v>17807.916687442568</v>
      </c>
      <c r="F873" s="3">
        <f>(tblSalaries[[#This Row],[clean Salary (in local currency)]])*(VLOOKUP(tblSalaries[[#This Row],[Currency]],Sheet3!$A$2:$C$31,3,FALSE))*(VLOOKUP(tblSalaries[[#This Row],[Currency]],Sheet1!$N$4:$Q$186,4,FALSE))</f>
        <v>47361.022348698454</v>
      </c>
      <c r="G873" s="4">
        <f>IF(Dashboard!$J$5=VLOOKUP(tblSalaries[[#This Row],[Currency]],Sheet3!$A$2:$B$31,2,FALSE),tblSalaries[[#This Row],[clean Salary (in local currency)]],(tblSalaries[[#This Row],[PPP Adjusted  USD]]/VLOOKUP(Dashboard!$J$5,Sheet3!$B$2:$C$31,2,FALSE)))</f>
        <v>47361.022348698454</v>
      </c>
      <c r="H873" t="s">
        <v>1927</v>
      </c>
      <c r="I873" t="s">
        <v>603</v>
      </c>
      <c r="J873" t="s">
        <v>604</v>
      </c>
      <c r="K873" t="s">
        <v>617</v>
      </c>
      <c r="L873">
        <v>12</v>
      </c>
    </row>
    <row r="874" spans="2:12" ht="15" customHeight="1">
      <c r="B874" t="s">
        <v>2107</v>
      </c>
      <c r="C874">
        <v>1000000</v>
      </c>
      <c r="D874" t="s">
        <v>247</v>
      </c>
      <c r="E874">
        <v>17807.916687442568</v>
      </c>
      <c r="F874" s="3">
        <f>(tblSalaries[[#This Row],[clean Salary (in local currency)]])*(VLOOKUP(tblSalaries[[#This Row],[Currency]],Sheet3!$A$2:$C$31,3,FALSE))*(VLOOKUP(tblSalaries[[#This Row],[Currency]],Sheet1!$N$4:$Q$186,4,FALSE))</f>
        <v>47361.022348698454</v>
      </c>
      <c r="G874" s="4">
        <f>IF(Dashboard!$J$5=VLOOKUP(tblSalaries[[#This Row],[Currency]],Sheet3!$A$2:$B$31,2,FALSE),tblSalaries[[#This Row],[clean Salary (in local currency)]],(tblSalaries[[#This Row],[PPP Adjusted  USD]]/VLOOKUP(Dashboard!$J$5,Sheet3!$B$2:$C$31,2,FALSE)))</f>
        <v>47361.022348698454</v>
      </c>
      <c r="H874" t="s">
        <v>2108</v>
      </c>
      <c r="I874" t="s">
        <v>603</v>
      </c>
      <c r="J874" t="s">
        <v>604</v>
      </c>
      <c r="K874" t="s">
        <v>605</v>
      </c>
      <c r="L874">
        <v>10</v>
      </c>
    </row>
    <row r="875" spans="2:12" ht="15" customHeight="1">
      <c r="B875" t="s">
        <v>2125</v>
      </c>
      <c r="C875">
        <v>1000000</v>
      </c>
      <c r="D875" t="s">
        <v>247</v>
      </c>
      <c r="E875">
        <v>17807.916687442568</v>
      </c>
      <c r="F875" s="3">
        <f>(tblSalaries[[#This Row],[clean Salary (in local currency)]])*(VLOOKUP(tblSalaries[[#This Row],[Currency]],Sheet3!$A$2:$C$31,3,FALSE))*(VLOOKUP(tblSalaries[[#This Row],[Currency]],Sheet1!$N$4:$Q$186,4,FALSE))</f>
        <v>47361.022348698454</v>
      </c>
      <c r="G875" s="4">
        <f>IF(Dashboard!$J$5=VLOOKUP(tblSalaries[[#This Row],[Currency]],Sheet3!$A$2:$B$31,2,FALSE),tblSalaries[[#This Row],[clean Salary (in local currency)]],(tblSalaries[[#This Row],[PPP Adjusted  USD]]/VLOOKUP(Dashboard!$J$5,Sheet3!$B$2:$C$31,2,FALSE)))</f>
        <v>47361.022348698454</v>
      </c>
      <c r="H875" t="s">
        <v>1198</v>
      </c>
      <c r="I875" t="s">
        <v>603</v>
      </c>
      <c r="J875" t="s">
        <v>604</v>
      </c>
      <c r="K875" t="s">
        <v>605</v>
      </c>
      <c r="L875">
        <v>6.5</v>
      </c>
    </row>
    <row r="876" spans="2:12" ht="15" customHeight="1">
      <c r="B876" t="s">
        <v>2211</v>
      </c>
      <c r="C876">
        <v>1000000</v>
      </c>
      <c r="D876" t="s">
        <v>247</v>
      </c>
      <c r="E876">
        <v>17807.916687442568</v>
      </c>
      <c r="F876" s="3">
        <f>(tblSalaries[[#This Row],[clean Salary (in local currency)]])*(VLOOKUP(tblSalaries[[#This Row],[Currency]],Sheet3!$A$2:$C$31,3,FALSE))*(VLOOKUP(tblSalaries[[#This Row],[Currency]],Sheet1!$N$4:$Q$186,4,FALSE))</f>
        <v>47361.022348698454</v>
      </c>
      <c r="G876" s="4">
        <f>IF(Dashboard!$J$5=VLOOKUP(tblSalaries[[#This Row],[Currency]],Sheet3!$A$2:$B$31,2,FALSE),tblSalaries[[#This Row],[clean Salary (in local currency)]],(tblSalaries[[#This Row],[PPP Adjusted  USD]]/VLOOKUP(Dashboard!$J$5,Sheet3!$B$2:$C$31,2,FALSE)))</f>
        <v>47361.022348698454</v>
      </c>
      <c r="H876" t="s">
        <v>2212</v>
      </c>
      <c r="I876" t="s">
        <v>625</v>
      </c>
      <c r="J876" t="s">
        <v>604</v>
      </c>
      <c r="K876" t="s">
        <v>605</v>
      </c>
      <c r="L876">
        <v>5</v>
      </c>
    </row>
    <row r="877" spans="2:12" ht="15" customHeight="1">
      <c r="B877" t="s">
        <v>2270</v>
      </c>
      <c r="C877">
        <v>1000000</v>
      </c>
      <c r="D877" t="s">
        <v>247</v>
      </c>
      <c r="E877">
        <v>17807.916687442568</v>
      </c>
      <c r="F877" s="3">
        <f>(tblSalaries[[#This Row],[clean Salary (in local currency)]])*(VLOOKUP(tblSalaries[[#This Row],[Currency]],Sheet3!$A$2:$C$31,3,FALSE))*(VLOOKUP(tblSalaries[[#This Row],[Currency]],Sheet1!$N$4:$Q$186,4,FALSE))</f>
        <v>47361.022348698454</v>
      </c>
      <c r="G877" s="4">
        <f>IF(Dashboard!$J$5=VLOOKUP(tblSalaries[[#This Row],[Currency]],Sheet3!$A$2:$B$31,2,FALSE),tblSalaries[[#This Row],[clean Salary (in local currency)]],(tblSalaries[[#This Row],[PPP Adjusted  USD]]/VLOOKUP(Dashboard!$J$5,Sheet3!$B$2:$C$31,2,FALSE)))</f>
        <v>47361.022348698454</v>
      </c>
      <c r="H877" t="s">
        <v>2271</v>
      </c>
      <c r="I877" t="s">
        <v>625</v>
      </c>
      <c r="J877" t="s">
        <v>604</v>
      </c>
      <c r="K877" t="s">
        <v>610</v>
      </c>
      <c r="L877">
        <v>8</v>
      </c>
    </row>
    <row r="878" spans="2:12" ht="15" customHeight="1">
      <c r="B878" t="s">
        <v>2368</v>
      </c>
      <c r="C878">
        <v>1000000</v>
      </c>
      <c r="D878" t="s">
        <v>247</v>
      </c>
      <c r="E878">
        <v>17807.916687442568</v>
      </c>
      <c r="F878" s="3">
        <f>(tblSalaries[[#This Row],[clean Salary (in local currency)]])*(VLOOKUP(tblSalaries[[#This Row],[Currency]],Sheet3!$A$2:$C$31,3,FALSE))*(VLOOKUP(tblSalaries[[#This Row],[Currency]],Sheet1!$N$4:$Q$186,4,FALSE))</f>
        <v>47361.022348698454</v>
      </c>
      <c r="G878" s="4">
        <f>IF(Dashboard!$J$5=VLOOKUP(tblSalaries[[#This Row],[Currency]],Sheet3!$A$2:$B$31,2,FALSE),tblSalaries[[#This Row],[clean Salary (in local currency)]],(tblSalaries[[#This Row],[PPP Adjusted  USD]]/VLOOKUP(Dashboard!$J$5,Sheet3!$B$2:$C$31,2,FALSE)))</f>
        <v>47361.022348698454</v>
      </c>
      <c r="H878" t="s">
        <v>2369</v>
      </c>
      <c r="I878" t="s">
        <v>625</v>
      </c>
      <c r="J878" t="s">
        <v>604</v>
      </c>
      <c r="K878" t="s">
        <v>610</v>
      </c>
      <c r="L878">
        <v>8</v>
      </c>
    </row>
    <row r="879" spans="2:12" ht="15" customHeight="1">
      <c r="B879" t="s">
        <v>2429</v>
      </c>
      <c r="C879">
        <v>1000000</v>
      </c>
      <c r="D879" t="s">
        <v>247</v>
      </c>
      <c r="E879">
        <v>17807.916687442568</v>
      </c>
      <c r="F879" s="3">
        <f>(tblSalaries[[#This Row],[clean Salary (in local currency)]])*(VLOOKUP(tblSalaries[[#This Row],[Currency]],Sheet3!$A$2:$C$31,3,FALSE))*(VLOOKUP(tblSalaries[[#This Row],[Currency]],Sheet1!$N$4:$Q$186,4,FALSE))</f>
        <v>47361.022348698454</v>
      </c>
      <c r="G879" s="4">
        <f>IF(Dashboard!$J$5=VLOOKUP(tblSalaries[[#This Row],[Currency]],Sheet3!$A$2:$B$31,2,FALSE),tblSalaries[[#This Row],[clean Salary (in local currency)]],(tblSalaries[[#This Row],[PPP Adjusted  USD]]/VLOOKUP(Dashboard!$J$5,Sheet3!$B$2:$C$31,2,FALSE)))</f>
        <v>47361.022348698454</v>
      </c>
      <c r="H879" t="s">
        <v>2430</v>
      </c>
      <c r="I879" t="s">
        <v>603</v>
      </c>
      <c r="J879" t="s">
        <v>604</v>
      </c>
      <c r="K879" t="s">
        <v>627</v>
      </c>
      <c r="L879">
        <v>25</v>
      </c>
    </row>
    <row r="880" spans="2:12" ht="15" customHeight="1">
      <c r="B880" t="s">
        <v>2727</v>
      </c>
      <c r="C880">
        <v>1000000</v>
      </c>
      <c r="D880" t="s">
        <v>247</v>
      </c>
      <c r="E880">
        <v>17807.916687442568</v>
      </c>
      <c r="F880" s="3">
        <f>(tblSalaries[[#This Row],[clean Salary (in local currency)]])*(VLOOKUP(tblSalaries[[#This Row],[Currency]],Sheet3!$A$2:$C$31,3,FALSE))*(VLOOKUP(tblSalaries[[#This Row],[Currency]],Sheet1!$N$4:$Q$186,4,FALSE))</f>
        <v>47361.022348698454</v>
      </c>
      <c r="G880" s="4">
        <f>IF(Dashboard!$J$5=VLOOKUP(tblSalaries[[#This Row],[Currency]],Sheet3!$A$2:$B$31,2,FALSE),tblSalaries[[#This Row],[clean Salary (in local currency)]],(tblSalaries[[#This Row],[PPP Adjusted  USD]]/VLOOKUP(Dashboard!$J$5,Sheet3!$B$2:$C$31,2,FALSE)))</f>
        <v>47361.022348698454</v>
      </c>
      <c r="H880" t="s">
        <v>2188</v>
      </c>
      <c r="I880" t="s">
        <v>625</v>
      </c>
      <c r="J880" t="s">
        <v>604</v>
      </c>
      <c r="K880" t="s">
        <v>605</v>
      </c>
      <c r="L880">
        <v>8.5</v>
      </c>
    </row>
    <row r="881" spans="2:12" ht="15" customHeight="1">
      <c r="B881" t="s">
        <v>2823</v>
      </c>
      <c r="C881">
        <v>1000000</v>
      </c>
      <c r="D881" t="s">
        <v>247</v>
      </c>
      <c r="E881">
        <v>17807.916687442568</v>
      </c>
      <c r="F881" s="3">
        <f>(tblSalaries[[#This Row],[clean Salary (in local currency)]])*(VLOOKUP(tblSalaries[[#This Row],[Currency]],Sheet3!$A$2:$C$31,3,FALSE))*(VLOOKUP(tblSalaries[[#This Row],[Currency]],Sheet1!$N$4:$Q$186,4,FALSE))</f>
        <v>47361.022348698454</v>
      </c>
      <c r="G881" s="4">
        <f>IF(Dashboard!$J$5=VLOOKUP(tblSalaries[[#This Row],[Currency]],Sheet3!$A$2:$B$31,2,FALSE),tblSalaries[[#This Row],[clean Salary (in local currency)]],(tblSalaries[[#This Row],[PPP Adjusted  USD]]/VLOOKUP(Dashboard!$J$5,Sheet3!$B$2:$C$31,2,FALSE)))</f>
        <v>47361.022348698454</v>
      </c>
      <c r="H881" t="s">
        <v>625</v>
      </c>
      <c r="I881" t="s">
        <v>625</v>
      </c>
      <c r="J881" t="s">
        <v>604</v>
      </c>
      <c r="K881" t="s">
        <v>617</v>
      </c>
      <c r="L881">
        <v>10</v>
      </c>
    </row>
    <row r="882" spans="2:12" ht="15" customHeight="1">
      <c r="B882" t="s">
        <v>3099</v>
      </c>
      <c r="C882">
        <v>1000000</v>
      </c>
      <c r="D882" t="s">
        <v>247</v>
      </c>
      <c r="E882">
        <v>17807.916687442568</v>
      </c>
      <c r="F882" s="3">
        <f>(tblSalaries[[#This Row],[clean Salary (in local currency)]])*(VLOOKUP(tblSalaries[[#This Row],[Currency]],Sheet3!$A$2:$C$31,3,FALSE))*(VLOOKUP(tblSalaries[[#This Row],[Currency]],Sheet1!$N$4:$Q$186,4,FALSE))</f>
        <v>47361.022348698454</v>
      </c>
      <c r="G882" s="4">
        <f>IF(Dashboard!$J$5=VLOOKUP(tblSalaries[[#This Row],[Currency]],Sheet3!$A$2:$B$31,2,FALSE),tblSalaries[[#This Row],[clean Salary (in local currency)]],(tblSalaries[[#This Row],[PPP Adjusted  USD]]/VLOOKUP(Dashboard!$J$5,Sheet3!$B$2:$C$31,2,FALSE)))</f>
        <v>47361.022348698454</v>
      </c>
      <c r="H882" t="s">
        <v>3100</v>
      </c>
      <c r="I882" t="s">
        <v>625</v>
      </c>
      <c r="J882" t="s">
        <v>604</v>
      </c>
      <c r="K882" t="s">
        <v>610</v>
      </c>
      <c r="L882">
        <v>6</v>
      </c>
    </row>
    <row r="883" spans="2:12" ht="15" customHeight="1">
      <c r="B883" t="s">
        <v>3115</v>
      </c>
      <c r="C883">
        <v>1000000</v>
      </c>
      <c r="D883" t="s">
        <v>247</v>
      </c>
      <c r="E883">
        <v>17807.916687442568</v>
      </c>
      <c r="F883" s="3">
        <f>(tblSalaries[[#This Row],[clean Salary (in local currency)]])*(VLOOKUP(tblSalaries[[#This Row],[Currency]],Sheet3!$A$2:$C$31,3,FALSE))*(VLOOKUP(tblSalaries[[#This Row],[Currency]],Sheet1!$N$4:$Q$186,4,FALSE))</f>
        <v>47361.022348698454</v>
      </c>
      <c r="G883" s="4">
        <f>IF(Dashboard!$J$5=VLOOKUP(tblSalaries[[#This Row],[Currency]],Sheet3!$A$2:$B$31,2,FALSE),tblSalaries[[#This Row],[clean Salary (in local currency)]],(tblSalaries[[#This Row],[PPP Adjusted  USD]]/VLOOKUP(Dashboard!$J$5,Sheet3!$B$2:$C$31,2,FALSE)))</f>
        <v>47361.022348698454</v>
      </c>
      <c r="H883" t="s">
        <v>1642</v>
      </c>
      <c r="I883" t="s">
        <v>640</v>
      </c>
      <c r="J883" t="s">
        <v>604</v>
      </c>
      <c r="K883" t="s">
        <v>617</v>
      </c>
      <c r="L883">
        <v>7</v>
      </c>
    </row>
    <row r="884" spans="2:12" ht="15" customHeight="1">
      <c r="B884" t="s">
        <v>3250</v>
      </c>
      <c r="C884">
        <v>1000000</v>
      </c>
      <c r="D884" t="s">
        <v>247</v>
      </c>
      <c r="E884">
        <v>17807.916687442568</v>
      </c>
      <c r="F884" s="3">
        <f>(tblSalaries[[#This Row],[clean Salary (in local currency)]])*(VLOOKUP(tblSalaries[[#This Row],[Currency]],Sheet3!$A$2:$C$31,3,FALSE))*(VLOOKUP(tblSalaries[[#This Row],[Currency]],Sheet1!$N$4:$Q$186,4,FALSE))</f>
        <v>47361.022348698454</v>
      </c>
      <c r="G884" s="4">
        <f>IF(Dashboard!$J$5=VLOOKUP(tblSalaries[[#This Row],[Currency]],Sheet3!$A$2:$B$31,2,FALSE),tblSalaries[[#This Row],[clean Salary (in local currency)]],(tblSalaries[[#This Row],[PPP Adjusted  USD]]/VLOOKUP(Dashboard!$J$5,Sheet3!$B$2:$C$31,2,FALSE)))</f>
        <v>47361.022348698454</v>
      </c>
      <c r="H884" t="s">
        <v>1335</v>
      </c>
      <c r="I884" t="s">
        <v>603</v>
      </c>
      <c r="J884" t="s">
        <v>604</v>
      </c>
      <c r="K884" t="s">
        <v>610</v>
      </c>
      <c r="L884">
        <v>10</v>
      </c>
    </row>
    <row r="885" spans="2:12" ht="15" customHeight="1">
      <c r="B885" t="s">
        <v>3322</v>
      </c>
      <c r="C885">
        <v>1000000</v>
      </c>
      <c r="D885" t="s">
        <v>247</v>
      </c>
      <c r="E885">
        <v>17807.916687442568</v>
      </c>
      <c r="F885" s="3">
        <f>(tblSalaries[[#This Row],[clean Salary (in local currency)]])*(VLOOKUP(tblSalaries[[#This Row],[Currency]],Sheet3!$A$2:$C$31,3,FALSE))*(VLOOKUP(tblSalaries[[#This Row],[Currency]],Sheet1!$N$4:$Q$186,4,FALSE))</f>
        <v>47361.022348698454</v>
      </c>
      <c r="G885" s="4">
        <f>IF(Dashboard!$J$5=VLOOKUP(tblSalaries[[#This Row],[Currency]],Sheet3!$A$2:$B$31,2,FALSE),tblSalaries[[#This Row],[clean Salary (in local currency)]],(tblSalaries[[#This Row],[PPP Adjusted  USD]]/VLOOKUP(Dashboard!$J$5,Sheet3!$B$2:$C$31,2,FALSE)))</f>
        <v>47361.022348698454</v>
      </c>
      <c r="H885" t="s">
        <v>740</v>
      </c>
      <c r="I885" t="s">
        <v>603</v>
      </c>
      <c r="J885" t="s">
        <v>604</v>
      </c>
      <c r="K885" t="s">
        <v>610</v>
      </c>
      <c r="L885">
        <v>4</v>
      </c>
    </row>
    <row r="886" spans="2:12" ht="15" customHeight="1">
      <c r="B886" t="s">
        <v>3387</v>
      </c>
      <c r="C886">
        <v>1000000</v>
      </c>
      <c r="D886" t="s">
        <v>247</v>
      </c>
      <c r="E886">
        <v>17807.916687442568</v>
      </c>
      <c r="F886" s="3">
        <f>(tblSalaries[[#This Row],[clean Salary (in local currency)]])*(VLOOKUP(tblSalaries[[#This Row],[Currency]],Sheet3!$A$2:$C$31,3,FALSE))*(VLOOKUP(tblSalaries[[#This Row],[Currency]],Sheet1!$N$4:$Q$186,4,FALSE))</f>
        <v>47361.022348698454</v>
      </c>
      <c r="G886" s="4">
        <f>IF(Dashboard!$J$5=VLOOKUP(tblSalaries[[#This Row],[Currency]],Sheet3!$A$2:$B$31,2,FALSE),tblSalaries[[#This Row],[clean Salary (in local currency)]],(tblSalaries[[#This Row],[PPP Adjusted  USD]]/VLOOKUP(Dashboard!$J$5,Sheet3!$B$2:$C$31,2,FALSE)))</f>
        <v>47361.022348698454</v>
      </c>
      <c r="H886" t="s">
        <v>3388</v>
      </c>
      <c r="I886" t="s">
        <v>625</v>
      </c>
      <c r="J886" t="s">
        <v>604</v>
      </c>
      <c r="K886" t="s">
        <v>617</v>
      </c>
      <c r="L886">
        <v>13</v>
      </c>
    </row>
    <row r="887" spans="2:12" ht="15" customHeight="1">
      <c r="B887" t="s">
        <v>3397</v>
      </c>
      <c r="C887">
        <v>1000000</v>
      </c>
      <c r="D887" t="s">
        <v>247</v>
      </c>
      <c r="E887">
        <v>17807.916687442568</v>
      </c>
      <c r="F887" s="3">
        <f>(tblSalaries[[#This Row],[clean Salary (in local currency)]])*(VLOOKUP(tblSalaries[[#This Row],[Currency]],Sheet3!$A$2:$C$31,3,FALSE))*(VLOOKUP(tblSalaries[[#This Row],[Currency]],Sheet1!$N$4:$Q$186,4,FALSE))</f>
        <v>47361.022348698454</v>
      </c>
      <c r="G887" s="4">
        <f>IF(Dashboard!$J$5=VLOOKUP(tblSalaries[[#This Row],[Currency]],Sheet3!$A$2:$B$31,2,FALSE),tblSalaries[[#This Row],[clean Salary (in local currency)]],(tblSalaries[[#This Row],[PPP Adjusted  USD]]/VLOOKUP(Dashboard!$J$5,Sheet3!$B$2:$C$31,2,FALSE)))</f>
        <v>47361.022348698454</v>
      </c>
      <c r="H887" t="s">
        <v>3398</v>
      </c>
      <c r="I887" t="s">
        <v>603</v>
      </c>
      <c r="J887" t="s">
        <v>604</v>
      </c>
      <c r="K887" t="s">
        <v>610</v>
      </c>
      <c r="L887">
        <v>4</v>
      </c>
    </row>
    <row r="888" spans="2:12" ht="15" customHeight="1">
      <c r="B888" t="s">
        <v>3684</v>
      </c>
      <c r="C888">
        <v>1000000</v>
      </c>
      <c r="D888" t="s">
        <v>247</v>
      </c>
      <c r="E888">
        <v>17807.916687442568</v>
      </c>
      <c r="F888" s="3">
        <f>(tblSalaries[[#This Row],[clean Salary (in local currency)]])*(VLOOKUP(tblSalaries[[#This Row],[Currency]],Sheet3!$A$2:$C$31,3,FALSE))*(VLOOKUP(tblSalaries[[#This Row],[Currency]],Sheet1!$N$4:$Q$186,4,FALSE))</f>
        <v>47361.022348698454</v>
      </c>
      <c r="G888" s="4">
        <f>IF(Dashboard!$J$5=VLOOKUP(tblSalaries[[#This Row],[Currency]],Sheet3!$A$2:$B$31,2,FALSE),tblSalaries[[#This Row],[clean Salary (in local currency)]],(tblSalaries[[#This Row],[PPP Adjusted  USD]]/VLOOKUP(Dashboard!$J$5,Sheet3!$B$2:$C$31,2,FALSE)))</f>
        <v>47361.022348698454</v>
      </c>
      <c r="H888" t="s">
        <v>3685</v>
      </c>
      <c r="I888" t="s">
        <v>625</v>
      </c>
      <c r="J888" t="s">
        <v>604</v>
      </c>
      <c r="K888" t="s">
        <v>617</v>
      </c>
      <c r="L888">
        <v>10</v>
      </c>
    </row>
    <row r="889" spans="2:12" ht="15" customHeight="1">
      <c r="B889" t="s">
        <v>3730</v>
      </c>
      <c r="C889">
        <v>1000000</v>
      </c>
      <c r="D889" t="s">
        <v>247</v>
      </c>
      <c r="E889">
        <v>17807.916687442568</v>
      </c>
      <c r="F889" s="3">
        <f>(tblSalaries[[#This Row],[clean Salary (in local currency)]])*(VLOOKUP(tblSalaries[[#This Row],[Currency]],Sheet3!$A$2:$C$31,3,FALSE))*(VLOOKUP(tblSalaries[[#This Row],[Currency]],Sheet1!$N$4:$Q$186,4,FALSE))</f>
        <v>47361.022348698454</v>
      </c>
      <c r="G889" s="4">
        <f>IF(Dashboard!$J$5=VLOOKUP(tblSalaries[[#This Row],[Currency]],Sheet3!$A$2:$B$31,2,FALSE),tblSalaries[[#This Row],[clean Salary (in local currency)]],(tblSalaries[[#This Row],[PPP Adjusted  USD]]/VLOOKUP(Dashboard!$J$5,Sheet3!$B$2:$C$31,2,FALSE)))</f>
        <v>47361.022348698454</v>
      </c>
      <c r="H889" t="s">
        <v>3731</v>
      </c>
      <c r="I889" t="s">
        <v>625</v>
      </c>
      <c r="J889" t="s">
        <v>604</v>
      </c>
      <c r="K889" t="s">
        <v>610</v>
      </c>
      <c r="L889">
        <v>10</v>
      </c>
    </row>
    <row r="890" spans="2:12" ht="15" customHeight="1">
      <c r="B890" t="s">
        <v>749</v>
      </c>
      <c r="C890">
        <v>43000</v>
      </c>
      <c r="D890" t="s">
        <v>200</v>
      </c>
      <c r="E890">
        <v>54627.175876639136</v>
      </c>
      <c r="F890" s="3">
        <f>(tblSalaries[[#This Row],[clean Salary (in local currency)]])*(VLOOKUP(tblSalaries[[#This Row],[Currency]],Sheet3!$A$2:$C$31,3,FALSE))*(VLOOKUP(tblSalaries[[#This Row],[Currency]],Sheet1!$N$4:$Q$186,4,FALSE))</f>
        <v>47328.074097142242</v>
      </c>
      <c r="G890" s="4">
        <f>IF(Dashboard!$J$5=VLOOKUP(tblSalaries[[#This Row],[Currency]],Sheet3!$A$2:$B$31,2,FALSE),tblSalaries[[#This Row],[clean Salary (in local currency)]],(tblSalaries[[#This Row],[PPP Adjusted  USD]]/VLOOKUP(Dashboard!$J$5,Sheet3!$B$2:$C$31,2,FALSE)))</f>
        <v>47328.074097142242</v>
      </c>
      <c r="H890" t="s">
        <v>750</v>
      </c>
      <c r="I890" t="s">
        <v>692</v>
      </c>
      <c r="J890" t="s">
        <v>738</v>
      </c>
      <c r="K890" t="s">
        <v>605</v>
      </c>
      <c r="L890" t="s">
        <v>3847</v>
      </c>
    </row>
    <row r="891" spans="2:12" ht="15" customHeight="1">
      <c r="B891" t="s">
        <v>2882</v>
      </c>
      <c r="C891">
        <v>43000</v>
      </c>
      <c r="D891" t="s">
        <v>200</v>
      </c>
      <c r="E891">
        <v>54627.175876639136</v>
      </c>
      <c r="F891" s="3">
        <f>(tblSalaries[[#This Row],[clean Salary (in local currency)]])*(VLOOKUP(tblSalaries[[#This Row],[Currency]],Sheet3!$A$2:$C$31,3,FALSE))*(VLOOKUP(tblSalaries[[#This Row],[Currency]],Sheet1!$N$4:$Q$186,4,FALSE))</f>
        <v>47328.074097142242</v>
      </c>
      <c r="G891" s="4">
        <f>IF(Dashboard!$J$5=VLOOKUP(tblSalaries[[#This Row],[Currency]],Sheet3!$A$2:$B$31,2,FALSE),tblSalaries[[#This Row],[clean Salary (in local currency)]],(tblSalaries[[#This Row],[PPP Adjusted  USD]]/VLOOKUP(Dashboard!$J$5,Sheet3!$B$2:$C$31,2,FALSE)))</f>
        <v>47328.074097142242</v>
      </c>
      <c r="H891" t="s">
        <v>2883</v>
      </c>
      <c r="I891" t="s">
        <v>625</v>
      </c>
      <c r="J891" t="s">
        <v>738</v>
      </c>
      <c r="K891" t="s">
        <v>610</v>
      </c>
      <c r="L891">
        <v>7</v>
      </c>
    </row>
    <row r="892" spans="2:12" ht="15" customHeight="1">
      <c r="B892" t="s">
        <v>716</v>
      </c>
      <c r="C892">
        <v>32000</v>
      </c>
      <c r="D892" t="s">
        <v>204</v>
      </c>
      <c r="E892">
        <v>50437.70470615309</v>
      </c>
      <c r="F892" s="3">
        <f>(tblSalaries[[#This Row],[clean Salary (in local currency)]])*(VLOOKUP(tblSalaries[[#This Row],[Currency]],Sheet3!$A$2:$C$31,3,FALSE))*(VLOOKUP(tblSalaries[[#This Row],[Currency]],Sheet1!$N$4:$Q$186,4,FALSE))</f>
        <v>47167.07855937368</v>
      </c>
      <c r="G892" s="4">
        <f>IF(Dashboard!$J$5=VLOOKUP(tblSalaries[[#This Row],[Currency]],Sheet3!$A$2:$B$31,2,FALSE),tblSalaries[[#This Row],[clean Salary (in local currency)]],(tblSalaries[[#This Row],[PPP Adjusted  USD]]/VLOOKUP(Dashboard!$J$5,Sheet3!$B$2:$C$31,2,FALSE)))</f>
        <v>47167.07855937368</v>
      </c>
      <c r="H892" t="s">
        <v>717</v>
      </c>
      <c r="I892" t="s">
        <v>603</v>
      </c>
      <c r="J892" t="s">
        <v>687</v>
      </c>
      <c r="K892" t="s">
        <v>605</v>
      </c>
      <c r="L892" t="s">
        <v>3847</v>
      </c>
    </row>
    <row r="893" spans="2:12" ht="15" customHeight="1">
      <c r="B893" t="s">
        <v>2642</v>
      </c>
      <c r="C893">
        <v>32000</v>
      </c>
      <c r="D893" t="s">
        <v>204</v>
      </c>
      <c r="E893">
        <v>50437.70470615309</v>
      </c>
      <c r="F893" s="3">
        <f>(tblSalaries[[#This Row],[clean Salary (in local currency)]])*(VLOOKUP(tblSalaries[[#This Row],[Currency]],Sheet3!$A$2:$C$31,3,FALSE))*(VLOOKUP(tblSalaries[[#This Row],[Currency]],Sheet1!$N$4:$Q$186,4,FALSE))</f>
        <v>47167.07855937368</v>
      </c>
      <c r="G893" s="4">
        <f>IF(Dashboard!$J$5=VLOOKUP(tblSalaries[[#This Row],[Currency]],Sheet3!$A$2:$B$31,2,FALSE),tblSalaries[[#This Row],[clean Salary (in local currency)]],(tblSalaries[[#This Row],[PPP Adjusted  USD]]/VLOOKUP(Dashboard!$J$5,Sheet3!$B$2:$C$31,2,FALSE)))</f>
        <v>47167.07855937368</v>
      </c>
      <c r="H893" t="s">
        <v>2643</v>
      </c>
      <c r="I893" t="s">
        <v>603</v>
      </c>
      <c r="J893" t="s">
        <v>687</v>
      </c>
      <c r="K893" t="s">
        <v>605</v>
      </c>
      <c r="L893">
        <v>4</v>
      </c>
    </row>
    <row r="894" spans="2:12" ht="15" customHeight="1">
      <c r="B894" t="s">
        <v>2653</v>
      </c>
      <c r="C894">
        <v>32000</v>
      </c>
      <c r="D894" t="s">
        <v>204</v>
      </c>
      <c r="E894">
        <v>50437.70470615309</v>
      </c>
      <c r="F894" s="3">
        <f>(tblSalaries[[#This Row],[clean Salary (in local currency)]])*(VLOOKUP(tblSalaries[[#This Row],[Currency]],Sheet3!$A$2:$C$31,3,FALSE))*(VLOOKUP(tblSalaries[[#This Row],[Currency]],Sheet1!$N$4:$Q$186,4,FALSE))</f>
        <v>47167.07855937368</v>
      </c>
      <c r="G894" s="4">
        <f>IF(Dashboard!$J$5=VLOOKUP(tblSalaries[[#This Row],[Currency]],Sheet3!$A$2:$B$31,2,FALSE),tblSalaries[[#This Row],[clean Salary (in local currency)]],(tblSalaries[[#This Row],[PPP Adjusted  USD]]/VLOOKUP(Dashboard!$J$5,Sheet3!$B$2:$C$31,2,FALSE)))</f>
        <v>47167.07855937368</v>
      </c>
      <c r="H894" t="s">
        <v>2654</v>
      </c>
      <c r="I894" t="s">
        <v>603</v>
      </c>
      <c r="J894" t="s">
        <v>708</v>
      </c>
      <c r="K894" t="s">
        <v>605</v>
      </c>
      <c r="L894">
        <v>9</v>
      </c>
    </row>
    <row r="895" spans="2:12" ht="15" customHeight="1">
      <c r="B895" t="s">
        <v>3651</v>
      </c>
      <c r="C895">
        <v>32000</v>
      </c>
      <c r="D895" t="s">
        <v>204</v>
      </c>
      <c r="E895">
        <v>50437.70470615309</v>
      </c>
      <c r="F895" s="3">
        <f>(tblSalaries[[#This Row],[clean Salary (in local currency)]])*(VLOOKUP(tblSalaries[[#This Row],[Currency]],Sheet3!$A$2:$C$31,3,FALSE))*(VLOOKUP(tblSalaries[[#This Row],[Currency]],Sheet1!$N$4:$Q$186,4,FALSE))</f>
        <v>47167.07855937368</v>
      </c>
      <c r="G895" s="4">
        <f>IF(Dashboard!$J$5=VLOOKUP(tblSalaries[[#This Row],[Currency]],Sheet3!$A$2:$B$31,2,FALSE),tblSalaries[[#This Row],[clean Salary (in local currency)]],(tblSalaries[[#This Row],[PPP Adjusted  USD]]/VLOOKUP(Dashboard!$J$5,Sheet3!$B$2:$C$31,2,FALSE)))</f>
        <v>47167.07855937368</v>
      </c>
      <c r="H895" t="s">
        <v>899</v>
      </c>
      <c r="I895" t="s">
        <v>603</v>
      </c>
      <c r="J895" t="s">
        <v>687</v>
      </c>
      <c r="K895" t="s">
        <v>605</v>
      </c>
      <c r="L895">
        <v>20</v>
      </c>
    </row>
    <row r="896" spans="2:12" ht="15" customHeight="1">
      <c r="B896" t="s">
        <v>3652</v>
      </c>
      <c r="C896">
        <v>32000</v>
      </c>
      <c r="D896" t="s">
        <v>204</v>
      </c>
      <c r="E896">
        <v>50437.70470615309</v>
      </c>
      <c r="F896" s="3">
        <f>(tblSalaries[[#This Row],[clean Salary (in local currency)]])*(VLOOKUP(tblSalaries[[#This Row],[Currency]],Sheet3!$A$2:$C$31,3,FALSE))*(VLOOKUP(tblSalaries[[#This Row],[Currency]],Sheet1!$N$4:$Q$186,4,FALSE))</f>
        <v>47167.07855937368</v>
      </c>
      <c r="G896" s="4">
        <f>IF(Dashboard!$J$5=VLOOKUP(tblSalaries[[#This Row],[Currency]],Sheet3!$A$2:$B$31,2,FALSE),tblSalaries[[#This Row],[clean Salary (in local currency)]],(tblSalaries[[#This Row],[PPP Adjusted  USD]]/VLOOKUP(Dashboard!$J$5,Sheet3!$B$2:$C$31,2,FALSE)))</f>
        <v>47167.07855937368</v>
      </c>
      <c r="H896" t="s">
        <v>612</v>
      </c>
      <c r="I896" t="s">
        <v>603</v>
      </c>
      <c r="J896" t="s">
        <v>687</v>
      </c>
      <c r="K896" t="s">
        <v>610</v>
      </c>
      <c r="L896">
        <v>1</v>
      </c>
    </row>
    <row r="897" spans="2:12" ht="15" customHeight="1">
      <c r="B897" t="s">
        <v>1233</v>
      </c>
      <c r="C897">
        <v>47000</v>
      </c>
      <c r="D897" t="s">
        <v>252</v>
      </c>
      <c r="E897">
        <v>47000</v>
      </c>
      <c r="F897" s="3">
        <f>(tblSalaries[[#This Row],[clean Salary (in local currency)]])*(VLOOKUP(tblSalaries[[#This Row],[Currency]],Sheet3!$A$2:$C$31,3,FALSE))*(VLOOKUP(tblSalaries[[#This Row],[Currency]],Sheet1!$N$4:$Q$186,4,FALSE))</f>
        <v>47000</v>
      </c>
      <c r="G897" s="4">
        <f>IF(Dashboard!$J$5=VLOOKUP(tblSalaries[[#This Row],[Currency]],Sheet3!$A$2:$B$31,2,FALSE),tblSalaries[[#This Row],[clean Salary (in local currency)]],(tblSalaries[[#This Row],[PPP Adjusted  USD]]/VLOOKUP(Dashboard!$J$5,Sheet3!$B$2:$C$31,2,FALSE)))</f>
        <v>47000</v>
      </c>
      <c r="H897" t="s">
        <v>1234</v>
      </c>
      <c r="I897" t="s">
        <v>640</v>
      </c>
      <c r="J897" t="s">
        <v>613</v>
      </c>
      <c r="K897" t="s">
        <v>605</v>
      </c>
      <c r="L897" t="s">
        <v>3847</v>
      </c>
    </row>
    <row r="898" spans="2:12" ht="15" customHeight="1">
      <c r="B898" t="s">
        <v>1342</v>
      </c>
      <c r="C898">
        <v>47000</v>
      </c>
      <c r="D898" t="s">
        <v>252</v>
      </c>
      <c r="E898">
        <v>47000</v>
      </c>
      <c r="F898" s="3">
        <f>(tblSalaries[[#This Row],[clean Salary (in local currency)]])*(VLOOKUP(tblSalaries[[#This Row],[Currency]],Sheet3!$A$2:$C$31,3,FALSE))*(VLOOKUP(tblSalaries[[#This Row],[Currency]],Sheet1!$N$4:$Q$186,4,FALSE))</f>
        <v>47000</v>
      </c>
      <c r="G898" s="4">
        <f>IF(Dashboard!$J$5=VLOOKUP(tblSalaries[[#This Row],[Currency]],Sheet3!$A$2:$B$31,2,FALSE),tblSalaries[[#This Row],[clean Salary (in local currency)]],(tblSalaries[[#This Row],[PPP Adjusted  USD]]/VLOOKUP(Dashboard!$J$5,Sheet3!$B$2:$C$31,2,FALSE)))</f>
        <v>47000</v>
      </c>
      <c r="H898" t="s">
        <v>1343</v>
      </c>
      <c r="I898" t="s">
        <v>625</v>
      </c>
      <c r="J898" t="s">
        <v>613</v>
      </c>
      <c r="K898" t="s">
        <v>617</v>
      </c>
      <c r="L898" t="s">
        <v>3847</v>
      </c>
    </row>
    <row r="899" spans="2:12" ht="15" customHeight="1">
      <c r="B899" t="s">
        <v>1365</v>
      </c>
      <c r="C899">
        <v>47000</v>
      </c>
      <c r="D899" t="s">
        <v>252</v>
      </c>
      <c r="E899">
        <v>47000</v>
      </c>
      <c r="F899" s="3">
        <f>(tblSalaries[[#This Row],[clean Salary (in local currency)]])*(VLOOKUP(tblSalaries[[#This Row],[Currency]],Sheet3!$A$2:$C$31,3,FALSE))*(VLOOKUP(tblSalaries[[#This Row],[Currency]],Sheet1!$N$4:$Q$186,4,FALSE))</f>
        <v>47000</v>
      </c>
      <c r="G899" s="4">
        <f>IF(Dashboard!$J$5=VLOOKUP(tblSalaries[[#This Row],[Currency]],Sheet3!$A$2:$B$31,2,FALSE),tblSalaries[[#This Row],[clean Salary (in local currency)]],(tblSalaries[[#This Row],[PPP Adjusted  USD]]/VLOOKUP(Dashboard!$J$5,Sheet3!$B$2:$C$31,2,FALSE)))</f>
        <v>47000</v>
      </c>
      <c r="H899" t="s">
        <v>1366</v>
      </c>
      <c r="I899" t="s">
        <v>625</v>
      </c>
      <c r="J899" t="s">
        <v>613</v>
      </c>
      <c r="K899" t="s">
        <v>605</v>
      </c>
      <c r="L899" t="s">
        <v>3847</v>
      </c>
    </row>
    <row r="900" spans="2:12" ht="15" customHeight="1">
      <c r="B900" t="s">
        <v>771</v>
      </c>
      <c r="C900">
        <v>59450</v>
      </c>
      <c r="D900" t="s">
        <v>276</v>
      </c>
      <c r="E900">
        <v>58460.842544152933</v>
      </c>
      <c r="F900" s="3">
        <f>(tblSalaries[[#This Row],[clean Salary (in local currency)]])*(VLOOKUP(tblSalaries[[#This Row],[Currency]],Sheet3!$A$2:$C$31,3,FALSE))*(VLOOKUP(tblSalaries[[#This Row],[Currency]],Sheet1!$N$4:$Q$186,4,FALSE))</f>
        <v>46992.02678037939</v>
      </c>
      <c r="G900" s="4">
        <f>IF(Dashboard!$J$5=VLOOKUP(tblSalaries[[#This Row],[Currency]],Sheet3!$A$2:$B$31,2,FALSE),tblSalaries[[#This Row],[clean Salary (in local currency)]],(tblSalaries[[#This Row],[PPP Adjusted  USD]]/VLOOKUP(Dashboard!$J$5,Sheet3!$B$2:$C$31,2,FALSE)))</f>
        <v>46992.02678037939</v>
      </c>
      <c r="H900" t="s">
        <v>772</v>
      </c>
      <c r="I900" t="s">
        <v>640</v>
      </c>
      <c r="J900" t="s">
        <v>708</v>
      </c>
      <c r="K900" t="s">
        <v>610</v>
      </c>
      <c r="L900" t="s">
        <v>3847</v>
      </c>
    </row>
    <row r="901" spans="2:12" ht="15" customHeight="1">
      <c r="B901" t="s">
        <v>2651</v>
      </c>
      <c r="C901">
        <v>31763</v>
      </c>
      <c r="D901" t="s">
        <v>204</v>
      </c>
      <c r="E901">
        <v>50064.150455673145</v>
      </c>
      <c r="F901" s="3">
        <f>(tblSalaries[[#This Row],[clean Salary (in local currency)]])*(VLOOKUP(tblSalaries[[#This Row],[Currency]],Sheet3!$A$2:$C$31,3,FALSE))*(VLOOKUP(tblSalaries[[#This Row],[Currency]],Sheet1!$N$4:$Q$186,4,FALSE))</f>
        <v>46817.747383793314</v>
      </c>
      <c r="G901" s="4">
        <f>IF(Dashboard!$J$5=VLOOKUP(tblSalaries[[#This Row],[Currency]],Sheet3!$A$2:$B$31,2,FALSE),tblSalaries[[#This Row],[clean Salary (in local currency)]],(tblSalaries[[#This Row],[PPP Adjusted  USD]]/VLOOKUP(Dashboard!$J$5,Sheet3!$B$2:$C$31,2,FALSE)))</f>
        <v>46817.747383793314</v>
      </c>
      <c r="H901" t="s">
        <v>2652</v>
      </c>
      <c r="I901" t="s">
        <v>603</v>
      </c>
      <c r="J901" t="s">
        <v>687</v>
      </c>
      <c r="K901" t="s">
        <v>617</v>
      </c>
      <c r="L901">
        <v>2</v>
      </c>
    </row>
    <row r="902" spans="2:12" ht="15" customHeight="1">
      <c r="B902" t="s">
        <v>963</v>
      </c>
      <c r="C902">
        <v>46584</v>
      </c>
      <c r="D902" t="s">
        <v>252</v>
      </c>
      <c r="E902">
        <v>46584</v>
      </c>
      <c r="F902" s="3">
        <f>(tblSalaries[[#This Row],[clean Salary (in local currency)]])*(VLOOKUP(tblSalaries[[#This Row],[Currency]],Sheet3!$A$2:$C$31,3,FALSE))*(VLOOKUP(tblSalaries[[#This Row],[Currency]],Sheet1!$N$4:$Q$186,4,FALSE))</f>
        <v>46584</v>
      </c>
      <c r="G902" s="4">
        <f>IF(Dashboard!$J$5=VLOOKUP(tblSalaries[[#This Row],[Currency]],Sheet3!$A$2:$B$31,2,FALSE),tblSalaries[[#This Row],[clean Salary (in local currency)]],(tblSalaries[[#This Row],[PPP Adjusted  USD]]/VLOOKUP(Dashboard!$J$5,Sheet3!$B$2:$C$31,2,FALSE)))</f>
        <v>46584</v>
      </c>
      <c r="H902" t="s">
        <v>964</v>
      </c>
      <c r="I902" t="s">
        <v>603</v>
      </c>
      <c r="J902" t="s">
        <v>613</v>
      </c>
      <c r="K902" t="s">
        <v>605</v>
      </c>
      <c r="L902" t="s">
        <v>3847</v>
      </c>
    </row>
    <row r="903" spans="2:12" ht="15" customHeight="1">
      <c r="B903" t="s">
        <v>3165</v>
      </c>
      <c r="C903">
        <v>74000</v>
      </c>
      <c r="D903" t="s">
        <v>224</v>
      </c>
      <c r="E903">
        <v>75473.31457379504</v>
      </c>
      <c r="F903" s="3">
        <f>(tblSalaries[[#This Row],[clean Salary (in local currency)]])*(VLOOKUP(tblSalaries[[#This Row],[Currency]],Sheet3!$A$2:$C$31,3,FALSE))*(VLOOKUP(tblSalaries[[#This Row],[Currency]],Sheet1!$N$4:$Q$186,4,FALSE))</f>
        <v>46376.84030669721</v>
      </c>
      <c r="G903" s="4">
        <f>IF(Dashboard!$J$5=VLOOKUP(tblSalaries[[#This Row],[Currency]],Sheet3!$A$2:$B$31,2,FALSE),tblSalaries[[#This Row],[clean Salary (in local currency)]],(tblSalaries[[#This Row],[PPP Adjusted  USD]]/VLOOKUP(Dashboard!$J$5,Sheet3!$B$2:$C$31,2,FALSE)))</f>
        <v>46376.84030669721</v>
      </c>
      <c r="H903" t="s">
        <v>3166</v>
      </c>
      <c r="I903" t="s">
        <v>603</v>
      </c>
      <c r="J903" t="s">
        <v>703</v>
      </c>
      <c r="K903" t="s">
        <v>610</v>
      </c>
      <c r="L903">
        <v>20</v>
      </c>
    </row>
    <row r="904" spans="2:12" ht="15" customHeight="1">
      <c r="B904" t="s">
        <v>3796</v>
      </c>
      <c r="C904">
        <v>74000</v>
      </c>
      <c r="D904" t="s">
        <v>224</v>
      </c>
      <c r="E904">
        <v>75473.31457379504</v>
      </c>
      <c r="F904" s="3">
        <f>(tblSalaries[[#This Row],[clean Salary (in local currency)]])*(VLOOKUP(tblSalaries[[#This Row],[Currency]],Sheet3!$A$2:$C$31,3,FALSE))*(VLOOKUP(tblSalaries[[#This Row],[Currency]],Sheet1!$N$4:$Q$186,4,FALSE))</f>
        <v>46376.84030669721</v>
      </c>
      <c r="G904" s="4">
        <f>IF(Dashboard!$J$5=VLOOKUP(tblSalaries[[#This Row],[Currency]],Sheet3!$A$2:$B$31,2,FALSE),tblSalaries[[#This Row],[clean Salary (in local currency)]],(tblSalaries[[#This Row],[PPP Adjusted  USD]]/VLOOKUP(Dashboard!$J$5,Sheet3!$B$2:$C$31,2,FALSE)))</f>
        <v>46376.84030669721</v>
      </c>
      <c r="H904" t="s">
        <v>2535</v>
      </c>
      <c r="I904" t="s">
        <v>603</v>
      </c>
      <c r="J904" t="s">
        <v>703</v>
      </c>
      <c r="K904" t="s">
        <v>605</v>
      </c>
      <c r="L904">
        <v>8</v>
      </c>
    </row>
    <row r="905" spans="2:12" ht="15" customHeight="1">
      <c r="B905" t="s">
        <v>3831</v>
      </c>
      <c r="C905">
        <v>46359</v>
      </c>
      <c r="D905" t="s">
        <v>252</v>
      </c>
      <c r="E905">
        <v>46359</v>
      </c>
      <c r="F905" s="3">
        <f>(tblSalaries[[#This Row],[clean Salary (in local currency)]])*(VLOOKUP(tblSalaries[[#This Row],[Currency]],Sheet3!$A$2:$C$31,3,FALSE))*(VLOOKUP(tblSalaries[[#This Row],[Currency]],Sheet1!$N$4:$Q$186,4,FALSE))</f>
        <v>46359</v>
      </c>
      <c r="G905" s="4">
        <f>IF(Dashboard!$J$5=VLOOKUP(tblSalaries[[#This Row],[Currency]],Sheet3!$A$2:$B$31,2,FALSE),tblSalaries[[#This Row],[clean Salary (in local currency)]],(tblSalaries[[#This Row],[PPP Adjusted  USD]]/VLOOKUP(Dashboard!$J$5,Sheet3!$B$2:$C$31,2,FALSE)))</f>
        <v>46359</v>
      </c>
      <c r="H905" t="s">
        <v>811</v>
      </c>
      <c r="I905" t="s">
        <v>603</v>
      </c>
      <c r="J905" t="s">
        <v>613</v>
      </c>
      <c r="K905" t="s">
        <v>610</v>
      </c>
      <c r="L905">
        <v>5</v>
      </c>
    </row>
    <row r="906" spans="2:12" ht="15" customHeight="1">
      <c r="B906" t="s">
        <v>3280</v>
      </c>
      <c r="C906">
        <v>46325</v>
      </c>
      <c r="D906" t="s">
        <v>252</v>
      </c>
      <c r="E906">
        <v>46325</v>
      </c>
      <c r="F906" s="3">
        <f>(tblSalaries[[#This Row],[clean Salary (in local currency)]])*(VLOOKUP(tblSalaries[[#This Row],[Currency]],Sheet3!$A$2:$C$31,3,FALSE))*(VLOOKUP(tblSalaries[[#This Row],[Currency]],Sheet1!$N$4:$Q$186,4,FALSE))</f>
        <v>46325</v>
      </c>
      <c r="G906" s="4">
        <f>IF(Dashboard!$J$5=VLOOKUP(tblSalaries[[#This Row],[Currency]],Sheet3!$A$2:$B$31,2,FALSE),tblSalaries[[#This Row],[clean Salary (in local currency)]],(tblSalaries[[#This Row],[PPP Adjusted  USD]]/VLOOKUP(Dashboard!$J$5,Sheet3!$B$2:$C$31,2,FALSE)))</f>
        <v>46325</v>
      </c>
      <c r="H906" t="s">
        <v>3281</v>
      </c>
      <c r="I906" t="s">
        <v>608</v>
      </c>
      <c r="J906" t="s">
        <v>613</v>
      </c>
      <c r="K906" t="s">
        <v>605</v>
      </c>
      <c r="L906">
        <v>1</v>
      </c>
    </row>
    <row r="907" spans="2:12" ht="15" customHeight="1">
      <c r="B907" t="s">
        <v>2096</v>
      </c>
      <c r="C907">
        <v>42000</v>
      </c>
      <c r="D907" t="s">
        <v>200</v>
      </c>
      <c r="E907">
        <v>53356.776437647524</v>
      </c>
      <c r="F907" s="3">
        <f>(tblSalaries[[#This Row],[clean Salary (in local currency)]])*(VLOOKUP(tblSalaries[[#This Row],[Currency]],Sheet3!$A$2:$C$31,3,FALSE))*(VLOOKUP(tblSalaries[[#This Row],[Currency]],Sheet1!$N$4:$Q$186,4,FALSE))</f>
        <v>46227.421211162189</v>
      </c>
      <c r="G907" s="4">
        <f>IF(Dashboard!$J$5=VLOOKUP(tblSalaries[[#This Row],[Currency]],Sheet3!$A$2:$B$31,2,FALSE),tblSalaries[[#This Row],[clean Salary (in local currency)]],(tblSalaries[[#This Row],[PPP Adjusted  USD]]/VLOOKUP(Dashboard!$J$5,Sheet3!$B$2:$C$31,2,FALSE)))</f>
        <v>46227.421211162189</v>
      </c>
      <c r="H907" t="s">
        <v>650</v>
      </c>
      <c r="I907" t="s">
        <v>620</v>
      </c>
      <c r="J907" t="s">
        <v>722</v>
      </c>
      <c r="K907" t="s">
        <v>605</v>
      </c>
      <c r="L907">
        <v>2</v>
      </c>
    </row>
    <row r="908" spans="2:12" ht="15" customHeight="1">
      <c r="B908" t="s">
        <v>2292</v>
      </c>
      <c r="C908">
        <v>42000</v>
      </c>
      <c r="D908" t="s">
        <v>200</v>
      </c>
      <c r="E908">
        <v>53356.776437647524</v>
      </c>
      <c r="F908" s="3">
        <f>(tblSalaries[[#This Row],[clean Salary (in local currency)]])*(VLOOKUP(tblSalaries[[#This Row],[Currency]],Sheet3!$A$2:$C$31,3,FALSE))*(VLOOKUP(tblSalaries[[#This Row],[Currency]],Sheet1!$N$4:$Q$186,4,FALSE))</f>
        <v>46227.421211162189</v>
      </c>
      <c r="G908" s="4">
        <f>IF(Dashboard!$J$5=VLOOKUP(tblSalaries[[#This Row],[Currency]],Sheet3!$A$2:$B$31,2,FALSE),tblSalaries[[#This Row],[clean Salary (in local currency)]],(tblSalaries[[#This Row],[PPP Adjusted  USD]]/VLOOKUP(Dashboard!$J$5,Sheet3!$B$2:$C$31,2,FALSE)))</f>
        <v>46227.421211162189</v>
      </c>
      <c r="H908" t="s">
        <v>692</v>
      </c>
      <c r="I908" t="s">
        <v>692</v>
      </c>
      <c r="J908" t="s">
        <v>626</v>
      </c>
      <c r="K908" t="s">
        <v>617</v>
      </c>
      <c r="L908">
        <v>3</v>
      </c>
    </row>
    <row r="909" spans="2:12" ht="15" customHeight="1">
      <c r="B909" t="s">
        <v>3160</v>
      </c>
      <c r="C909">
        <v>42000</v>
      </c>
      <c r="D909" t="s">
        <v>200</v>
      </c>
      <c r="E909">
        <v>53356.776437647524</v>
      </c>
      <c r="F909" s="3">
        <f>(tblSalaries[[#This Row],[clean Salary (in local currency)]])*(VLOOKUP(tblSalaries[[#This Row],[Currency]],Sheet3!$A$2:$C$31,3,FALSE))*(VLOOKUP(tblSalaries[[#This Row],[Currency]],Sheet1!$N$4:$Q$186,4,FALSE))</f>
        <v>46227.421211162189</v>
      </c>
      <c r="G909" s="4">
        <f>IF(Dashboard!$J$5=VLOOKUP(tblSalaries[[#This Row],[Currency]],Sheet3!$A$2:$B$31,2,FALSE),tblSalaries[[#This Row],[clean Salary (in local currency)]],(tblSalaries[[#This Row],[PPP Adjusted  USD]]/VLOOKUP(Dashboard!$J$5,Sheet3!$B$2:$C$31,2,FALSE)))</f>
        <v>46227.421211162189</v>
      </c>
      <c r="H909" t="s">
        <v>3161</v>
      </c>
      <c r="I909" t="s">
        <v>692</v>
      </c>
      <c r="J909" t="s">
        <v>626</v>
      </c>
      <c r="K909" t="s">
        <v>610</v>
      </c>
      <c r="L909">
        <v>7</v>
      </c>
    </row>
    <row r="910" spans="2:12" ht="15" customHeight="1">
      <c r="B910" t="s">
        <v>1152</v>
      </c>
      <c r="C910">
        <v>46000</v>
      </c>
      <c r="D910" t="s">
        <v>252</v>
      </c>
      <c r="E910">
        <v>46000</v>
      </c>
      <c r="F910" s="3">
        <f>(tblSalaries[[#This Row],[clean Salary (in local currency)]])*(VLOOKUP(tblSalaries[[#This Row],[Currency]],Sheet3!$A$2:$C$31,3,FALSE))*(VLOOKUP(tblSalaries[[#This Row],[Currency]],Sheet1!$N$4:$Q$186,4,FALSE))</f>
        <v>46000</v>
      </c>
      <c r="G910" s="4">
        <f>IF(Dashboard!$J$5=VLOOKUP(tblSalaries[[#This Row],[Currency]],Sheet3!$A$2:$B$31,2,FALSE),tblSalaries[[#This Row],[clean Salary (in local currency)]],(tblSalaries[[#This Row],[PPP Adjusted  USD]]/VLOOKUP(Dashboard!$J$5,Sheet3!$B$2:$C$31,2,FALSE)))</f>
        <v>46000</v>
      </c>
      <c r="H910" t="s">
        <v>1153</v>
      </c>
      <c r="I910" t="s">
        <v>603</v>
      </c>
      <c r="J910" t="s">
        <v>613</v>
      </c>
      <c r="K910" t="s">
        <v>610</v>
      </c>
      <c r="L910" t="s">
        <v>3847</v>
      </c>
    </row>
    <row r="911" spans="2:12" ht="15" customHeight="1">
      <c r="B911" t="s">
        <v>1334</v>
      </c>
      <c r="C911">
        <v>46000</v>
      </c>
      <c r="D911" t="s">
        <v>252</v>
      </c>
      <c r="E911">
        <v>46000</v>
      </c>
      <c r="F911" s="3">
        <f>(tblSalaries[[#This Row],[clean Salary (in local currency)]])*(VLOOKUP(tblSalaries[[#This Row],[Currency]],Sheet3!$A$2:$C$31,3,FALSE))*(VLOOKUP(tblSalaries[[#This Row],[Currency]],Sheet1!$N$4:$Q$186,4,FALSE))</f>
        <v>46000</v>
      </c>
      <c r="G911" s="4">
        <f>IF(Dashboard!$J$5=VLOOKUP(tblSalaries[[#This Row],[Currency]],Sheet3!$A$2:$B$31,2,FALSE),tblSalaries[[#This Row],[clean Salary (in local currency)]],(tblSalaries[[#This Row],[PPP Adjusted  USD]]/VLOOKUP(Dashboard!$J$5,Sheet3!$B$2:$C$31,2,FALSE)))</f>
        <v>46000</v>
      </c>
      <c r="H911" t="s">
        <v>1335</v>
      </c>
      <c r="I911" t="s">
        <v>603</v>
      </c>
      <c r="J911" t="s">
        <v>613</v>
      </c>
      <c r="K911" t="s">
        <v>605</v>
      </c>
      <c r="L911" t="s">
        <v>3847</v>
      </c>
    </row>
    <row r="912" spans="2:12" ht="15" customHeight="1">
      <c r="B912" t="s">
        <v>1615</v>
      </c>
      <c r="C912">
        <v>46000</v>
      </c>
      <c r="D912" t="s">
        <v>252</v>
      </c>
      <c r="E912">
        <v>46000</v>
      </c>
      <c r="F912" s="3">
        <f>(tblSalaries[[#This Row],[clean Salary (in local currency)]])*(VLOOKUP(tblSalaries[[#This Row],[Currency]],Sheet3!$A$2:$C$31,3,FALSE))*(VLOOKUP(tblSalaries[[#This Row],[Currency]],Sheet1!$N$4:$Q$186,4,FALSE))</f>
        <v>46000</v>
      </c>
      <c r="G912" s="4">
        <f>IF(Dashboard!$J$5=VLOOKUP(tblSalaries[[#This Row],[Currency]],Sheet3!$A$2:$B$31,2,FALSE),tblSalaries[[#This Row],[clean Salary (in local currency)]],(tblSalaries[[#This Row],[PPP Adjusted  USD]]/VLOOKUP(Dashboard!$J$5,Sheet3!$B$2:$C$31,2,FALSE)))</f>
        <v>46000</v>
      </c>
      <c r="H912" t="s">
        <v>887</v>
      </c>
      <c r="I912" t="s">
        <v>603</v>
      </c>
      <c r="J912" t="s">
        <v>613</v>
      </c>
      <c r="K912" t="s">
        <v>617</v>
      </c>
      <c r="L912" t="s">
        <v>3847</v>
      </c>
    </row>
    <row r="913" spans="2:12" ht="15" customHeight="1">
      <c r="B913" t="s">
        <v>3772</v>
      </c>
      <c r="C913">
        <v>46000</v>
      </c>
      <c r="D913" t="s">
        <v>252</v>
      </c>
      <c r="E913">
        <v>46000</v>
      </c>
      <c r="F913" s="3">
        <f>(tblSalaries[[#This Row],[clean Salary (in local currency)]])*(VLOOKUP(tblSalaries[[#This Row],[Currency]],Sheet3!$A$2:$C$31,3,FALSE))*(VLOOKUP(tblSalaries[[#This Row],[Currency]],Sheet1!$N$4:$Q$186,4,FALSE))</f>
        <v>46000</v>
      </c>
      <c r="G913" s="4">
        <f>IF(Dashboard!$J$5=VLOOKUP(tblSalaries[[#This Row],[Currency]],Sheet3!$A$2:$B$31,2,FALSE),tblSalaries[[#This Row],[clean Salary (in local currency)]],(tblSalaries[[#This Row],[PPP Adjusted  USD]]/VLOOKUP(Dashboard!$J$5,Sheet3!$B$2:$C$31,2,FALSE)))</f>
        <v>46000</v>
      </c>
      <c r="H913" t="s">
        <v>3773</v>
      </c>
      <c r="I913" t="s">
        <v>603</v>
      </c>
      <c r="J913" t="s">
        <v>613</v>
      </c>
      <c r="K913" t="s">
        <v>610</v>
      </c>
      <c r="L913">
        <v>1</v>
      </c>
    </row>
    <row r="914" spans="2:12" ht="15" customHeight="1">
      <c r="B914" t="s">
        <v>3817</v>
      </c>
      <c r="C914">
        <v>46000</v>
      </c>
      <c r="D914" t="s">
        <v>252</v>
      </c>
      <c r="E914">
        <v>46000</v>
      </c>
      <c r="F914" s="3">
        <f>(tblSalaries[[#This Row],[clean Salary (in local currency)]])*(VLOOKUP(tblSalaries[[#This Row],[Currency]],Sheet3!$A$2:$C$31,3,FALSE))*(VLOOKUP(tblSalaries[[#This Row],[Currency]],Sheet1!$N$4:$Q$186,4,FALSE))</f>
        <v>46000</v>
      </c>
      <c r="G914" s="4">
        <f>IF(Dashboard!$J$5=VLOOKUP(tblSalaries[[#This Row],[Currency]],Sheet3!$A$2:$B$31,2,FALSE),tblSalaries[[#This Row],[clean Salary (in local currency)]],(tblSalaries[[#This Row],[PPP Adjusted  USD]]/VLOOKUP(Dashboard!$J$5,Sheet3!$B$2:$C$31,2,FALSE)))</f>
        <v>46000</v>
      </c>
      <c r="H914" t="s">
        <v>3818</v>
      </c>
      <c r="I914" t="s">
        <v>603</v>
      </c>
      <c r="J914" t="s">
        <v>613</v>
      </c>
      <c r="K914" t="s">
        <v>605</v>
      </c>
      <c r="L914">
        <v>8</v>
      </c>
    </row>
    <row r="915" spans="2:12" ht="15" customHeight="1">
      <c r="B915" t="s">
        <v>3607</v>
      </c>
      <c r="C915">
        <v>31185</v>
      </c>
      <c r="D915" t="s">
        <v>204</v>
      </c>
      <c r="E915">
        <v>49153.119414418252</v>
      </c>
      <c r="F915" s="3">
        <f>(tblSalaries[[#This Row],[clean Salary (in local currency)]])*(VLOOKUP(tblSalaries[[#This Row],[Currency]],Sheet3!$A$2:$C$31,3,FALSE))*(VLOOKUP(tblSalaries[[#This Row],[Currency]],Sheet1!$N$4:$Q$186,4,FALSE))</f>
        <v>45965.79202731463</v>
      </c>
      <c r="G915" s="4">
        <f>IF(Dashboard!$J$5=VLOOKUP(tblSalaries[[#This Row],[Currency]],Sheet3!$A$2:$B$31,2,FALSE),tblSalaries[[#This Row],[clean Salary (in local currency)]],(tblSalaries[[#This Row],[PPP Adjusted  USD]]/VLOOKUP(Dashboard!$J$5,Sheet3!$B$2:$C$31,2,FALSE)))</f>
        <v>45965.79202731463</v>
      </c>
      <c r="H915" t="s">
        <v>3608</v>
      </c>
      <c r="I915" t="s">
        <v>625</v>
      </c>
      <c r="J915" t="s">
        <v>687</v>
      </c>
      <c r="K915" t="s">
        <v>605</v>
      </c>
      <c r="L915">
        <v>7</v>
      </c>
    </row>
    <row r="916" spans="2:12" ht="15" customHeight="1">
      <c r="B916" t="s">
        <v>1354</v>
      </c>
      <c r="C916">
        <v>45880</v>
      </c>
      <c r="D916" t="s">
        <v>252</v>
      </c>
      <c r="E916">
        <v>45880</v>
      </c>
      <c r="F916" s="3">
        <f>(tblSalaries[[#This Row],[clean Salary (in local currency)]])*(VLOOKUP(tblSalaries[[#This Row],[Currency]],Sheet3!$A$2:$C$31,3,FALSE))*(VLOOKUP(tblSalaries[[#This Row],[Currency]],Sheet1!$N$4:$Q$186,4,FALSE))</f>
        <v>45880</v>
      </c>
      <c r="G916" s="4">
        <f>IF(Dashboard!$J$5=VLOOKUP(tblSalaries[[#This Row],[Currency]],Sheet3!$A$2:$B$31,2,FALSE),tblSalaries[[#This Row],[clean Salary (in local currency)]],(tblSalaries[[#This Row],[PPP Adjusted  USD]]/VLOOKUP(Dashboard!$J$5,Sheet3!$B$2:$C$31,2,FALSE)))</f>
        <v>45880</v>
      </c>
      <c r="H916" t="s">
        <v>1355</v>
      </c>
      <c r="I916" t="s">
        <v>625</v>
      </c>
      <c r="J916" t="s">
        <v>613</v>
      </c>
      <c r="K916" t="s">
        <v>610</v>
      </c>
      <c r="L916" t="s">
        <v>3847</v>
      </c>
    </row>
    <row r="917" spans="2:12" ht="15" customHeight="1">
      <c r="B917" t="s">
        <v>1170</v>
      </c>
      <c r="C917">
        <v>31000</v>
      </c>
      <c r="D917" t="s">
        <v>204</v>
      </c>
      <c r="E917">
        <v>48861.526434085805</v>
      </c>
      <c r="F917" s="3">
        <f>(tblSalaries[[#This Row],[clean Salary (in local currency)]])*(VLOOKUP(tblSalaries[[#This Row],[Currency]],Sheet3!$A$2:$C$31,3,FALSE))*(VLOOKUP(tblSalaries[[#This Row],[Currency]],Sheet1!$N$4:$Q$186,4,FALSE))</f>
        <v>45693.107354393251</v>
      </c>
      <c r="G917" s="4">
        <f>IF(Dashboard!$J$5=VLOOKUP(tblSalaries[[#This Row],[Currency]],Sheet3!$A$2:$B$31,2,FALSE),tblSalaries[[#This Row],[clean Salary (in local currency)]],(tblSalaries[[#This Row],[PPP Adjusted  USD]]/VLOOKUP(Dashboard!$J$5,Sheet3!$B$2:$C$31,2,FALSE)))</f>
        <v>45693.107354393251</v>
      </c>
      <c r="H917" t="s">
        <v>1171</v>
      </c>
      <c r="I917" t="s">
        <v>620</v>
      </c>
      <c r="J917" t="s">
        <v>687</v>
      </c>
      <c r="K917" t="s">
        <v>617</v>
      </c>
      <c r="L917" t="s">
        <v>3847</v>
      </c>
    </row>
    <row r="918" spans="2:12" ht="15" customHeight="1">
      <c r="B918" t="s">
        <v>2324</v>
      </c>
      <c r="C918">
        <v>45616</v>
      </c>
      <c r="D918" t="s">
        <v>252</v>
      </c>
      <c r="E918">
        <v>45616</v>
      </c>
      <c r="F918" s="3">
        <f>(tblSalaries[[#This Row],[clean Salary (in local currency)]])*(VLOOKUP(tblSalaries[[#This Row],[Currency]],Sheet3!$A$2:$C$31,3,FALSE))*(VLOOKUP(tblSalaries[[#This Row],[Currency]],Sheet1!$N$4:$Q$186,4,FALSE))</f>
        <v>45616</v>
      </c>
      <c r="G918" s="4">
        <f>IF(Dashboard!$J$5=VLOOKUP(tblSalaries[[#This Row],[Currency]],Sheet3!$A$2:$B$31,2,FALSE),tblSalaries[[#This Row],[clean Salary (in local currency)]],(tblSalaries[[#This Row],[PPP Adjusted  USD]]/VLOOKUP(Dashboard!$J$5,Sheet3!$B$2:$C$31,2,FALSE)))</f>
        <v>45616</v>
      </c>
      <c r="H918" t="s">
        <v>2325</v>
      </c>
      <c r="I918" t="s">
        <v>603</v>
      </c>
      <c r="J918" t="s">
        <v>703</v>
      </c>
      <c r="K918" t="s">
        <v>605</v>
      </c>
      <c r="L918">
        <v>1.5</v>
      </c>
    </row>
    <row r="919" spans="2:12" ht="15" customHeight="1">
      <c r="B919" t="s">
        <v>2815</v>
      </c>
      <c r="C919">
        <v>89500</v>
      </c>
      <c r="D919" t="s">
        <v>420</v>
      </c>
      <c r="E919">
        <v>28353.650809742252</v>
      </c>
      <c r="F919" s="3">
        <f>(tblSalaries[[#This Row],[clean Salary (in local currency)]])*(VLOOKUP(tblSalaries[[#This Row],[Currency]],Sheet3!$A$2:$C$31,3,FALSE))*(VLOOKUP(tblSalaries[[#This Row],[Currency]],Sheet1!$N$4:$Q$186,4,FALSE))</f>
        <v>45507.365367197875</v>
      </c>
      <c r="G919" s="4">
        <f>IF(Dashboard!$J$5=VLOOKUP(tblSalaries[[#This Row],[Currency]],Sheet3!$A$2:$B$31,2,FALSE),tblSalaries[[#This Row],[clean Salary (in local currency)]],(tblSalaries[[#This Row],[PPP Adjusted  USD]]/VLOOKUP(Dashboard!$J$5,Sheet3!$B$2:$C$31,2,FALSE)))</f>
        <v>45507.365367197875</v>
      </c>
      <c r="H919" t="s">
        <v>625</v>
      </c>
      <c r="I919" t="s">
        <v>625</v>
      </c>
      <c r="J919" t="s">
        <v>2345</v>
      </c>
      <c r="K919" t="s">
        <v>617</v>
      </c>
      <c r="L919">
        <v>20</v>
      </c>
    </row>
    <row r="920" spans="2:12" ht="15" customHeight="1">
      <c r="B920" t="s">
        <v>2308</v>
      </c>
      <c r="C920">
        <v>75000</v>
      </c>
      <c r="D920" t="s">
        <v>295</v>
      </c>
      <c r="E920">
        <v>59819.107020370408</v>
      </c>
      <c r="F920" s="3">
        <f>(tblSalaries[[#This Row],[clean Salary (in local currency)]])*(VLOOKUP(tblSalaries[[#This Row],[Currency]],Sheet3!$A$2:$C$31,3,FALSE))*(VLOOKUP(tblSalaries[[#This Row],[Currency]],Sheet1!$N$4:$Q$186,4,FALSE))</f>
        <v>45161.760780842385</v>
      </c>
      <c r="G920" s="4">
        <f>IF(Dashboard!$J$5=VLOOKUP(tblSalaries[[#This Row],[Currency]],Sheet3!$A$2:$B$31,2,FALSE),tblSalaries[[#This Row],[clean Salary (in local currency)]],(tblSalaries[[#This Row],[PPP Adjusted  USD]]/VLOOKUP(Dashboard!$J$5,Sheet3!$B$2:$C$31,2,FALSE)))</f>
        <v>45161.760780842385</v>
      </c>
      <c r="H920" t="s">
        <v>1217</v>
      </c>
      <c r="I920" t="s">
        <v>603</v>
      </c>
      <c r="J920" t="s">
        <v>1604</v>
      </c>
      <c r="K920" t="s">
        <v>605</v>
      </c>
      <c r="L920">
        <v>10</v>
      </c>
    </row>
    <row r="921" spans="2:12" ht="15" customHeight="1">
      <c r="B921" t="s">
        <v>3384</v>
      </c>
      <c r="C921">
        <v>75000</v>
      </c>
      <c r="D921" t="s">
        <v>295</v>
      </c>
      <c r="E921">
        <v>59819.107020370408</v>
      </c>
      <c r="F921" s="3">
        <f>(tblSalaries[[#This Row],[clean Salary (in local currency)]])*(VLOOKUP(tblSalaries[[#This Row],[Currency]],Sheet3!$A$2:$C$31,3,FALSE))*(VLOOKUP(tblSalaries[[#This Row],[Currency]],Sheet1!$N$4:$Q$186,4,FALSE))</f>
        <v>45161.760780842385</v>
      </c>
      <c r="G921" s="4">
        <f>IF(Dashboard!$J$5=VLOOKUP(tblSalaries[[#This Row],[Currency]],Sheet3!$A$2:$B$31,2,FALSE),tblSalaries[[#This Row],[clean Salary (in local currency)]],(tblSalaries[[#This Row],[PPP Adjusted  USD]]/VLOOKUP(Dashboard!$J$5,Sheet3!$B$2:$C$31,2,FALSE)))</f>
        <v>45161.760780842385</v>
      </c>
      <c r="H921" t="s">
        <v>3385</v>
      </c>
      <c r="I921" t="s">
        <v>603</v>
      </c>
      <c r="J921" t="s">
        <v>1604</v>
      </c>
      <c r="K921" t="s">
        <v>617</v>
      </c>
      <c r="L921">
        <v>10</v>
      </c>
    </row>
    <row r="922" spans="2:12" ht="15" customHeight="1">
      <c r="B922" t="s">
        <v>3764</v>
      </c>
      <c r="C922">
        <v>75000</v>
      </c>
      <c r="D922" t="s">
        <v>295</v>
      </c>
      <c r="E922">
        <v>59819.107020370408</v>
      </c>
      <c r="F922" s="3">
        <f>(tblSalaries[[#This Row],[clean Salary (in local currency)]])*(VLOOKUP(tblSalaries[[#This Row],[Currency]],Sheet3!$A$2:$C$31,3,FALSE))*(VLOOKUP(tblSalaries[[#This Row],[Currency]],Sheet1!$N$4:$Q$186,4,FALSE))</f>
        <v>45161.760780842385</v>
      </c>
      <c r="G922" s="4">
        <f>IF(Dashboard!$J$5=VLOOKUP(tblSalaries[[#This Row],[Currency]],Sheet3!$A$2:$B$31,2,FALSE),tblSalaries[[#This Row],[clean Salary (in local currency)]],(tblSalaries[[#This Row],[PPP Adjusted  USD]]/VLOOKUP(Dashboard!$J$5,Sheet3!$B$2:$C$31,2,FALSE)))</f>
        <v>45161.760780842385</v>
      </c>
      <c r="H922" t="s">
        <v>1475</v>
      </c>
      <c r="I922" t="s">
        <v>637</v>
      </c>
      <c r="J922" t="s">
        <v>1604</v>
      </c>
      <c r="K922" t="s">
        <v>605</v>
      </c>
      <c r="L922">
        <v>4</v>
      </c>
    </row>
    <row r="923" spans="2:12" ht="15" customHeight="1">
      <c r="B923" t="s">
        <v>2897</v>
      </c>
      <c r="C923">
        <v>41000</v>
      </c>
      <c r="D923" t="s">
        <v>200</v>
      </c>
      <c r="E923">
        <v>52086.37699865592</v>
      </c>
      <c r="F923" s="3">
        <f>(tblSalaries[[#This Row],[clean Salary (in local currency)]])*(VLOOKUP(tblSalaries[[#This Row],[Currency]],Sheet3!$A$2:$C$31,3,FALSE))*(VLOOKUP(tblSalaries[[#This Row],[Currency]],Sheet1!$N$4:$Q$186,4,FALSE))</f>
        <v>45126.768325182136</v>
      </c>
      <c r="G923" s="4">
        <f>IF(Dashboard!$J$5=VLOOKUP(tblSalaries[[#This Row],[Currency]],Sheet3!$A$2:$B$31,2,FALSE),tblSalaries[[#This Row],[clean Salary (in local currency)]],(tblSalaries[[#This Row],[PPP Adjusted  USD]]/VLOOKUP(Dashboard!$J$5,Sheet3!$B$2:$C$31,2,FALSE)))</f>
        <v>45126.768325182136</v>
      </c>
      <c r="H923" t="s">
        <v>1422</v>
      </c>
      <c r="I923" t="s">
        <v>620</v>
      </c>
      <c r="J923" t="s">
        <v>1557</v>
      </c>
      <c r="K923" t="s">
        <v>605</v>
      </c>
      <c r="L923">
        <v>12</v>
      </c>
    </row>
    <row r="924" spans="2:12" ht="15" customHeight="1">
      <c r="B924" t="s">
        <v>656</v>
      </c>
      <c r="C924">
        <v>45000</v>
      </c>
      <c r="D924" t="s">
        <v>252</v>
      </c>
      <c r="E924">
        <v>45000</v>
      </c>
      <c r="F924" s="3">
        <f>(tblSalaries[[#This Row],[clean Salary (in local currency)]])*(VLOOKUP(tblSalaries[[#This Row],[Currency]],Sheet3!$A$2:$C$31,3,FALSE))*(VLOOKUP(tblSalaries[[#This Row],[Currency]],Sheet1!$N$4:$Q$186,4,FALSE))</f>
        <v>45000</v>
      </c>
      <c r="G924" s="4">
        <f>IF(Dashboard!$J$5=VLOOKUP(tblSalaries[[#This Row],[Currency]],Sheet3!$A$2:$B$31,2,FALSE),tblSalaries[[#This Row],[clean Salary (in local currency)]],(tblSalaries[[#This Row],[PPP Adjusted  USD]]/VLOOKUP(Dashboard!$J$5,Sheet3!$B$2:$C$31,2,FALSE)))</f>
        <v>45000</v>
      </c>
      <c r="H924" t="s">
        <v>657</v>
      </c>
      <c r="I924" t="s">
        <v>658</v>
      </c>
      <c r="J924" t="s">
        <v>659</v>
      </c>
      <c r="K924" t="s">
        <v>610</v>
      </c>
      <c r="L924" t="s">
        <v>3847</v>
      </c>
    </row>
    <row r="925" spans="2:12" ht="15" customHeight="1">
      <c r="B925" t="s">
        <v>884</v>
      </c>
      <c r="C925">
        <v>45000</v>
      </c>
      <c r="D925" t="s">
        <v>252</v>
      </c>
      <c r="E925">
        <v>45000</v>
      </c>
      <c r="F925" s="3">
        <f>(tblSalaries[[#This Row],[clean Salary (in local currency)]])*(VLOOKUP(tblSalaries[[#This Row],[Currency]],Sheet3!$A$2:$C$31,3,FALSE))*(VLOOKUP(tblSalaries[[#This Row],[Currency]],Sheet1!$N$4:$Q$186,4,FALSE))</f>
        <v>45000</v>
      </c>
      <c r="G925" s="4">
        <f>IF(Dashboard!$J$5=VLOOKUP(tblSalaries[[#This Row],[Currency]],Sheet3!$A$2:$B$31,2,FALSE),tblSalaries[[#This Row],[clean Salary (in local currency)]],(tblSalaries[[#This Row],[PPP Adjusted  USD]]/VLOOKUP(Dashboard!$J$5,Sheet3!$B$2:$C$31,2,FALSE)))</f>
        <v>45000</v>
      </c>
      <c r="H925" t="s">
        <v>885</v>
      </c>
      <c r="I925" t="s">
        <v>603</v>
      </c>
      <c r="J925" t="s">
        <v>613</v>
      </c>
      <c r="K925" t="s">
        <v>605</v>
      </c>
      <c r="L925" t="s">
        <v>3847</v>
      </c>
    </row>
    <row r="926" spans="2:12" ht="15" customHeight="1">
      <c r="B926" t="s">
        <v>909</v>
      </c>
      <c r="C926">
        <v>45000</v>
      </c>
      <c r="D926" t="s">
        <v>252</v>
      </c>
      <c r="E926">
        <v>45000</v>
      </c>
      <c r="F926" s="3">
        <f>(tblSalaries[[#This Row],[clean Salary (in local currency)]])*(VLOOKUP(tblSalaries[[#This Row],[Currency]],Sheet3!$A$2:$C$31,3,FALSE))*(VLOOKUP(tblSalaries[[#This Row],[Currency]],Sheet1!$N$4:$Q$186,4,FALSE))</f>
        <v>45000</v>
      </c>
      <c r="G926" s="4">
        <f>IF(Dashboard!$J$5=VLOOKUP(tblSalaries[[#This Row],[Currency]],Sheet3!$A$2:$B$31,2,FALSE),tblSalaries[[#This Row],[clean Salary (in local currency)]],(tblSalaries[[#This Row],[PPP Adjusted  USD]]/VLOOKUP(Dashboard!$J$5,Sheet3!$B$2:$C$31,2,FALSE)))</f>
        <v>45000</v>
      </c>
      <c r="H926" t="s">
        <v>910</v>
      </c>
      <c r="I926" t="s">
        <v>603</v>
      </c>
      <c r="J926" t="s">
        <v>613</v>
      </c>
      <c r="K926" t="s">
        <v>617</v>
      </c>
      <c r="L926" t="s">
        <v>3847</v>
      </c>
    </row>
    <row r="927" spans="2:12" ht="15" customHeight="1">
      <c r="B927" t="s">
        <v>1044</v>
      </c>
      <c r="C927">
        <v>45000</v>
      </c>
      <c r="D927" t="s">
        <v>252</v>
      </c>
      <c r="E927">
        <v>45000</v>
      </c>
      <c r="F927" s="3">
        <f>(tblSalaries[[#This Row],[clean Salary (in local currency)]])*(VLOOKUP(tblSalaries[[#This Row],[Currency]],Sheet3!$A$2:$C$31,3,FALSE))*(VLOOKUP(tblSalaries[[#This Row],[Currency]],Sheet1!$N$4:$Q$186,4,FALSE))</f>
        <v>45000</v>
      </c>
      <c r="G927" s="4">
        <f>IF(Dashboard!$J$5=VLOOKUP(tblSalaries[[#This Row],[Currency]],Sheet3!$A$2:$B$31,2,FALSE),tblSalaries[[#This Row],[clean Salary (in local currency)]],(tblSalaries[[#This Row],[PPP Adjusted  USD]]/VLOOKUP(Dashboard!$J$5,Sheet3!$B$2:$C$31,2,FALSE)))</f>
        <v>45000</v>
      </c>
      <c r="H927" t="s">
        <v>1045</v>
      </c>
      <c r="I927" t="s">
        <v>637</v>
      </c>
      <c r="J927" t="s">
        <v>613</v>
      </c>
      <c r="K927" t="s">
        <v>617</v>
      </c>
      <c r="L927" t="s">
        <v>3847</v>
      </c>
    </row>
    <row r="928" spans="2:12" ht="15" customHeight="1">
      <c r="B928" t="s">
        <v>1179</v>
      </c>
      <c r="C928">
        <v>45000</v>
      </c>
      <c r="D928" t="s">
        <v>252</v>
      </c>
      <c r="E928">
        <v>45000</v>
      </c>
      <c r="F928" s="3">
        <f>(tblSalaries[[#This Row],[clean Salary (in local currency)]])*(VLOOKUP(tblSalaries[[#This Row],[Currency]],Sheet3!$A$2:$C$31,3,FALSE))*(VLOOKUP(tblSalaries[[#This Row],[Currency]],Sheet1!$N$4:$Q$186,4,FALSE))</f>
        <v>45000</v>
      </c>
      <c r="G928" s="4">
        <f>IF(Dashboard!$J$5=VLOOKUP(tblSalaries[[#This Row],[Currency]],Sheet3!$A$2:$B$31,2,FALSE),tblSalaries[[#This Row],[clean Salary (in local currency)]],(tblSalaries[[#This Row],[PPP Adjusted  USD]]/VLOOKUP(Dashboard!$J$5,Sheet3!$B$2:$C$31,2,FALSE)))</f>
        <v>45000</v>
      </c>
      <c r="H928" t="s">
        <v>1180</v>
      </c>
      <c r="I928" t="s">
        <v>603</v>
      </c>
      <c r="J928" t="s">
        <v>613</v>
      </c>
      <c r="K928" t="s">
        <v>605</v>
      </c>
      <c r="L928" t="s">
        <v>3847</v>
      </c>
    </row>
    <row r="929" spans="2:12" ht="15" customHeight="1">
      <c r="B929" t="s">
        <v>1256</v>
      </c>
      <c r="C929">
        <v>45000</v>
      </c>
      <c r="D929" t="s">
        <v>252</v>
      </c>
      <c r="E929">
        <v>45000</v>
      </c>
      <c r="F929" s="3">
        <f>(tblSalaries[[#This Row],[clean Salary (in local currency)]])*(VLOOKUP(tblSalaries[[#This Row],[Currency]],Sheet3!$A$2:$C$31,3,FALSE))*(VLOOKUP(tblSalaries[[#This Row],[Currency]],Sheet1!$N$4:$Q$186,4,FALSE))</f>
        <v>45000</v>
      </c>
      <c r="G929" s="4">
        <f>IF(Dashboard!$J$5=VLOOKUP(tblSalaries[[#This Row],[Currency]],Sheet3!$A$2:$B$31,2,FALSE),tblSalaries[[#This Row],[clean Salary (in local currency)]],(tblSalaries[[#This Row],[PPP Adjusted  USD]]/VLOOKUP(Dashboard!$J$5,Sheet3!$B$2:$C$31,2,FALSE)))</f>
        <v>45000</v>
      </c>
      <c r="H929" t="s">
        <v>1257</v>
      </c>
      <c r="I929" t="s">
        <v>640</v>
      </c>
      <c r="J929" t="s">
        <v>613</v>
      </c>
      <c r="K929" t="s">
        <v>605</v>
      </c>
      <c r="L929" t="s">
        <v>3847</v>
      </c>
    </row>
    <row r="930" spans="2:12" ht="15" customHeight="1">
      <c r="B930" t="s">
        <v>1482</v>
      </c>
      <c r="C930">
        <v>45000</v>
      </c>
      <c r="D930" t="s">
        <v>252</v>
      </c>
      <c r="E930">
        <v>45000</v>
      </c>
      <c r="F930" s="3">
        <f>(tblSalaries[[#This Row],[clean Salary (in local currency)]])*(VLOOKUP(tblSalaries[[#This Row],[Currency]],Sheet3!$A$2:$C$31,3,FALSE))*(VLOOKUP(tblSalaries[[#This Row],[Currency]],Sheet1!$N$4:$Q$186,4,FALSE))</f>
        <v>45000</v>
      </c>
      <c r="G930" s="4">
        <f>IF(Dashboard!$J$5=VLOOKUP(tblSalaries[[#This Row],[Currency]],Sheet3!$A$2:$B$31,2,FALSE),tblSalaries[[#This Row],[clean Salary (in local currency)]],(tblSalaries[[#This Row],[PPP Adjusted  USD]]/VLOOKUP(Dashboard!$J$5,Sheet3!$B$2:$C$31,2,FALSE)))</f>
        <v>45000</v>
      </c>
      <c r="H930" t="s">
        <v>603</v>
      </c>
      <c r="I930" t="s">
        <v>603</v>
      </c>
      <c r="J930" t="s">
        <v>613</v>
      </c>
      <c r="K930" t="s">
        <v>605</v>
      </c>
      <c r="L930" t="s">
        <v>3847</v>
      </c>
    </row>
    <row r="931" spans="2:12" ht="15" customHeight="1">
      <c r="B931" t="s">
        <v>1627</v>
      </c>
      <c r="C931">
        <v>45000</v>
      </c>
      <c r="D931" t="s">
        <v>252</v>
      </c>
      <c r="E931">
        <v>45000</v>
      </c>
      <c r="F931" s="3">
        <f>(tblSalaries[[#This Row],[clean Salary (in local currency)]])*(VLOOKUP(tblSalaries[[#This Row],[Currency]],Sheet3!$A$2:$C$31,3,FALSE))*(VLOOKUP(tblSalaries[[#This Row],[Currency]],Sheet1!$N$4:$Q$186,4,FALSE))</f>
        <v>45000</v>
      </c>
      <c r="G931" s="4">
        <f>IF(Dashboard!$J$5=VLOOKUP(tblSalaries[[#This Row],[Currency]],Sheet3!$A$2:$B$31,2,FALSE),tblSalaries[[#This Row],[clean Salary (in local currency)]],(tblSalaries[[#This Row],[PPP Adjusted  USD]]/VLOOKUP(Dashboard!$J$5,Sheet3!$B$2:$C$31,2,FALSE)))</f>
        <v>45000</v>
      </c>
      <c r="H931" t="s">
        <v>1628</v>
      </c>
      <c r="I931" t="s">
        <v>658</v>
      </c>
      <c r="J931" t="s">
        <v>613</v>
      </c>
      <c r="K931" t="s">
        <v>610</v>
      </c>
      <c r="L931" t="s">
        <v>3847</v>
      </c>
    </row>
    <row r="932" spans="2:12" ht="15" customHeight="1">
      <c r="B932" t="s">
        <v>1657</v>
      </c>
      <c r="C932">
        <v>45000</v>
      </c>
      <c r="D932" t="s">
        <v>252</v>
      </c>
      <c r="E932">
        <v>45000</v>
      </c>
      <c r="F932" s="3">
        <f>(tblSalaries[[#This Row],[clean Salary (in local currency)]])*(VLOOKUP(tblSalaries[[#This Row],[Currency]],Sheet3!$A$2:$C$31,3,FALSE))*(VLOOKUP(tblSalaries[[#This Row],[Currency]],Sheet1!$N$4:$Q$186,4,FALSE))</f>
        <v>45000</v>
      </c>
      <c r="G932" s="4">
        <f>IF(Dashboard!$J$5=VLOOKUP(tblSalaries[[#This Row],[Currency]],Sheet3!$A$2:$B$31,2,FALSE),tblSalaries[[#This Row],[clean Salary (in local currency)]],(tblSalaries[[#This Row],[PPP Adjusted  USD]]/VLOOKUP(Dashboard!$J$5,Sheet3!$B$2:$C$31,2,FALSE)))</f>
        <v>45000</v>
      </c>
      <c r="H932" t="s">
        <v>1658</v>
      </c>
      <c r="I932" t="s">
        <v>603</v>
      </c>
      <c r="J932" t="s">
        <v>613</v>
      </c>
      <c r="K932" t="s">
        <v>605</v>
      </c>
      <c r="L932">
        <v>2</v>
      </c>
    </row>
    <row r="933" spans="2:12" ht="15" customHeight="1">
      <c r="B933" t="s">
        <v>1679</v>
      </c>
      <c r="C933">
        <v>45000</v>
      </c>
      <c r="D933" t="s">
        <v>252</v>
      </c>
      <c r="E933">
        <v>45000</v>
      </c>
      <c r="F933" s="3">
        <f>(tblSalaries[[#This Row],[clean Salary (in local currency)]])*(VLOOKUP(tblSalaries[[#This Row],[Currency]],Sheet3!$A$2:$C$31,3,FALSE))*(VLOOKUP(tblSalaries[[#This Row],[Currency]],Sheet1!$N$4:$Q$186,4,FALSE))</f>
        <v>45000</v>
      </c>
      <c r="G933" s="4">
        <f>IF(Dashboard!$J$5=VLOOKUP(tblSalaries[[#This Row],[Currency]],Sheet3!$A$2:$B$31,2,FALSE),tblSalaries[[#This Row],[clean Salary (in local currency)]],(tblSalaries[[#This Row],[PPP Adjusted  USD]]/VLOOKUP(Dashboard!$J$5,Sheet3!$B$2:$C$31,2,FALSE)))</f>
        <v>45000</v>
      </c>
      <c r="H933" t="s">
        <v>648</v>
      </c>
      <c r="I933" t="s">
        <v>603</v>
      </c>
      <c r="J933" t="s">
        <v>613</v>
      </c>
      <c r="K933" t="s">
        <v>605</v>
      </c>
      <c r="L933">
        <v>3</v>
      </c>
    </row>
    <row r="934" spans="2:12" ht="15" customHeight="1">
      <c r="B934" t="s">
        <v>1710</v>
      </c>
      <c r="C934">
        <v>45000</v>
      </c>
      <c r="D934" t="s">
        <v>252</v>
      </c>
      <c r="E934">
        <v>45000</v>
      </c>
      <c r="F934" s="3">
        <f>(tblSalaries[[#This Row],[clean Salary (in local currency)]])*(VLOOKUP(tblSalaries[[#This Row],[Currency]],Sheet3!$A$2:$C$31,3,FALSE))*(VLOOKUP(tblSalaries[[#This Row],[Currency]],Sheet1!$N$4:$Q$186,4,FALSE))</f>
        <v>45000</v>
      </c>
      <c r="G934" s="4">
        <f>IF(Dashboard!$J$5=VLOOKUP(tblSalaries[[#This Row],[Currency]],Sheet3!$A$2:$B$31,2,FALSE),tblSalaries[[#This Row],[clean Salary (in local currency)]],(tblSalaries[[#This Row],[PPP Adjusted  USD]]/VLOOKUP(Dashboard!$J$5,Sheet3!$B$2:$C$31,2,FALSE)))</f>
        <v>45000</v>
      </c>
      <c r="H934" t="s">
        <v>1711</v>
      </c>
      <c r="I934" t="s">
        <v>603</v>
      </c>
      <c r="J934" t="s">
        <v>613</v>
      </c>
      <c r="K934" t="s">
        <v>605</v>
      </c>
      <c r="L934">
        <v>15</v>
      </c>
    </row>
    <row r="935" spans="2:12" ht="15" customHeight="1">
      <c r="B935" t="s">
        <v>1712</v>
      </c>
      <c r="C935">
        <v>45000</v>
      </c>
      <c r="D935" t="s">
        <v>252</v>
      </c>
      <c r="E935">
        <v>45000</v>
      </c>
      <c r="F935" s="3">
        <f>(tblSalaries[[#This Row],[clean Salary (in local currency)]])*(VLOOKUP(tblSalaries[[#This Row],[Currency]],Sheet3!$A$2:$C$31,3,FALSE))*(VLOOKUP(tblSalaries[[#This Row],[Currency]],Sheet1!$N$4:$Q$186,4,FALSE))</f>
        <v>45000</v>
      </c>
      <c r="G935" s="4">
        <f>IF(Dashboard!$J$5=VLOOKUP(tblSalaries[[#This Row],[Currency]],Sheet3!$A$2:$B$31,2,FALSE),tblSalaries[[#This Row],[clean Salary (in local currency)]],(tblSalaries[[#This Row],[PPP Adjusted  USD]]/VLOOKUP(Dashboard!$J$5,Sheet3!$B$2:$C$31,2,FALSE)))</f>
        <v>45000</v>
      </c>
      <c r="H935" t="s">
        <v>1713</v>
      </c>
      <c r="I935" t="s">
        <v>637</v>
      </c>
      <c r="J935" t="s">
        <v>613</v>
      </c>
      <c r="K935" t="s">
        <v>605</v>
      </c>
      <c r="L935">
        <v>7</v>
      </c>
    </row>
    <row r="936" spans="2:12" ht="15" customHeight="1">
      <c r="B936" t="s">
        <v>2008</v>
      </c>
      <c r="C936">
        <v>45000</v>
      </c>
      <c r="D936" t="s">
        <v>252</v>
      </c>
      <c r="E936">
        <v>45000</v>
      </c>
      <c r="F936" s="3">
        <f>(tblSalaries[[#This Row],[clean Salary (in local currency)]])*(VLOOKUP(tblSalaries[[#This Row],[Currency]],Sheet3!$A$2:$C$31,3,FALSE))*(VLOOKUP(tblSalaries[[#This Row],[Currency]],Sheet1!$N$4:$Q$186,4,FALSE))</f>
        <v>45000</v>
      </c>
      <c r="G936" s="4">
        <f>IF(Dashboard!$J$5=VLOOKUP(tblSalaries[[#This Row],[Currency]],Sheet3!$A$2:$B$31,2,FALSE),tblSalaries[[#This Row],[clean Salary (in local currency)]],(tblSalaries[[#This Row],[PPP Adjusted  USD]]/VLOOKUP(Dashboard!$J$5,Sheet3!$B$2:$C$31,2,FALSE)))</f>
        <v>45000</v>
      </c>
      <c r="H936" t="s">
        <v>661</v>
      </c>
      <c r="I936" t="s">
        <v>625</v>
      </c>
      <c r="J936" t="s">
        <v>604</v>
      </c>
      <c r="K936" t="s">
        <v>627</v>
      </c>
      <c r="L936">
        <v>15</v>
      </c>
    </row>
    <row r="937" spans="2:12" ht="15" customHeight="1">
      <c r="B937" t="s">
        <v>2372</v>
      </c>
      <c r="C937">
        <v>45000</v>
      </c>
      <c r="D937" t="s">
        <v>252</v>
      </c>
      <c r="E937">
        <v>45000</v>
      </c>
      <c r="F937" s="3">
        <f>(tblSalaries[[#This Row],[clean Salary (in local currency)]])*(VLOOKUP(tblSalaries[[#This Row],[Currency]],Sheet3!$A$2:$C$31,3,FALSE))*(VLOOKUP(tblSalaries[[#This Row],[Currency]],Sheet1!$N$4:$Q$186,4,FALSE))</f>
        <v>45000</v>
      </c>
      <c r="G937" s="4">
        <f>IF(Dashboard!$J$5=VLOOKUP(tblSalaries[[#This Row],[Currency]],Sheet3!$A$2:$B$31,2,FALSE),tblSalaries[[#This Row],[clean Salary (in local currency)]],(tblSalaries[[#This Row],[PPP Adjusted  USD]]/VLOOKUP(Dashboard!$J$5,Sheet3!$B$2:$C$31,2,FALSE)))</f>
        <v>45000</v>
      </c>
      <c r="H937" t="s">
        <v>2373</v>
      </c>
      <c r="I937" t="s">
        <v>637</v>
      </c>
      <c r="J937" t="s">
        <v>613</v>
      </c>
      <c r="K937" t="s">
        <v>610</v>
      </c>
      <c r="L937">
        <v>3</v>
      </c>
    </row>
    <row r="938" spans="2:12" ht="15" customHeight="1">
      <c r="B938" t="s">
        <v>2412</v>
      </c>
      <c r="C938">
        <v>45000</v>
      </c>
      <c r="D938" t="s">
        <v>252</v>
      </c>
      <c r="E938">
        <v>45000</v>
      </c>
      <c r="F938" s="3">
        <f>(tblSalaries[[#This Row],[clean Salary (in local currency)]])*(VLOOKUP(tblSalaries[[#This Row],[Currency]],Sheet3!$A$2:$C$31,3,FALSE))*(VLOOKUP(tblSalaries[[#This Row],[Currency]],Sheet1!$N$4:$Q$186,4,FALSE))</f>
        <v>45000</v>
      </c>
      <c r="G938" s="4">
        <f>IF(Dashboard!$J$5=VLOOKUP(tblSalaries[[#This Row],[Currency]],Sheet3!$A$2:$B$31,2,FALSE),tblSalaries[[#This Row],[clean Salary (in local currency)]],(tblSalaries[[#This Row],[PPP Adjusted  USD]]/VLOOKUP(Dashboard!$J$5,Sheet3!$B$2:$C$31,2,FALSE)))</f>
        <v>45000</v>
      </c>
      <c r="H938" t="s">
        <v>620</v>
      </c>
      <c r="I938" t="s">
        <v>620</v>
      </c>
      <c r="J938" t="s">
        <v>1035</v>
      </c>
      <c r="K938" t="s">
        <v>617</v>
      </c>
      <c r="L938">
        <v>4</v>
      </c>
    </row>
    <row r="939" spans="2:12" ht="15" customHeight="1">
      <c r="B939" t="s">
        <v>2809</v>
      </c>
      <c r="C939">
        <v>45000</v>
      </c>
      <c r="D939" t="s">
        <v>252</v>
      </c>
      <c r="E939">
        <v>45000</v>
      </c>
      <c r="F939" s="3">
        <f>(tblSalaries[[#This Row],[clean Salary (in local currency)]])*(VLOOKUP(tblSalaries[[#This Row],[Currency]],Sheet3!$A$2:$C$31,3,FALSE))*(VLOOKUP(tblSalaries[[#This Row],[Currency]],Sheet1!$N$4:$Q$186,4,FALSE))</f>
        <v>45000</v>
      </c>
      <c r="G939" s="4">
        <f>IF(Dashboard!$J$5=VLOOKUP(tblSalaries[[#This Row],[Currency]],Sheet3!$A$2:$B$31,2,FALSE),tblSalaries[[#This Row],[clean Salary (in local currency)]],(tblSalaries[[#This Row],[PPP Adjusted  USD]]/VLOOKUP(Dashboard!$J$5,Sheet3!$B$2:$C$31,2,FALSE)))</f>
        <v>45000</v>
      </c>
      <c r="H939" t="s">
        <v>2810</v>
      </c>
      <c r="I939" t="s">
        <v>603</v>
      </c>
      <c r="J939" t="s">
        <v>613</v>
      </c>
      <c r="K939" t="s">
        <v>605</v>
      </c>
      <c r="L939">
        <v>7</v>
      </c>
    </row>
    <row r="940" spans="2:12" ht="15" customHeight="1">
      <c r="B940" t="s">
        <v>2850</v>
      </c>
      <c r="C940">
        <v>45000</v>
      </c>
      <c r="D940" t="s">
        <v>252</v>
      </c>
      <c r="E940">
        <v>45000</v>
      </c>
      <c r="F940" s="3">
        <f>(tblSalaries[[#This Row],[clean Salary (in local currency)]])*(VLOOKUP(tblSalaries[[#This Row],[Currency]],Sheet3!$A$2:$C$31,3,FALSE))*(VLOOKUP(tblSalaries[[#This Row],[Currency]],Sheet1!$N$4:$Q$186,4,FALSE))</f>
        <v>45000</v>
      </c>
      <c r="G940" s="4">
        <f>IF(Dashboard!$J$5=VLOOKUP(tblSalaries[[#This Row],[Currency]],Sheet3!$A$2:$B$31,2,FALSE),tblSalaries[[#This Row],[clean Salary (in local currency)]],(tblSalaries[[#This Row],[PPP Adjusted  USD]]/VLOOKUP(Dashboard!$J$5,Sheet3!$B$2:$C$31,2,FALSE)))</f>
        <v>45000</v>
      </c>
      <c r="H940" t="s">
        <v>2851</v>
      </c>
      <c r="I940" t="s">
        <v>603</v>
      </c>
      <c r="J940" t="s">
        <v>616</v>
      </c>
      <c r="K940" t="s">
        <v>610</v>
      </c>
      <c r="L940">
        <v>8</v>
      </c>
    </row>
    <row r="941" spans="2:12" ht="15" customHeight="1">
      <c r="B941" t="s">
        <v>3044</v>
      </c>
      <c r="C941">
        <v>45000</v>
      </c>
      <c r="D941" t="s">
        <v>252</v>
      </c>
      <c r="E941">
        <v>45000</v>
      </c>
      <c r="F941" s="3">
        <f>(tblSalaries[[#This Row],[clean Salary (in local currency)]])*(VLOOKUP(tblSalaries[[#This Row],[Currency]],Sheet3!$A$2:$C$31,3,FALSE))*(VLOOKUP(tblSalaries[[#This Row],[Currency]],Sheet1!$N$4:$Q$186,4,FALSE))</f>
        <v>45000</v>
      </c>
      <c r="G941" s="4">
        <f>IF(Dashboard!$J$5=VLOOKUP(tblSalaries[[#This Row],[Currency]],Sheet3!$A$2:$B$31,2,FALSE),tblSalaries[[#This Row],[clean Salary (in local currency)]],(tblSalaries[[#This Row],[PPP Adjusted  USD]]/VLOOKUP(Dashboard!$J$5,Sheet3!$B$2:$C$31,2,FALSE)))</f>
        <v>45000</v>
      </c>
      <c r="H941" t="s">
        <v>3045</v>
      </c>
      <c r="I941" t="s">
        <v>640</v>
      </c>
      <c r="J941" t="s">
        <v>613</v>
      </c>
      <c r="K941" t="s">
        <v>605</v>
      </c>
      <c r="L941">
        <v>20</v>
      </c>
    </row>
    <row r="942" spans="2:12" ht="15" customHeight="1">
      <c r="B942" t="s">
        <v>3162</v>
      </c>
      <c r="C942">
        <v>45000</v>
      </c>
      <c r="D942" t="s">
        <v>252</v>
      </c>
      <c r="E942">
        <v>45000</v>
      </c>
      <c r="F942" s="3">
        <f>(tblSalaries[[#This Row],[clean Salary (in local currency)]])*(VLOOKUP(tblSalaries[[#This Row],[Currency]],Sheet3!$A$2:$C$31,3,FALSE))*(VLOOKUP(tblSalaries[[#This Row],[Currency]],Sheet1!$N$4:$Q$186,4,FALSE))</f>
        <v>45000</v>
      </c>
      <c r="G942" s="4">
        <f>IF(Dashboard!$J$5=VLOOKUP(tblSalaries[[#This Row],[Currency]],Sheet3!$A$2:$B$31,2,FALSE),tblSalaries[[#This Row],[clean Salary (in local currency)]],(tblSalaries[[#This Row],[PPP Adjusted  USD]]/VLOOKUP(Dashboard!$J$5,Sheet3!$B$2:$C$31,2,FALSE)))</f>
        <v>45000</v>
      </c>
      <c r="H942" t="s">
        <v>2383</v>
      </c>
      <c r="I942" t="s">
        <v>640</v>
      </c>
      <c r="J942" t="s">
        <v>613</v>
      </c>
      <c r="K942" t="s">
        <v>617</v>
      </c>
      <c r="L942">
        <v>10</v>
      </c>
    </row>
    <row r="943" spans="2:12" ht="15" customHeight="1">
      <c r="B943" t="s">
        <v>3198</v>
      </c>
      <c r="C943">
        <v>45000</v>
      </c>
      <c r="D943" t="s">
        <v>252</v>
      </c>
      <c r="E943">
        <v>45000</v>
      </c>
      <c r="F943" s="3">
        <f>(tblSalaries[[#This Row],[clean Salary (in local currency)]])*(VLOOKUP(tblSalaries[[#This Row],[Currency]],Sheet3!$A$2:$C$31,3,FALSE))*(VLOOKUP(tblSalaries[[#This Row],[Currency]],Sheet1!$N$4:$Q$186,4,FALSE))</f>
        <v>45000</v>
      </c>
      <c r="G943" s="4">
        <f>IF(Dashboard!$J$5=VLOOKUP(tblSalaries[[#This Row],[Currency]],Sheet3!$A$2:$B$31,2,FALSE),tblSalaries[[#This Row],[clean Salary (in local currency)]],(tblSalaries[[#This Row],[PPP Adjusted  USD]]/VLOOKUP(Dashboard!$J$5,Sheet3!$B$2:$C$31,2,FALSE)))</f>
        <v>45000</v>
      </c>
      <c r="H943" t="s">
        <v>3199</v>
      </c>
      <c r="I943" t="s">
        <v>603</v>
      </c>
      <c r="J943" t="s">
        <v>613</v>
      </c>
      <c r="K943" t="s">
        <v>610</v>
      </c>
      <c r="L943">
        <v>5</v>
      </c>
    </row>
    <row r="944" spans="2:12" ht="15" customHeight="1">
      <c r="B944" t="s">
        <v>3209</v>
      </c>
      <c r="C944">
        <v>45000</v>
      </c>
      <c r="D944" t="s">
        <v>252</v>
      </c>
      <c r="E944">
        <v>45000</v>
      </c>
      <c r="F944" s="3">
        <f>(tblSalaries[[#This Row],[clean Salary (in local currency)]])*(VLOOKUP(tblSalaries[[#This Row],[Currency]],Sheet3!$A$2:$C$31,3,FALSE))*(VLOOKUP(tblSalaries[[#This Row],[Currency]],Sheet1!$N$4:$Q$186,4,FALSE))</f>
        <v>45000</v>
      </c>
      <c r="G944" s="4">
        <f>IF(Dashboard!$J$5=VLOOKUP(tblSalaries[[#This Row],[Currency]],Sheet3!$A$2:$B$31,2,FALSE),tblSalaries[[#This Row],[clean Salary (in local currency)]],(tblSalaries[[#This Row],[PPP Adjusted  USD]]/VLOOKUP(Dashboard!$J$5,Sheet3!$B$2:$C$31,2,FALSE)))</f>
        <v>45000</v>
      </c>
      <c r="H944" t="s">
        <v>899</v>
      </c>
      <c r="I944" t="s">
        <v>603</v>
      </c>
      <c r="J944" t="s">
        <v>613</v>
      </c>
      <c r="K944" t="s">
        <v>605</v>
      </c>
      <c r="L944">
        <v>8</v>
      </c>
    </row>
    <row r="945" spans="2:12" ht="15" customHeight="1">
      <c r="B945" t="s">
        <v>3244</v>
      </c>
      <c r="C945">
        <v>45000</v>
      </c>
      <c r="D945" t="s">
        <v>252</v>
      </c>
      <c r="E945">
        <v>45000</v>
      </c>
      <c r="F945" s="3">
        <f>(tblSalaries[[#This Row],[clean Salary (in local currency)]])*(VLOOKUP(tblSalaries[[#This Row],[Currency]],Sheet3!$A$2:$C$31,3,FALSE))*(VLOOKUP(tblSalaries[[#This Row],[Currency]],Sheet1!$N$4:$Q$186,4,FALSE))</f>
        <v>45000</v>
      </c>
      <c r="G945" s="4">
        <f>IF(Dashboard!$J$5=VLOOKUP(tblSalaries[[#This Row],[Currency]],Sheet3!$A$2:$B$31,2,FALSE),tblSalaries[[#This Row],[clean Salary (in local currency)]],(tblSalaries[[#This Row],[PPP Adjusted  USD]]/VLOOKUP(Dashboard!$J$5,Sheet3!$B$2:$C$31,2,FALSE)))</f>
        <v>45000</v>
      </c>
      <c r="H945" t="s">
        <v>3245</v>
      </c>
      <c r="I945" t="s">
        <v>625</v>
      </c>
      <c r="J945" t="s">
        <v>626</v>
      </c>
      <c r="K945" t="s">
        <v>617</v>
      </c>
      <c r="L945">
        <v>5</v>
      </c>
    </row>
    <row r="946" spans="2:12" ht="15" customHeight="1">
      <c r="B946" t="s">
        <v>3481</v>
      </c>
      <c r="C946">
        <v>45000</v>
      </c>
      <c r="D946" t="s">
        <v>252</v>
      </c>
      <c r="E946">
        <v>45000</v>
      </c>
      <c r="F946" s="3">
        <f>(tblSalaries[[#This Row],[clean Salary (in local currency)]])*(VLOOKUP(tblSalaries[[#This Row],[Currency]],Sheet3!$A$2:$C$31,3,FALSE))*(VLOOKUP(tblSalaries[[#This Row],[Currency]],Sheet1!$N$4:$Q$186,4,FALSE))</f>
        <v>45000</v>
      </c>
      <c r="G946" s="4">
        <f>IF(Dashboard!$J$5=VLOOKUP(tblSalaries[[#This Row],[Currency]],Sheet3!$A$2:$B$31,2,FALSE),tblSalaries[[#This Row],[clean Salary (in local currency)]],(tblSalaries[[#This Row],[PPP Adjusted  USD]]/VLOOKUP(Dashboard!$J$5,Sheet3!$B$2:$C$31,2,FALSE)))</f>
        <v>45000</v>
      </c>
      <c r="H946" t="s">
        <v>3482</v>
      </c>
      <c r="I946" t="s">
        <v>603</v>
      </c>
      <c r="J946" t="s">
        <v>613</v>
      </c>
      <c r="K946" t="s">
        <v>617</v>
      </c>
      <c r="L946">
        <v>4</v>
      </c>
    </row>
    <row r="947" spans="2:12" ht="15" customHeight="1">
      <c r="B947" t="s">
        <v>3486</v>
      </c>
      <c r="C947">
        <v>45000</v>
      </c>
      <c r="D947" t="s">
        <v>252</v>
      </c>
      <c r="E947">
        <v>45000</v>
      </c>
      <c r="F947" s="3">
        <f>(tblSalaries[[#This Row],[clean Salary (in local currency)]])*(VLOOKUP(tblSalaries[[#This Row],[Currency]],Sheet3!$A$2:$C$31,3,FALSE))*(VLOOKUP(tblSalaries[[#This Row],[Currency]],Sheet1!$N$4:$Q$186,4,FALSE))</f>
        <v>45000</v>
      </c>
      <c r="G947" s="4">
        <f>IF(Dashboard!$J$5=VLOOKUP(tblSalaries[[#This Row],[Currency]],Sheet3!$A$2:$B$31,2,FALSE),tblSalaries[[#This Row],[clean Salary (in local currency)]],(tblSalaries[[#This Row],[PPP Adjusted  USD]]/VLOOKUP(Dashboard!$J$5,Sheet3!$B$2:$C$31,2,FALSE)))</f>
        <v>45000</v>
      </c>
      <c r="H947" t="s">
        <v>632</v>
      </c>
      <c r="I947" t="s">
        <v>633</v>
      </c>
      <c r="J947" t="s">
        <v>833</v>
      </c>
      <c r="K947" t="s">
        <v>605</v>
      </c>
      <c r="L947">
        <v>5</v>
      </c>
    </row>
    <row r="948" spans="2:12" ht="15" customHeight="1">
      <c r="B948" t="s">
        <v>3539</v>
      </c>
      <c r="C948">
        <v>45000</v>
      </c>
      <c r="D948" t="s">
        <v>252</v>
      </c>
      <c r="E948">
        <v>45000</v>
      </c>
      <c r="F948" s="3">
        <f>(tblSalaries[[#This Row],[clean Salary (in local currency)]])*(VLOOKUP(tblSalaries[[#This Row],[Currency]],Sheet3!$A$2:$C$31,3,FALSE))*(VLOOKUP(tblSalaries[[#This Row],[Currency]],Sheet1!$N$4:$Q$186,4,FALSE))</f>
        <v>45000</v>
      </c>
      <c r="G948" s="4">
        <f>IF(Dashboard!$J$5=VLOOKUP(tblSalaries[[#This Row],[Currency]],Sheet3!$A$2:$B$31,2,FALSE),tblSalaries[[#This Row],[clean Salary (in local currency)]],(tblSalaries[[#This Row],[PPP Adjusted  USD]]/VLOOKUP(Dashboard!$J$5,Sheet3!$B$2:$C$31,2,FALSE)))</f>
        <v>45000</v>
      </c>
      <c r="H948" t="s">
        <v>3540</v>
      </c>
      <c r="I948" t="s">
        <v>603</v>
      </c>
      <c r="J948" t="s">
        <v>613</v>
      </c>
      <c r="K948" t="s">
        <v>610</v>
      </c>
      <c r="L948">
        <v>2</v>
      </c>
    </row>
    <row r="949" spans="2:12" ht="15" customHeight="1">
      <c r="B949" t="s">
        <v>3642</v>
      </c>
      <c r="C949">
        <v>45000</v>
      </c>
      <c r="D949" t="s">
        <v>252</v>
      </c>
      <c r="E949">
        <v>45000</v>
      </c>
      <c r="F949" s="3">
        <f>(tblSalaries[[#This Row],[clean Salary (in local currency)]])*(VLOOKUP(tblSalaries[[#This Row],[Currency]],Sheet3!$A$2:$C$31,3,FALSE))*(VLOOKUP(tblSalaries[[#This Row],[Currency]],Sheet1!$N$4:$Q$186,4,FALSE))</f>
        <v>45000</v>
      </c>
      <c r="G949" s="4">
        <f>IF(Dashboard!$J$5=VLOOKUP(tblSalaries[[#This Row],[Currency]],Sheet3!$A$2:$B$31,2,FALSE),tblSalaries[[#This Row],[clean Salary (in local currency)]],(tblSalaries[[#This Row],[PPP Adjusted  USD]]/VLOOKUP(Dashboard!$J$5,Sheet3!$B$2:$C$31,2,FALSE)))</f>
        <v>45000</v>
      </c>
      <c r="H949" t="s">
        <v>3643</v>
      </c>
      <c r="I949" t="s">
        <v>603</v>
      </c>
      <c r="J949" t="s">
        <v>613</v>
      </c>
      <c r="K949" t="s">
        <v>605</v>
      </c>
      <c r="L949">
        <v>4</v>
      </c>
    </row>
    <row r="950" spans="2:12" ht="15" customHeight="1">
      <c r="B950" t="s">
        <v>3781</v>
      </c>
      <c r="C950">
        <v>45000</v>
      </c>
      <c r="D950" t="s">
        <v>252</v>
      </c>
      <c r="E950">
        <v>45000</v>
      </c>
      <c r="F950" s="3">
        <f>(tblSalaries[[#This Row],[clean Salary (in local currency)]])*(VLOOKUP(tblSalaries[[#This Row],[Currency]],Sheet3!$A$2:$C$31,3,FALSE))*(VLOOKUP(tblSalaries[[#This Row],[Currency]],Sheet1!$N$4:$Q$186,4,FALSE))</f>
        <v>45000</v>
      </c>
      <c r="G950" s="4">
        <f>IF(Dashboard!$J$5=VLOOKUP(tblSalaries[[#This Row],[Currency]],Sheet3!$A$2:$B$31,2,FALSE),tblSalaries[[#This Row],[clean Salary (in local currency)]],(tblSalaries[[#This Row],[PPP Adjusted  USD]]/VLOOKUP(Dashboard!$J$5,Sheet3!$B$2:$C$31,2,FALSE)))</f>
        <v>45000</v>
      </c>
      <c r="H950" t="s">
        <v>710</v>
      </c>
      <c r="I950" t="s">
        <v>637</v>
      </c>
      <c r="J950" t="s">
        <v>613</v>
      </c>
      <c r="K950" t="s">
        <v>617</v>
      </c>
      <c r="L950">
        <v>5</v>
      </c>
    </row>
    <row r="951" spans="2:12" ht="15" customHeight="1">
      <c r="B951" t="s">
        <v>1808</v>
      </c>
      <c r="C951">
        <v>950000</v>
      </c>
      <c r="D951" t="s">
        <v>247</v>
      </c>
      <c r="E951">
        <v>16917.52085307044</v>
      </c>
      <c r="F951" s="3">
        <f>(tblSalaries[[#This Row],[clean Salary (in local currency)]])*(VLOOKUP(tblSalaries[[#This Row],[Currency]],Sheet3!$A$2:$C$31,3,FALSE))*(VLOOKUP(tblSalaries[[#This Row],[Currency]],Sheet1!$N$4:$Q$186,4,FALSE))</f>
        <v>44992.971231263531</v>
      </c>
      <c r="G951" s="4">
        <f>IF(Dashboard!$J$5=VLOOKUP(tblSalaries[[#This Row],[Currency]],Sheet3!$A$2:$B$31,2,FALSE),tblSalaries[[#This Row],[clean Salary (in local currency)]],(tblSalaries[[#This Row],[PPP Adjusted  USD]]/VLOOKUP(Dashboard!$J$5,Sheet3!$B$2:$C$31,2,FALSE)))</f>
        <v>44992.971231263531</v>
      </c>
      <c r="H951" t="s">
        <v>1809</v>
      </c>
      <c r="I951" t="s">
        <v>625</v>
      </c>
      <c r="J951" t="s">
        <v>604</v>
      </c>
      <c r="K951" t="s">
        <v>605</v>
      </c>
      <c r="L951">
        <v>3</v>
      </c>
    </row>
    <row r="952" spans="2:12" ht="15" customHeight="1">
      <c r="B952" t="s">
        <v>3557</v>
      </c>
      <c r="C952">
        <v>950000</v>
      </c>
      <c r="D952" t="s">
        <v>247</v>
      </c>
      <c r="E952">
        <v>16917.52085307044</v>
      </c>
      <c r="F952" s="3">
        <f>(tblSalaries[[#This Row],[clean Salary (in local currency)]])*(VLOOKUP(tblSalaries[[#This Row],[Currency]],Sheet3!$A$2:$C$31,3,FALSE))*(VLOOKUP(tblSalaries[[#This Row],[Currency]],Sheet1!$N$4:$Q$186,4,FALSE))</f>
        <v>44992.971231263531</v>
      </c>
      <c r="G952" s="4">
        <f>IF(Dashboard!$J$5=VLOOKUP(tblSalaries[[#This Row],[Currency]],Sheet3!$A$2:$B$31,2,FALSE),tblSalaries[[#This Row],[clean Salary (in local currency)]],(tblSalaries[[#This Row],[PPP Adjusted  USD]]/VLOOKUP(Dashboard!$J$5,Sheet3!$B$2:$C$31,2,FALSE)))</f>
        <v>44992.971231263531</v>
      </c>
      <c r="H952" t="s">
        <v>3558</v>
      </c>
      <c r="I952" t="s">
        <v>625</v>
      </c>
      <c r="J952" t="s">
        <v>604</v>
      </c>
      <c r="K952" t="s">
        <v>617</v>
      </c>
      <c r="L952">
        <v>9</v>
      </c>
    </row>
    <row r="953" spans="2:12" ht="15" customHeight="1">
      <c r="B953" t="s">
        <v>3230</v>
      </c>
      <c r="C953">
        <v>30500</v>
      </c>
      <c r="D953" t="s">
        <v>204</v>
      </c>
      <c r="E953">
        <v>48073.437298052166</v>
      </c>
      <c r="F953" s="3">
        <f>(tblSalaries[[#This Row],[clean Salary (in local currency)]])*(VLOOKUP(tblSalaries[[#This Row],[Currency]],Sheet3!$A$2:$C$31,3,FALSE))*(VLOOKUP(tblSalaries[[#This Row],[Currency]],Sheet1!$N$4:$Q$186,4,FALSE))</f>
        <v>44956.12175190304</v>
      </c>
      <c r="G953" s="4">
        <f>IF(Dashboard!$J$5=VLOOKUP(tblSalaries[[#This Row],[Currency]],Sheet3!$A$2:$B$31,2,FALSE),tblSalaries[[#This Row],[clean Salary (in local currency)]],(tblSalaries[[#This Row],[PPP Adjusted  USD]]/VLOOKUP(Dashboard!$J$5,Sheet3!$B$2:$C$31,2,FALSE)))</f>
        <v>44956.12175190304</v>
      </c>
      <c r="H953" t="s">
        <v>3231</v>
      </c>
      <c r="I953" t="s">
        <v>692</v>
      </c>
      <c r="J953" t="s">
        <v>687</v>
      </c>
      <c r="K953" t="s">
        <v>605</v>
      </c>
      <c r="L953">
        <v>14</v>
      </c>
    </row>
    <row r="954" spans="2:12" ht="15" customHeight="1">
      <c r="B954" t="s">
        <v>744</v>
      </c>
      <c r="C954">
        <v>56000</v>
      </c>
      <c r="D954" t="s">
        <v>276</v>
      </c>
      <c r="E954">
        <v>55068.245289698301</v>
      </c>
      <c r="F954" s="3">
        <f>(tblSalaries[[#This Row],[clean Salary (in local currency)]])*(VLOOKUP(tblSalaries[[#This Row],[Currency]],Sheet3!$A$2:$C$31,3,FALSE))*(VLOOKUP(tblSalaries[[#This Row],[Currency]],Sheet1!$N$4:$Q$186,4,FALSE))</f>
        <v>44264.987379331302</v>
      </c>
      <c r="G954" s="4">
        <f>IF(Dashboard!$J$5=VLOOKUP(tblSalaries[[#This Row],[Currency]],Sheet3!$A$2:$B$31,2,FALSE),tblSalaries[[#This Row],[clean Salary (in local currency)]],(tblSalaries[[#This Row],[PPP Adjusted  USD]]/VLOOKUP(Dashboard!$J$5,Sheet3!$B$2:$C$31,2,FALSE)))</f>
        <v>44264.987379331302</v>
      </c>
      <c r="H954" t="s">
        <v>745</v>
      </c>
      <c r="I954" t="s">
        <v>603</v>
      </c>
      <c r="J954" t="s">
        <v>708</v>
      </c>
      <c r="K954" t="s">
        <v>610</v>
      </c>
      <c r="L954" t="s">
        <v>3847</v>
      </c>
    </row>
    <row r="955" spans="2:12" ht="15" customHeight="1">
      <c r="B955" t="s">
        <v>1275</v>
      </c>
      <c r="C955">
        <v>56000</v>
      </c>
      <c r="D955" t="s">
        <v>276</v>
      </c>
      <c r="E955">
        <v>55068.245289698301</v>
      </c>
      <c r="F955" s="3">
        <f>(tblSalaries[[#This Row],[clean Salary (in local currency)]])*(VLOOKUP(tblSalaries[[#This Row],[Currency]],Sheet3!$A$2:$C$31,3,FALSE))*(VLOOKUP(tblSalaries[[#This Row],[Currency]],Sheet1!$N$4:$Q$186,4,FALSE))</f>
        <v>44264.987379331302</v>
      </c>
      <c r="G955" s="4">
        <f>IF(Dashboard!$J$5=VLOOKUP(tblSalaries[[#This Row],[Currency]],Sheet3!$A$2:$B$31,2,FALSE),tblSalaries[[#This Row],[clean Salary (in local currency)]],(tblSalaries[[#This Row],[PPP Adjusted  USD]]/VLOOKUP(Dashboard!$J$5,Sheet3!$B$2:$C$31,2,FALSE)))</f>
        <v>44264.987379331302</v>
      </c>
      <c r="H955" t="s">
        <v>1276</v>
      </c>
      <c r="I955" t="s">
        <v>603</v>
      </c>
      <c r="J955" t="s">
        <v>708</v>
      </c>
      <c r="K955" t="s">
        <v>605</v>
      </c>
      <c r="L955" t="s">
        <v>3847</v>
      </c>
    </row>
    <row r="956" spans="2:12" ht="15" customHeight="1">
      <c r="B956" t="s">
        <v>3426</v>
      </c>
      <c r="C956">
        <v>56000</v>
      </c>
      <c r="D956" t="s">
        <v>276</v>
      </c>
      <c r="E956">
        <v>55068.245289698301</v>
      </c>
      <c r="F956" s="3">
        <f>(tblSalaries[[#This Row],[clean Salary (in local currency)]])*(VLOOKUP(tblSalaries[[#This Row],[Currency]],Sheet3!$A$2:$C$31,3,FALSE))*(VLOOKUP(tblSalaries[[#This Row],[Currency]],Sheet1!$N$4:$Q$186,4,FALSE))</f>
        <v>44264.987379331302</v>
      </c>
      <c r="G956" s="4">
        <f>IF(Dashboard!$J$5=VLOOKUP(tblSalaries[[#This Row],[Currency]],Sheet3!$A$2:$B$31,2,FALSE),tblSalaries[[#This Row],[clean Salary (in local currency)]],(tblSalaries[[#This Row],[PPP Adjusted  USD]]/VLOOKUP(Dashboard!$J$5,Sheet3!$B$2:$C$31,2,FALSE)))</f>
        <v>44264.987379331302</v>
      </c>
      <c r="H956" t="s">
        <v>702</v>
      </c>
      <c r="I956" t="s">
        <v>692</v>
      </c>
      <c r="J956" t="s">
        <v>708</v>
      </c>
      <c r="K956" t="s">
        <v>610</v>
      </c>
      <c r="L956">
        <v>1</v>
      </c>
    </row>
    <row r="957" spans="2:12" ht="15" customHeight="1">
      <c r="B957" t="s">
        <v>786</v>
      </c>
      <c r="C957">
        <v>30000</v>
      </c>
      <c r="D957" t="s">
        <v>204</v>
      </c>
      <c r="E957">
        <v>47285.348162018527</v>
      </c>
      <c r="F957" s="3">
        <f>(tblSalaries[[#This Row],[clean Salary (in local currency)]])*(VLOOKUP(tblSalaries[[#This Row],[Currency]],Sheet3!$A$2:$C$31,3,FALSE))*(VLOOKUP(tblSalaries[[#This Row],[Currency]],Sheet1!$N$4:$Q$186,4,FALSE))</f>
        <v>44219.136149412829</v>
      </c>
      <c r="G957" s="4">
        <f>IF(Dashboard!$J$5=VLOOKUP(tblSalaries[[#This Row],[Currency]],Sheet3!$A$2:$B$31,2,FALSE),tblSalaries[[#This Row],[clean Salary (in local currency)]],(tblSalaries[[#This Row],[PPP Adjusted  USD]]/VLOOKUP(Dashboard!$J$5,Sheet3!$B$2:$C$31,2,FALSE)))</f>
        <v>44219.136149412829</v>
      </c>
      <c r="H957" t="s">
        <v>787</v>
      </c>
      <c r="I957" t="s">
        <v>625</v>
      </c>
      <c r="J957" t="s">
        <v>687</v>
      </c>
      <c r="K957" t="s">
        <v>605</v>
      </c>
      <c r="L957" t="s">
        <v>3847</v>
      </c>
    </row>
    <row r="958" spans="2:12" ht="15" customHeight="1">
      <c r="B958" t="s">
        <v>1022</v>
      </c>
      <c r="C958">
        <v>30000</v>
      </c>
      <c r="D958" t="s">
        <v>204</v>
      </c>
      <c r="E958">
        <v>47285.348162018527</v>
      </c>
      <c r="F958" s="3">
        <f>(tblSalaries[[#This Row],[clean Salary (in local currency)]])*(VLOOKUP(tblSalaries[[#This Row],[Currency]],Sheet3!$A$2:$C$31,3,FALSE))*(VLOOKUP(tblSalaries[[#This Row],[Currency]],Sheet1!$N$4:$Q$186,4,FALSE))</f>
        <v>44219.136149412829</v>
      </c>
      <c r="G958" s="4">
        <f>IF(Dashboard!$J$5=VLOOKUP(tblSalaries[[#This Row],[Currency]],Sheet3!$A$2:$B$31,2,FALSE),tblSalaries[[#This Row],[clean Salary (in local currency)]],(tblSalaries[[#This Row],[PPP Adjusted  USD]]/VLOOKUP(Dashboard!$J$5,Sheet3!$B$2:$C$31,2,FALSE)))</f>
        <v>44219.136149412829</v>
      </c>
      <c r="H958" t="s">
        <v>1023</v>
      </c>
      <c r="I958" t="s">
        <v>603</v>
      </c>
      <c r="J958" t="s">
        <v>687</v>
      </c>
      <c r="K958" t="s">
        <v>617</v>
      </c>
      <c r="L958" t="s">
        <v>3847</v>
      </c>
    </row>
    <row r="959" spans="2:12" ht="15" customHeight="1">
      <c r="B959" t="s">
        <v>2486</v>
      </c>
      <c r="C959">
        <v>30000</v>
      </c>
      <c r="D959" t="s">
        <v>204</v>
      </c>
      <c r="E959">
        <v>47285.348162018527</v>
      </c>
      <c r="F959" s="3">
        <f>(tblSalaries[[#This Row],[clean Salary (in local currency)]])*(VLOOKUP(tblSalaries[[#This Row],[Currency]],Sheet3!$A$2:$C$31,3,FALSE))*(VLOOKUP(tblSalaries[[#This Row],[Currency]],Sheet1!$N$4:$Q$186,4,FALSE))</f>
        <v>44219.136149412829</v>
      </c>
      <c r="G959" s="4">
        <f>IF(Dashboard!$J$5=VLOOKUP(tblSalaries[[#This Row],[Currency]],Sheet3!$A$2:$B$31,2,FALSE),tblSalaries[[#This Row],[clean Salary (in local currency)]],(tblSalaries[[#This Row],[PPP Adjusted  USD]]/VLOOKUP(Dashboard!$J$5,Sheet3!$B$2:$C$31,2,FALSE)))</f>
        <v>44219.136149412829</v>
      </c>
      <c r="H959" t="s">
        <v>811</v>
      </c>
      <c r="I959" t="s">
        <v>603</v>
      </c>
      <c r="J959" t="s">
        <v>687</v>
      </c>
      <c r="K959" t="s">
        <v>610</v>
      </c>
      <c r="L959">
        <v>15</v>
      </c>
    </row>
    <row r="960" spans="2:12" ht="15" customHeight="1">
      <c r="B960" t="s">
        <v>2514</v>
      </c>
      <c r="C960">
        <v>30000</v>
      </c>
      <c r="D960" t="s">
        <v>204</v>
      </c>
      <c r="E960">
        <v>47285.348162018527</v>
      </c>
      <c r="F960" s="3">
        <f>(tblSalaries[[#This Row],[clean Salary (in local currency)]])*(VLOOKUP(tblSalaries[[#This Row],[Currency]],Sheet3!$A$2:$C$31,3,FALSE))*(VLOOKUP(tblSalaries[[#This Row],[Currency]],Sheet1!$N$4:$Q$186,4,FALSE))</f>
        <v>44219.136149412829</v>
      </c>
      <c r="G960" s="4">
        <f>IF(Dashboard!$J$5=VLOOKUP(tblSalaries[[#This Row],[Currency]],Sheet3!$A$2:$B$31,2,FALSE),tblSalaries[[#This Row],[clean Salary (in local currency)]],(tblSalaries[[#This Row],[PPP Adjusted  USD]]/VLOOKUP(Dashboard!$J$5,Sheet3!$B$2:$C$31,2,FALSE)))</f>
        <v>44219.136149412829</v>
      </c>
      <c r="H960" t="s">
        <v>1217</v>
      </c>
      <c r="I960" t="s">
        <v>603</v>
      </c>
      <c r="J960" t="s">
        <v>687</v>
      </c>
      <c r="K960" t="s">
        <v>605</v>
      </c>
      <c r="L960">
        <v>4</v>
      </c>
    </row>
    <row r="961" spans="2:12" ht="15" customHeight="1">
      <c r="B961" t="s">
        <v>2520</v>
      </c>
      <c r="C961">
        <v>30000</v>
      </c>
      <c r="D961" t="s">
        <v>204</v>
      </c>
      <c r="E961">
        <v>47285.348162018527</v>
      </c>
      <c r="F961" s="3">
        <f>(tblSalaries[[#This Row],[clean Salary (in local currency)]])*(VLOOKUP(tblSalaries[[#This Row],[Currency]],Sheet3!$A$2:$C$31,3,FALSE))*(VLOOKUP(tblSalaries[[#This Row],[Currency]],Sheet1!$N$4:$Q$186,4,FALSE))</f>
        <v>44219.136149412829</v>
      </c>
      <c r="G961" s="4">
        <f>IF(Dashboard!$J$5=VLOOKUP(tblSalaries[[#This Row],[Currency]],Sheet3!$A$2:$B$31,2,FALSE),tblSalaries[[#This Row],[clean Salary (in local currency)]],(tblSalaries[[#This Row],[PPP Adjusted  USD]]/VLOOKUP(Dashboard!$J$5,Sheet3!$B$2:$C$31,2,FALSE)))</f>
        <v>44219.136149412829</v>
      </c>
      <c r="H961" t="s">
        <v>2521</v>
      </c>
      <c r="I961" t="s">
        <v>603</v>
      </c>
      <c r="J961" t="s">
        <v>687</v>
      </c>
      <c r="K961" t="s">
        <v>610</v>
      </c>
      <c r="L961">
        <v>10</v>
      </c>
    </row>
    <row r="962" spans="2:12" ht="15" customHeight="1">
      <c r="B962" t="s">
        <v>2599</v>
      </c>
      <c r="C962">
        <v>30000</v>
      </c>
      <c r="D962" t="s">
        <v>204</v>
      </c>
      <c r="E962">
        <v>47285.348162018527</v>
      </c>
      <c r="F962" s="3">
        <f>(tblSalaries[[#This Row],[clean Salary (in local currency)]])*(VLOOKUP(tblSalaries[[#This Row],[Currency]],Sheet3!$A$2:$C$31,3,FALSE))*(VLOOKUP(tblSalaries[[#This Row],[Currency]],Sheet1!$N$4:$Q$186,4,FALSE))</f>
        <v>44219.136149412829</v>
      </c>
      <c r="G962" s="4">
        <f>IF(Dashboard!$J$5=VLOOKUP(tblSalaries[[#This Row],[Currency]],Sheet3!$A$2:$B$31,2,FALSE),tblSalaries[[#This Row],[clean Salary (in local currency)]],(tblSalaries[[#This Row],[PPP Adjusted  USD]]/VLOOKUP(Dashboard!$J$5,Sheet3!$B$2:$C$31,2,FALSE)))</f>
        <v>44219.136149412829</v>
      </c>
      <c r="H962" t="s">
        <v>2600</v>
      </c>
      <c r="I962" t="s">
        <v>637</v>
      </c>
      <c r="J962" t="s">
        <v>687</v>
      </c>
      <c r="K962" t="s">
        <v>617</v>
      </c>
      <c r="L962">
        <v>5</v>
      </c>
    </row>
    <row r="963" spans="2:12" ht="15" customHeight="1">
      <c r="B963" t="s">
        <v>2755</v>
      </c>
      <c r="C963">
        <v>30000</v>
      </c>
      <c r="D963" t="s">
        <v>204</v>
      </c>
      <c r="E963">
        <v>47285.348162018527</v>
      </c>
      <c r="F963" s="3">
        <f>(tblSalaries[[#This Row],[clean Salary (in local currency)]])*(VLOOKUP(tblSalaries[[#This Row],[Currency]],Sheet3!$A$2:$C$31,3,FALSE))*(VLOOKUP(tblSalaries[[#This Row],[Currency]],Sheet1!$N$4:$Q$186,4,FALSE))</f>
        <v>44219.136149412829</v>
      </c>
      <c r="G963" s="4">
        <f>IF(Dashboard!$J$5=VLOOKUP(tblSalaries[[#This Row],[Currency]],Sheet3!$A$2:$B$31,2,FALSE),tblSalaries[[#This Row],[clean Salary (in local currency)]],(tblSalaries[[#This Row],[PPP Adjusted  USD]]/VLOOKUP(Dashboard!$J$5,Sheet3!$B$2:$C$31,2,FALSE)))</f>
        <v>44219.136149412829</v>
      </c>
      <c r="H963" t="s">
        <v>2756</v>
      </c>
      <c r="I963" t="s">
        <v>640</v>
      </c>
      <c r="J963" t="s">
        <v>687</v>
      </c>
      <c r="K963" t="s">
        <v>605</v>
      </c>
      <c r="L963">
        <v>14</v>
      </c>
    </row>
    <row r="964" spans="2:12" ht="15" customHeight="1">
      <c r="B964" t="s">
        <v>2924</v>
      </c>
      <c r="C964">
        <v>30000</v>
      </c>
      <c r="D964" t="s">
        <v>204</v>
      </c>
      <c r="E964">
        <v>47285.348162018527</v>
      </c>
      <c r="F964" s="3">
        <f>(tblSalaries[[#This Row],[clean Salary (in local currency)]])*(VLOOKUP(tblSalaries[[#This Row],[Currency]],Sheet3!$A$2:$C$31,3,FALSE))*(VLOOKUP(tblSalaries[[#This Row],[Currency]],Sheet1!$N$4:$Q$186,4,FALSE))</f>
        <v>44219.136149412829</v>
      </c>
      <c r="G964" s="4">
        <f>IF(Dashboard!$J$5=VLOOKUP(tblSalaries[[#This Row],[Currency]],Sheet3!$A$2:$B$31,2,FALSE),tblSalaries[[#This Row],[clean Salary (in local currency)]],(tblSalaries[[#This Row],[PPP Adjusted  USD]]/VLOOKUP(Dashboard!$J$5,Sheet3!$B$2:$C$31,2,FALSE)))</f>
        <v>44219.136149412829</v>
      </c>
      <c r="H964" t="s">
        <v>861</v>
      </c>
      <c r="I964" t="s">
        <v>603</v>
      </c>
      <c r="J964" t="s">
        <v>687</v>
      </c>
      <c r="K964" t="s">
        <v>610</v>
      </c>
      <c r="L964">
        <v>6</v>
      </c>
    </row>
    <row r="965" spans="2:12" ht="15" customHeight="1">
      <c r="B965" t="s">
        <v>3249</v>
      </c>
      <c r="C965">
        <v>30000</v>
      </c>
      <c r="D965" t="s">
        <v>204</v>
      </c>
      <c r="E965">
        <v>47285.348162018527</v>
      </c>
      <c r="F965" s="3">
        <f>(tblSalaries[[#This Row],[clean Salary (in local currency)]])*(VLOOKUP(tblSalaries[[#This Row],[Currency]],Sheet3!$A$2:$C$31,3,FALSE))*(VLOOKUP(tblSalaries[[#This Row],[Currency]],Sheet1!$N$4:$Q$186,4,FALSE))</f>
        <v>44219.136149412829</v>
      </c>
      <c r="G965" s="4">
        <f>IF(Dashboard!$J$5=VLOOKUP(tblSalaries[[#This Row],[Currency]],Sheet3!$A$2:$B$31,2,FALSE),tblSalaries[[#This Row],[clean Salary (in local currency)]],(tblSalaries[[#This Row],[PPP Adjusted  USD]]/VLOOKUP(Dashboard!$J$5,Sheet3!$B$2:$C$31,2,FALSE)))</f>
        <v>44219.136149412829</v>
      </c>
      <c r="H965" t="s">
        <v>1632</v>
      </c>
      <c r="I965" t="s">
        <v>603</v>
      </c>
      <c r="J965" t="s">
        <v>687</v>
      </c>
      <c r="K965" t="s">
        <v>605</v>
      </c>
      <c r="L965">
        <v>7</v>
      </c>
    </row>
    <row r="966" spans="2:12" ht="15" customHeight="1">
      <c r="B966" t="s">
        <v>1284</v>
      </c>
      <c r="C966">
        <v>44200</v>
      </c>
      <c r="D966" t="s">
        <v>252</v>
      </c>
      <c r="E966">
        <v>44200</v>
      </c>
      <c r="F966" s="3">
        <f>(tblSalaries[[#This Row],[clean Salary (in local currency)]])*(VLOOKUP(tblSalaries[[#This Row],[Currency]],Sheet3!$A$2:$C$31,3,FALSE))*(VLOOKUP(tblSalaries[[#This Row],[Currency]],Sheet1!$N$4:$Q$186,4,FALSE))</f>
        <v>44200</v>
      </c>
      <c r="G966" s="4">
        <f>IF(Dashboard!$J$5=VLOOKUP(tblSalaries[[#This Row],[Currency]],Sheet3!$A$2:$B$31,2,FALSE),tblSalaries[[#This Row],[clean Salary (in local currency)]],(tblSalaries[[#This Row],[PPP Adjusted  USD]]/VLOOKUP(Dashboard!$J$5,Sheet3!$B$2:$C$31,2,FALSE)))</f>
        <v>44200</v>
      </c>
      <c r="H966" t="s">
        <v>1285</v>
      </c>
      <c r="I966" t="s">
        <v>603</v>
      </c>
      <c r="J966" t="s">
        <v>613</v>
      </c>
      <c r="K966" t="s">
        <v>610</v>
      </c>
      <c r="L966" t="s">
        <v>3847</v>
      </c>
    </row>
    <row r="967" spans="2:12" ht="15" customHeight="1">
      <c r="B967" t="s">
        <v>2181</v>
      </c>
      <c r="C967">
        <v>40000</v>
      </c>
      <c r="D967" t="s">
        <v>200</v>
      </c>
      <c r="E967">
        <v>50815.977559664309</v>
      </c>
      <c r="F967" s="3">
        <f>(tblSalaries[[#This Row],[clean Salary (in local currency)]])*(VLOOKUP(tblSalaries[[#This Row],[Currency]],Sheet3!$A$2:$C$31,3,FALSE))*(VLOOKUP(tblSalaries[[#This Row],[Currency]],Sheet1!$N$4:$Q$186,4,FALSE))</f>
        <v>44026.115439202084</v>
      </c>
      <c r="G967" s="4">
        <f>IF(Dashboard!$J$5=VLOOKUP(tblSalaries[[#This Row],[Currency]],Sheet3!$A$2:$B$31,2,FALSE),tblSalaries[[#This Row],[clean Salary (in local currency)]],(tblSalaries[[#This Row],[PPP Adjusted  USD]]/VLOOKUP(Dashboard!$J$5,Sheet3!$B$2:$C$31,2,FALSE)))</f>
        <v>44026.115439202084</v>
      </c>
      <c r="H967" t="s">
        <v>2182</v>
      </c>
      <c r="I967" t="s">
        <v>603</v>
      </c>
      <c r="J967" t="s">
        <v>722</v>
      </c>
      <c r="K967" t="s">
        <v>605</v>
      </c>
      <c r="L967">
        <v>4</v>
      </c>
    </row>
    <row r="968" spans="2:12" ht="15" customHeight="1">
      <c r="B968" t="s">
        <v>2512</v>
      </c>
      <c r="C968">
        <v>40000</v>
      </c>
      <c r="D968" t="s">
        <v>200</v>
      </c>
      <c r="E968">
        <v>50815.977559664309</v>
      </c>
      <c r="F968" s="3">
        <f>(tblSalaries[[#This Row],[clean Salary (in local currency)]])*(VLOOKUP(tblSalaries[[#This Row],[Currency]],Sheet3!$A$2:$C$31,3,FALSE))*(VLOOKUP(tblSalaries[[#This Row],[Currency]],Sheet1!$N$4:$Q$186,4,FALSE))</f>
        <v>44026.115439202084</v>
      </c>
      <c r="G968" s="4">
        <f>IF(Dashboard!$J$5=VLOOKUP(tblSalaries[[#This Row],[Currency]],Sheet3!$A$2:$B$31,2,FALSE),tblSalaries[[#This Row],[clean Salary (in local currency)]],(tblSalaries[[#This Row],[PPP Adjusted  USD]]/VLOOKUP(Dashboard!$J$5,Sheet3!$B$2:$C$31,2,FALSE)))</f>
        <v>44026.115439202084</v>
      </c>
      <c r="H968" t="s">
        <v>2513</v>
      </c>
      <c r="I968" t="s">
        <v>603</v>
      </c>
      <c r="J968" t="s">
        <v>722</v>
      </c>
      <c r="K968" t="s">
        <v>605</v>
      </c>
      <c r="L968">
        <v>3</v>
      </c>
    </row>
    <row r="969" spans="2:12" ht="15" customHeight="1">
      <c r="B969" t="s">
        <v>2531</v>
      </c>
      <c r="C969">
        <v>40000</v>
      </c>
      <c r="D969" t="s">
        <v>200</v>
      </c>
      <c r="E969">
        <v>50815.977559664309</v>
      </c>
      <c r="F969" s="3">
        <f>(tblSalaries[[#This Row],[clean Salary (in local currency)]])*(VLOOKUP(tblSalaries[[#This Row],[Currency]],Sheet3!$A$2:$C$31,3,FALSE))*(VLOOKUP(tblSalaries[[#This Row],[Currency]],Sheet1!$N$4:$Q$186,4,FALSE))</f>
        <v>44026.115439202084</v>
      </c>
      <c r="G969" s="4">
        <f>IF(Dashboard!$J$5=VLOOKUP(tblSalaries[[#This Row],[Currency]],Sheet3!$A$2:$B$31,2,FALSE),tblSalaries[[#This Row],[clean Salary (in local currency)]],(tblSalaries[[#This Row],[PPP Adjusted  USD]]/VLOOKUP(Dashboard!$J$5,Sheet3!$B$2:$C$31,2,FALSE)))</f>
        <v>44026.115439202084</v>
      </c>
      <c r="H969" t="s">
        <v>873</v>
      </c>
      <c r="I969" t="s">
        <v>637</v>
      </c>
      <c r="J969" t="s">
        <v>634</v>
      </c>
      <c r="K969" t="s">
        <v>617</v>
      </c>
      <c r="L969">
        <v>10</v>
      </c>
    </row>
    <row r="970" spans="2:12" ht="15" customHeight="1">
      <c r="B970" t="s">
        <v>2939</v>
      </c>
      <c r="C970">
        <v>40000</v>
      </c>
      <c r="D970" t="s">
        <v>200</v>
      </c>
      <c r="E970">
        <v>50815.977559664309</v>
      </c>
      <c r="F970" s="3">
        <f>(tblSalaries[[#This Row],[clean Salary (in local currency)]])*(VLOOKUP(tblSalaries[[#This Row],[Currency]],Sheet3!$A$2:$C$31,3,FALSE))*(VLOOKUP(tblSalaries[[#This Row],[Currency]],Sheet1!$N$4:$Q$186,4,FALSE))</f>
        <v>44026.115439202084</v>
      </c>
      <c r="G970" s="4">
        <f>IF(Dashboard!$J$5=VLOOKUP(tblSalaries[[#This Row],[Currency]],Sheet3!$A$2:$B$31,2,FALSE),tblSalaries[[#This Row],[clean Salary (in local currency)]],(tblSalaries[[#This Row],[PPP Adjusted  USD]]/VLOOKUP(Dashboard!$J$5,Sheet3!$B$2:$C$31,2,FALSE)))</f>
        <v>44026.115439202084</v>
      </c>
      <c r="H970" t="s">
        <v>2567</v>
      </c>
      <c r="I970" t="s">
        <v>625</v>
      </c>
      <c r="J970" t="s">
        <v>2940</v>
      </c>
      <c r="K970" t="s">
        <v>605</v>
      </c>
      <c r="L970">
        <v>20</v>
      </c>
    </row>
    <row r="971" spans="2:12" ht="15" customHeight="1">
      <c r="B971" t="s">
        <v>3479</v>
      </c>
      <c r="C971">
        <v>40000</v>
      </c>
      <c r="D971" t="s">
        <v>200</v>
      </c>
      <c r="E971">
        <v>50815.977559664309</v>
      </c>
      <c r="F971" s="3">
        <f>(tblSalaries[[#This Row],[clean Salary (in local currency)]])*(VLOOKUP(tblSalaries[[#This Row],[Currency]],Sheet3!$A$2:$C$31,3,FALSE))*(VLOOKUP(tblSalaries[[#This Row],[Currency]],Sheet1!$N$4:$Q$186,4,FALSE))</f>
        <v>44026.115439202084</v>
      </c>
      <c r="G971" s="4">
        <f>IF(Dashboard!$J$5=VLOOKUP(tblSalaries[[#This Row],[Currency]],Sheet3!$A$2:$B$31,2,FALSE),tblSalaries[[#This Row],[clean Salary (in local currency)]],(tblSalaries[[#This Row],[PPP Adjusted  USD]]/VLOOKUP(Dashboard!$J$5,Sheet3!$B$2:$C$31,2,FALSE)))</f>
        <v>44026.115439202084</v>
      </c>
      <c r="H971" t="s">
        <v>612</v>
      </c>
      <c r="I971" t="s">
        <v>603</v>
      </c>
      <c r="J971" t="s">
        <v>626</v>
      </c>
      <c r="K971" t="s">
        <v>617</v>
      </c>
      <c r="L971">
        <v>3</v>
      </c>
    </row>
    <row r="972" spans="2:12" ht="15" customHeight="1">
      <c r="B972" t="s">
        <v>631</v>
      </c>
      <c r="C972">
        <v>44000</v>
      </c>
      <c r="D972" t="s">
        <v>252</v>
      </c>
      <c r="E972">
        <v>44000</v>
      </c>
      <c r="F972" s="3">
        <f>(tblSalaries[[#This Row],[clean Salary (in local currency)]])*(VLOOKUP(tblSalaries[[#This Row],[Currency]],Sheet3!$A$2:$C$31,3,FALSE))*(VLOOKUP(tblSalaries[[#This Row],[Currency]],Sheet1!$N$4:$Q$186,4,FALSE))</f>
        <v>44000</v>
      </c>
      <c r="G972" s="4">
        <f>IF(Dashboard!$J$5=VLOOKUP(tblSalaries[[#This Row],[Currency]],Sheet3!$A$2:$B$31,2,FALSE),tblSalaries[[#This Row],[clean Salary (in local currency)]],(tblSalaries[[#This Row],[PPP Adjusted  USD]]/VLOOKUP(Dashboard!$J$5,Sheet3!$B$2:$C$31,2,FALSE)))</f>
        <v>44000</v>
      </c>
      <c r="H972" t="s">
        <v>632</v>
      </c>
      <c r="I972" t="s">
        <v>633</v>
      </c>
      <c r="J972" t="s">
        <v>634</v>
      </c>
      <c r="K972" t="s">
        <v>627</v>
      </c>
      <c r="L972" t="s">
        <v>3847</v>
      </c>
    </row>
    <row r="973" spans="2:12" ht="15" customHeight="1">
      <c r="B973" t="s">
        <v>874</v>
      </c>
      <c r="C973">
        <v>44000</v>
      </c>
      <c r="D973" t="s">
        <v>252</v>
      </c>
      <c r="E973">
        <v>44000</v>
      </c>
      <c r="F973" s="3">
        <f>(tblSalaries[[#This Row],[clean Salary (in local currency)]])*(VLOOKUP(tblSalaries[[#This Row],[Currency]],Sheet3!$A$2:$C$31,3,FALSE))*(VLOOKUP(tblSalaries[[#This Row],[Currency]],Sheet1!$N$4:$Q$186,4,FALSE))</f>
        <v>44000</v>
      </c>
      <c r="G973" s="4">
        <f>IF(Dashboard!$J$5=VLOOKUP(tblSalaries[[#This Row],[Currency]],Sheet3!$A$2:$B$31,2,FALSE),tblSalaries[[#This Row],[clean Salary (in local currency)]],(tblSalaries[[#This Row],[PPP Adjusted  USD]]/VLOOKUP(Dashboard!$J$5,Sheet3!$B$2:$C$31,2,FALSE)))</f>
        <v>44000</v>
      </c>
      <c r="H973" t="s">
        <v>875</v>
      </c>
      <c r="I973" t="s">
        <v>625</v>
      </c>
      <c r="J973" t="s">
        <v>613</v>
      </c>
      <c r="K973" t="s">
        <v>627</v>
      </c>
      <c r="L973" t="s">
        <v>3847</v>
      </c>
    </row>
    <row r="974" spans="2:12" ht="15" customHeight="1">
      <c r="B974" t="s">
        <v>1344</v>
      </c>
      <c r="C974">
        <v>44000</v>
      </c>
      <c r="D974" t="s">
        <v>252</v>
      </c>
      <c r="E974">
        <v>44000</v>
      </c>
      <c r="F974" s="3">
        <f>(tblSalaries[[#This Row],[clean Salary (in local currency)]])*(VLOOKUP(tblSalaries[[#This Row],[Currency]],Sheet3!$A$2:$C$31,3,FALSE))*(VLOOKUP(tblSalaries[[#This Row],[Currency]],Sheet1!$N$4:$Q$186,4,FALSE))</f>
        <v>44000</v>
      </c>
      <c r="G974" s="4">
        <f>IF(Dashboard!$J$5=VLOOKUP(tblSalaries[[#This Row],[Currency]],Sheet3!$A$2:$B$31,2,FALSE),tblSalaries[[#This Row],[clean Salary (in local currency)]],(tblSalaries[[#This Row],[PPP Adjusted  USD]]/VLOOKUP(Dashboard!$J$5,Sheet3!$B$2:$C$31,2,FALSE)))</f>
        <v>44000</v>
      </c>
      <c r="H974" t="s">
        <v>1345</v>
      </c>
      <c r="I974" t="s">
        <v>603</v>
      </c>
      <c r="J974" t="s">
        <v>613</v>
      </c>
      <c r="K974" t="s">
        <v>617</v>
      </c>
      <c r="L974" t="s">
        <v>3847</v>
      </c>
    </row>
    <row r="975" spans="2:12" ht="15" customHeight="1">
      <c r="B975" t="s">
        <v>2993</v>
      </c>
      <c r="C975">
        <v>44000</v>
      </c>
      <c r="D975" t="s">
        <v>252</v>
      </c>
      <c r="E975">
        <v>44000</v>
      </c>
      <c r="F975" s="3">
        <f>(tblSalaries[[#This Row],[clean Salary (in local currency)]])*(VLOOKUP(tblSalaries[[#This Row],[Currency]],Sheet3!$A$2:$C$31,3,FALSE))*(VLOOKUP(tblSalaries[[#This Row],[Currency]],Sheet1!$N$4:$Q$186,4,FALSE))</f>
        <v>44000</v>
      </c>
      <c r="G975" s="4">
        <f>IF(Dashboard!$J$5=VLOOKUP(tblSalaries[[#This Row],[Currency]],Sheet3!$A$2:$B$31,2,FALSE),tblSalaries[[#This Row],[clean Salary (in local currency)]],(tblSalaries[[#This Row],[PPP Adjusted  USD]]/VLOOKUP(Dashboard!$J$5,Sheet3!$B$2:$C$31,2,FALSE)))</f>
        <v>44000</v>
      </c>
      <c r="H975" t="s">
        <v>2994</v>
      </c>
      <c r="I975" t="s">
        <v>620</v>
      </c>
      <c r="J975" t="s">
        <v>613</v>
      </c>
      <c r="K975" t="s">
        <v>605</v>
      </c>
      <c r="L975">
        <v>15</v>
      </c>
    </row>
    <row r="976" spans="2:12" ht="15" customHeight="1">
      <c r="B976" t="s">
        <v>3312</v>
      </c>
      <c r="C976">
        <v>44000</v>
      </c>
      <c r="D976" t="s">
        <v>252</v>
      </c>
      <c r="E976">
        <v>44000</v>
      </c>
      <c r="F976" s="3">
        <f>(tblSalaries[[#This Row],[clean Salary (in local currency)]])*(VLOOKUP(tblSalaries[[#This Row],[Currency]],Sheet3!$A$2:$C$31,3,FALSE))*(VLOOKUP(tblSalaries[[#This Row],[Currency]],Sheet1!$N$4:$Q$186,4,FALSE))</f>
        <v>44000</v>
      </c>
      <c r="G976" s="4">
        <f>IF(Dashboard!$J$5=VLOOKUP(tblSalaries[[#This Row],[Currency]],Sheet3!$A$2:$B$31,2,FALSE),tblSalaries[[#This Row],[clean Salary (in local currency)]],(tblSalaries[[#This Row],[PPP Adjusted  USD]]/VLOOKUP(Dashboard!$J$5,Sheet3!$B$2:$C$31,2,FALSE)))</f>
        <v>44000</v>
      </c>
      <c r="H976" t="s">
        <v>3313</v>
      </c>
      <c r="I976" t="s">
        <v>603</v>
      </c>
      <c r="J976" t="s">
        <v>613</v>
      </c>
      <c r="K976" t="s">
        <v>605</v>
      </c>
      <c r="L976">
        <v>3.5</v>
      </c>
    </row>
    <row r="977" spans="2:12" ht="15" customHeight="1">
      <c r="B977" t="s">
        <v>1360</v>
      </c>
      <c r="C977">
        <v>1440000</v>
      </c>
      <c r="D977" t="s">
        <v>232</v>
      </c>
      <c r="E977">
        <v>17598.017290051986</v>
      </c>
      <c r="F977" s="3">
        <f>(tblSalaries[[#This Row],[clean Salary (in local currency)]])*(VLOOKUP(tblSalaries[[#This Row],[Currency]],Sheet3!$A$2:$C$31,3,FALSE))*(VLOOKUP(tblSalaries[[#This Row],[Currency]],Sheet1!$N$4:$Q$186,4,FALSE))</f>
        <v>43940.395832632195</v>
      </c>
      <c r="G977" s="4">
        <f>IF(Dashboard!$J$5=VLOOKUP(tblSalaries[[#This Row],[Currency]],Sheet3!$A$2:$B$31,2,FALSE),tblSalaries[[#This Row],[clean Salary (in local currency)]],(tblSalaries[[#This Row],[PPP Adjusted  USD]]/VLOOKUP(Dashboard!$J$5,Sheet3!$B$2:$C$31,2,FALSE)))</f>
        <v>43940.395832632195</v>
      </c>
      <c r="H977" t="s">
        <v>1361</v>
      </c>
      <c r="I977" t="s">
        <v>603</v>
      </c>
      <c r="J977" t="s">
        <v>1362</v>
      </c>
      <c r="K977" t="s">
        <v>617</v>
      </c>
      <c r="L977" t="s">
        <v>3847</v>
      </c>
    </row>
    <row r="978" spans="2:12" ht="15" customHeight="1">
      <c r="B978" t="s">
        <v>701</v>
      </c>
      <c r="C978">
        <v>70000</v>
      </c>
      <c r="D978" t="s">
        <v>224</v>
      </c>
      <c r="E978">
        <v>71393.675948184507</v>
      </c>
      <c r="F978" s="3">
        <f>(tblSalaries[[#This Row],[clean Salary (in local currency)]])*(VLOOKUP(tblSalaries[[#This Row],[Currency]],Sheet3!$A$2:$C$31,3,FALSE))*(VLOOKUP(tblSalaries[[#This Row],[Currency]],Sheet1!$N$4:$Q$186,4,FALSE))</f>
        <v>43869.984073902771</v>
      </c>
      <c r="G978" s="4">
        <f>IF(Dashboard!$J$5=VLOOKUP(tblSalaries[[#This Row],[Currency]],Sheet3!$A$2:$B$31,2,FALSE),tblSalaries[[#This Row],[clean Salary (in local currency)]],(tblSalaries[[#This Row],[PPP Adjusted  USD]]/VLOOKUP(Dashboard!$J$5,Sheet3!$B$2:$C$31,2,FALSE)))</f>
        <v>43869.984073902771</v>
      </c>
      <c r="H978" t="s">
        <v>702</v>
      </c>
      <c r="I978" t="s">
        <v>692</v>
      </c>
      <c r="J978" t="s">
        <v>703</v>
      </c>
      <c r="K978" t="s">
        <v>617</v>
      </c>
      <c r="L978" t="s">
        <v>3847</v>
      </c>
    </row>
    <row r="979" spans="2:12" ht="15" customHeight="1">
      <c r="B979" t="s">
        <v>2339</v>
      </c>
      <c r="C979">
        <v>70000</v>
      </c>
      <c r="D979" t="s">
        <v>224</v>
      </c>
      <c r="E979">
        <v>71393.675948184507</v>
      </c>
      <c r="F979" s="3">
        <f>(tblSalaries[[#This Row],[clean Salary (in local currency)]])*(VLOOKUP(tblSalaries[[#This Row],[Currency]],Sheet3!$A$2:$C$31,3,FALSE))*(VLOOKUP(tblSalaries[[#This Row],[Currency]],Sheet1!$N$4:$Q$186,4,FALSE))</f>
        <v>43869.984073902771</v>
      </c>
      <c r="G979" s="4">
        <f>IF(Dashboard!$J$5=VLOOKUP(tblSalaries[[#This Row],[Currency]],Sheet3!$A$2:$B$31,2,FALSE),tblSalaries[[#This Row],[clean Salary (in local currency)]],(tblSalaries[[#This Row],[PPP Adjusted  USD]]/VLOOKUP(Dashboard!$J$5,Sheet3!$B$2:$C$31,2,FALSE)))</f>
        <v>43869.984073902771</v>
      </c>
      <c r="H979" t="s">
        <v>654</v>
      </c>
      <c r="I979" t="s">
        <v>625</v>
      </c>
      <c r="J979" t="s">
        <v>703</v>
      </c>
      <c r="K979" t="s">
        <v>605</v>
      </c>
      <c r="L979">
        <v>7</v>
      </c>
    </row>
    <row r="980" spans="2:12" ht="15" customHeight="1">
      <c r="B980" t="s">
        <v>2384</v>
      </c>
      <c r="C980">
        <v>70000</v>
      </c>
      <c r="D980" t="s">
        <v>224</v>
      </c>
      <c r="E980">
        <v>71393.675948184507</v>
      </c>
      <c r="F980" s="3">
        <f>(tblSalaries[[#This Row],[clean Salary (in local currency)]])*(VLOOKUP(tblSalaries[[#This Row],[Currency]],Sheet3!$A$2:$C$31,3,FALSE))*(VLOOKUP(tblSalaries[[#This Row],[Currency]],Sheet1!$N$4:$Q$186,4,FALSE))</f>
        <v>43869.984073902771</v>
      </c>
      <c r="G980" s="4">
        <f>IF(Dashboard!$J$5=VLOOKUP(tblSalaries[[#This Row],[Currency]],Sheet3!$A$2:$B$31,2,FALSE),tblSalaries[[#This Row],[clean Salary (in local currency)]],(tblSalaries[[#This Row],[PPP Adjusted  USD]]/VLOOKUP(Dashboard!$J$5,Sheet3!$B$2:$C$31,2,FALSE)))</f>
        <v>43869.984073902771</v>
      </c>
      <c r="H980" t="s">
        <v>789</v>
      </c>
      <c r="I980" t="s">
        <v>633</v>
      </c>
      <c r="J980" t="s">
        <v>703</v>
      </c>
      <c r="K980" t="s">
        <v>610</v>
      </c>
      <c r="L980">
        <v>2</v>
      </c>
    </row>
    <row r="981" spans="2:12" ht="15" customHeight="1">
      <c r="B981" t="s">
        <v>3079</v>
      </c>
      <c r="C981">
        <v>70000</v>
      </c>
      <c r="D981" t="s">
        <v>224</v>
      </c>
      <c r="E981">
        <v>71393.675948184507</v>
      </c>
      <c r="F981" s="3">
        <f>(tblSalaries[[#This Row],[clean Salary (in local currency)]])*(VLOOKUP(tblSalaries[[#This Row],[Currency]],Sheet3!$A$2:$C$31,3,FALSE))*(VLOOKUP(tblSalaries[[#This Row],[Currency]],Sheet1!$N$4:$Q$186,4,FALSE))</f>
        <v>43869.984073902771</v>
      </c>
      <c r="G981" s="4">
        <f>IF(Dashboard!$J$5=VLOOKUP(tblSalaries[[#This Row],[Currency]],Sheet3!$A$2:$B$31,2,FALSE),tblSalaries[[#This Row],[clean Salary (in local currency)]],(tblSalaries[[#This Row],[PPP Adjusted  USD]]/VLOOKUP(Dashboard!$J$5,Sheet3!$B$2:$C$31,2,FALSE)))</f>
        <v>43869.984073902771</v>
      </c>
      <c r="H981" t="s">
        <v>2604</v>
      </c>
      <c r="I981" t="s">
        <v>637</v>
      </c>
      <c r="J981" t="s">
        <v>703</v>
      </c>
      <c r="K981" t="s">
        <v>617</v>
      </c>
      <c r="L981">
        <v>5</v>
      </c>
    </row>
    <row r="982" spans="2:12" ht="15" customHeight="1">
      <c r="B982" t="s">
        <v>3104</v>
      </c>
      <c r="C982">
        <v>264000</v>
      </c>
      <c r="D982" t="s">
        <v>400</v>
      </c>
      <c r="E982">
        <v>32187.34988380854</v>
      </c>
      <c r="F982" s="3">
        <f>(tblSalaries[[#This Row],[clean Salary (in local currency)]])*(VLOOKUP(tblSalaries[[#This Row],[Currency]],Sheet3!$A$2:$C$31,3,FALSE))*(VLOOKUP(tblSalaries[[#This Row],[Currency]],Sheet1!$N$4:$Q$186,4,FALSE))</f>
        <v>43786.892304822584</v>
      </c>
      <c r="G982" s="4">
        <f>IF(Dashboard!$J$5=VLOOKUP(tblSalaries[[#This Row],[Currency]],Sheet3!$A$2:$B$31,2,FALSE),tblSalaries[[#This Row],[clean Salary (in local currency)]],(tblSalaries[[#This Row],[PPP Adjusted  USD]]/VLOOKUP(Dashboard!$J$5,Sheet3!$B$2:$C$31,2,FALSE)))</f>
        <v>43786.892304822584</v>
      </c>
      <c r="H982" t="s">
        <v>603</v>
      </c>
      <c r="I982" t="s">
        <v>603</v>
      </c>
      <c r="J982" t="s">
        <v>659</v>
      </c>
      <c r="K982" t="s">
        <v>610</v>
      </c>
      <c r="L982">
        <v>2</v>
      </c>
    </row>
    <row r="983" spans="2:12" ht="15" customHeight="1">
      <c r="B983" t="s">
        <v>2139</v>
      </c>
      <c r="C983">
        <v>43600</v>
      </c>
      <c r="D983" t="s">
        <v>252</v>
      </c>
      <c r="E983">
        <v>43600</v>
      </c>
      <c r="F983" s="3">
        <f>(tblSalaries[[#This Row],[clean Salary (in local currency)]])*(VLOOKUP(tblSalaries[[#This Row],[Currency]],Sheet3!$A$2:$C$31,3,FALSE))*(VLOOKUP(tblSalaries[[#This Row],[Currency]],Sheet1!$N$4:$Q$186,4,FALSE))</f>
        <v>43600</v>
      </c>
      <c r="G983" s="4">
        <f>IF(Dashboard!$J$5=VLOOKUP(tblSalaries[[#This Row],[Currency]],Sheet3!$A$2:$B$31,2,FALSE),tblSalaries[[#This Row],[clean Salary (in local currency)]],(tblSalaries[[#This Row],[PPP Adjusted  USD]]/VLOOKUP(Dashboard!$J$5,Sheet3!$B$2:$C$31,2,FALSE)))</f>
        <v>43600</v>
      </c>
      <c r="H983" t="s">
        <v>811</v>
      </c>
      <c r="I983" t="s">
        <v>603</v>
      </c>
      <c r="J983" t="s">
        <v>613</v>
      </c>
      <c r="K983" t="s">
        <v>605</v>
      </c>
      <c r="L983">
        <v>5</v>
      </c>
    </row>
    <row r="984" spans="2:12" ht="15" customHeight="1">
      <c r="B984" t="s">
        <v>3446</v>
      </c>
      <c r="C984">
        <v>39600</v>
      </c>
      <c r="D984" t="s">
        <v>200</v>
      </c>
      <c r="E984">
        <v>50307.817784067665</v>
      </c>
      <c r="F984" s="3">
        <f>(tblSalaries[[#This Row],[clean Salary (in local currency)]])*(VLOOKUP(tblSalaries[[#This Row],[Currency]],Sheet3!$A$2:$C$31,3,FALSE))*(VLOOKUP(tblSalaries[[#This Row],[Currency]],Sheet1!$N$4:$Q$186,4,FALSE))</f>
        <v>43585.854284810062</v>
      </c>
      <c r="G984" s="4">
        <f>IF(Dashboard!$J$5=VLOOKUP(tblSalaries[[#This Row],[Currency]],Sheet3!$A$2:$B$31,2,FALSE),tblSalaries[[#This Row],[clean Salary (in local currency)]],(tblSalaries[[#This Row],[PPP Adjusted  USD]]/VLOOKUP(Dashboard!$J$5,Sheet3!$B$2:$C$31,2,FALSE)))</f>
        <v>43585.854284810062</v>
      </c>
      <c r="H984" t="s">
        <v>3447</v>
      </c>
      <c r="I984" t="s">
        <v>625</v>
      </c>
      <c r="J984" t="s">
        <v>2999</v>
      </c>
      <c r="K984" t="s">
        <v>627</v>
      </c>
      <c r="L984">
        <v>5</v>
      </c>
    </row>
    <row r="985" spans="2:12" ht="15" customHeight="1">
      <c r="B985" t="s">
        <v>1781</v>
      </c>
      <c r="C985">
        <v>55000</v>
      </c>
      <c r="D985" t="s">
        <v>276</v>
      </c>
      <c r="E985">
        <v>54084.883766667976</v>
      </c>
      <c r="F985" s="3">
        <f>(tblSalaries[[#This Row],[clean Salary (in local currency)]])*(VLOOKUP(tblSalaries[[#This Row],[Currency]],Sheet3!$A$2:$C$31,3,FALSE))*(VLOOKUP(tblSalaries[[#This Row],[Currency]],Sheet1!$N$4:$Q$186,4,FALSE))</f>
        <v>43474.541176128958</v>
      </c>
      <c r="G985" s="4">
        <f>IF(Dashboard!$J$5=VLOOKUP(tblSalaries[[#This Row],[Currency]],Sheet3!$A$2:$B$31,2,FALSE),tblSalaries[[#This Row],[clean Salary (in local currency)]],(tblSalaries[[#This Row],[PPP Adjusted  USD]]/VLOOKUP(Dashboard!$J$5,Sheet3!$B$2:$C$31,2,FALSE)))</f>
        <v>43474.541176128958</v>
      </c>
      <c r="H985" t="s">
        <v>1752</v>
      </c>
      <c r="I985" t="s">
        <v>625</v>
      </c>
      <c r="J985" t="s">
        <v>708</v>
      </c>
      <c r="K985" t="s">
        <v>605</v>
      </c>
      <c r="L985">
        <v>5</v>
      </c>
    </row>
    <row r="986" spans="2:12" ht="15" customHeight="1">
      <c r="B986" t="s">
        <v>1174</v>
      </c>
      <c r="C986">
        <v>43200</v>
      </c>
      <c r="D986" t="s">
        <v>252</v>
      </c>
      <c r="E986">
        <v>43200</v>
      </c>
      <c r="F986" s="3">
        <f>(tblSalaries[[#This Row],[clean Salary (in local currency)]])*(VLOOKUP(tblSalaries[[#This Row],[Currency]],Sheet3!$A$2:$C$31,3,FALSE))*(VLOOKUP(tblSalaries[[#This Row],[Currency]],Sheet1!$N$4:$Q$186,4,FALSE))</f>
        <v>43200</v>
      </c>
      <c r="G986" s="4">
        <f>IF(Dashboard!$J$5=VLOOKUP(tblSalaries[[#This Row],[Currency]],Sheet3!$A$2:$B$31,2,FALSE),tblSalaries[[#This Row],[clean Salary (in local currency)]],(tblSalaries[[#This Row],[PPP Adjusted  USD]]/VLOOKUP(Dashboard!$J$5,Sheet3!$B$2:$C$31,2,FALSE)))</f>
        <v>43200</v>
      </c>
      <c r="H986" t="s">
        <v>1175</v>
      </c>
      <c r="I986" t="s">
        <v>625</v>
      </c>
      <c r="J986" t="s">
        <v>780</v>
      </c>
      <c r="K986" t="s">
        <v>605</v>
      </c>
      <c r="L986" t="s">
        <v>3847</v>
      </c>
    </row>
    <row r="987" spans="2:12" ht="15" customHeight="1">
      <c r="B987" t="s">
        <v>1031</v>
      </c>
      <c r="C987">
        <v>43000</v>
      </c>
      <c r="D987" t="s">
        <v>252</v>
      </c>
      <c r="E987">
        <v>43000</v>
      </c>
      <c r="F987" s="3">
        <f>(tblSalaries[[#This Row],[clean Salary (in local currency)]])*(VLOOKUP(tblSalaries[[#This Row],[Currency]],Sheet3!$A$2:$C$31,3,FALSE))*(VLOOKUP(tblSalaries[[#This Row],[Currency]],Sheet1!$N$4:$Q$186,4,FALSE))</f>
        <v>43000</v>
      </c>
      <c r="G987" s="4">
        <f>IF(Dashboard!$J$5=VLOOKUP(tblSalaries[[#This Row],[Currency]],Sheet3!$A$2:$B$31,2,FALSE),tblSalaries[[#This Row],[clean Salary (in local currency)]],(tblSalaries[[#This Row],[PPP Adjusted  USD]]/VLOOKUP(Dashboard!$J$5,Sheet3!$B$2:$C$31,2,FALSE)))</f>
        <v>43000</v>
      </c>
      <c r="H987" t="s">
        <v>1032</v>
      </c>
      <c r="I987" t="s">
        <v>603</v>
      </c>
      <c r="J987" t="s">
        <v>613</v>
      </c>
      <c r="K987" t="s">
        <v>610</v>
      </c>
      <c r="L987" t="s">
        <v>3847</v>
      </c>
    </row>
    <row r="988" spans="2:12" ht="15" customHeight="1">
      <c r="B988" t="s">
        <v>1622</v>
      </c>
      <c r="C988">
        <v>43000</v>
      </c>
      <c r="D988" t="s">
        <v>252</v>
      </c>
      <c r="E988">
        <v>43000</v>
      </c>
      <c r="F988" s="3">
        <f>(tblSalaries[[#This Row],[clean Salary (in local currency)]])*(VLOOKUP(tblSalaries[[#This Row],[Currency]],Sheet3!$A$2:$C$31,3,FALSE))*(VLOOKUP(tblSalaries[[#This Row],[Currency]],Sheet1!$N$4:$Q$186,4,FALSE))</f>
        <v>43000</v>
      </c>
      <c r="G988" s="4">
        <f>IF(Dashboard!$J$5=VLOOKUP(tblSalaries[[#This Row],[Currency]],Sheet3!$A$2:$B$31,2,FALSE),tblSalaries[[#This Row],[clean Salary (in local currency)]],(tblSalaries[[#This Row],[PPP Adjusted  USD]]/VLOOKUP(Dashboard!$J$5,Sheet3!$B$2:$C$31,2,FALSE)))</f>
        <v>43000</v>
      </c>
      <c r="H988" t="s">
        <v>637</v>
      </c>
      <c r="I988" t="s">
        <v>637</v>
      </c>
      <c r="J988" t="s">
        <v>613</v>
      </c>
      <c r="K988" t="s">
        <v>610</v>
      </c>
      <c r="L988" t="s">
        <v>3847</v>
      </c>
    </row>
    <row r="989" spans="2:12" ht="15" customHeight="1">
      <c r="B989" t="s">
        <v>2193</v>
      </c>
      <c r="C989">
        <v>43000</v>
      </c>
      <c r="D989" t="s">
        <v>252</v>
      </c>
      <c r="E989">
        <v>43000</v>
      </c>
      <c r="F989" s="3">
        <f>(tblSalaries[[#This Row],[clean Salary (in local currency)]])*(VLOOKUP(tblSalaries[[#This Row],[Currency]],Sheet3!$A$2:$C$31,3,FALSE))*(VLOOKUP(tblSalaries[[#This Row],[Currency]],Sheet1!$N$4:$Q$186,4,FALSE))</f>
        <v>43000</v>
      </c>
      <c r="G989" s="4">
        <f>IF(Dashboard!$J$5=VLOOKUP(tblSalaries[[#This Row],[Currency]],Sheet3!$A$2:$B$31,2,FALSE),tblSalaries[[#This Row],[clean Salary (in local currency)]],(tblSalaries[[#This Row],[PPP Adjusted  USD]]/VLOOKUP(Dashboard!$J$5,Sheet3!$B$2:$C$31,2,FALSE)))</f>
        <v>43000</v>
      </c>
      <c r="H989" t="s">
        <v>612</v>
      </c>
      <c r="I989" t="s">
        <v>603</v>
      </c>
      <c r="J989" t="s">
        <v>613</v>
      </c>
      <c r="K989" t="s">
        <v>605</v>
      </c>
      <c r="L989">
        <v>1</v>
      </c>
    </row>
    <row r="990" spans="2:12" ht="15" customHeight="1">
      <c r="B990" t="s">
        <v>2801</v>
      </c>
      <c r="C990">
        <v>43000</v>
      </c>
      <c r="D990" t="s">
        <v>252</v>
      </c>
      <c r="E990">
        <v>43000</v>
      </c>
      <c r="F990" s="3">
        <f>(tblSalaries[[#This Row],[clean Salary (in local currency)]])*(VLOOKUP(tblSalaries[[#This Row],[Currency]],Sheet3!$A$2:$C$31,3,FALSE))*(VLOOKUP(tblSalaries[[#This Row],[Currency]],Sheet1!$N$4:$Q$186,4,FALSE))</f>
        <v>43000</v>
      </c>
      <c r="G990" s="4">
        <f>IF(Dashboard!$J$5=VLOOKUP(tblSalaries[[#This Row],[Currency]],Sheet3!$A$2:$B$31,2,FALSE),tblSalaries[[#This Row],[clean Salary (in local currency)]],(tblSalaries[[#This Row],[PPP Adjusted  USD]]/VLOOKUP(Dashboard!$J$5,Sheet3!$B$2:$C$31,2,FALSE)))</f>
        <v>43000</v>
      </c>
      <c r="H990" t="s">
        <v>2802</v>
      </c>
      <c r="I990" t="s">
        <v>625</v>
      </c>
      <c r="J990" t="s">
        <v>703</v>
      </c>
      <c r="K990" t="s">
        <v>617</v>
      </c>
      <c r="L990">
        <v>4</v>
      </c>
    </row>
    <row r="991" spans="2:12" ht="15" customHeight="1">
      <c r="B991" t="s">
        <v>3784</v>
      </c>
      <c r="C991">
        <v>43000</v>
      </c>
      <c r="D991" t="s">
        <v>252</v>
      </c>
      <c r="E991">
        <v>43000</v>
      </c>
      <c r="F991" s="3">
        <f>(tblSalaries[[#This Row],[clean Salary (in local currency)]])*(VLOOKUP(tblSalaries[[#This Row],[Currency]],Sheet3!$A$2:$C$31,3,FALSE))*(VLOOKUP(tblSalaries[[#This Row],[Currency]],Sheet1!$N$4:$Q$186,4,FALSE))</f>
        <v>43000</v>
      </c>
      <c r="G991" s="4">
        <f>IF(Dashboard!$J$5=VLOOKUP(tblSalaries[[#This Row],[Currency]],Sheet3!$A$2:$B$31,2,FALSE),tblSalaries[[#This Row],[clean Salary (in local currency)]],(tblSalaries[[#This Row],[PPP Adjusted  USD]]/VLOOKUP(Dashboard!$J$5,Sheet3!$B$2:$C$31,2,FALSE)))</f>
        <v>43000</v>
      </c>
      <c r="H991" t="s">
        <v>1693</v>
      </c>
      <c r="I991" t="s">
        <v>603</v>
      </c>
      <c r="J991" t="s">
        <v>613</v>
      </c>
      <c r="K991" t="s">
        <v>605</v>
      </c>
      <c r="L991">
        <v>5</v>
      </c>
    </row>
    <row r="992" spans="2:12" ht="15" customHeight="1">
      <c r="B992" t="s">
        <v>3484</v>
      </c>
      <c r="C992">
        <v>38920</v>
      </c>
      <c r="D992" t="s">
        <v>200</v>
      </c>
      <c r="E992">
        <v>49443.946165553374</v>
      </c>
      <c r="F992" s="3">
        <f>(tblSalaries[[#This Row],[clean Salary (in local currency)]])*(VLOOKUP(tblSalaries[[#This Row],[Currency]],Sheet3!$A$2:$C$31,3,FALSE))*(VLOOKUP(tblSalaries[[#This Row],[Currency]],Sheet1!$N$4:$Q$186,4,FALSE))</f>
        <v>42837.410322343632</v>
      </c>
      <c r="G992" s="4">
        <f>IF(Dashboard!$J$5=VLOOKUP(tblSalaries[[#This Row],[Currency]],Sheet3!$A$2:$B$31,2,FALSE),tblSalaries[[#This Row],[clean Salary (in local currency)]],(tblSalaries[[#This Row],[PPP Adjusted  USD]]/VLOOKUP(Dashboard!$J$5,Sheet3!$B$2:$C$31,2,FALSE)))</f>
        <v>42837.410322343632</v>
      </c>
      <c r="H992" t="s">
        <v>3485</v>
      </c>
      <c r="I992" t="s">
        <v>603</v>
      </c>
      <c r="J992" t="s">
        <v>676</v>
      </c>
      <c r="K992" t="s">
        <v>605</v>
      </c>
      <c r="L992">
        <v>1.5</v>
      </c>
    </row>
    <row r="993" spans="2:12" ht="15" customHeight="1">
      <c r="B993" t="s">
        <v>3460</v>
      </c>
      <c r="C993">
        <v>71000</v>
      </c>
      <c r="D993" t="s">
        <v>295</v>
      </c>
      <c r="E993">
        <v>56628.754645950656</v>
      </c>
      <c r="F993" s="3">
        <f>(tblSalaries[[#This Row],[clean Salary (in local currency)]])*(VLOOKUP(tblSalaries[[#This Row],[Currency]],Sheet3!$A$2:$C$31,3,FALSE))*(VLOOKUP(tblSalaries[[#This Row],[Currency]],Sheet1!$N$4:$Q$186,4,FALSE))</f>
        <v>42753.133539197464</v>
      </c>
      <c r="G993" s="4">
        <f>IF(Dashboard!$J$5=VLOOKUP(tblSalaries[[#This Row],[Currency]],Sheet3!$A$2:$B$31,2,FALSE),tblSalaries[[#This Row],[clean Salary (in local currency)]],(tblSalaries[[#This Row],[PPP Adjusted  USD]]/VLOOKUP(Dashboard!$J$5,Sheet3!$B$2:$C$31,2,FALSE)))</f>
        <v>42753.133539197464</v>
      </c>
      <c r="H993" t="s">
        <v>899</v>
      </c>
      <c r="I993" t="s">
        <v>603</v>
      </c>
      <c r="J993" t="s">
        <v>1604</v>
      </c>
      <c r="K993" t="s">
        <v>610</v>
      </c>
      <c r="L993">
        <v>6</v>
      </c>
    </row>
    <row r="994" spans="2:12" ht="15" customHeight="1">
      <c r="B994" t="s">
        <v>1231</v>
      </c>
      <c r="C994">
        <v>29000</v>
      </c>
      <c r="D994" t="s">
        <v>204</v>
      </c>
      <c r="E994">
        <v>45709.169889951241</v>
      </c>
      <c r="F994" s="3">
        <f>(tblSalaries[[#This Row],[clean Salary (in local currency)]])*(VLOOKUP(tblSalaries[[#This Row],[Currency]],Sheet3!$A$2:$C$31,3,FALSE))*(VLOOKUP(tblSalaries[[#This Row],[Currency]],Sheet1!$N$4:$Q$186,4,FALSE))</f>
        <v>42745.164944432399</v>
      </c>
      <c r="G994" s="4">
        <f>IF(Dashboard!$J$5=VLOOKUP(tblSalaries[[#This Row],[Currency]],Sheet3!$A$2:$B$31,2,FALSE),tblSalaries[[#This Row],[clean Salary (in local currency)]],(tblSalaries[[#This Row],[PPP Adjusted  USD]]/VLOOKUP(Dashboard!$J$5,Sheet3!$B$2:$C$31,2,FALSE)))</f>
        <v>42745.164944432399</v>
      </c>
      <c r="H994" t="s">
        <v>1232</v>
      </c>
      <c r="I994" t="s">
        <v>603</v>
      </c>
      <c r="J994" t="s">
        <v>687</v>
      </c>
      <c r="K994" t="s">
        <v>605</v>
      </c>
      <c r="L994" t="s">
        <v>3847</v>
      </c>
    </row>
    <row r="995" spans="2:12" ht="15" customHeight="1">
      <c r="B995" t="s">
        <v>2047</v>
      </c>
      <c r="C995">
        <v>29000</v>
      </c>
      <c r="D995" t="s">
        <v>204</v>
      </c>
      <c r="E995">
        <v>45709.169889951241</v>
      </c>
      <c r="F995" s="3">
        <f>(tblSalaries[[#This Row],[clean Salary (in local currency)]])*(VLOOKUP(tblSalaries[[#This Row],[Currency]],Sheet3!$A$2:$C$31,3,FALSE))*(VLOOKUP(tblSalaries[[#This Row],[Currency]],Sheet1!$N$4:$Q$186,4,FALSE))</f>
        <v>42745.164944432399</v>
      </c>
      <c r="G995" s="4">
        <f>IF(Dashboard!$J$5=VLOOKUP(tblSalaries[[#This Row],[Currency]],Sheet3!$A$2:$B$31,2,FALSE),tblSalaries[[#This Row],[clean Salary (in local currency)]],(tblSalaries[[#This Row],[PPP Adjusted  USD]]/VLOOKUP(Dashboard!$J$5,Sheet3!$B$2:$C$31,2,FALSE)))</f>
        <v>42745.164944432399</v>
      </c>
      <c r="H995" t="s">
        <v>2048</v>
      </c>
      <c r="I995" t="s">
        <v>658</v>
      </c>
      <c r="J995" t="s">
        <v>687</v>
      </c>
      <c r="K995" t="s">
        <v>617</v>
      </c>
      <c r="L995">
        <v>15</v>
      </c>
    </row>
    <row r="996" spans="2:12" ht="15" customHeight="1">
      <c r="B996" t="s">
        <v>2584</v>
      </c>
      <c r="C996">
        <v>29000</v>
      </c>
      <c r="D996" t="s">
        <v>204</v>
      </c>
      <c r="E996">
        <v>45709.169889951241</v>
      </c>
      <c r="F996" s="3">
        <f>(tblSalaries[[#This Row],[clean Salary (in local currency)]])*(VLOOKUP(tblSalaries[[#This Row],[Currency]],Sheet3!$A$2:$C$31,3,FALSE))*(VLOOKUP(tblSalaries[[#This Row],[Currency]],Sheet1!$N$4:$Q$186,4,FALSE))</f>
        <v>42745.164944432399</v>
      </c>
      <c r="G996" s="4">
        <f>IF(Dashboard!$J$5=VLOOKUP(tblSalaries[[#This Row],[Currency]],Sheet3!$A$2:$B$31,2,FALSE),tblSalaries[[#This Row],[clean Salary (in local currency)]],(tblSalaries[[#This Row],[PPP Adjusted  USD]]/VLOOKUP(Dashboard!$J$5,Sheet3!$B$2:$C$31,2,FALSE)))</f>
        <v>42745.164944432399</v>
      </c>
      <c r="H996" t="s">
        <v>612</v>
      </c>
      <c r="I996" t="s">
        <v>603</v>
      </c>
      <c r="J996" t="s">
        <v>687</v>
      </c>
      <c r="K996" t="s">
        <v>605</v>
      </c>
      <c r="L996">
        <v>14</v>
      </c>
    </row>
    <row r="997" spans="2:12" ht="15" customHeight="1">
      <c r="B997" t="s">
        <v>2740</v>
      </c>
      <c r="C997">
        <v>29000</v>
      </c>
      <c r="D997" t="s">
        <v>204</v>
      </c>
      <c r="E997">
        <v>45709.169889951241</v>
      </c>
      <c r="F997" s="3">
        <f>(tblSalaries[[#This Row],[clean Salary (in local currency)]])*(VLOOKUP(tblSalaries[[#This Row],[Currency]],Sheet3!$A$2:$C$31,3,FALSE))*(VLOOKUP(tblSalaries[[#This Row],[Currency]],Sheet1!$N$4:$Q$186,4,FALSE))</f>
        <v>42745.164944432399</v>
      </c>
      <c r="G997" s="4">
        <f>IF(Dashboard!$J$5=VLOOKUP(tblSalaries[[#This Row],[Currency]],Sheet3!$A$2:$B$31,2,FALSE),tblSalaries[[#This Row],[clean Salary (in local currency)]],(tblSalaries[[#This Row],[PPP Adjusted  USD]]/VLOOKUP(Dashboard!$J$5,Sheet3!$B$2:$C$31,2,FALSE)))</f>
        <v>42745.164944432399</v>
      </c>
      <c r="H997" t="s">
        <v>2741</v>
      </c>
      <c r="I997" t="s">
        <v>637</v>
      </c>
      <c r="J997" t="s">
        <v>687</v>
      </c>
      <c r="K997" t="s">
        <v>617</v>
      </c>
      <c r="L997">
        <v>8</v>
      </c>
    </row>
    <row r="998" spans="2:12" ht="15" customHeight="1">
      <c r="B998" t="s">
        <v>677</v>
      </c>
      <c r="C998">
        <v>900000</v>
      </c>
      <c r="D998" t="s">
        <v>247</v>
      </c>
      <c r="E998">
        <v>16027.125018698311</v>
      </c>
      <c r="F998" s="3">
        <f>(tblSalaries[[#This Row],[clean Salary (in local currency)]])*(VLOOKUP(tblSalaries[[#This Row],[Currency]],Sheet3!$A$2:$C$31,3,FALSE))*(VLOOKUP(tblSalaries[[#This Row],[Currency]],Sheet1!$N$4:$Q$186,4,FALSE))</f>
        <v>42624.920113828608</v>
      </c>
      <c r="G998" s="4">
        <f>IF(Dashboard!$J$5=VLOOKUP(tblSalaries[[#This Row],[Currency]],Sheet3!$A$2:$B$31,2,FALSE),tblSalaries[[#This Row],[clean Salary (in local currency)]],(tblSalaries[[#This Row],[PPP Adjusted  USD]]/VLOOKUP(Dashboard!$J$5,Sheet3!$B$2:$C$31,2,FALSE)))</f>
        <v>42624.920113828608</v>
      </c>
      <c r="H998" t="s">
        <v>678</v>
      </c>
      <c r="I998" t="s">
        <v>620</v>
      </c>
      <c r="J998" t="s">
        <v>604</v>
      </c>
      <c r="K998" t="s">
        <v>627</v>
      </c>
      <c r="L998" t="s">
        <v>3847</v>
      </c>
    </row>
    <row r="999" spans="2:12" ht="15" customHeight="1">
      <c r="B999" t="s">
        <v>1464</v>
      </c>
      <c r="C999">
        <v>900000</v>
      </c>
      <c r="D999" t="s">
        <v>247</v>
      </c>
      <c r="E999">
        <v>16027.125018698311</v>
      </c>
      <c r="F999" s="3">
        <f>(tblSalaries[[#This Row],[clean Salary (in local currency)]])*(VLOOKUP(tblSalaries[[#This Row],[Currency]],Sheet3!$A$2:$C$31,3,FALSE))*(VLOOKUP(tblSalaries[[#This Row],[Currency]],Sheet1!$N$4:$Q$186,4,FALSE))</f>
        <v>42624.920113828608</v>
      </c>
      <c r="G999" s="4">
        <f>IF(Dashboard!$J$5=VLOOKUP(tblSalaries[[#This Row],[Currency]],Sheet3!$A$2:$B$31,2,FALSE),tblSalaries[[#This Row],[clean Salary (in local currency)]],(tblSalaries[[#This Row],[PPP Adjusted  USD]]/VLOOKUP(Dashboard!$J$5,Sheet3!$B$2:$C$31,2,FALSE)))</f>
        <v>42624.920113828608</v>
      </c>
      <c r="H999" t="s">
        <v>1465</v>
      </c>
      <c r="I999" t="s">
        <v>625</v>
      </c>
      <c r="J999" t="s">
        <v>604</v>
      </c>
      <c r="K999" t="s">
        <v>627</v>
      </c>
      <c r="L999" t="s">
        <v>3847</v>
      </c>
    </row>
    <row r="1000" spans="2:12" ht="15" customHeight="1">
      <c r="B1000" t="s">
        <v>2110</v>
      </c>
      <c r="C1000">
        <v>900000</v>
      </c>
      <c r="D1000" t="s">
        <v>247</v>
      </c>
      <c r="E1000">
        <v>16027.125018698311</v>
      </c>
      <c r="F1000" s="3">
        <f>(tblSalaries[[#This Row],[clean Salary (in local currency)]])*(VLOOKUP(tblSalaries[[#This Row],[Currency]],Sheet3!$A$2:$C$31,3,FALSE))*(VLOOKUP(tblSalaries[[#This Row],[Currency]],Sheet1!$N$4:$Q$186,4,FALSE))</f>
        <v>42624.920113828608</v>
      </c>
      <c r="G1000" s="4">
        <f>IF(Dashboard!$J$5=VLOOKUP(tblSalaries[[#This Row],[Currency]],Sheet3!$A$2:$B$31,2,FALSE),tblSalaries[[#This Row],[clean Salary (in local currency)]],(tblSalaries[[#This Row],[PPP Adjusted  USD]]/VLOOKUP(Dashboard!$J$5,Sheet3!$B$2:$C$31,2,FALSE)))</f>
        <v>42624.920113828608</v>
      </c>
      <c r="H1000" t="s">
        <v>2071</v>
      </c>
      <c r="I1000" t="s">
        <v>625</v>
      </c>
      <c r="J1000" t="s">
        <v>604</v>
      </c>
      <c r="K1000" t="s">
        <v>627</v>
      </c>
      <c r="L1000">
        <v>9</v>
      </c>
    </row>
    <row r="1001" spans="2:12" ht="15" customHeight="1">
      <c r="B1001" t="s">
        <v>2566</v>
      </c>
      <c r="C1001">
        <v>900000</v>
      </c>
      <c r="D1001" t="s">
        <v>247</v>
      </c>
      <c r="E1001">
        <v>16027.125018698311</v>
      </c>
      <c r="F1001" s="3">
        <f>(tblSalaries[[#This Row],[clean Salary (in local currency)]])*(VLOOKUP(tblSalaries[[#This Row],[Currency]],Sheet3!$A$2:$C$31,3,FALSE))*(VLOOKUP(tblSalaries[[#This Row],[Currency]],Sheet1!$N$4:$Q$186,4,FALSE))</f>
        <v>42624.920113828608</v>
      </c>
      <c r="G1001" s="4">
        <f>IF(Dashboard!$J$5=VLOOKUP(tblSalaries[[#This Row],[Currency]],Sheet3!$A$2:$B$31,2,FALSE),tblSalaries[[#This Row],[clean Salary (in local currency)]],(tblSalaries[[#This Row],[PPP Adjusted  USD]]/VLOOKUP(Dashboard!$J$5,Sheet3!$B$2:$C$31,2,FALSE)))</f>
        <v>42624.920113828608</v>
      </c>
      <c r="H1001" t="s">
        <v>2567</v>
      </c>
      <c r="I1001" t="s">
        <v>625</v>
      </c>
      <c r="J1001" t="s">
        <v>604</v>
      </c>
      <c r="K1001" t="s">
        <v>605</v>
      </c>
      <c r="L1001">
        <v>22</v>
      </c>
    </row>
    <row r="1002" spans="2:12" ht="15" customHeight="1">
      <c r="B1002" t="s">
        <v>2703</v>
      </c>
      <c r="C1002">
        <v>900000</v>
      </c>
      <c r="D1002" t="s">
        <v>247</v>
      </c>
      <c r="E1002">
        <v>16027.125018698311</v>
      </c>
      <c r="F1002" s="3">
        <f>(tblSalaries[[#This Row],[clean Salary (in local currency)]])*(VLOOKUP(tblSalaries[[#This Row],[Currency]],Sheet3!$A$2:$C$31,3,FALSE))*(VLOOKUP(tblSalaries[[#This Row],[Currency]],Sheet1!$N$4:$Q$186,4,FALSE))</f>
        <v>42624.920113828608</v>
      </c>
      <c r="G1002" s="4">
        <f>IF(Dashboard!$J$5=VLOOKUP(tblSalaries[[#This Row],[Currency]],Sheet3!$A$2:$B$31,2,FALSE),tblSalaries[[#This Row],[clean Salary (in local currency)]],(tblSalaries[[#This Row],[PPP Adjusted  USD]]/VLOOKUP(Dashboard!$J$5,Sheet3!$B$2:$C$31,2,FALSE)))</f>
        <v>42624.920113828608</v>
      </c>
      <c r="H1002" t="s">
        <v>2704</v>
      </c>
      <c r="I1002" t="s">
        <v>625</v>
      </c>
      <c r="J1002" t="s">
        <v>604</v>
      </c>
      <c r="K1002" t="s">
        <v>627</v>
      </c>
      <c r="L1002">
        <v>13</v>
      </c>
    </row>
    <row r="1003" spans="2:12" ht="15" customHeight="1">
      <c r="B1003" t="s">
        <v>2824</v>
      </c>
      <c r="C1003">
        <v>900000</v>
      </c>
      <c r="D1003" t="s">
        <v>247</v>
      </c>
      <c r="E1003">
        <v>16027.125018698311</v>
      </c>
      <c r="F1003" s="3">
        <f>(tblSalaries[[#This Row],[clean Salary (in local currency)]])*(VLOOKUP(tblSalaries[[#This Row],[Currency]],Sheet3!$A$2:$C$31,3,FALSE))*(VLOOKUP(tblSalaries[[#This Row],[Currency]],Sheet1!$N$4:$Q$186,4,FALSE))</f>
        <v>42624.920113828608</v>
      </c>
      <c r="G1003" s="4">
        <f>IF(Dashboard!$J$5=VLOOKUP(tblSalaries[[#This Row],[Currency]],Sheet3!$A$2:$B$31,2,FALSE),tblSalaries[[#This Row],[clean Salary (in local currency)]],(tblSalaries[[#This Row],[PPP Adjusted  USD]]/VLOOKUP(Dashboard!$J$5,Sheet3!$B$2:$C$31,2,FALSE)))</f>
        <v>42624.920113828608</v>
      </c>
      <c r="H1003" t="s">
        <v>2825</v>
      </c>
      <c r="I1003" t="s">
        <v>608</v>
      </c>
      <c r="J1003" t="s">
        <v>604</v>
      </c>
      <c r="K1003" t="s">
        <v>610</v>
      </c>
      <c r="L1003">
        <v>8</v>
      </c>
    </row>
    <row r="1004" spans="2:12" ht="15" customHeight="1">
      <c r="B1004" t="s">
        <v>3091</v>
      </c>
      <c r="C1004">
        <v>900000</v>
      </c>
      <c r="D1004" t="s">
        <v>247</v>
      </c>
      <c r="E1004">
        <v>16027.125018698311</v>
      </c>
      <c r="F1004" s="3">
        <f>(tblSalaries[[#This Row],[clean Salary (in local currency)]])*(VLOOKUP(tblSalaries[[#This Row],[Currency]],Sheet3!$A$2:$C$31,3,FALSE))*(VLOOKUP(tblSalaries[[#This Row],[Currency]],Sheet1!$N$4:$Q$186,4,FALSE))</f>
        <v>42624.920113828608</v>
      </c>
      <c r="G1004" s="4">
        <f>IF(Dashboard!$J$5=VLOOKUP(tblSalaries[[#This Row],[Currency]],Sheet3!$A$2:$B$31,2,FALSE),tblSalaries[[#This Row],[clean Salary (in local currency)]],(tblSalaries[[#This Row],[PPP Adjusted  USD]]/VLOOKUP(Dashboard!$J$5,Sheet3!$B$2:$C$31,2,FALSE)))</f>
        <v>42624.920113828608</v>
      </c>
      <c r="H1004" t="s">
        <v>811</v>
      </c>
      <c r="I1004" t="s">
        <v>603</v>
      </c>
      <c r="J1004" t="s">
        <v>604</v>
      </c>
      <c r="K1004" t="s">
        <v>605</v>
      </c>
      <c r="L1004">
        <v>4</v>
      </c>
    </row>
    <row r="1005" spans="2:12" ht="15" customHeight="1">
      <c r="B1005" t="s">
        <v>3686</v>
      </c>
      <c r="C1005">
        <v>900000</v>
      </c>
      <c r="D1005" t="s">
        <v>247</v>
      </c>
      <c r="E1005">
        <v>16027.125018698311</v>
      </c>
      <c r="F1005" s="3">
        <f>(tblSalaries[[#This Row],[clean Salary (in local currency)]])*(VLOOKUP(tblSalaries[[#This Row],[Currency]],Sheet3!$A$2:$C$31,3,FALSE))*(VLOOKUP(tblSalaries[[#This Row],[Currency]],Sheet1!$N$4:$Q$186,4,FALSE))</f>
        <v>42624.920113828608</v>
      </c>
      <c r="G1005" s="4">
        <f>IF(Dashboard!$J$5=VLOOKUP(tblSalaries[[#This Row],[Currency]],Sheet3!$A$2:$B$31,2,FALSE),tblSalaries[[#This Row],[clean Salary (in local currency)]],(tblSalaries[[#This Row],[PPP Adjusted  USD]]/VLOOKUP(Dashboard!$J$5,Sheet3!$B$2:$C$31,2,FALSE)))</f>
        <v>42624.920113828608</v>
      </c>
      <c r="H1005" t="s">
        <v>3687</v>
      </c>
      <c r="I1005" t="s">
        <v>625</v>
      </c>
      <c r="J1005" t="s">
        <v>604</v>
      </c>
      <c r="K1005" t="s">
        <v>617</v>
      </c>
      <c r="L1005">
        <v>6</v>
      </c>
    </row>
    <row r="1006" spans="2:12" ht="15" customHeight="1">
      <c r="B1006" t="s">
        <v>2856</v>
      </c>
      <c r="C1006">
        <v>68000</v>
      </c>
      <c r="D1006" t="s">
        <v>224</v>
      </c>
      <c r="E1006">
        <v>69353.856635379227</v>
      </c>
      <c r="F1006" s="3">
        <f>(tblSalaries[[#This Row],[clean Salary (in local currency)]])*(VLOOKUP(tblSalaries[[#This Row],[Currency]],Sheet3!$A$2:$C$31,3,FALSE))*(VLOOKUP(tblSalaries[[#This Row],[Currency]],Sheet1!$N$4:$Q$186,4,FALSE))</f>
        <v>42616.555957505545</v>
      </c>
      <c r="G1006" s="4">
        <f>IF(Dashboard!$J$5=VLOOKUP(tblSalaries[[#This Row],[Currency]],Sheet3!$A$2:$B$31,2,FALSE),tblSalaries[[#This Row],[clean Salary (in local currency)]],(tblSalaries[[#This Row],[PPP Adjusted  USD]]/VLOOKUP(Dashboard!$J$5,Sheet3!$B$2:$C$31,2,FALSE)))</f>
        <v>42616.555957505545</v>
      </c>
      <c r="H1006" t="s">
        <v>2857</v>
      </c>
      <c r="I1006" t="s">
        <v>625</v>
      </c>
      <c r="J1006" t="s">
        <v>703</v>
      </c>
      <c r="K1006" t="s">
        <v>605</v>
      </c>
      <c r="L1006">
        <v>10</v>
      </c>
    </row>
    <row r="1007" spans="2:12" ht="15" customHeight="1">
      <c r="B1007" t="s">
        <v>1668</v>
      </c>
      <c r="C1007">
        <v>28800</v>
      </c>
      <c r="D1007" t="s">
        <v>204</v>
      </c>
      <c r="E1007">
        <v>45393.934235537781</v>
      </c>
      <c r="F1007" s="3">
        <f>(tblSalaries[[#This Row],[clean Salary (in local currency)]])*(VLOOKUP(tblSalaries[[#This Row],[Currency]],Sheet3!$A$2:$C$31,3,FALSE))*(VLOOKUP(tblSalaries[[#This Row],[Currency]],Sheet1!$N$4:$Q$186,4,FALSE))</f>
        <v>42450.370703436311</v>
      </c>
      <c r="G1007" s="4">
        <f>IF(Dashboard!$J$5=VLOOKUP(tblSalaries[[#This Row],[Currency]],Sheet3!$A$2:$B$31,2,FALSE),tblSalaries[[#This Row],[clean Salary (in local currency)]],(tblSalaries[[#This Row],[PPP Adjusted  USD]]/VLOOKUP(Dashboard!$J$5,Sheet3!$B$2:$C$31,2,FALSE)))</f>
        <v>42450.370703436311</v>
      </c>
      <c r="H1007" t="s">
        <v>1611</v>
      </c>
      <c r="I1007" t="s">
        <v>625</v>
      </c>
      <c r="J1007" t="s">
        <v>687</v>
      </c>
      <c r="K1007" t="s">
        <v>605</v>
      </c>
      <c r="L1007">
        <v>27</v>
      </c>
    </row>
    <row r="1008" spans="2:12" ht="15" customHeight="1">
      <c r="B1008" t="s">
        <v>3672</v>
      </c>
      <c r="C1008">
        <v>42307</v>
      </c>
      <c r="D1008" t="s">
        <v>252</v>
      </c>
      <c r="E1008">
        <v>42307</v>
      </c>
      <c r="F1008" s="3">
        <f>(tblSalaries[[#This Row],[clean Salary (in local currency)]])*(VLOOKUP(tblSalaries[[#This Row],[Currency]],Sheet3!$A$2:$C$31,3,FALSE))*(VLOOKUP(tblSalaries[[#This Row],[Currency]],Sheet1!$N$4:$Q$186,4,FALSE))</f>
        <v>42307</v>
      </c>
      <c r="G1008" s="4">
        <f>IF(Dashboard!$J$5=VLOOKUP(tblSalaries[[#This Row],[Currency]],Sheet3!$A$2:$B$31,2,FALSE),tblSalaries[[#This Row],[clean Salary (in local currency)]],(tblSalaries[[#This Row],[PPP Adjusted  USD]]/VLOOKUP(Dashboard!$J$5,Sheet3!$B$2:$C$31,2,FALSE)))</f>
        <v>42307</v>
      </c>
      <c r="H1008" t="s">
        <v>3673</v>
      </c>
      <c r="I1008" t="s">
        <v>603</v>
      </c>
      <c r="J1008" t="s">
        <v>613</v>
      </c>
      <c r="K1008" t="s">
        <v>617</v>
      </c>
      <c r="L1008">
        <v>25</v>
      </c>
    </row>
    <row r="1009" spans="2:12" ht="15" customHeight="1">
      <c r="B1009" t="s">
        <v>2666</v>
      </c>
      <c r="C1009">
        <v>216000</v>
      </c>
      <c r="D1009" t="s">
        <v>553</v>
      </c>
      <c r="E1009">
        <v>58799.349940520107</v>
      </c>
      <c r="F1009" s="3">
        <f>(tblSalaries[[#This Row],[clean Salary (in local currency)]])*(VLOOKUP(tblSalaries[[#This Row],[Currency]],Sheet3!$A$2:$C$31,3,FALSE))*(VLOOKUP(tblSalaries[[#This Row],[Currency]],Sheet1!$N$4:$Q$186,4,FALSE))</f>
        <v>42258.318380709279</v>
      </c>
      <c r="G1009" s="4">
        <f>IF(Dashboard!$J$5=VLOOKUP(tblSalaries[[#This Row],[Currency]],Sheet3!$A$2:$B$31,2,FALSE),tblSalaries[[#This Row],[clean Salary (in local currency)]],(tblSalaries[[#This Row],[PPP Adjusted  USD]]/VLOOKUP(Dashboard!$J$5,Sheet3!$B$2:$C$31,2,FALSE)))</f>
        <v>42258.318380709279</v>
      </c>
      <c r="H1009" t="s">
        <v>1335</v>
      </c>
      <c r="I1009" t="s">
        <v>603</v>
      </c>
      <c r="J1009" t="s">
        <v>1164</v>
      </c>
      <c r="K1009" t="s">
        <v>605</v>
      </c>
      <c r="L1009">
        <v>2</v>
      </c>
    </row>
    <row r="1010" spans="2:12" ht="15" customHeight="1">
      <c r="B1010" t="s">
        <v>1040</v>
      </c>
      <c r="C1010">
        <v>42140</v>
      </c>
      <c r="D1010" t="s">
        <v>252</v>
      </c>
      <c r="E1010">
        <v>42140</v>
      </c>
      <c r="F1010" s="3">
        <f>(tblSalaries[[#This Row],[clean Salary (in local currency)]])*(VLOOKUP(tblSalaries[[#This Row],[Currency]],Sheet3!$A$2:$C$31,3,FALSE))*(VLOOKUP(tblSalaries[[#This Row],[Currency]],Sheet1!$N$4:$Q$186,4,FALSE))</f>
        <v>42140</v>
      </c>
      <c r="G1010" s="4">
        <f>IF(Dashboard!$J$5=VLOOKUP(tblSalaries[[#This Row],[Currency]],Sheet3!$A$2:$B$31,2,FALSE),tblSalaries[[#This Row],[clean Salary (in local currency)]],(tblSalaries[[#This Row],[PPP Adjusted  USD]]/VLOOKUP(Dashboard!$J$5,Sheet3!$B$2:$C$31,2,FALSE)))</f>
        <v>42140</v>
      </c>
      <c r="H1010" t="s">
        <v>1041</v>
      </c>
      <c r="I1010" t="s">
        <v>603</v>
      </c>
      <c r="J1010" t="s">
        <v>613</v>
      </c>
      <c r="K1010" t="s">
        <v>605</v>
      </c>
      <c r="L1010" t="s">
        <v>3847</v>
      </c>
    </row>
    <row r="1011" spans="2:12" ht="15" customHeight="1">
      <c r="B1011" t="s">
        <v>1499</v>
      </c>
      <c r="C1011">
        <v>28500</v>
      </c>
      <c r="D1011" t="s">
        <v>204</v>
      </c>
      <c r="E1011">
        <v>44921.080753917595</v>
      </c>
      <c r="F1011" s="3">
        <f>(tblSalaries[[#This Row],[clean Salary (in local currency)]])*(VLOOKUP(tblSalaries[[#This Row],[Currency]],Sheet3!$A$2:$C$31,3,FALSE))*(VLOOKUP(tblSalaries[[#This Row],[Currency]],Sheet1!$N$4:$Q$186,4,FALSE))</f>
        <v>42008.179341942181</v>
      </c>
      <c r="G1011" s="4">
        <f>IF(Dashboard!$J$5=VLOOKUP(tblSalaries[[#This Row],[Currency]],Sheet3!$A$2:$B$31,2,FALSE),tblSalaries[[#This Row],[clean Salary (in local currency)]],(tblSalaries[[#This Row],[PPP Adjusted  USD]]/VLOOKUP(Dashboard!$J$5,Sheet3!$B$2:$C$31,2,FALSE)))</f>
        <v>42008.179341942181</v>
      </c>
      <c r="H1011" t="s">
        <v>1500</v>
      </c>
      <c r="I1011" t="s">
        <v>625</v>
      </c>
      <c r="J1011" t="s">
        <v>687</v>
      </c>
      <c r="K1011" t="s">
        <v>617</v>
      </c>
      <c r="L1011" t="s">
        <v>3847</v>
      </c>
    </row>
    <row r="1012" spans="2:12" ht="15" customHeight="1">
      <c r="B1012" t="s">
        <v>2549</v>
      </c>
      <c r="C1012">
        <v>28500</v>
      </c>
      <c r="D1012" t="s">
        <v>204</v>
      </c>
      <c r="E1012">
        <v>44921.080753917595</v>
      </c>
      <c r="F1012" s="3">
        <f>(tblSalaries[[#This Row],[clean Salary (in local currency)]])*(VLOOKUP(tblSalaries[[#This Row],[Currency]],Sheet3!$A$2:$C$31,3,FALSE))*(VLOOKUP(tblSalaries[[#This Row],[Currency]],Sheet1!$N$4:$Q$186,4,FALSE))</f>
        <v>42008.179341942181</v>
      </c>
      <c r="G1012" s="4">
        <f>IF(Dashboard!$J$5=VLOOKUP(tblSalaries[[#This Row],[Currency]],Sheet3!$A$2:$B$31,2,FALSE),tblSalaries[[#This Row],[clean Salary (in local currency)]],(tblSalaries[[#This Row],[PPP Adjusted  USD]]/VLOOKUP(Dashboard!$J$5,Sheet3!$B$2:$C$31,2,FALSE)))</f>
        <v>42008.179341942181</v>
      </c>
      <c r="H1012" t="s">
        <v>2550</v>
      </c>
      <c r="I1012" t="s">
        <v>625</v>
      </c>
      <c r="J1012" t="s">
        <v>687</v>
      </c>
      <c r="K1012" t="s">
        <v>627</v>
      </c>
      <c r="L1012">
        <v>15</v>
      </c>
    </row>
    <row r="1013" spans="2:12" ht="15" customHeight="1">
      <c r="B1013" t="s">
        <v>2265</v>
      </c>
      <c r="C1013">
        <v>42000</v>
      </c>
      <c r="D1013" t="s">
        <v>252</v>
      </c>
      <c r="E1013">
        <v>42000</v>
      </c>
      <c r="F1013" s="3">
        <f>(tblSalaries[[#This Row],[clean Salary (in local currency)]])*(VLOOKUP(tblSalaries[[#This Row],[Currency]],Sheet3!$A$2:$C$31,3,FALSE))*(VLOOKUP(tblSalaries[[#This Row],[Currency]],Sheet1!$N$4:$Q$186,4,FALSE))</f>
        <v>42000</v>
      </c>
      <c r="G1013" s="4">
        <f>IF(Dashboard!$J$5=VLOOKUP(tblSalaries[[#This Row],[Currency]],Sheet3!$A$2:$B$31,2,FALSE),tblSalaries[[#This Row],[clean Salary (in local currency)]],(tblSalaries[[#This Row],[PPP Adjusted  USD]]/VLOOKUP(Dashboard!$J$5,Sheet3!$B$2:$C$31,2,FALSE)))</f>
        <v>42000</v>
      </c>
      <c r="H1013" t="s">
        <v>2266</v>
      </c>
      <c r="I1013" t="s">
        <v>608</v>
      </c>
      <c r="J1013" t="s">
        <v>780</v>
      </c>
      <c r="K1013" t="s">
        <v>610</v>
      </c>
      <c r="L1013">
        <v>15</v>
      </c>
    </row>
    <row r="1014" spans="2:12" ht="15" customHeight="1">
      <c r="B1014" t="s">
        <v>2422</v>
      </c>
      <c r="C1014">
        <v>42000</v>
      </c>
      <c r="D1014" t="s">
        <v>252</v>
      </c>
      <c r="E1014">
        <v>42000</v>
      </c>
      <c r="F1014" s="3">
        <f>(tblSalaries[[#This Row],[clean Salary (in local currency)]])*(VLOOKUP(tblSalaries[[#This Row],[Currency]],Sheet3!$A$2:$C$31,3,FALSE))*(VLOOKUP(tblSalaries[[#This Row],[Currency]],Sheet1!$N$4:$Q$186,4,FALSE))</f>
        <v>42000</v>
      </c>
      <c r="G1014" s="4">
        <f>IF(Dashboard!$J$5=VLOOKUP(tblSalaries[[#This Row],[Currency]],Sheet3!$A$2:$B$31,2,FALSE),tblSalaries[[#This Row],[clean Salary (in local currency)]],(tblSalaries[[#This Row],[PPP Adjusted  USD]]/VLOOKUP(Dashboard!$J$5,Sheet3!$B$2:$C$31,2,FALSE)))</f>
        <v>42000</v>
      </c>
      <c r="H1014" t="s">
        <v>2423</v>
      </c>
      <c r="I1014" t="s">
        <v>625</v>
      </c>
      <c r="J1014" t="s">
        <v>2424</v>
      </c>
      <c r="K1014" t="s">
        <v>610</v>
      </c>
      <c r="L1014">
        <v>5</v>
      </c>
    </row>
    <row r="1015" spans="2:12" ht="15" customHeight="1">
      <c r="B1015" t="s">
        <v>3137</v>
      </c>
      <c r="C1015">
        <v>42000</v>
      </c>
      <c r="D1015" t="s">
        <v>252</v>
      </c>
      <c r="E1015">
        <v>42000</v>
      </c>
      <c r="F1015" s="3">
        <f>(tblSalaries[[#This Row],[clean Salary (in local currency)]])*(VLOOKUP(tblSalaries[[#This Row],[Currency]],Sheet3!$A$2:$C$31,3,FALSE))*(VLOOKUP(tblSalaries[[#This Row],[Currency]],Sheet1!$N$4:$Q$186,4,FALSE))</f>
        <v>42000</v>
      </c>
      <c r="G1015" s="4">
        <f>IF(Dashboard!$J$5=VLOOKUP(tblSalaries[[#This Row],[Currency]],Sheet3!$A$2:$B$31,2,FALSE),tblSalaries[[#This Row],[clean Salary (in local currency)]],(tblSalaries[[#This Row],[PPP Adjusted  USD]]/VLOOKUP(Dashboard!$J$5,Sheet3!$B$2:$C$31,2,FALSE)))</f>
        <v>42000</v>
      </c>
      <c r="H1015" t="s">
        <v>3138</v>
      </c>
      <c r="I1015" t="s">
        <v>603</v>
      </c>
      <c r="J1015" t="s">
        <v>613</v>
      </c>
      <c r="K1015" t="s">
        <v>610</v>
      </c>
      <c r="L1015">
        <v>2</v>
      </c>
    </row>
    <row r="1016" spans="2:12" ht="15" customHeight="1">
      <c r="B1016" t="s">
        <v>3350</v>
      </c>
      <c r="C1016">
        <v>42000</v>
      </c>
      <c r="D1016" t="s">
        <v>252</v>
      </c>
      <c r="E1016">
        <v>42000</v>
      </c>
      <c r="F1016" s="3">
        <f>(tblSalaries[[#This Row],[clean Salary (in local currency)]])*(VLOOKUP(tblSalaries[[#This Row],[Currency]],Sheet3!$A$2:$C$31,3,FALSE))*(VLOOKUP(tblSalaries[[#This Row],[Currency]],Sheet1!$N$4:$Q$186,4,FALSE))</f>
        <v>42000</v>
      </c>
      <c r="G1016" s="4">
        <f>IF(Dashboard!$J$5=VLOOKUP(tblSalaries[[#This Row],[Currency]],Sheet3!$A$2:$B$31,2,FALSE),tblSalaries[[#This Row],[clean Salary (in local currency)]],(tblSalaries[[#This Row],[PPP Adjusted  USD]]/VLOOKUP(Dashboard!$J$5,Sheet3!$B$2:$C$31,2,FALSE)))</f>
        <v>42000</v>
      </c>
      <c r="H1016" t="s">
        <v>3351</v>
      </c>
      <c r="I1016" t="s">
        <v>603</v>
      </c>
      <c r="J1016" t="s">
        <v>613</v>
      </c>
      <c r="K1016" t="s">
        <v>605</v>
      </c>
      <c r="L1016">
        <v>2</v>
      </c>
    </row>
    <row r="1017" spans="2:12" ht="15" customHeight="1">
      <c r="B1017" t="s">
        <v>3497</v>
      </c>
      <c r="C1017">
        <v>42000</v>
      </c>
      <c r="D1017" t="s">
        <v>252</v>
      </c>
      <c r="E1017">
        <v>42000</v>
      </c>
      <c r="F1017" s="3">
        <f>(tblSalaries[[#This Row],[clean Salary (in local currency)]])*(VLOOKUP(tblSalaries[[#This Row],[Currency]],Sheet3!$A$2:$C$31,3,FALSE))*(VLOOKUP(tblSalaries[[#This Row],[Currency]],Sheet1!$N$4:$Q$186,4,FALSE))</f>
        <v>42000</v>
      </c>
      <c r="G1017" s="4">
        <f>IF(Dashboard!$J$5=VLOOKUP(tblSalaries[[#This Row],[Currency]],Sheet3!$A$2:$B$31,2,FALSE),tblSalaries[[#This Row],[clean Salary (in local currency)]],(tblSalaries[[#This Row],[PPP Adjusted  USD]]/VLOOKUP(Dashboard!$J$5,Sheet3!$B$2:$C$31,2,FALSE)))</f>
        <v>42000</v>
      </c>
      <c r="H1017" t="s">
        <v>2720</v>
      </c>
      <c r="I1017" t="s">
        <v>637</v>
      </c>
      <c r="J1017" t="s">
        <v>613</v>
      </c>
      <c r="K1017" t="s">
        <v>605</v>
      </c>
      <c r="L1017">
        <v>1</v>
      </c>
    </row>
    <row r="1018" spans="2:12" ht="15" customHeight="1">
      <c r="B1018" t="s">
        <v>1316</v>
      </c>
      <c r="C1018">
        <v>41932</v>
      </c>
      <c r="D1018" t="s">
        <v>252</v>
      </c>
      <c r="E1018">
        <v>41932</v>
      </c>
      <c r="F1018" s="3">
        <f>(tblSalaries[[#This Row],[clean Salary (in local currency)]])*(VLOOKUP(tblSalaries[[#This Row],[Currency]],Sheet3!$A$2:$C$31,3,FALSE))*(VLOOKUP(tblSalaries[[#This Row],[Currency]],Sheet1!$N$4:$Q$186,4,FALSE))</f>
        <v>41932</v>
      </c>
      <c r="G1018" s="4">
        <f>IF(Dashboard!$J$5=VLOOKUP(tblSalaries[[#This Row],[Currency]],Sheet3!$A$2:$B$31,2,FALSE),tblSalaries[[#This Row],[clean Salary (in local currency)]],(tblSalaries[[#This Row],[PPP Adjusted  USD]]/VLOOKUP(Dashboard!$J$5,Sheet3!$B$2:$C$31,2,FALSE)))</f>
        <v>41932</v>
      </c>
      <c r="H1018" t="s">
        <v>1028</v>
      </c>
      <c r="I1018" t="s">
        <v>625</v>
      </c>
      <c r="J1018" t="s">
        <v>613</v>
      </c>
      <c r="K1018" t="s">
        <v>617</v>
      </c>
      <c r="L1018" t="s">
        <v>3847</v>
      </c>
    </row>
    <row r="1019" spans="2:12" ht="15" customHeight="1">
      <c r="B1019" t="s">
        <v>2646</v>
      </c>
      <c r="C1019">
        <v>53000</v>
      </c>
      <c r="D1019" t="s">
        <v>276</v>
      </c>
      <c r="E1019">
        <v>52118.160720607324</v>
      </c>
      <c r="F1019" s="3">
        <f>(tblSalaries[[#This Row],[clean Salary (in local currency)]])*(VLOOKUP(tblSalaries[[#This Row],[Currency]],Sheet3!$A$2:$C$31,3,FALSE))*(VLOOKUP(tblSalaries[[#This Row],[Currency]],Sheet1!$N$4:$Q$186,4,FALSE))</f>
        <v>41893.64876972427</v>
      </c>
      <c r="G1019" s="4">
        <f>IF(Dashboard!$J$5=VLOOKUP(tblSalaries[[#This Row],[Currency]],Sheet3!$A$2:$B$31,2,FALSE),tblSalaries[[#This Row],[clean Salary (in local currency)]],(tblSalaries[[#This Row],[PPP Adjusted  USD]]/VLOOKUP(Dashboard!$J$5,Sheet3!$B$2:$C$31,2,FALSE)))</f>
        <v>41893.64876972427</v>
      </c>
      <c r="H1019" t="s">
        <v>811</v>
      </c>
      <c r="I1019" t="s">
        <v>603</v>
      </c>
      <c r="J1019" t="s">
        <v>708</v>
      </c>
      <c r="K1019" t="s">
        <v>605</v>
      </c>
      <c r="L1019">
        <v>6</v>
      </c>
    </row>
    <row r="1020" spans="2:12" ht="15" customHeight="1">
      <c r="B1020" t="s">
        <v>752</v>
      </c>
      <c r="C1020">
        <v>38000</v>
      </c>
      <c r="D1020" t="s">
        <v>200</v>
      </c>
      <c r="E1020">
        <v>48275.178681681093</v>
      </c>
      <c r="F1020" s="3">
        <f>(tblSalaries[[#This Row],[clean Salary (in local currency)]])*(VLOOKUP(tblSalaries[[#This Row],[Currency]],Sheet3!$A$2:$C$31,3,FALSE))*(VLOOKUP(tblSalaries[[#This Row],[Currency]],Sheet1!$N$4:$Q$186,4,FALSE))</f>
        <v>41824.809667241978</v>
      </c>
      <c r="G1020" s="4">
        <f>IF(Dashboard!$J$5=VLOOKUP(tblSalaries[[#This Row],[Currency]],Sheet3!$A$2:$B$31,2,FALSE),tblSalaries[[#This Row],[clean Salary (in local currency)]],(tblSalaries[[#This Row],[PPP Adjusted  USD]]/VLOOKUP(Dashboard!$J$5,Sheet3!$B$2:$C$31,2,FALSE)))</f>
        <v>41824.809667241978</v>
      </c>
      <c r="H1020" t="s">
        <v>753</v>
      </c>
      <c r="I1020" t="s">
        <v>603</v>
      </c>
      <c r="J1020" t="s">
        <v>722</v>
      </c>
      <c r="K1020" t="s">
        <v>627</v>
      </c>
      <c r="L1020" t="s">
        <v>3847</v>
      </c>
    </row>
    <row r="1021" spans="2:12" ht="15" customHeight="1">
      <c r="B1021" t="s">
        <v>621</v>
      </c>
      <c r="C1021">
        <v>41731</v>
      </c>
      <c r="D1021" t="s">
        <v>252</v>
      </c>
      <c r="E1021">
        <v>41731</v>
      </c>
      <c r="F1021" s="3">
        <f>(tblSalaries[[#This Row],[clean Salary (in local currency)]])*(VLOOKUP(tblSalaries[[#This Row],[Currency]],Sheet3!$A$2:$C$31,3,FALSE))*(VLOOKUP(tblSalaries[[#This Row],[Currency]],Sheet1!$N$4:$Q$186,4,FALSE))</f>
        <v>41731</v>
      </c>
      <c r="G1021" s="4">
        <f>IF(Dashboard!$J$5=VLOOKUP(tblSalaries[[#This Row],[Currency]],Sheet3!$A$2:$B$31,2,FALSE),tblSalaries[[#This Row],[clean Salary (in local currency)]],(tblSalaries[[#This Row],[PPP Adjusted  USD]]/VLOOKUP(Dashboard!$J$5,Sheet3!$B$2:$C$31,2,FALSE)))</f>
        <v>41731</v>
      </c>
      <c r="H1021" t="s">
        <v>603</v>
      </c>
      <c r="I1021" t="s">
        <v>603</v>
      </c>
      <c r="J1021" t="s">
        <v>622</v>
      </c>
      <c r="K1021" t="s">
        <v>610</v>
      </c>
      <c r="L1021" t="s">
        <v>3847</v>
      </c>
    </row>
    <row r="1022" spans="2:12" ht="15" customHeight="1">
      <c r="B1022" t="s">
        <v>1043</v>
      </c>
      <c r="C1022">
        <v>41600</v>
      </c>
      <c r="D1022" t="s">
        <v>252</v>
      </c>
      <c r="E1022">
        <v>41600</v>
      </c>
      <c r="F1022" s="3">
        <f>(tblSalaries[[#This Row],[clean Salary (in local currency)]])*(VLOOKUP(tblSalaries[[#This Row],[Currency]],Sheet3!$A$2:$C$31,3,FALSE))*(VLOOKUP(tblSalaries[[#This Row],[Currency]],Sheet1!$N$4:$Q$186,4,FALSE))</f>
        <v>41600</v>
      </c>
      <c r="G1022" s="4">
        <f>IF(Dashboard!$J$5=VLOOKUP(tblSalaries[[#This Row],[Currency]],Sheet3!$A$2:$B$31,2,FALSE),tblSalaries[[#This Row],[clean Salary (in local currency)]],(tblSalaries[[#This Row],[PPP Adjusted  USD]]/VLOOKUP(Dashboard!$J$5,Sheet3!$B$2:$C$31,2,FALSE)))</f>
        <v>41600</v>
      </c>
      <c r="H1022" t="s">
        <v>889</v>
      </c>
      <c r="I1022" t="s">
        <v>625</v>
      </c>
      <c r="J1022" t="s">
        <v>613</v>
      </c>
      <c r="K1022" t="s">
        <v>605</v>
      </c>
      <c r="L1022" t="s">
        <v>3847</v>
      </c>
    </row>
    <row r="1023" spans="2:12" ht="15" customHeight="1">
      <c r="B1023" t="s">
        <v>1534</v>
      </c>
      <c r="C1023">
        <v>28164</v>
      </c>
      <c r="D1023" t="s">
        <v>204</v>
      </c>
      <c r="E1023">
        <v>44391.484854502989</v>
      </c>
      <c r="F1023" s="3">
        <f>(tblSalaries[[#This Row],[clean Salary (in local currency)]])*(VLOOKUP(tblSalaries[[#This Row],[Currency]],Sheet3!$A$2:$C$31,3,FALSE))*(VLOOKUP(tblSalaries[[#This Row],[Currency]],Sheet1!$N$4:$Q$186,4,FALSE))</f>
        <v>41512.925017068759</v>
      </c>
      <c r="G1023" s="4">
        <f>IF(Dashboard!$J$5=VLOOKUP(tblSalaries[[#This Row],[Currency]],Sheet3!$A$2:$B$31,2,FALSE),tblSalaries[[#This Row],[clean Salary (in local currency)]],(tblSalaries[[#This Row],[PPP Adjusted  USD]]/VLOOKUP(Dashboard!$J$5,Sheet3!$B$2:$C$31,2,FALSE)))</f>
        <v>41512.925017068759</v>
      </c>
      <c r="H1023" t="s">
        <v>1535</v>
      </c>
      <c r="I1023" t="s">
        <v>625</v>
      </c>
      <c r="J1023" t="s">
        <v>687</v>
      </c>
      <c r="K1023" t="s">
        <v>605</v>
      </c>
      <c r="L1023" t="s">
        <v>3847</v>
      </c>
    </row>
    <row r="1024" spans="2:12" ht="15" customHeight="1">
      <c r="B1024" t="s">
        <v>883</v>
      </c>
      <c r="C1024">
        <v>28159</v>
      </c>
      <c r="D1024" t="s">
        <v>204</v>
      </c>
      <c r="E1024">
        <v>44383.603963142654</v>
      </c>
      <c r="F1024" s="3">
        <f>(tblSalaries[[#This Row],[clean Salary (in local currency)]])*(VLOOKUP(tblSalaries[[#This Row],[Currency]],Sheet3!$A$2:$C$31,3,FALSE))*(VLOOKUP(tblSalaries[[#This Row],[Currency]],Sheet1!$N$4:$Q$186,4,FALSE))</f>
        <v>41505.555161043856</v>
      </c>
      <c r="G1024" s="4">
        <f>IF(Dashboard!$J$5=VLOOKUP(tblSalaries[[#This Row],[Currency]],Sheet3!$A$2:$B$31,2,FALSE),tblSalaries[[#This Row],[clean Salary (in local currency)]],(tblSalaries[[#This Row],[PPP Adjusted  USD]]/VLOOKUP(Dashboard!$J$5,Sheet3!$B$2:$C$31,2,FALSE)))</f>
        <v>41505.555161043856</v>
      </c>
      <c r="H1024" t="s">
        <v>811</v>
      </c>
      <c r="I1024" t="s">
        <v>603</v>
      </c>
      <c r="J1024" t="s">
        <v>687</v>
      </c>
      <c r="K1024" t="s">
        <v>610</v>
      </c>
      <c r="L1024" t="s">
        <v>3847</v>
      </c>
    </row>
    <row r="1025" spans="2:12" ht="15" customHeight="1">
      <c r="B1025" t="s">
        <v>980</v>
      </c>
      <c r="C1025">
        <v>41406</v>
      </c>
      <c r="D1025" t="s">
        <v>252</v>
      </c>
      <c r="E1025">
        <v>41406</v>
      </c>
      <c r="F1025" s="3">
        <f>(tblSalaries[[#This Row],[clean Salary (in local currency)]])*(VLOOKUP(tblSalaries[[#This Row],[Currency]],Sheet3!$A$2:$C$31,3,FALSE))*(VLOOKUP(tblSalaries[[#This Row],[Currency]],Sheet1!$N$4:$Q$186,4,FALSE))</f>
        <v>41406</v>
      </c>
      <c r="G1025" s="4">
        <f>IF(Dashboard!$J$5=VLOOKUP(tblSalaries[[#This Row],[Currency]],Sheet3!$A$2:$B$31,2,FALSE),tblSalaries[[#This Row],[clean Salary (in local currency)]],(tblSalaries[[#This Row],[PPP Adjusted  USD]]/VLOOKUP(Dashboard!$J$5,Sheet3!$B$2:$C$31,2,FALSE)))</f>
        <v>41406</v>
      </c>
      <c r="H1025" t="s">
        <v>981</v>
      </c>
      <c r="I1025" t="s">
        <v>603</v>
      </c>
      <c r="J1025" t="s">
        <v>708</v>
      </c>
      <c r="K1025" t="s">
        <v>627</v>
      </c>
      <c r="L1025" t="s">
        <v>3847</v>
      </c>
    </row>
    <row r="1026" spans="2:12" ht="15" customHeight="1">
      <c r="B1026" t="s">
        <v>1119</v>
      </c>
      <c r="C1026">
        <v>28000</v>
      </c>
      <c r="D1026" t="s">
        <v>204</v>
      </c>
      <c r="E1026">
        <v>44132.991617883956</v>
      </c>
      <c r="F1026" s="3">
        <f>(tblSalaries[[#This Row],[clean Salary (in local currency)]])*(VLOOKUP(tblSalaries[[#This Row],[Currency]],Sheet3!$A$2:$C$31,3,FALSE))*(VLOOKUP(tblSalaries[[#This Row],[Currency]],Sheet1!$N$4:$Q$186,4,FALSE))</f>
        <v>41271.19373945197</v>
      </c>
      <c r="G1026" s="4">
        <f>IF(Dashboard!$J$5=VLOOKUP(tblSalaries[[#This Row],[Currency]],Sheet3!$A$2:$B$31,2,FALSE),tblSalaries[[#This Row],[clean Salary (in local currency)]],(tblSalaries[[#This Row],[PPP Adjusted  USD]]/VLOOKUP(Dashboard!$J$5,Sheet3!$B$2:$C$31,2,FALSE)))</f>
        <v>41271.19373945197</v>
      </c>
      <c r="H1026" t="s">
        <v>1120</v>
      </c>
      <c r="I1026" t="s">
        <v>603</v>
      </c>
      <c r="J1026" t="s">
        <v>687</v>
      </c>
      <c r="K1026" t="s">
        <v>610</v>
      </c>
      <c r="L1026" t="s">
        <v>3847</v>
      </c>
    </row>
    <row r="1027" spans="2:12" ht="15" customHeight="1">
      <c r="B1027" t="s">
        <v>1340</v>
      </c>
      <c r="C1027">
        <v>28000</v>
      </c>
      <c r="D1027" t="s">
        <v>204</v>
      </c>
      <c r="E1027">
        <v>44132.991617883956</v>
      </c>
      <c r="F1027" s="3">
        <f>(tblSalaries[[#This Row],[clean Salary (in local currency)]])*(VLOOKUP(tblSalaries[[#This Row],[Currency]],Sheet3!$A$2:$C$31,3,FALSE))*(VLOOKUP(tblSalaries[[#This Row],[Currency]],Sheet1!$N$4:$Q$186,4,FALSE))</f>
        <v>41271.19373945197</v>
      </c>
      <c r="G1027" s="4">
        <f>IF(Dashboard!$J$5=VLOOKUP(tblSalaries[[#This Row],[Currency]],Sheet3!$A$2:$B$31,2,FALSE),tblSalaries[[#This Row],[clean Salary (in local currency)]],(tblSalaries[[#This Row],[PPP Adjusted  USD]]/VLOOKUP(Dashboard!$J$5,Sheet3!$B$2:$C$31,2,FALSE)))</f>
        <v>41271.19373945197</v>
      </c>
      <c r="H1027" t="s">
        <v>1341</v>
      </c>
      <c r="I1027" t="s">
        <v>625</v>
      </c>
      <c r="J1027" t="s">
        <v>687</v>
      </c>
      <c r="K1027" t="s">
        <v>617</v>
      </c>
      <c r="L1027" t="s">
        <v>3847</v>
      </c>
    </row>
    <row r="1028" spans="2:12" ht="15" customHeight="1">
      <c r="B1028" t="s">
        <v>2462</v>
      </c>
      <c r="C1028">
        <v>28000</v>
      </c>
      <c r="D1028" t="s">
        <v>204</v>
      </c>
      <c r="E1028">
        <v>44132.991617883956</v>
      </c>
      <c r="F1028" s="3">
        <f>(tblSalaries[[#This Row],[clean Salary (in local currency)]])*(VLOOKUP(tblSalaries[[#This Row],[Currency]],Sheet3!$A$2:$C$31,3,FALSE))*(VLOOKUP(tblSalaries[[#This Row],[Currency]],Sheet1!$N$4:$Q$186,4,FALSE))</f>
        <v>41271.19373945197</v>
      </c>
      <c r="G1028" s="4">
        <f>IF(Dashboard!$J$5=VLOOKUP(tblSalaries[[#This Row],[Currency]],Sheet3!$A$2:$B$31,2,FALSE),tblSalaries[[#This Row],[clean Salary (in local currency)]],(tblSalaries[[#This Row],[PPP Adjusted  USD]]/VLOOKUP(Dashboard!$J$5,Sheet3!$B$2:$C$31,2,FALSE)))</f>
        <v>41271.19373945197</v>
      </c>
      <c r="H1028" t="s">
        <v>1917</v>
      </c>
      <c r="I1028" t="s">
        <v>603</v>
      </c>
      <c r="J1028" t="s">
        <v>687</v>
      </c>
      <c r="K1028" t="s">
        <v>617</v>
      </c>
      <c r="L1028">
        <v>16</v>
      </c>
    </row>
    <row r="1029" spans="2:12" ht="15" customHeight="1">
      <c r="B1029" t="s">
        <v>1476</v>
      </c>
      <c r="C1029">
        <v>52000</v>
      </c>
      <c r="D1029" t="s">
        <v>276</v>
      </c>
      <c r="E1029">
        <v>51134.799197576998</v>
      </c>
      <c r="F1029" s="3">
        <f>(tblSalaries[[#This Row],[clean Salary (in local currency)]])*(VLOOKUP(tblSalaries[[#This Row],[Currency]],Sheet3!$A$2:$C$31,3,FALSE))*(VLOOKUP(tblSalaries[[#This Row],[Currency]],Sheet1!$N$4:$Q$186,4,FALSE))</f>
        <v>41103.202566521926</v>
      </c>
      <c r="G1029" s="4">
        <f>IF(Dashboard!$J$5=VLOOKUP(tblSalaries[[#This Row],[Currency]],Sheet3!$A$2:$B$31,2,FALSE),tblSalaries[[#This Row],[clean Salary (in local currency)]],(tblSalaries[[#This Row],[PPP Adjusted  USD]]/VLOOKUP(Dashboard!$J$5,Sheet3!$B$2:$C$31,2,FALSE)))</f>
        <v>41103.202566521926</v>
      </c>
      <c r="H1029" t="s">
        <v>1477</v>
      </c>
      <c r="I1029" t="s">
        <v>625</v>
      </c>
      <c r="J1029" t="s">
        <v>708</v>
      </c>
      <c r="K1029" t="s">
        <v>605</v>
      </c>
      <c r="L1029" t="s">
        <v>3847</v>
      </c>
    </row>
    <row r="1030" spans="2:12" ht="15" customHeight="1">
      <c r="B1030" t="s">
        <v>681</v>
      </c>
      <c r="C1030">
        <v>41000</v>
      </c>
      <c r="D1030" t="s">
        <v>252</v>
      </c>
      <c r="E1030">
        <v>41000</v>
      </c>
      <c r="F1030" s="3">
        <f>(tblSalaries[[#This Row],[clean Salary (in local currency)]])*(VLOOKUP(tblSalaries[[#This Row],[Currency]],Sheet3!$A$2:$C$31,3,FALSE))*(VLOOKUP(tblSalaries[[#This Row],[Currency]],Sheet1!$N$4:$Q$186,4,FALSE))</f>
        <v>41000</v>
      </c>
      <c r="G1030" s="4">
        <f>IF(Dashboard!$J$5=VLOOKUP(tblSalaries[[#This Row],[Currency]],Sheet3!$A$2:$B$31,2,FALSE),tblSalaries[[#This Row],[clean Salary (in local currency)]],(tblSalaries[[#This Row],[PPP Adjusted  USD]]/VLOOKUP(Dashboard!$J$5,Sheet3!$B$2:$C$31,2,FALSE)))</f>
        <v>41000</v>
      </c>
      <c r="H1030" t="s">
        <v>682</v>
      </c>
      <c r="I1030" t="s">
        <v>625</v>
      </c>
      <c r="J1030" t="s">
        <v>683</v>
      </c>
      <c r="K1030" t="s">
        <v>610</v>
      </c>
      <c r="L1030" t="s">
        <v>3847</v>
      </c>
    </row>
    <row r="1031" spans="2:12" ht="15" customHeight="1">
      <c r="B1031" t="s">
        <v>741</v>
      </c>
      <c r="C1031">
        <v>41000</v>
      </c>
      <c r="D1031" t="s">
        <v>252</v>
      </c>
      <c r="E1031">
        <v>41000</v>
      </c>
      <c r="F1031" s="3">
        <f>(tblSalaries[[#This Row],[clean Salary (in local currency)]])*(VLOOKUP(tblSalaries[[#This Row],[Currency]],Sheet3!$A$2:$C$31,3,FALSE))*(VLOOKUP(tblSalaries[[#This Row],[Currency]],Sheet1!$N$4:$Q$186,4,FALSE))</f>
        <v>41000</v>
      </c>
      <c r="G1031" s="4">
        <f>IF(Dashboard!$J$5=VLOOKUP(tblSalaries[[#This Row],[Currency]],Sheet3!$A$2:$B$31,2,FALSE),tblSalaries[[#This Row],[clean Salary (in local currency)]],(tblSalaries[[#This Row],[PPP Adjusted  USD]]/VLOOKUP(Dashboard!$J$5,Sheet3!$B$2:$C$31,2,FALSE)))</f>
        <v>41000</v>
      </c>
      <c r="H1031" t="s">
        <v>640</v>
      </c>
      <c r="I1031" t="s">
        <v>640</v>
      </c>
      <c r="J1031" t="s">
        <v>613</v>
      </c>
      <c r="K1031" t="s">
        <v>605</v>
      </c>
      <c r="L1031" t="s">
        <v>3847</v>
      </c>
    </row>
    <row r="1032" spans="2:12" ht="15" customHeight="1">
      <c r="B1032" t="s">
        <v>1036</v>
      </c>
      <c r="C1032">
        <v>41000</v>
      </c>
      <c r="D1032" t="s">
        <v>252</v>
      </c>
      <c r="E1032">
        <v>41000</v>
      </c>
      <c r="F1032" s="3">
        <f>(tblSalaries[[#This Row],[clean Salary (in local currency)]])*(VLOOKUP(tblSalaries[[#This Row],[Currency]],Sheet3!$A$2:$C$31,3,FALSE))*(VLOOKUP(tblSalaries[[#This Row],[Currency]],Sheet1!$N$4:$Q$186,4,FALSE))</f>
        <v>41000</v>
      </c>
      <c r="G1032" s="4">
        <f>IF(Dashboard!$J$5=VLOOKUP(tblSalaries[[#This Row],[Currency]],Sheet3!$A$2:$B$31,2,FALSE),tblSalaries[[#This Row],[clean Salary (in local currency)]],(tblSalaries[[#This Row],[PPP Adjusted  USD]]/VLOOKUP(Dashboard!$J$5,Sheet3!$B$2:$C$31,2,FALSE)))</f>
        <v>41000</v>
      </c>
      <c r="H1032" t="s">
        <v>1037</v>
      </c>
      <c r="I1032" t="s">
        <v>625</v>
      </c>
      <c r="J1032" t="s">
        <v>613</v>
      </c>
      <c r="K1032" t="s">
        <v>610</v>
      </c>
      <c r="L1032" t="s">
        <v>3847</v>
      </c>
    </row>
    <row r="1033" spans="2:12" ht="15" customHeight="1">
      <c r="B1033" t="s">
        <v>1208</v>
      </c>
      <c r="C1033">
        <v>41000</v>
      </c>
      <c r="D1033" t="s">
        <v>252</v>
      </c>
      <c r="E1033">
        <v>41000</v>
      </c>
      <c r="F1033" s="3">
        <f>(tblSalaries[[#This Row],[clean Salary (in local currency)]])*(VLOOKUP(tblSalaries[[#This Row],[Currency]],Sheet3!$A$2:$C$31,3,FALSE))*(VLOOKUP(tblSalaries[[#This Row],[Currency]],Sheet1!$N$4:$Q$186,4,FALSE))</f>
        <v>41000</v>
      </c>
      <c r="G1033" s="4">
        <f>IF(Dashboard!$J$5=VLOOKUP(tblSalaries[[#This Row],[Currency]],Sheet3!$A$2:$B$31,2,FALSE),tblSalaries[[#This Row],[clean Salary (in local currency)]],(tblSalaries[[#This Row],[PPP Adjusted  USD]]/VLOOKUP(Dashboard!$J$5,Sheet3!$B$2:$C$31,2,FALSE)))</f>
        <v>41000</v>
      </c>
      <c r="H1033" t="s">
        <v>1209</v>
      </c>
      <c r="I1033" t="s">
        <v>603</v>
      </c>
      <c r="J1033" t="s">
        <v>613</v>
      </c>
      <c r="K1033" t="s">
        <v>605</v>
      </c>
      <c r="L1033" t="s">
        <v>3847</v>
      </c>
    </row>
    <row r="1034" spans="2:12" ht="15" customHeight="1">
      <c r="B1034" t="s">
        <v>1993</v>
      </c>
      <c r="C1034">
        <v>41000</v>
      </c>
      <c r="D1034" t="s">
        <v>252</v>
      </c>
      <c r="E1034">
        <v>41000</v>
      </c>
      <c r="F1034" s="3">
        <f>(tblSalaries[[#This Row],[clean Salary (in local currency)]])*(VLOOKUP(tblSalaries[[#This Row],[Currency]],Sheet3!$A$2:$C$31,3,FALSE))*(VLOOKUP(tblSalaries[[#This Row],[Currency]],Sheet1!$N$4:$Q$186,4,FALSE))</f>
        <v>41000</v>
      </c>
      <c r="G1034" s="4">
        <f>IF(Dashboard!$J$5=VLOOKUP(tblSalaries[[#This Row],[Currency]],Sheet3!$A$2:$B$31,2,FALSE),tblSalaries[[#This Row],[clean Salary (in local currency)]],(tblSalaries[[#This Row],[PPP Adjusted  USD]]/VLOOKUP(Dashboard!$J$5,Sheet3!$B$2:$C$31,2,FALSE)))</f>
        <v>41000</v>
      </c>
      <c r="H1034" t="s">
        <v>899</v>
      </c>
      <c r="I1034" t="s">
        <v>603</v>
      </c>
      <c r="J1034" t="s">
        <v>613</v>
      </c>
      <c r="K1034" t="s">
        <v>610</v>
      </c>
      <c r="L1034">
        <v>4</v>
      </c>
    </row>
    <row r="1035" spans="2:12" ht="15" customHeight="1">
      <c r="B1035" t="s">
        <v>2916</v>
      </c>
      <c r="C1035">
        <v>41000</v>
      </c>
      <c r="D1035" t="s">
        <v>252</v>
      </c>
      <c r="E1035">
        <v>41000</v>
      </c>
      <c r="F1035" s="3">
        <f>(tblSalaries[[#This Row],[clean Salary (in local currency)]])*(VLOOKUP(tblSalaries[[#This Row],[Currency]],Sheet3!$A$2:$C$31,3,FALSE))*(VLOOKUP(tblSalaries[[#This Row],[Currency]],Sheet1!$N$4:$Q$186,4,FALSE))</f>
        <v>41000</v>
      </c>
      <c r="G1035" s="4">
        <f>IF(Dashboard!$J$5=VLOOKUP(tblSalaries[[#This Row],[Currency]],Sheet3!$A$2:$B$31,2,FALSE),tblSalaries[[#This Row],[clean Salary (in local currency)]],(tblSalaries[[#This Row],[PPP Adjusted  USD]]/VLOOKUP(Dashboard!$J$5,Sheet3!$B$2:$C$31,2,FALSE)))</f>
        <v>41000</v>
      </c>
      <c r="H1035" t="s">
        <v>2917</v>
      </c>
      <c r="I1035" t="s">
        <v>625</v>
      </c>
      <c r="J1035" t="s">
        <v>1255</v>
      </c>
      <c r="K1035" t="s">
        <v>617</v>
      </c>
      <c r="L1035">
        <v>4</v>
      </c>
    </row>
    <row r="1036" spans="2:12" ht="15" customHeight="1">
      <c r="B1036" t="s">
        <v>3101</v>
      </c>
      <c r="C1036">
        <v>41000</v>
      </c>
      <c r="D1036" t="s">
        <v>252</v>
      </c>
      <c r="E1036">
        <v>41000</v>
      </c>
      <c r="F1036" s="3">
        <f>(tblSalaries[[#This Row],[clean Salary (in local currency)]])*(VLOOKUP(tblSalaries[[#This Row],[Currency]],Sheet3!$A$2:$C$31,3,FALSE))*(VLOOKUP(tblSalaries[[#This Row],[Currency]],Sheet1!$N$4:$Q$186,4,FALSE))</f>
        <v>41000</v>
      </c>
      <c r="G1036" s="4">
        <f>IF(Dashboard!$J$5=VLOOKUP(tblSalaries[[#This Row],[Currency]],Sheet3!$A$2:$B$31,2,FALSE),tblSalaries[[#This Row],[clean Salary (in local currency)]],(tblSalaries[[#This Row],[PPP Adjusted  USD]]/VLOOKUP(Dashboard!$J$5,Sheet3!$B$2:$C$31,2,FALSE)))</f>
        <v>41000</v>
      </c>
      <c r="H1036" t="s">
        <v>784</v>
      </c>
      <c r="I1036" t="s">
        <v>603</v>
      </c>
      <c r="J1036" t="s">
        <v>1635</v>
      </c>
      <c r="K1036" t="s">
        <v>617</v>
      </c>
      <c r="L1036">
        <v>2</v>
      </c>
    </row>
    <row r="1037" spans="2:12" ht="15" customHeight="1">
      <c r="B1037" t="s">
        <v>3290</v>
      </c>
      <c r="C1037">
        <v>41000</v>
      </c>
      <c r="D1037" t="s">
        <v>252</v>
      </c>
      <c r="E1037">
        <v>41000</v>
      </c>
      <c r="F1037" s="3">
        <f>(tblSalaries[[#This Row],[clean Salary (in local currency)]])*(VLOOKUP(tblSalaries[[#This Row],[Currency]],Sheet3!$A$2:$C$31,3,FALSE))*(VLOOKUP(tblSalaries[[#This Row],[Currency]],Sheet1!$N$4:$Q$186,4,FALSE))</f>
        <v>41000</v>
      </c>
      <c r="G1037" s="4">
        <f>IF(Dashboard!$J$5=VLOOKUP(tblSalaries[[#This Row],[Currency]],Sheet3!$A$2:$B$31,2,FALSE),tblSalaries[[#This Row],[clean Salary (in local currency)]],(tblSalaries[[#This Row],[PPP Adjusted  USD]]/VLOOKUP(Dashboard!$J$5,Sheet3!$B$2:$C$31,2,FALSE)))</f>
        <v>41000</v>
      </c>
      <c r="H1037" t="s">
        <v>2433</v>
      </c>
      <c r="I1037" t="s">
        <v>692</v>
      </c>
      <c r="J1037" t="s">
        <v>613</v>
      </c>
      <c r="K1037" t="s">
        <v>605</v>
      </c>
      <c r="L1037">
        <v>10</v>
      </c>
    </row>
    <row r="1038" spans="2:12" ht="15" customHeight="1">
      <c r="B1038" t="s">
        <v>2043</v>
      </c>
      <c r="C1038">
        <v>65000</v>
      </c>
      <c r="D1038" t="s">
        <v>224</v>
      </c>
      <c r="E1038">
        <v>66294.12766617132</v>
      </c>
      <c r="F1038" s="3">
        <f>(tblSalaries[[#This Row],[clean Salary (in local currency)]])*(VLOOKUP(tblSalaries[[#This Row],[Currency]],Sheet3!$A$2:$C$31,3,FALSE))*(VLOOKUP(tblSalaries[[#This Row],[Currency]],Sheet1!$N$4:$Q$186,4,FALSE))</f>
        <v>40736.413782909716</v>
      </c>
      <c r="G1038" s="4">
        <f>IF(Dashboard!$J$5=VLOOKUP(tblSalaries[[#This Row],[Currency]],Sheet3!$A$2:$B$31,2,FALSE),tblSalaries[[#This Row],[clean Salary (in local currency)]],(tblSalaries[[#This Row],[PPP Adjusted  USD]]/VLOOKUP(Dashboard!$J$5,Sheet3!$B$2:$C$31,2,FALSE)))</f>
        <v>40736.413782909716</v>
      </c>
      <c r="H1038" t="s">
        <v>2044</v>
      </c>
      <c r="I1038" t="s">
        <v>603</v>
      </c>
      <c r="J1038" t="s">
        <v>703</v>
      </c>
      <c r="K1038" t="s">
        <v>610</v>
      </c>
      <c r="L1038">
        <v>10</v>
      </c>
    </row>
    <row r="1039" spans="2:12" ht="15" customHeight="1">
      <c r="B1039" t="s">
        <v>2317</v>
      </c>
      <c r="C1039">
        <v>65000</v>
      </c>
      <c r="D1039" t="s">
        <v>224</v>
      </c>
      <c r="E1039">
        <v>66294.12766617132</v>
      </c>
      <c r="F1039" s="3">
        <f>(tblSalaries[[#This Row],[clean Salary (in local currency)]])*(VLOOKUP(tblSalaries[[#This Row],[Currency]],Sheet3!$A$2:$C$31,3,FALSE))*(VLOOKUP(tblSalaries[[#This Row],[Currency]],Sheet1!$N$4:$Q$186,4,FALSE))</f>
        <v>40736.413782909716</v>
      </c>
      <c r="G1039" s="4">
        <f>IF(Dashboard!$J$5=VLOOKUP(tblSalaries[[#This Row],[Currency]],Sheet3!$A$2:$B$31,2,FALSE),tblSalaries[[#This Row],[clean Salary (in local currency)]],(tblSalaries[[#This Row],[PPP Adjusted  USD]]/VLOOKUP(Dashboard!$J$5,Sheet3!$B$2:$C$31,2,FALSE)))</f>
        <v>40736.413782909716</v>
      </c>
      <c r="H1039" t="s">
        <v>2318</v>
      </c>
      <c r="I1039" t="s">
        <v>625</v>
      </c>
      <c r="J1039" t="s">
        <v>703</v>
      </c>
      <c r="K1039" t="s">
        <v>617</v>
      </c>
      <c r="L1039">
        <v>5</v>
      </c>
    </row>
    <row r="1040" spans="2:12" ht="15" customHeight="1">
      <c r="B1040" t="s">
        <v>2334</v>
      </c>
      <c r="C1040">
        <v>65000</v>
      </c>
      <c r="D1040" t="s">
        <v>224</v>
      </c>
      <c r="E1040">
        <v>66294.12766617132</v>
      </c>
      <c r="F1040" s="3">
        <f>(tblSalaries[[#This Row],[clean Salary (in local currency)]])*(VLOOKUP(tblSalaries[[#This Row],[Currency]],Sheet3!$A$2:$C$31,3,FALSE))*(VLOOKUP(tblSalaries[[#This Row],[Currency]],Sheet1!$N$4:$Q$186,4,FALSE))</f>
        <v>40736.413782909716</v>
      </c>
      <c r="G1040" s="4">
        <f>IF(Dashboard!$J$5=VLOOKUP(tblSalaries[[#This Row],[Currency]],Sheet3!$A$2:$B$31,2,FALSE),tblSalaries[[#This Row],[clean Salary (in local currency)]],(tblSalaries[[#This Row],[PPP Adjusted  USD]]/VLOOKUP(Dashboard!$J$5,Sheet3!$B$2:$C$31,2,FALSE)))</f>
        <v>40736.413782909716</v>
      </c>
      <c r="H1040" t="s">
        <v>811</v>
      </c>
      <c r="I1040" t="s">
        <v>603</v>
      </c>
      <c r="J1040" t="s">
        <v>703</v>
      </c>
      <c r="K1040" t="s">
        <v>605</v>
      </c>
      <c r="L1040">
        <v>4</v>
      </c>
    </row>
    <row r="1041" spans="2:12" ht="15" customHeight="1">
      <c r="B1041" t="s">
        <v>2518</v>
      </c>
      <c r="C1041">
        <v>37000</v>
      </c>
      <c r="D1041" t="s">
        <v>200</v>
      </c>
      <c r="E1041">
        <v>47004.779242689488</v>
      </c>
      <c r="F1041" s="3">
        <f>(tblSalaries[[#This Row],[clean Salary (in local currency)]])*(VLOOKUP(tblSalaries[[#This Row],[Currency]],Sheet3!$A$2:$C$31,3,FALSE))*(VLOOKUP(tblSalaries[[#This Row],[Currency]],Sheet1!$N$4:$Q$186,4,FALSE))</f>
        <v>40724.156781261932</v>
      </c>
      <c r="G1041" s="4">
        <f>IF(Dashboard!$J$5=VLOOKUP(tblSalaries[[#This Row],[Currency]],Sheet3!$A$2:$B$31,2,FALSE),tblSalaries[[#This Row],[clean Salary (in local currency)]],(tblSalaries[[#This Row],[PPP Adjusted  USD]]/VLOOKUP(Dashboard!$J$5,Sheet3!$B$2:$C$31,2,FALSE)))</f>
        <v>40724.156781261932</v>
      </c>
      <c r="H1041" t="s">
        <v>2519</v>
      </c>
      <c r="I1041" t="s">
        <v>603</v>
      </c>
      <c r="J1041" t="s">
        <v>1557</v>
      </c>
      <c r="K1041" t="s">
        <v>605</v>
      </c>
      <c r="L1041">
        <v>11</v>
      </c>
    </row>
    <row r="1042" spans="2:12" ht="15" customHeight="1">
      <c r="B1042" t="s">
        <v>984</v>
      </c>
      <c r="C1042">
        <v>40700</v>
      </c>
      <c r="D1042" t="s">
        <v>252</v>
      </c>
      <c r="E1042">
        <v>40700</v>
      </c>
      <c r="F1042" s="3">
        <f>(tblSalaries[[#This Row],[clean Salary (in local currency)]])*(VLOOKUP(tblSalaries[[#This Row],[Currency]],Sheet3!$A$2:$C$31,3,FALSE))*(VLOOKUP(tblSalaries[[#This Row],[Currency]],Sheet1!$N$4:$Q$186,4,FALSE))</f>
        <v>40700</v>
      </c>
      <c r="G1042" s="4">
        <f>IF(Dashboard!$J$5=VLOOKUP(tblSalaries[[#This Row],[Currency]],Sheet3!$A$2:$B$31,2,FALSE),tblSalaries[[#This Row],[clean Salary (in local currency)]],(tblSalaries[[#This Row],[PPP Adjusted  USD]]/VLOOKUP(Dashboard!$J$5,Sheet3!$B$2:$C$31,2,FALSE)))</f>
        <v>40700</v>
      </c>
      <c r="H1042" t="s">
        <v>985</v>
      </c>
      <c r="I1042" t="s">
        <v>603</v>
      </c>
      <c r="J1042" t="s">
        <v>613</v>
      </c>
      <c r="K1042" t="s">
        <v>627</v>
      </c>
      <c r="L1042" t="s">
        <v>3847</v>
      </c>
    </row>
    <row r="1043" spans="2:12" ht="15" customHeight="1">
      <c r="B1043" t="s">
        <v>1692</v>
      </c>
      <c r="C1043">
        <v>40414</v>
      </c>
      <c r="D1043" t="s">
        <v>252</v>
      </c>
      <c r="E1043">
        <v>40414</v>
      </c>
      <c r="F1043" s="3">
        <f>(tblSalaries[[#This Row],[clean Salary (in local currency)]])*(VLOOKUP(tblSalaries[[#This Row],[Currency]],Sheet3!$A$2:$C$31,3,FALSE))*(VLOOKUP(tblSalaries[[#This Row],[Currency]],Sheet1!$N$4:$Q$186,4,FALSE))</f>
        <v>40414</v>
      </c>
      <c r="G1043" s="4">
        <f>IF(Dashboard!$J$5=VLOOKUP(tblSalaries[[#This Row],[Currency]],Sheet3!$A$2:$B$31,2,FALSE),tblSalaries[[#This Row],[clean Salary (in local currency)]],(tblSalaries[[#This Row],[PPP Adjusted  USD]]/VLOOKUP(Dashboard!$J$5,Sheet3!$B$2:$C$31,2,FALSE)))</f>
        <v>40414</v>
      </c>
      <c r="H1043" t="s">
        <v>1693</v>
      </c>
      <c r="I1043" t="s">
        <v>603</v>
      </c>
      <c r="J1043" t="s">
        <v>613</v>
      </c>
      <c r="K1043" t="s">
        <v>605</v>
      </c>
      <c r="L1043">
        <v>8</v>
      </c>
    </row>
    <row r="1044" spans="2:12" ht="15" customHeight="1">
      <c r="B1044" t="s">
        <v>2592</v>
      </c>
      <c r="C1044">
        <v>853000</v>
      </c>
      <c r="D1044" t="s">
        <v>247</v>
      </c>
      <c r="E1044">
        <v>15190.15293438851</v>
      </c>
      <c r="F1044" s="3">
        <f>(tblSalaries[[#This Row],[clean Salary (in local currency)]])*(VLOOKUP(tblSalaries[[#This Row],[Currency]],Sheet3!$A$2:$C$31,3,FALSE))*(VLOOKUP(tblSalaries[[#This Row],[Currency]],Sheet1!$N$4:$Q$186,4,FALSE))</f>
        <v>40398.952063439785</v>
      </c>
      <c r="G1044" s="4">
        <f>IF(Dashboard!$J$5=VLOOKUP(tblSalaries[[#This Row],[Currency]],Sheet3!$A$2:$B$31,2,FALSE),tblSalaries[[#This Row],[clean Salary (in local currency)]],(tblSalaries[[#This Row],[PPP Adjusted  USD]]/VLOOKUP(Dashboard!$J$5,Sheet3!$B$2:$C$31,2,FALSE)))</f>
        <v>40398.952063439785</v>
      </c>
      <c r="H1044" t="s">
        <v>2593</v>
      </c>
      <c r="I1044" t="s">
        <v>603</v>
      </c>
      <c r="J1044" t="s">
        <v>604</v>
      </c>
      <c r="K1044" t="s">
        <v>617</v>
      </c>
      <c r="L1044">
        <v>6</v>
      </c>
    </row>
    <row r="1045" spans="2:12" ht="15" customHeight="1">
      <c r="B1045" t="s">
        <v>1739</v>
      </c>
      <c r="C1045">
        <v>850000</v>
      </c>
      <c r="D1045" t="s">
        <v>247</v>
      </c>
      <c r="E1045">
        <v>15136.729184326183</v>
      </c>
      <c r="F1045" s="3">
        <f>(tblSalaries[[#This Row],[clean Salary (in local currency)]])*(VLOOKUP(tblSalaries[[#This Row],[Currency]],Sheet3!$A$2:$C$31,3,FALSE))*(VLOOKUP(tblSalaries[[#This Row],[Currency]],Sheet1!$N$4:$Q$186,4,FALSE))</f>
        <v>40256.868996393685</v>
      </c>
      <c r="G1045" s="4">
        <f>IF(Dashboard!$J$5=VLOOKUP(tblSalaries[[#This Row],[Currency]],Sheet3!$A$2:$B$31,2,FALSE),tblSalaries[[#This Row],[clean Salary (in local currency)]],(tblSalaries[[#This Row],[PPP Adjusted  USD]]/VLOOKUP(Dashboard!$J$5,Sheet3!$B$2:$C$31,2,FALSE)))</f>
        <v>40256.868996393685</v>
      </c>
      <c r="H1045" t="s">
        <v>745</v>
      </c>
      <c r="I1045" t="s">
        <v>603</v>
      </c>
      <c r="J1045" t="s">
        <v>604</v>
      </c>
      <c r="K1045" t="s">
        <v>605</v>
      </c>
      <c r="L1045">
        <v>6</v>
      </c>
    </row>
    <row r="1046" spans="2:12" ht="15" customHeight="1">
      <c r="B1046" t="s">
        <v>2054</v>
      </c>
      <c r="C1046">
        <v>850000</v>
      </c>
      <c r="D1046" t="s">
        <v>247</v>
      </c>
      <c r="E1046">
        <v>15136.729184326183</v>
      </c>
      <c r="F1046" s="3">
        <f>(tblSalaries[[#This Row],[clean Salary (in local currency)]])*(VLOOKUP(tblSalaries[[#This Row],[Currency]],Sheet3!$A$2:$C$31,3,FALSE))*(VLOOKUP(tblSalaries[[#This Row],[Currency]],Sheet1!$N$4:$Q$186,4,FALSE))</f>
        <v>40256.868996393685</v>
      </c>
      <c r="G1046" s="4">
        <f>IF(Dashboard!$J$5=VLOOKUP(tblSalaries[[#This Row],[Currency]],Sheet3!$A$2:$B$31,2,FALSE),tblSalaries[[#This Row],[clean Salary (in local currency)]],(tblSalaries[[#This Row],[PPP Adjusted  USD]]/VLOOKUP(Dashboard!$J$5,Sheet3!$B$2:$C$31,2,FALSE)))</f>
        <v>40256.868996393685</v>
      </c>
      <c r="H1046" t="s">
        <v>2055</v>
      </c>
      <c r="I1046" t="s">
        <v>603</v>
      </c>
      <c r="J1046" t="s">
        <v>604</v>
      </c>
      <c r="K1046" t="s">
        <v>605</v>
      </c>
      <c r="L1046">
        <v>2</v>
      </c>
    </row>
    <row r="1047" spans="2:12" ht="15" customHeight="1">
      <c r="B1047" t="s">
        <v>2213</v>
      </c>
      <c r="C1047">
        <v>850000</v>
      </c>
      <c r="D1047" t="s">
        <v>247</v>
      </c>
      <c r="E1047">
        <v>15136.729184326183</v>
      </c>
      <c r="F1047" s="3">
        <f>(tblSalaries[[#This Row],[clean Salary (in local currency)]])*(VLOOKUP(tblSalaries[[#This Row],[Currency]],Sheet3!$A$2:$C$31,3,FALSE))*(VLOOKUP(tblSalaries[[#This Row],[Currency]],Sheet1!$N$4:$Q$186,4,FALSE))</f>
        <v>40256.868996393685</v>
      </c>
      <c r="G1047" s="4">
        <f>IF(Dashboard!$J$5=VLOOKUP(tblSalaries[[#This Row],[Currency]],Sheet3!$A$2:$B$31,2,FALSE),tblSalaries[[#This Row],[clean Salary (in local currency)]],(tblSalaries[[#This Row],[PPP Adjusted  USD]]/VLOOKUP(Dashboard!$J$5,Sheet3!$B$2:$C$31,2,FALSE)))</f>
        <v>40256.868996393685</v>
      </c>
      <c r="H1047" t="s">
        <v>2190</v>
      </c>
      <c r="I1047" t="s">
        <v>625</v>
      </c>
      <c r="J1047" t="s">
        <v>604</v>
      </c>
      <c r="K1047" t="s">
        <v>617</v>
      </c>
      <c r="L1047">
        <v>3</v>
      </c>
    </row>
    <row r="1048" spans="2:12" ht="15" customHeight="1">
      <c r="B1048" t="s">
        <v>3288</v>
      </c>
      <c r="C1048">
        <v>850000</v>
      </c>
      <c r="D1048" t="s">
        <v>247</v>
      </c>
      <c r="E1048">
        <v>15136.729184326183</v>
      </c>
      <c r="F1048" s="3">
        <f>(tblSalaries[[#This Row],[clean Salary (in local currency)]])*(VLOOKUP(tblSalaries[[#This Row],[Currency]],Sheet3!$A$2:$C$31,3,FALSE))*(VLOOKUP(tblSalaries[[#This Row],[Currency]],Sheet1!$N$4:$Q$186,4,FALSE))</f>
        <v>40256.868996393685</v>
      </c>
      <c r="G1048" s="4">
        <f>IF(Dashboard!$J$5=VLOOKUP(tblSalaries[[#This Row],[Currency]],Sheet3!$A$2:$B$31,2,FALSE),tblSalaries[[#This Row],[clean Salary (in local currency)]],(tblSalaries[[#This Row],[PPP Adjusted  USD]]/VLOOKUP(Dashboard!$J$5,Sheet3!$B$2:$C$31,2,FALSE)))</f>
        <v>40256.868996393685</v>
      </c>
      <c r="H1048" t="s">
        <v>3289</v>
      </c>
      <c r="I1048" t="s">
        <v>603</v>
      </c>
      <c r="J1048" t="s">
        <v>604</v>
      </c>
      <c r="K1048" t="s">
        <v>605</v>
      </c>
      <c r="L1048">
        <v>5</v>
      </c>
    </row>
    <row r="1049" spans="2:12" ht="15" customHeight="1">
      <c r="B1049" t="s">
        <v>670</v>
      </c>
      <c r="C1049">
        <v>40000</v>
      </c>
      <c r="D1049" t="s">
        <v>252</v>
      </c>
      <c r="E1049">
        <v>40000</v>
      </c>
      <c r="F1049" s="3">
        <f>(tblSalaries[[#This Row],[clean Salary (in local currency)]])*(VLOOKUP(tblSalaries[[#This Row],[Currency]],Sheet3!$A$2:$C$31,3,FALSE))*(VLOOKUP(tblSalaries[[#This Row],[Currency]],Sheet1!$N$4:$Q$186,4,FALSE))</f>
        <v>40000</v>
      </c>
      <c r="G1049" s="4">
        <f>IF(Dashboard!$J$5=VLOOKUP(tblSalaries[[#This Row],[Currency]],Sheet3!$A$2:$B$31,2,FALSE),tblSalaries[[#This Row],[clean Salary (in local currency)]],(tblSalaries[[#This Row],[PPP Adjusted  USD]]/VLOOKUP(Dashboard!$J$5,Sheet3!$B$2:$C$31,2,FALSE)))</f>
        <v>40000</v>
      </c>
      <c r="H1049" t="s">
        <v>671</v>
      </c>
      <c r="I1049" t="s">
        <v>625</v>
      </c>
      <c r="J1049" t="s">
        <v>613</v>
      </c>
      <c r="K1049" t="s">
        <v>617</v>
      </c>
      <c r="L1049" t="s">
        <v>3847</v>
      </c>
    </row>
    <row r="1050" spans="2:12" ht="15" customHeight="1">
      <c r="B1050" t="s">
        <v>800</v>
      </c>
      <c r="C1050">
        <v>40000</v>
      </c>
      <c r="D1050" t="s">
        <v>252</v>
      </c>
      <c r="E1050">
        <v>40000</v>
      </c>
      <c r="F1050" s="3">
        <f>(tblSalaries[[#This Row],[clean Salary (in local currency)]])*(VLOOKUP(tblSalaries[[#This Row],[Currency]],Sheet3!$A$2:$C$31,3,FALSE))*(VLOOKUP(tblSalaries[[#This Row],[Currency]],Sheet1!$N$4:$Q$186,4,FALSE))</f>
        <v>40000</v>
      </c>
      <c r="G1050" s="4">
        <f>IF(Dashboard!$J$5=VLOOKUP(tblSalaries[[#This Row],[Currency]],Sheet3!$A$2:$B$31,2,FALSE),tblSalaries[[#This Row],[clean Salary (in local currency)]],(tblSalaries[[#This Row],[PPP Adjusted  USD]]/VLOOKUP(Dashboard!$J$5,Sheet3!$B$2:$C$31,2,FALSE)))</f>
        <v>40000</v>
      </c>
      <c r="H1050" t="s">
        <v>801</v>
      </c>
      <c r="I1050" t="s">
        <v>603</v>
      </c>
      <c r="J1050" t="s">
        <v>613</v>
      </c>
      <c r="K1050" t="s">
        <v>605</v>
      </c>
      <c r="L1050" t="s">
        <v>3847</v>
      </c>
    </row>
    <row r="1051" spans="2:12" ht="15" customHeight="1">
      <c r="B1051" t="s">
        <v>817</v>
      </c>
      <c r="C1051">
        <v>40000</v>
      </c>
      <c r="D1051" t="s">
        <v>252</v>
      </c>
      <c r="E1051">
        <v>40000</v>
      </c>
      <c r="F1051" s="3">
        <f>(tblSalaries[[#This Row],[clean Salary (in local currency)]])*(VLOOKUP(tblSalaries[[#This Row],[Currency]],Sheet3!$A$2:$C$31,3,FALSE))*(VLOOKUP(tblSalaries[[#This Row],[Currency]],Sheet1!$N$4:$Q$186,4,FALSE))</f>
        <v>40000</v>
      </c>
      <c r="G1051" s="4">
        <f>IF(Dashboard!$J$5=VLOOKUP(tblSalaries[[#This Row],[Currency]],Sheet3!$A$2:$B$31,2,FALSE),tblSalaries[[#This Row],[clean Salary (in local currency)]],(tblSalaries[[#This Row],[PPP Adjusted  USD]]/VLOOKUP(Dashboard!$J$5,Sheet3!$B$2:$C$31,2,FALSE)))</f>
        <v>40000</v>
      </c>
      <c r="H1051" t="s">
        <v>818</v>
      </c>
      <c r="I1051" t="s">
        <v>603</v>
      </c>
      <c r="J1051" t="s">
        <v>613</v>
      </c>
      <c r="K1051" t="s">
        <v>605</v>
      </c>
      <c r="L1051" t="s">
        <v>3847</v>
      </c>
    </row>
    <row r="1052" spans="2:12" ht="15" customHeight="1">
      <c r="B1052" t="s">
        <v>898</v>
      </c>
      <c r="C1052">
        <v>40000</v>
      </c>
      <c r="D1052" t="s">
        <v>252</v>
      </c>
      <c r="E1052">
        <v>40000</v>
      </c>
      <c r="F1052" s="3">
        <f>(tblSalaries[[#This Row],[clean Salary (in local currency)]])*(VLOOKUP(tblSalaries[[#This Row],[Currency]],Sheet3!$A$2:$C$31,3,FALSE))*(VLOOKUP(tblSalaries[[#This Row],[Currency]],Sheet1!$N$4:$Q$186,4,FALSE))</f>
        <v>40000</v>
      </c>
      <c r="G1052" s="4">
        <f>IF(Dashboard!$J$5=VLOOKUP(tblSalaries[[#This Row],[Currency]],Sheet3!$A$2:$B$31,2,FALSE),tblSalaries[[#This Row],[clean Salary (in local currency)]],(tblSalaries[[#This Row],[PPP Adjusted  USD]]/VLOOKUP(Dashboard!$J$5,Sheet3!$B$2:$C$31,2,FALSE)))</f>
        <v>40000</v>
      </c>
      <c r="H1052" t="s">
        <v>899</v>
      </c>
      <c r="I1052" t="s">
        <v>603</v>
      </c>
      <c r="J1052" t="s">
        <v>613</v>
      </c>
      <c r="K1052" t="s">
        <v>605</v>
      </c>
      <c r="L1052" t="s">
        <v>3847</v>
      </c>
    </row>
    <row r="1053" spans="2:12" ht="15" customHeight="1">
      <c r="B1053" t="s">
        <v>976</v>
      </c>
      <c r="C1053">
        <v>40000</v>
      </c>
      <c r="D1053" t="s">
        <v>252</v>
      </c>
      <c r="E1053">
        <v>40000</v>
      </c>
      <c r="F1053" s="3">
        <f>(tblSalaries[[#This Row],[clean Salary (in local currency)]])*(VLOOKUP(tblSalaries[[#This Row],[Currency]],Sheet3!$A$2:$C$31,3,FALSE))*(VLOOKUP(tblSalaries[[#This Row],[Currency]],Sheet1!$N$4:$Q$186,4,FALSE))</f>
        <v>40000</v>
      </c>
      <c r="G1053" s="4">
        <f>IF(Dashboard!$J$5=VLOOKUP(tblSalaries[[#This Row],[Currency]],Sheet3!$A$2:$B$31,2,FALSE),tblSalaries[[#This Row],[clean Salary (in local currency)]],(tblSalaries[[#This Row],[PPP Adjusted  USD]]/VLOOKUP(Dashboard!$J$5,Sheet3!$B$2:$C$31,2,FALSE)))</f>
        <v>40000</v>
      </c>
      <c r="H1053" t="s">
        <v>977</v>
      </c>
      <c r="I1053" t="s">
        <v>603</v>
      </c>
      <c r="J1053" t="s">
        <v>613</v>
      </c>
      <c r="K1053" t="s">
        <v>610</v>
      </c>
      <c r="L1053" t="s">
        <v>3847</v>
      </c>
    </row>
    <row r="1054" spans="2:12" ht="15" customHeight="1">
      <c r="B1054" t="s">
        <v>986</v>
      </c>
      <c r="C1054">
        <v>40000</v>
      </c>
      <c r="D1054" t="s">
        <v>252</v>
      </c>
      <c r="E1054">
        <v>40000</v>
      </c>
      <c r="F1054" s="3">
        <f>(tblSalaries[[#This Row],[clean Salary (in local currency)]])*(VLOOKUP(tblSalaries[[#This Row],[Currency]],Sheet3!$A$2:$C$31,3,FALSE))*(VLOOKUP(tblSalaries[[#This Row],[Currency]],Sheet1!$N$4:$Q$186,4,FALSE))</f>
        <v>40000</v>
      </c>
      <c r="G1054" s="4">
        <f>IF(Dashboard!$J$5=VLOOKUP(tblSalaries[[#This Row],[Currency]],Sheet3!$A$2:$B$31,2,FALSE),tblSalaries[[#This Row],[clean Salary (in local currency)]],(tblSalaries[[#This Row],[PPP Adjusted  USD]]/VLOOKUP(Dashboard!$J$5,Sheet3!$B$2:$C$31,2,FALSE)))</f>
        <v>40000</v>
      </c>
      <c r="H1054" t="s">
        <v>987</v>
      </c>
      <c r="I1054" t="s">
        <v>603</v>
      </c>
      <c r="J1054" t="s">
        <v>613</v>
      </c>
      <c r="K1054" t="s">
        <v>605</v>
      </c>
      <c r="L1054" t="s">
        <v>3847</v>
      </c>
    </row>
    <row r="1055" spans="2:12" ht="15" customHeight="1">
      <c r="B1055" t="s">
        <v>1105</v>
      </c>
      <c r="C1055">
        <v>40000</v>
      </c>
      <c r="D1055" t="s">
        <v>252</v>
      </c>
      <c r="E1055">
        <v>40000</v>
      </c>
      <c r="F1055" s="3">
        <f>(tblSalaries[[#This Row],[clean Salary (in local currency)]])*(VLOOKUP(tblSalaries[[#This Row],[Currency]],Sheet3!$A$2:$C$31,3,FALSE))*(VLOOKUP(tblSalaries[[#This Row],[Currency]],Sheet1!$N$4:$Q$186,4,FALSE))</f>
        <v>40000</v>
      </c>
      <c r="G1055" s="4">
        <f>IF(Dashboard!$J$5=VLOOKUP(tblSalaries[[#This Row],[Currency]],Sheet3!$A$2:$B$31,2,FALSE),tblSalaries[[#This Row],[clean Salary (in local currency)]],(tblSalaries[[#This Row],[PPP Adjusted  USD]]/VLOOKUP(Dashboard!$J$5,Sheet3!$B$2:$C$31,2,FALSE)))</f>
        <v>40000</v>
      </c>
      <c r="H1055" t="s">
        <v>899</v>
      </c>
      <c r="I1055" t="s">
        <v>603</v>
      </c>
      <c r="J1055" t="s">
        <v>613</v>
      </c>
      <c r="K1055" t="s">
        <v>610</v>
      </c>
      <c r="L1055" t="s">
        <v>3847</v>
      </c>
    </row>
    <row r="1056" spans="2:12" ht="15" customHeight="1">
      <c r="B1056" t="s">
        <v>1138</v>
      </c>
      <c r="C1056">
        <v>40000</v>
      </c>
      <c r="D1056" t="s">
        <v>252</v>
      </c>
      <c r="E1056">
        <v>40000</v>
      </c>
      <c r="F1056" s="3">
        <f>(tblSalaries[[#This Row],[clean Salary (in local currency)]])*(VLOOKUP(tblSalaries[[#This Row],[Currency]],Sheet3!$A$2:$C$31,3,FALSE))*(VLOOKUP(tblSalaries[[#This Row],[Currency]],Sheet1!$N$4:$Q$186,4,FALSE))</f>
        <v>40000</v>
      </c>
      <c r="G1056" s="4">
        <f>IF(Dashboard!$J$5=VLOOKUP(tblSalaries[[#This Row],[Currency]],Sheet3!$A$2:$B$31,2,FALSE),tblSalaries[[#This Row],[clean Salary (in local currency)]],(tblSalaries[[#This Row],[PPP Adjusted  USD]]/VLOOKUP(Dashboard!$J$5,Sheet3!$B$2:$C$31,2,FALSE)))</f>
        <v>40000</v>
      </c>
      <c r="H1056" t="s">
        <v>1139</v>
      </c>
      <c r="I1056" t="s">
        <v>603</v>
      </c>
      <c r="J1056" t="s">
        <v>613</v>
      </c>
      <c r="K1056" t="s">
        <v>605</v>
      </c>
      <c r="L1056" t="s">
        <v>3847</v>
      </c>
    </row>
    <row r="1057" spans="2:12" ht="15" customHeight="1">
      <c r="B1057" t="s">
        <v>1151</v>
      </c>
      <c r="C1057">
        <v>40000</v>
      </c>
      <c r="D1057" t="s">
        <v>252</v>
      </c>
      <c r="E1057">
        <v>40000</v>
      </c>
      <c r="F1057" s="3">
        <f>(tblSalaries[[#This Row],[clean Salary (in local currency)]])*(VLOOKUP(tblSalaries[[#This Row],[Currency]],Sheet3!$A$2:$C$31,3,FALSE))*(VLOOKUP(tblSalaries[[#This Row],[Currency]],Sheet1!$N$4:$Q$186,4,FALSE))</f>
        <v>40000</v>
      </c>
      <c r="G1057" s="4">
        <f>IF(Dashboard!$J$5=VLOOKUP(tblSalaries[[#This Row],[Currency]],Sheet3!$A$2:$B$31,2,FALSE),tblSalaries[[#This Row],[clean Salary (in local currency)]],(tblSalaries[[#This Row],[PPP Adjusted  USD]]/VLOOKUP(Dashboard!$J$5,Sheet3!$B$2:$C$31,2,FALSE)))</f>
        <v>40000</v>
      </c>
      <c r="H1057" t="s">
        <v>899</v>
      </c>
      <c r="I1057" t="s">
        <v>603</v>
      </c>
      <c r="J1057" t="s">
        <v>613</v>
      </c>
      <c r="K1057" t="s">
        <v>610</v>
      </c>
      <c r="L1057" t="s">
        <v>3847</v>
      </c>
    </row>
    <row r="1058" spans="2:12" ht="15" customHeight="1">
      <c r="B1058" t="s">
        <v>1204</v>
      </c>
      <c r="C1058">
        <v>40000</v>
      </c>
      <c r="D1058" t="s">
        <v>252</v>
      </c>
      <c r="E1058">
        <v>40000</v>
      </c>
      <c r="F1058" s="3">
        <f>(tblSalaries[[#This Row],[clean Salary (in local currency)]])*(VLOOKUP(tblSalaries[[#This Row],[Currency]],Sheet3!$A$2:$C$31,3,FALSE))*(VLOOKUP(tblSalaries[[#This Row],[Currency]],Sheet1!$N$4:$Q$186,4,FALSE))</f>
        <v>40000</v>
      </c>
      <c r="G1058" s="4">
        <f>IF(Dashboard!$J$5=VLOOKUP(tblSalaries[[#This Row],[Currency]],Sheet3!$A$2:$B$31,2,FALSE),tblSalaries[[#This Row],[clean Salary (in local currency)]],(tblSalaries[[#This Row],[PPP Adjusted  USD]]/VLOOKUP(Dashboard!$J$5,Sheet3!$B$2:$C$31,2,FALSE)))</f>
        <v>40000</v>
      </c>
      <c r="H1058" t="s">
        <v>1205</v>
      </c>
      <c r="I1058" t="s">
        <v>625</v>
      </c>
      <c r="J1058" t="s">
        <v>613</v>
      </c>
      <c r="K1058" t="s">
        <v>605</v>
      </c>
      <c r="L1058" t="s">
        <v>3847</v>
      </c>
    </row>
    <row r="1059" spans="2:12" ht="15" customHeight="1">
      <c r="B1059" t="s">
        <v>1225</v>
      </c>
      <c r="C1059">
        <v>40000</v>
      </c>
      <c r="D1059" t="s">
        <v>252</v>
      </c>
      <c r="E1059">
        <v>40000</v>
      </c>
      <c r="F1059" s="3">
        <f>(tblSalaries[[#This Row],[clean Salary (in local currency)]])*(VLOOKUP(tblSalaries[[#This Row],[Currency]],Sheet3!$A$2:$C$31,3,FALSE))*(VLOOKUP(tblSalaries[[#This Row],[Currency]],Sheet1!$N$4:$Q$186,4,FALSE))</f>
        <v>40000</v>
      </c>
      <c r="G1059" s="4">
        <f>IF(Dashboard!$J$5=VLOOKUP(tblSalaries[[#This Row],[Currency]],Sheet3!$A$2:$B$31,2,FALSE),tblSalaries[[#This Row],[clean Salary (in local currency)]],(tblSalaries[[#This Row],[PPP Adjusted  USD]]/VLOOKUP(Dashboard!$J$5,Sheet3!$B$2:$C$31,2,FALSE)))</f>
        <v>40000</v>
      </c>
      <c r="H1059" t="s">
        <v>1226</v>
      </c>
      <c r="I1059" t="s">
        <v>625</v>
      </c>
      <c r="J1059" t="s">
        <v>644</v>
      </c>
      <c r="K1059" t="s">
        <v>605</v>
      </c>
      <c r="L1059" t="s">
        <v>3847</v>
      </c>
    </row>
    <row r="1060" spans="2:12" ht="15" customHeight="1">
      <c r="B1060" t="s">
        <v>1367</v>
      </c>
      <c r="C1060">
        <v>40000</v>
      </c>
      <c r="D1060" t="s">
        <v>252</v>
      </c>
      <c r="E1060">
        <v>40000</v>
      </c>
      <c r="F1060" s="3">
        <f>(tblSalaries[[#This Row],[clean Salary (in local currency)]])*(VLOOKUP(tblSalaries[[#This Row],[Currency]],Sheet3!$A$2:$C$31,3,FALSE))*(VLOOKUP(tblSalaries[[#This Row],[Currency]],Sheet1!$N$4:$Q$186,4,FALSE))</f>
        <v>40000</v>
      </c>
      <c r="G1060" s="4">
        <f>IF(Dashboard!$J$5=VLOOKUP(tblSalaries[[#This Row],[Currency]],Sheet3!$A$2:$B$31,2,FALSE),tblSalaries[[#This Row],[clean Salary (in local currency)]],(tblSalaries[[#This Row],[PPP Adjusted  USD]]/VLOOKUP(Dashboard!$J$5,Sheet3!$B$2:$C$31,2,FALSE)))</f>
        <v>40000</v>
      </c>
      <c r="H1060" t="s">
        <v>1368</v>
      </c>
      <c r="I1060" t="s">
        <v>625</v>
      </c>
      <c r="J1060" t="s">
        <v>613</v>
      </c>
      <c r="K1060" t="s">
        <v>617</v>
      </c>
      <c r="L1060" t="s">
        <v>3847</v>
      </c>
    </row>
    <row r="1061" spans="2:12" ht="15" customHeight="1">
      <c r="B1061" t="s">
        <v>1536</v>
      </c>
      <c r="C1061">
        <v>40000</v>
      </c>
      <c r="D1061" t="s">
        <v>252</v>
      </c>
      <c r="E1061">
        <v>40000</v>
      </c>
      <c r="F1061" s="3">
        <f>(tblSalaries[[#This Row],[clean Salary (in local currency)]])*(VLOOKUP(tblSalaries[[#This Row],[Currency]],Sheet3!$A$2:$C$31,3,FALSE))*(VLOOKUP(tblSalaries[[#This Row],[Currency]],Sheet1!$N$4:$Q$186,4,FALSE))</f>
        <v>40000</v>
      </c>
      <c r="G1061" s="4">
        <f>IF(Dashboard!$J$5=VLOOKUP(tblSalaries[[#This Row],[Currency]],Sheet3!$A$2:$B$31,2,FALSE),tblSalaries[[#This Row],[clean Salary (in local currency)]],(tblSalaries[[#This Row],[PPP Adjusted  USD]]/VLOOKUP(Dashboard!$J$5,Sheet3!$B$2:$C$31,2,FALSE)))</f>
        <v>40000</v>
      </c>
      <c r="H1061" t="s">
        <v>1537</v>
      </c>
      <c r="I1061" t="s">
        <v>603</v>
      </c>
      <c r="J1061" t="s">
        <v>613</v>
      </c>
      <c r="K1061" t="s">
        <v>617</v>
      </c>
      <c r="L1061" t="s">
        <v>3847</v>
      </c>
    </row>
    <row r="1062" spans="2:12" ht="15" customHeight="1">
      <c r="B1062" t="s">
        <v>1933</v>
      </c>
      <c r="C1062">
        <v>40000</v>
      </c>
      <c r="D1062" t="s">
        <v>252</v>
      </c>
      <c r="E1062">
        <v>40000</v>
      </c>
      <c r="F1062" s="3">
        <f>(tblSalaries[[#This Row],[clean Salary (in local currency)]])*(VLOOKUP(tblSalaries[[#This Row],[Currency]],Sheet3!$A$2:$C$31,3,FALSE))*(VLOOKUP(tblSalaries[[#This Row],[Currency]],Sheet1!$N$4:$Q$186,4,FALSE))</f>
        <v>40000</v>
      </c>
      <c r="G1062" s="4">
        <f>IF(Dashboard!$J$5=VLOOKUP(tblSalaries[[#This Row],[Currency]],Sheet3!$A$2:$B$31,2,FALSE),tblSalaries[[#This Row],[clean Salary (in local currency)]],(tblSalaries[[#This Row],[PPP Adjusted  USD]]/VLOOKUP(Dashboard!$J$5,Sheet3!$B$2:$C$31,2,FALSE)))</f>
        <v>40000</v>
      </c>
      <c r="H1062" t="s">
        <v>1934</v>
      </c>
      <c r="I1062" t="s">
        <v>625</v>
      </c>
      <c r="J1062" t="s">
        <v>604</v>
      </c>
      <c r="K1062" t="s">
        <v>610</v>
      </c>
      <c r="L1062">
        <v>15</v>
      </c>
    </row>
    <row r="1063" spans="2:12" ht="15" customHeight="1">
      <c r="B1063" t="s">
        <v>2097</v>
      </c>
      <c r="C1063">
        <v>40000</v>
      </c>
      <c r="D1063" t="s">
        <v>252</v>
      </c>
      <c r="E1063">
        <v>40000</v>
      </c>
      <c r="F1063" s="3">
        <f>(tblSalaries[[#This Row],[clean Salary (in local currency)]])*(VLOOKUP(tblSalaries[[#This Row],[Currency]],Sheet3!$A$2:$C$31,3,FALSE))*(VLOOKUP(tblSalaries[[#This Row],[Currency]],Sheet1!$N$4:$Q$186,4,FALSE))</f>
        <v>40000</v>
      </c>
      <c r="G1063" s="4">
        <f>IF(Dashboard!$J$5=VLOOKUP(tblSalaries[[#This Row],[Currency]],Sheet3!$A$2:$B$31,2,FALSE),tblSalaries[[#This Row],[clean Salary (in local currency)]],(tblSalaries[[#This Row],[PPP Adjusted  USD]]/VLOOKUP(Dashboard!$J$5,Sheet3!$B$2:$C$31,2,FALSE)))</f>
        <v>40000</v>
      </c>
      <c r="H1063" t="s">
        <v>2098</v>
      </c>
      <c r="I1063" t="s">
        <v>625</v>
      </c>
      <c r="J1063" t="s">
        <v>613</v>
      </c>
      <c r="K1063" t="s">
        <v>617</v>
      </c>
      <c r="L1063">
        <v>20</v>
      </c>
    </row>
    <row r="1064" spans="2:12" ht="15" customHeight="1">
      <c r="B1064" t="s">
        <v>2136</v>
      </c>
      <c r="C1064">
        <v>40000</v>
      </c>
      <c r="D1064" t="s">
        <v>252</v>
      </c>
      <c r="E1064">
        <v>40000</v>
      </c>
      <c r="F1064" s="3">
        <f>(tblSalaries[[#This Row],[clean Salary (in local currency)]])*(VLOOKUP(tblSalaries[[#This Row],[Currency]],Sheet3!$A$2:$C$31,3,FALSE))*(VLOOKUP(tblSalaries[[#This Row],[Currency]],Sheet1!$N$4:$Q$186,4,FALSE))</f>
        <v>40000</v>
      </c>
      <c r="G1064" s="4">
        <f>IF(Dashboard!$J$5=VLOOKUP(tblSalaries[[#This Row],[Currency]],Sheet3!$A$2:$B$31,2,FALSE),tblSalaries[[#This Row],[clean Salary (in local currency)]],(tblSalaries[[#This Row],[PPP Adjusted  USD]]/VLOOKUP(Dashboard!$J$5,Sheet3!$B$2:$C$31,2,FALSE)))</f>
        <v>40000</v>
      </c>
      <c r="H1064" t="s">
        <v>2137</v>
      </c>
      <c r="I1064" t="s">
        <v>603</v>
      </c>
      <c r="J1064" t="s">
        <v>613</v>
      </c>
      <c r="K1064" t="s">
        <v>610</v>
      </c>
      <c r="L1064">
        <v>4</v>
      </c>
    </row>
    <row r="1065" spans="2:12" ht="15" customHeight="1">
      <c r="B1065" t="s">
        <v>2151</v>
      </c>
      <c r="C1065">
        <v>40000</v>
      </c>
      <c r="D1065" t="s">
        <v>252</v>
      </c>
      <c r="E1065">
        <v>40000</v>
      </c>
      <c r="F1065" s="3">
        <f>(tblSalaries[[#This Row],[clean Salary (in local currency)]])*(VLOOKUP(tblSalaries[[#This Row],[Currency]],Sheet3!$A$2:$C$31,3,FALSE))*(VLOOKUP(tblSalaries[[#This Row],[Currency]],Sheet1!$N$4:$Q$186,4,FALSE))</f>
        <v>40000</v>
      </c>
      <c r="G1065" s="4">
        <f>IF(Dashboard!$J$5=VLOOKUP(tblSalaries[[#This Row],[Currency]],Sheet3!$A$2:$B$31,2,FALSE),tblSalaries[[#This Row],[clean Salary (in local currency)]],(tblSalaries[[#This Row],[PPP Adjusted  USD]]/VLOOKUP(Dashboard!$J$5,Sheet3!$B$2:$C$31,2,FALSE)))</f>
        <v>40000</v>
      </c>
      <c r="H1065" t="s">
        <v>2152</v>
      </c>
      <c r="I1065" t="s">
        <v>603</v>
      </c>
      <c r="J1065" t="s">
        <v>613</v>
      </c>
      <c r="K1065" t="s">
        <v>610</v>
      </c>
      <c r="L1065">
        <v>2</v>
      </c>
    </row>
    <row r="1066" spans="2:12" ht="15" customHeight="1">
      <c r="B1066" t="s">
        <v>2307</v>
      </c>
      <c r="C1066">
        <v>40000</v>
      </c>
      <c r="D1066" t="s">
        <v>252</v>
      </c>
      <c r="E1066">
        <v>40000</v>
      </c>
      <c r="F1066" s="3">
        <f>(tblSalaries[[#This Row],[clean Salary (in local currency)]])*(VLOOKUP(tblSalaries[[#This Row],[Currency]],Sheet3!$A$2:$C$31,3,FALSE))*(VLOOKUP(tblSalaries[[#This Row],[Currency]],Sheet1!$N$4:$Q$186,4,FALSE))</f>
        <v>40000</v>
      </c>
      <c r="G1066" s="4">
        <f>IF(Dashboard!$J$5=VLOOKUP(tblSalaries[[#This Row],[Currency]],Sheet3!$A$2:$B$31,2,FALSE),tblSalaries[[#This Row],[clean Salary (in local currency)]],(tblSalaries[[#This Row],[PPP Adjusted  USD]]/VLOOKUP(Dashboard!$J$5,Sheet3!$B$2:$C$31,2,FALSE)))</f>
        <v>40000</v>
      </c>
      <c r="H1066" t="s">
        <v>987</v>
      </c>
      <c r="I1066" t="s">
        <v>603</v>
      </c>
      <c r="J1066" t="s">
        <v>1604</v>
      </c>
      <c r="K1066" t="s">
        <v>605</v>
      </c>
      <c r="L1066">
        <v>5</v>
      </c>
    </row>
    <row r="1067" spans="2:12" ht="15" customHeight="1">
      <c r="B1067" t="s">
        <v>2591</v>
      </c>
      <c r="C1067">
        <v>40000</v>
      </c>
      <c r="D1067" t="s">
        <v>252</v>
      </c>
      <c r="E1067">
        <v>40000</v>
      </c>
      <c r="F1067" s="3">
        <f>(tblSalaries[[#This Row],[clean Salary (in local currency)]])*(VLOOKUP(tblSalaries[[#This Row],[Currency]],Sheet3!$A$2:$C$31,3,FALSE))*(VLOOKUP(tblSalaries[[#This Row],[Currency]],Sheet1!$N$4:$Q$186,4,FALSE))</f>
        <v>40000</v>
      </c>
      <c r="G1067" s="4">
        <f>IF(Dashboard!$J$5=VLOOKUP(tblSalaries[[#This Row],[Currency]],Sheet3!$A$2:$B$31,2,FALSE),tblSalaries[[#This Row],[clean Salary (in local currency)]],(tblSalaries[[#This Row],[PPP Adjusted  USD]]/VLOOKUP(Dashboard!$J$5,Sheet3!$B$2:$C$31,2,FALSE)))</f>
        <v>40000</v>
      </c>
      <c r="H1067" t="s">
        <v>620</v>
      </c>
      <c r="I1067" t="s">
        <v>620</v>
      </c>
      <c r="J1067" t="s">
        <v>604</v>
      </c>
      <c r="K1067" t="s">
        <v>617</v>
      </c>
      <c r="L1067">
        <v>2</v>
      </c>
    </row>
    <row r="1068" spans="2:12" ht="15" customHeight="1">
      <c r="B1068" t="s">
        <v>2719</v>
      </c>
      <c r="C1068">
        <v>40000</v>
      </c>
      <c r="D1068" t="s">
        <v>252</v>
      </c>
      <c r="E1068">
        <v>40000</v>
      </c>
      <c r="F1068" s="3">
        <f>(tblSalaries[[#This Row],[clean Salary (in local currency)]])*(VLOOKUP(tblSalaries[[#This Row],[Currency]],Sheet3!$A$2:$C$31,3,FALSE))*(VLOOKUP(tblSalaries[[#This Row],[Currency]],Sheet1!$N$4:$Q$186,4,FALSE))</f>
        <v>40000</v>
      </c>
      <c r="G1068" s="4">
        <f>IF(Dashboard!$J$5=VLOOKUP(tblSalaries[[#This Row],[Currency]],Sheet3!$A$2:$B$31,2,FALSE),tblSalaries[[#This Row],[clean Salary (in local currency)]],(tblSalaries[[#This Row],[PPP Adjusted  USD]]/VLOOKUP(Dashboard!$J$5,Sheet3!$B$2:$C$31,2,FALSE)))</f>
        <v>40000</v>
      </c>
      <c r="H1068" t="s">
        <v>2720</v>
      </c>
      <c r="I1068" t="s">
        <v>637</v>
      </c>
      <c r="J1068" t="s">
        <v>613</v>
      </c>
      <c r="K1068" t="s">
        <v>617</v>
      </c>
      <c r="L1068">
        <v>15</v>
      </c>
    </row>
    <row r="1069" spans="2:12" ht="15" customHeight="1">
      <c r="B1069" t="s">
        <v>2737</v>
      </c>
      <c r="C1069">
        <v>40000</v>
      </c>
      <c r="D1069" t="s">
        <v>252</v>
      </c>
      <c r="E1069">
        <v>40000</v>
      </c>
      <c r="F1069" s="3">
        <f>(tblSalaries[[#This Row],[clean Salary (in local currency)]])*(VLOOKUP(tblSalaries[[#This Row],[Currency]],Sheet3!$A$2:$C$31,3,FALSE))*(VLOOKUP(tblSalaries[[#This Row],[Currency]],Sheet1!$N$4:$Q$186,4,FALSE))</f>
        <v>40000</v>
      </c>
      <c r="G1069" s="4">
        <f>IF(Dashboard!$J$5=VLOOKUP(tblSalaries[[#This Row],[Currency]],Sheet3!$A$2:$B$31,2,FALSE),tblSalaries[[#This Row],[clean Salary (in local currency)]],(tblSalaries[[#This Row],[PPP Adjusted  USD]]/VLOOKUP(Dashboard!$J$5,Sheet3!$B$2:$C$31,2,FALSE)))</f>
        <v>40000</v>
      </c>
      <c r="H1069" t="s">
        <v>2738</v>
      </c>
      <c r="I1069" t="s">
        <v>625</v>
      </c>
      <c r="J1069" t="s">
        <v>616</v>
      </c>
      <c r="K1069" t="s">
        <v>605</v>
      </c>
      <c r="L1069">
        <v>15</v>
      </c>
    </row>
    <row r="1070" spans="2:12" ht="15" customHeight="1">
      <c r="B1070" t="s">
        <v>2793</v>
      </c>
      <c r="C1070">
        <v>40000</v>
      </c>
      <c r="D1070" t="s">
        <v>252</v>
      </c>
      <c r="E1070">
        <v>40000</v>
      </c>
      <c r="F1070" s="3">
        <f>(tblSalaries[[#This Row],[clean Salary (in local currency)]])*(VLOOKUP(tblSalaries[[#This Row],[Currency]],Sheet3!$A$2:$C$31,3,FALSE))*(VLOOKUP(tblSalaries[[#This Row],[Currency]],Sheet1!$N$4:$Q$186,4,FALSE))</f>
        <v>40000</v>
      </c>
      <c r="G1070" s="4">
        <f>IF(Dashboard!$J$5=VLOOKUP(tblSalaries[[#This Row],[Currency]],Sheet3!$A$2:$B$31,2,FALSE),tblSalaries[[#This Row],[clean Salary (in local currency)]],(tblSalaries[[#This Row],[PPP Adjusted  USD]]/VLOOKUP(Dashboard!$J$5,Sheet3!$B$2:$C$31,2,FALSE)))</f>
        <v>40000</v>
      </c>
      <c r="H1070" t="s">
        <v>2794</v>
      </c>
      <c r="I1070" t="s">
        <v>625</v>
      </c>
      <c r="J1070" t="s">
        <v>613</v>
      </c>
      <c r="K1070" t="s">
        <v>617</v>
      </c>
      <c r="L1070">
        <v>18</v>
      </c>
    </row>
    <row r="1071" spans="2:12" ht="15" customHeight="1">
      <c r="B1071" t="s">
        <v>3018</v>
      </c>
      <c r="C1071">
        <v>40000</v>
      </c>
      <c r="D1071" t="s">
        <v>252</v>
      </c>
      <c r="E1071">
        <v>40000</v>
      </c>
      <c r="F1071" s="3">
        <f>(tblSalaries[[#This Row],[clean Salary (in local currency)]])*(VLOOKUP(tblSalaries[[#This Row],[Currency]],Sheet3!$A$2:$C$31,3,FALSE))*(VLOOKUP(tblSalaries[[#This Row],[Currency]],Sheet1!$N$4:$Q$186,4,FALSE))</f>
        <v>40000</v>
      </c>
      <c r="G1071" s="4">
        <f>IF(Dashboard!$J$5=VLOOKUP(tblSalaries[[#This Row],[Currency]],Sheet3!$A$2:$B$31,2,FALSE),tblSalaries[[#This Row],[clean Salary (in local currency)]],(tblSalaries[[#This Row],[PPP Adjusted  USD]]/VLOOKUP(Dashboard!$J$5,Sheet3!$B$2:$C$31,2,FALSE)))</f>
        <v>40000</v>
      </c>
      <c r="H1071" t="s">
        <v>3019</v>
      </c>
      <c r="I1071" t="s">
        <v>625</v>
      </c>
      <c r="J1071" t="s">
        <v>613</v>
      </c>
      <c r="K1071" t="s">
        <v>627</v>
      </c>
      <c r="L1071">
        <v>8</v>
      </c>
    </row>
    <row r="1072" spans="2:12" ht="15" customHeight="1">
      <c r="B1072" t="s">
        <v>3024</v>
      </c>
      <c r="C1072">
        <v>40000</v>
      </c>
      <c r="D1072" t="s">
        <v>252</v>
      </c>
      <c r="E1072">
        <v>40000</v>
      </c>
      <c r="F1072" s="3">
        <f>(tblSalaries[[#This Row],[clean Salary (in local currency)]])*(VLOOKUP(tblSalaries[[#This Row],[Currency]],Sheet3!$A$2:$C$31,3,FALSE))*(VLOOKUP(tblSalaries[[#This Row],[Currency]],Sheet1!$N$4:$Q$186,4,FALSE))</f>
        <v>40000</v>
      </c>
      <c r="G1072" s="4">
        <f>IF(Dashboard!$J$5=VLOOKUP(tblSalaries[[#This Row],[Currency]],Sheet3!$A$2:$B$31,2,FALSE),tblSalaries[[#This Row],[clean Salary (in local currency)]],(tblSalaries[[#This Row],[PPP Adjusted  USD]]/VLOOKUP(Dashboard!$J$5,Sheet3!$B$2:$C$31,2,FALSE)))</f>
        <v>40000</v>
      </c>
      <c r="H1072" t="s">
        <v>3025</v>
      </c>
      <c r="I1072" t="s">
        <v>625</v>
      </c>
      <c r="J1072" t="s">
        <v>613</v>
      </c>
      <c r="K1072" t="s">
        <v>605</v>
      </c>
      <c r="L1072">
        <v>1</v>
      </c>
    </row>
    <row r="1073" spans="2:12" ht="15" customHeight="1">
      <c r="B1073" t="s">
        <v>3041</v>
      </c>
      <c r="C1073">
        <v>40000</v>
      </c>
      <c r="D1073" t="s">
        <v>252</v>
      </c>
      <c r="E1073">
        <v>40000</v>
      </c>
      <c r="F1073" s="3">
        <f>(tblSalaries[[#This Row],[clean Salary (in local currency)]])*(VLOOKUP(tblSalaries[[#This Row],[Currency]],Sheet3!$A$2:$C$31,3,FALSE))*(VLOOKUP(tblSalaries[[#This Row],[Currency]],Sheet1!$N$4:$Q$186,4,FALSE))</f>
        <v>40000</v>
      </c>
      <c r="G1073" s="4">
        <f>IF(Dashboard!$J$5=VLOOKUP(tblSalaries[[#This Row],[Currency]],Sheet3!$A$2:$B$31,2,FALSE),tblSalaries[[#This Row],[clean Salary (in local currency)]],(tblSalaries[[#This Row],[PPP Adjusted  USD]]/VLOOKUP(Dashboard!$J$5,Sheet3!$B$2:$C$31,2,FALSE)))</f>
        <v>40000</v>
      </c>
      <c r="H1073" t="s">
        <v>1577</v>
      </c>
      <c r="I1073" t="s">
        <v>603</v>
      </c>
      <c r="J1073" t="s">
        <v>613</v>
      </c>
      <c r="K1073" t="s">
        <v>617</v>
      </c>
      <c r="L1073">
        <v>6</v>
      </c>
    </row>
    <row r="1074" spans="2:12" ht="15" customHeight="1">
      <c r="B1074" t="s">
        <v>3276</v>
      </c>
      <c r="C1074">
        <v>40000</v>
      </c>
      <c r="D1074" t="s">
        <v>252</v>
      </c>
      <c r="E1074">
        <v>40000</v>
      </c>
      <c r="F1074" s="3">
        <f>(tblSalaries[[#This Row],[clean Salary (in local currency)]])*(VLOOKUP(tblSalaries[[#This Row],[Currency]],Sheet3!$A$2:$C$31,3,FALSE))*(VLOOKUP(tblSalaries[[#This Row],[Currency]],Sheet1!$N$4:$Q$186,4,FALSE))</f>
        <v>40000</v>
      </c>
      <c r="G1074" s="4">
        <f>IF(Dashboard!$J$5=VLOOKUP(tblSalaries[[#This Row],[Currency]],Sheet3!$A$2:$B$31,2,FALSE),tblSalaries[[#This Row],[clean Salary (in local currency)]],(tblSalaries[[#This Row],[PPP Adjusted  USD]]/VLOOKUP(Dashboard!$J$5,Sheet3!$B$2:$C$31,2,FALSE)))</f>
        <v>40000</v>
      </c>
      <c r="H1074" t="s">
        <v>3277</v>
      </c>
      <c r="I1074" t="s">
        <v>603</v>
      </c>
      <c r="J1074" t="s">
        <v>613</v>
      </c>
      <c r="K1074" t="s">
        <v>605</v>
      </c>
      <c r="L1074">
        <v>8</v>
      </c>
    </row>
    <row r="1075" spans="2:12" ht="15" customHeight="1">
      <c r="B1075" t="s">
        <v>3579</v>
      </c>
      <c r="C1075">
        <v>40000</v>
      </c>
      <c r="D1075" t="s">
        <v>252</v>
      </c>
      <c r="E1075">
        <v>40000</v>
      </c>
      <c r="F1075" s="3">
        <f>(tblSalaries[[#This Row],[clean Salary (in local currency)]])*(VLOOKUP(tblSalaries[[#This Row],[Currency]],Sheet3!$A$2:$C$31,3,FALSE))*(VLOOKUP(tblSalaries[[#This Row],[Currency]],Sheet1!$N$4:$Q$186,4,FALSE))</f>
        <v>40000</v>
      </c>
      <c r="G1075" s="4">
        <f>IF(Dashboard!$J$5=VLOOKUP(tblSalaries[[#This Row],[Currency]],Sheet3!$A$2:$B$31,2,FALSE),tblSalaries[[#This Row],[clean Salary (in local currency)]],(tblSalaries[[#This Row],[PPP Adjusted  USD]]/VLOOKUP(Dashboard!$J$5,Sheet3!$B$2:$C$31,2,FALSE)))</f>
        <v>40000</v>
      </c>
      <c r="H1075" t="s">
        <v>891</v>
      </c>
      <c r="I1075" t="s">
        <v>603</v>
      </c>
      <c r="J1075" t="s">
        <v>613</v>
      </c>
      <c r="K1075" t="s">
        <v>605</v>
      </c>
      <c r="L1075">
        <v>5</v>
      </c>
    </row>
    <row r="1076" spans="2:12" ht="15" customHeight="1">
      <c r="B1076" t="s">
        <v>3623</v>
      </c>
      <c r="C1076">
        <v>40000</v>
      </c>
      <c r="D1076" t="s">
        <v>252</v>
      </c>
      <c r="E1076">
        <v>40000</v>
      </c>
      <c r="F1076" s="3">
        <f>(tblSalaries[[#This Row],[clean Salary (in local currency)]])*(VLOOKUP(tblSalaries[[#This Row],[Currency]],Sheet3!$A$2:$C$31,3,FALSE))*(VLOOKUP(tblSalaries[[#This Row],[Currency]],Sheet1!$N$4:$Q$186,4,FALSE))</f>
        <v>40000</v>
      </c>
      <c r="G1076" s="4">
        <f>IF(Dashboard!$J$5=VLOOKUP(tblSalaries[[#This Row],[Currency]],Sheet3!$A$2:$B$31,2,FALSE),tblSalaries[[#This Row],[clean Salary (in local currency)]],(tblSalaries[[#This Row],[PPP Adjusted  USD]]/VLOOKUP(Dashboard!$J$5,Sheet3!$B$2:$C$31,2,FALSE)))</f>
        <v>40000</v>
      </c>
      <c r="H1076" t="s">
        <v>1888</v>
      </c>
      <c r="I1076" t="s">
        <v>603</v>
      </c>
      <c r="J1076" t="s">
        <v>613</v>
      </c>
      <c r="K1076" t="s">
        <v>617</v>
      </c>
      <c r="L1076">
        <v>2</v>
      </c>
    </row>
    <row r="1077" spans="2:12" ht="15" customHeight="1">
      <c r="B1077" t="s">
        <v>3696</v>
      </c>
      <c r="C1077">
        <v>40000</v>
      </c>
      <c r="D1077" t="s">
        <v>252</v>
      </c>
      <c r="E1077">
        <v>40000</v>
      </c>
      <c r="F1077" s="3">
        <f>(tblSalaries[[#This Row],[clean Salary (in local currency)]])*(VLOOKUP(tblSalaries[[#This Row],[Currency]],Sheet3!$A$2:$C$31,3,FALSE))*(VLOOKUP(tblSalaries[[#This Row],[Currency]],Sheet1!$N$4:$Q$186,4,FALSE))</f>
        <v>40000</v>
      </c>
      <c r="G1077" s="4">
        <f>IF(Dashboard!$J$5=VLOOKUP(tblSalaries[[#This Row],[Currency]],Sheet3!$A$2:$B$31,2,FALSE),tblSalaries[[#This Row],[clean Salary (in local currency)]],(tblSalaries[[#This Row],[PPP Adjusted  USD]]/VLOOKUP(Dashboard!$J$5,Sheet3!$B$2:$C$31,2,FALSE)))</f>
        <v>40000</v>
      </c>
      <c r="H1077" t="s">
        <v>3697</v>
      </c>
      <c r="I1077" t="s">
        <v>603</v>
      </c>
      <c r="J1077" t="s">
        <v>613</v>
      </c>
      <c r="K1077" t="s">
        <v>617</v>
      </c>
      <c r="L1077">
        <v>0</v>
      </c>
    </row>
    <row r="1078" spans="2:12" ht="15" customHeight="1">
      <c r="B1078" t="s">
        <v>3711</v>
      </c>
      <c r="C1078">
        <v>40000</v>
      </c>
      <c r="D1078" t="s">
        <v>252</v>
      </c>
      <c r="E1078">
        <v>40000</v>
      </c>
      <c r="F1078" s="3">
        <f>(tblSalaries[[#This Row],[clean Salary (in local currency)]])*(VLOOKUP(tblSalaries[[#This Row],[Currency]],Sheet3!$A$2:$C$31,3,FALSE))*(VLOOKUP(tblSalaries[[#This Row],[Currency]],Sheet1!$N$4:$Q$186,4,FALSE))</f>
        <v>40000</v>
      </c>
      <c r="G1078" s="4">
        <f>IF(Dashboard!$J$5=VLOOKUP(tblSalaries[[#This Row],[Currency]],Sheet3!$A$2:$B$31,2,FALSE),tblSalaries[[#This Row],[clean Salary (in local currency)]],(tblSalaries[[#This Row],[PPP Adjusted  USD]]/VLOOKUP(Dashboard!$J$5,Sheet3!$B$2:$C$31,2,FALSE)))</f>
        <v>40000</v>
      </c>
      <c r="H1078" t="s">
        <v>3712</v>
      </c>
      <c r="I1078" t="s">
        <v>640</v>
      </c>
      <c r="J1078" t="s">
        <v>613</v>
      </c>
      <c r="K1078" t="s">
        <v>605</v>
      </c>
      <c r="L1078">
        <v>1</v>
      </c>
    </row>
    <row r="1079" spans="2:12" ht="15" customHeight="1">
      <c r="B1079" t="s">
        <v>3753</v>
      </c>
      <c r="C1079">
        <v>40000</v>
      </c>
      <c r="D1079" t="s">
        <v>252</v>
      </c>
      <c r="E1079">
        <v>40000</v>
      </c>
      <c r="F1079" s="3">
        <f>(tblSalaries[[#This Row],[clean Salary (in local currency)]])*(VLOOKUP(tblSalaries[[#This Row],[Currency]],Sheet3!$A$2:$C$31,3,FALSE))*(VLOOKUP(tblSalaries[[#This Row],[Currency]],Sheet1!$N$4:$Q$186,4,FALSE))</f>
        <v>40000</v>
      </c>
      <c r="G1079" s="4">
        <f>IF(Dashboard!$J$5=VLOOKUP(tblSalaries[[#This Row],[Currency]],Sheet3!$A$2:$B$31,2,FALSE),tblSalaries[[#This Row],[clean Salary (in local currency)]],(tblSalaries[[#This Row],[PPP Adjusted  USD]]/VLOOKUP(Dashboard!$J$5,Sheet3!$B$2:$C$31,2,FALSE)))</f>
        <v>40000</v>
      </c>
      <c r="H1079" t="s">
        <v>2190</v>
      </c>
      <c r="I1079" t="s">
        <v>625</v>
      </c>
      <c r="J1079" t="s">
        <v>604</v>
      </c>
      <c r="K1079" t="s">
        <v>605</v>
      </c>
      <c r="L1079">
        <v>5</v>
      </c>
    </row>
    <row r="1080" spans="2:12" ht="15" customHeight="1">
      <c r="B1080" t="s">
        <v>3829</v>
      </c>
      <c r="C1080">
        <v>40000</v>
      </c>
      <c r="D1080" t="s">
        <v>252</v>
      </c>
      <c r="E1080">
        <v>40000</v>
      </c>
      <c r="F1080" s="3">
        <f>(tblSalaries[[#This Row],[clean Salary (in local currency)]])*(VLOOKUP(tblSalaries[[#This Row],[Currency]],Sheet3!$A$2:$C$31,3,FALSE))*(VLOOKUP(tblSalaries[[#This Row],[Currency]],Sheet1!$N$4:$Q$186,4,FALSE))</f>
        <v>40000</v>
      </c>
      <c r="G1080" s="4">
        <f>IF(Dashboard!$J$5=VLOOKUP(tblSalaries[[#This Row],[Currency]],Sheet3!$A$2:$B$31,2,FALSE),tblSalaries[[#This Row],[clean Salary (in local currency)]],(tblSalaries[[#This Row],[PPP Adjusted  USD]]/VLOOKUP(Dashboard!$J$5,Sheet3!$B$2:$C$31,2,FALSE)))</f>
        <v>40000</v>
      </c>
      <c r="H1080" t="s">
        <v>3830</v>
      </c>
      <c r="I1080" t="s">
        <v>603</v>
      </c>
      <c r="J1080" t="s">
        <v>613</v>
      </c>
      <c r="K1080" t="s">
        <v>627</v>
      </c>
      <c r="L1080">
        <v>3</v>
      </c>
    </row>
    <row r="1081" spans="2:12" ht="15" customHeight="1">
      <c r="B1081" t="s">
        <v>2457</v>
      </c>
      <c r="C1081">
        <v>240000</v>
      </c>
      <c r="D1081" t="s">
        <v>400</v>
      </c>
      <c r="E1081">
        <v>29261.227167098674</v>
      </c>
      <c r="F1081" s="3">
        <f>(tblSalaries[[#This Row],[clean Salary (in local currency)]])*(VLOOKUP(tblSalaries[[#This Row],[Currency]],Sheet3!$A$2:$C$31,3,FALSE))*(VLOOKUP(tblSalaries[[#This Row],[Currency]],Sheet1!$N$4:$Q$186,4,FALSE))</f>
        <v>39806.265731656895</v>
      </c>
      <c r="G1081" s="4">
        <f>IF(Dashboard!$J$5=VLOOKUP(tblSalaries[[#This Row],[Currency]],Sheet3!$A$2:$B$31,2,FALSE),tblSalaries[[#This Row],[clean Salary (in local currency)]],(tblSalaries[[#This Row],[PPP Adjusted  USD]]/VLOOKUP(Dashboard!$J$5,Sheet3!$B$2:$C$31,2,FALSE)))</f>
        <v>39806.265731656895</v>
      </c>
      <c r="H1081" t="s">
        <v>2458</v>
      </c>
      <c r="I1081" t="s">
        <v>637</v>
      </c>
      <c r="J1081" t="s">
        <v>659</v>
      </c>
      <c r="K1081" t="s">
        <v>617</v>
      </c>
      <c r="L1081">
        <v>20</v>
      </c>
    </row>
    <row r="1082" spans="2:12" ht="15" customHeight="1">
      <c r="B1082" t="s">
        <v>2946</v>
      </c>
      <c r="C1082">
        <v>27000</v>
      </c>
      <c r="D1082" t="s">
        <v>204</v>
      </c>
      <c r="E1082">
        <v>42556.81334581667</v>
      </c>
      <c r="F1082" s="3">
        <f>(tblSalaries[[#This Row],[clean Salary (in local currency)]])*(VLOOKUP(tblSalaries[[#This Row],[Currency]],Sheet3!$A$2:$C$31,3,FALSE))*(VLOOKUP(tblSalaries[[#This Row],[Currency]],Sheet1!$N$4:$Q$186,4,FALSE))</f>
        <v>39797.222534471541</v>
      </c>
      <c r="G1082" s="4">
        <f>IF(Dashboard!$J$5=VLOOKUP(tblSalaries[[#This Row],[Currency]],Sheet3!$A$2:$B$31,2,FALSE),tblSalaries[[#This Row],[clean Salary (in local currency)]],(tblSalaries[[#This Row],[PPP Adjusted  USD]]/VLOOKUP(Dashboard!$J$5,Sheet3!$B$2:$C$31,2,FALSE)))</f>
        <v>39797.222534471541</v>
      </c>
      <c r="H1082" t="s">
        <v>2947</v>
      </c>
      <c r="I1082" t="s">
        <v>620</v>
      </c>
      <c r="J1082" t="s">
        <v>687</v>
      </c>
      <c r="K1082" t="s">
        <v>605</v>
      </c>
      <c r="L1082">
        <v>1</v>
      </c>
    </row>
    <row r="1083" spans="2:12" ht="15" customHeight="1">
      <c r="B1083" t="s">
        <v>3521</v>
      </c>
      <c r="C1083">
        <v>27000</v>
      </c>
      <c r="D1083" t="s">
        <v>204</v>
      </c>
      <c r="E1083">
        <v>42556.81334581667</v>
      </c>
      <c r="F1083" s="3">
        <f>(tblSalaries[[#This Row],[clean Salary (in local currency)]])*(VLOOKUP(tblSalaries[[#This Row],[Currency]],Sheet3!$A$2:$C$31,3,FALSE))*(VLOOKUP(tblSalaries[[#This Row],[Currency]],Sheet1!$N$4:$Q$186,4,FALSE))</f>
        <v>39797.222534471541</v>
      </c>
      <c r="G1083" s="4">
        <f>IF(Dashboard!$J$5=VLOOKUP(tblSalaries[[#This Row],[Currency]],Sheet3!$A$2:$B$31,2,FALSE),tblSalaries[[#This Row],[clean Salary (in local currency)]],(tblSalaries[[#This Row],[PPP Adjusted  USD]]/VLOOKUP(Dashboard!$J$5,Sheet3!$B$2:$C$31,2,FALSE)))</f>
        <v>39797.222534471541</v>
      </c>
      <c r="H1083" t="s">
        <v>3522</v>
      </c>
      <c r="I1083" t="s">
        <v>603</v>
      </c>
      <c r="J1083" t="s">
        <v>687</v>
      </c>
      <c r="K1083" t="s">
        <v>605</v>
      </c>
      <c r="L1083">
        <v>2</v>
      </c>
    </row>
    <row r="1084" spans="2:12" ht="15" customHeight="1">
      <c r="B1084" t="s">
        <v>3610</v>
      </c>
      <c r="C1084">
        <v>27000</v>
      </c>
      <c r="D1084" t="s">
        <v>204</v>
      </c>
      <c r="E1084">
        <v>42556.81334581667</v>
      </c>
      <c r="F1084" s="3">
        <f>(tblSalaries[[#This Row],[clean Salary (in local currency)]])*(VLOOKUP(tblSalaries[[#This Row],[Currency]],Sheet3!$A$2:$C$31,3,FALSE))*(VLOOKUP(tblSalaries[[#This Row],[Currency]],Sheet1!$N$4:$Q$186,4,FALSE))</f>
        <v>39797.222534471541</v>
      </c>
      <c r="G1084" s="4">
        <f>IF(Dashboard!$J$5=VLOOKUP(tblSalaries[[#This Row],[Currency]],Sheet3!$A$2:$B$31,2,FALSE),tblSalaries[[#This Row],[clean Salary (in local currency)]],(tblSalaries[[#This Row],[PPP Adjusted  USD]]/VLOOKUP(Dashboard!$J$5,Sheet3!$B$2:$C$31,2,FALSE)))</f>
        <v>39797.222534471541</v>
      </c>
      <c r="H1084" t="s">
        <v>3611</v>
      </c>
      <c r="I1084" t="s">
        <v>625</v>
      </c>
      <c r="J1084" t="s">
        <v>687</v>
      </c>
      <c r="K1084" t="s">
        <v>605</v>
      </c>
      <c r="L1084">
        <v>3</v>
      </c>
    </row>
    <row r="1085" spans="2:12" ht="15" customHeight="1">
      <c r="B1085" t="s">
        <v>3612</v>
      </c>
      <c r="C1085">
        <v>27000</v>
      </c>
      <c r="D1085" t="s">
        <v>204</v>
      </c>
      <c r="E1085">
        <v>42556.81334581667</v>
      </c>
      <c r="F1085" s="3">
        <f>(tblSalaries[[#This Row],[clean Salary (in local currency)]])*(VLOOKUP(tblSalaries[[#This Row],[Currency]],Sheet3!$A$2:$C$31,3,FALSE))*(VLOOKUP(tblSalaries[[#This Row],[Currency]],Sheet1!$N$4:$Q$186,4,FALSE))</f>
        <v>39797.222534471541</v>
      </c>
      <c r="G1085" s="4">
        <f>IF(Dashboard!$J$5=VLOOKUP(tblSalaries[[#This Row],[Currency]],Sheet3!$A$2:$B$31,2,FALSE),tblSalaries[[#This Row],[clean Salary (in local currency)]],(tblSalaries[[#This Row],[PPP Adjusted  USD]]/VLOOKUP(Dashboard!$J$5,Sheet3!$B$2:$C$31,2,FALSE)))</f>
        <v>39797.222534471541</v>
      </c>
      <c r="H1085" t="s">
        <v>3611</v>
      </c>
      <c r="I1085" t="s">
        <v>625</v>
      </c>
      <c r="J1085" t="s">
        <v>687</v>
      </c>
      <c r="K1085" t="s">
        <v>605</v>
      </c>
      <c r="L1085">
        <v>3</v>
      </c>
    </row>
    <row r="1086" spans="2:12" ht="15" customHeight="1">
      <c r="B1086" t="s">
        <v>3027</v>
      </c>
      <c r="C1086">
        <v>36000</v>
      </c>
      <c r="D1086" t="s">
        <v>200</v>
      </c>
      <c r="E1086">
        <v>45734.379803697877</v>
      </c>
      <c r="F1086" s="3">
        <f>(tblSalaries[[#This Row],[clean Salary (in local currency)]])*(VLOOKUP(tblSalaries[[#This Row],[Currency]],Sheet3!$A$2:$C$31,3,FALSE))*(VLOOKUP(tblSalaries[[#This Row],[Currency]],Sheet1!$N$4:$Q$186,4,FALSE))</f>
        <v>39623.503895281872</v>
      </c>
      <c r="G1086" s="4">
        <f>IF(Dashboard!$J$5=VLOOKUP(tblSalaries[[#This Row],[Currency]],Sheet3!$A$2:$B$31,2,FALSE),tblSalaries[[#This Row],[clean Salary (in local currency)]],(tblSalaries[[#This Row],[PPP Adjusted  USD]]/VLOOKUP(Dashboard!$J$5,Sheet3!$B$2:$C$31,2,FALSE)))</f>
        <v>39623.503895281872</v>
      </c>
      <c r="H1086" t="s">
        <v>3028</v>
      </c>
      <c r="I1086" t="s">
        <v>603</v>
      </c>
      <c r="J1086" t="s">
        <v>641</v>
      </c>
      <c r="K1086" t="s">
        <v>617</v>
      </c>
      <c r="L1086">
        <v>4</v>
      </c>
    </row>
    <row r="1087" spans="2:12" ht="15" customHeight="1">
      <c r="B1087" t="s">
        <v>896</v>
      </c>
      <c r="C1087">
        <v>50000</v>
      </c>
      <c r="D1087" t="s">
        <v>276</v>
      </c>
      <c r="E1087">
        <v>49168.076151516347</v>
      </c>
      <c r="F1087" s="3">
        <f>(tblSalaries[[#This Row],[clean Salary (in local currency)]])*(VLOOKUP(tblSalaries[[#This Row],[Currency]],Sheet3!$A$2:$C$31,3,FALSE))*(VLOOKUP(tblSalaries[[#This Row],[Currency]],Sheet1!$N$4:$Q$186,4,FALSE))</f>
        <v>39522.310160117238</v>
      </c>
      <c r="G1087" s="4">
        <f>IF(Dashboard!$J$5=VLOOKUP(tblSalaries[[#This Row],[Currency]],Sheet3!$A$2:$B$31,2,FALSE),tblSalaries[[#This Row],[clean Salary (in local currency)]],(tblSalaries[[#This Row],[PPP Adjusted  USD]]/VLOOKUP(Dashboard!$J$5,Sheet3!$B$2:$C$31,2,FALSE)))</f>
        <v>39522.310160117238</v>
      </c>
      <c r="H1087" t="s">
        <v>897</v>
      </c>
      <c r="I1087" t="s">
        <v>625</v>
      </c>
      <c r="J1087" t="s">
        <v>708</v>
      </c>
      <c r="K1087" t="s">
        <v>605</v>
      </c>
      <c r="L1087" t="s">
        <v>3847</v>
      </c>
    </row>
    <row r="1088" spans="2:12" ht="15" customHeight="1">
      <c r="B1088" t="s">
        <v>3213</v>
      </c>
      <c r="C1088">
        <v>50000</v>
      </c>
      <c r="D1088" t="s">
        <v>276</v>
      </c>
      <c r="E1088">
        <v>49168.076151516347</v>
      </c>
      <c r="F1088" s="3">
        <f>(tblSalaries[[#This Row],[clean Salary (in local currency)]])*(VLOOKUP(tblSalaries[[#This Row],[Currency]],Sheet3!$A$2:$C$31,3,FALSE))*(VLOOKUP(tblSalaries[[#This Row],[Currency]],Sheet1!$N$4:$Q$186,4,FALSE))</f>
        <v>39522.310160117238</v>
      </c>
      <c r="G1088" s="4">
        <f>IF(Dashboard!$J$5=VLOOKUP(tblSalaries[[#This Row],[Currency]],Sheet3!$A$2:$B$31,2,FALSE),tblSalaries[[#This Row],[clean Salary (in local currency)]],(tblSalaries[[#This Row],[PPP Adjusted  USD]]/VLOOKUP(Dashboard!$J$5,Sheet3!$B$2:$C$31,2,FALSE)))</f>
        <v>39522.310160117238</v>
      </c>
      <c r="H1088" t="s">
        <v>899</v>
      </c>
      <c r="I1088" t="s">
        <v>603</v>
      </c>
      <c r="J1088" t="s">
        <v>708</v>
      </c>
      <c r="K1088" t="s">
        <v>605</v>
      </c>
      <c r="L1088">
        <v>3</v>
      </c>
    </row>
    <row r="1089" spans="2:12" ht="15" customHeight="1">
      <c r="B1089" t="s">
        <v>3392</v>
      </c>
      <c r="C1089">
        <v>50000</v>
      </c>
      <c r="D1089" t="s">
        <v>276</v>
      </c>
      <c r="E1089">
        <v>49168.076151516347</v>
      </c>
      <c r="F1089" s="3">
        <f>(tblSalaries[[#This Row],[clean Salary (in local currency)]])*(VLOOKUP(tblSalaries[[#This Row],[Currency]],Sheet3!$A$2:$C$31,3,FALSE))*(VLOOKUP(tblSalaries[[#This Row],[Currency]],Sheet1!$N$4:$Q$186,4,FALSE))</f>
        <v>39522.310160117238</v>
      </c>
      <c r="G1089" s="4">
        <f>IF(Dashboard!$J$5=VLOOKUP(tblSalaries[[#This Row],[Currency]],Sheet3!$A$2:$B$31,2,FALSE),tblSalaries[[#This Row],[clean Salary (in local currency)]],(tblSalaries[[#This Row],[PPP Adjusted  USD]]/VLOOKUP(Dashboard!$J$5,Sheet3!$B$2:$C$31,2,FALSE)))</f>
        <v>39522.310160117238</v>
      </c>
      <c r="H1089" t="s">
        <v>2094</v>
      </c>
      <c r="I1089" t="s">
        <v>603</v>
      </c>
      <c r="J1089" t="s">
        <v>708</v>
      </c>
      <c r="K1089" t="s">
        <v>605</v>
      </c>
      <c r="L1089">
        <v>5</v>
      </c>
    </row>
    <row r="1090" spans="2:12" ht="15" customHeight="1">
      <c r="B1090" t="s">
        <v>3767</v>
      </c>
      <c r="C1090">
        <v>63000</v>
      </c>
      <c r="D1090" t="s">
        <v>224</v>
      </c>
      <c r="E1090">
        <v>64254.308353366054</v>
      </c>
      <c r="F1090" s="3">
        <f>(tblSalaries[[#This Row],[clean Salary (in local currency)]])*(VLOOKUP(tblSalaries[[#This Row],[Currency]],Sheet3!$A$2:$C$31,3,FALSE))*(VLOOKUP(tblSalaries[[#This Row],[Currency]],Sheet1!$N$4:$Q$186,4,FALSE))</f>
        <v>39482.985666512497</v>
      </c>
      <c r="G1090" s="4">
        <f>IF(Dashboard!$J$5=VLOOKUP(tblSalaries[[#This Row],[Currency]],Sheet3!$A$2:$B$31,2,FALSE),tblSalaries[[#This Row],[clean Salary (in local currency)]],(tblSalaries[[#This Row],[PPP Adjusted  USD]]/VLOOKUP(Dashboard!$J$5,Sheet3!$B$2:$C$31,2,FALSE)))</f>
        <v>39482.985666512497</v>
      </c>
      <c r="H1090" t="s">
        <v>3768</v>
      </c>
      <c r="I1090" t="s">
        <v>637</v>
      </c>
      <c r="J1090" t="s">
        <v>703</v>
      </c>
      <c r="K1090" t="s">
        <v>610</v>
      </c>
      <c r="L1090">
        <v>3</v>
      </c>
    </row>
    <row r="1091" spans="2:12" ht="15" customHeight="1">
      <c r="B1091" t="s">
        <v>3615</v>
      </c>
      <c r="C1091">
        <v>26500</v>
      </c>
      <c r="D1091" t="s">
        <v>204</v>
      </c>
      <c r="E1091">
        <v>41768.724209783031</v>
      </c>
      <c r="F1091" s="3">
        <f>(tblSalaries[[#This Row],[clean Salary (in local currency)]])*(VLOOKUP(tblSalaries[[#This Row],[Currency]],Sheet3!$A$2:$C$31,3,FALSE))*(VLOOKUP(tblSalaries[[#This Row],[Currency]],Sheet1!$N$4:$Q$186,4,FALSE))</f>
        <v>39060.23693198133</v>
      </c>
      <c r="G1091" s="4">
        <f>IF(Dashboard!$J$5=VLOOKUP(tblSalaries[[#This Row],[Currency]],Sheet3!$A$2:$B$31,2,FALSE),tblSalaries[[#This Row],[clean Salary (in local currency)]],(tblSalaries[[#This Row],[PPP Adjusted  USD]]/VLOOKUP(Dashboard!$J$5,Sheet3!$B$2:$C$31,2,FALSE)))</f>
        <v>39060.23693198133</v>
      </c>
      <c r="H1091" t="s">
        <v>3616</v>
      </c>
      <c r="I1091" t="s">
        <v>625</v>
      </c>
      <c r="J1091" t="s">
        <v>687</v>
      </c>
      <c r="K1091" t="s">
        <v>605</v>
      </c>
      <c r="L1091">
        <v>16</v>
      </c>
    </row>
    <row r="1092" spans="2:12" ht="15" customHeight="1">
      <c r="B1092" t="s">
        <v>1762</v>
      </c>
      <c r="C1092">
        <v>39000</v>
      </c>
      <c r="D1092" t="s">
        <v>252</v>
      </c>
      <c r="E1092">
        <v>39000</v>
      </c>
      <c r="F1092" s="3">
        <f>(tblSalaries[[#This Row],[clean Salary (in local currency)]])*(VLOOKUP(tblSalaries[[#This Row],[Currency]],Sheet3!$A$2:$C$31,3,FALSE))*(VLOOKUP(tblSalaries[[#This Row],[Currency]],Sheet1!$N$4:$Q$186,4,FALSE))</f>
        <v>39000</v>
      </c>
      <c r="G1092" s="4">
        <f>IF(Dashboard!$J$5=VLOOKUP(tblSalaries[[#This Row],[Currency]],Sheet3!$A$2:$B$31,2,FALSE),tblSalaries[[#This Row],[clean Salary (in local currency)]],(tblSalaries[[#This Row],[PPP Adjusted  USD]]/VLOOKUP(Dashboard!$J$5,Sheet3!$B$2:$C$31,2,FALSE)))</f>
        <v>39000</v>
      </c>
      <c r="H1092" t="s">
        <v>1763</v>
      </c>
      <c r="I1092" t="s">
        <v>603</v>
      </c>
      <c r="J1092" t="s">
        <v>613</v>
      </c>
      <c r="K1092" t="s">
        <v>610</v>
      </c>
      <c r="L1092">
        <v>3</v>
      </c>
    </row>
    <row r="1093" spans="2:12" ht="15" customHeight="1">
      <c r="B1093" t="s">
        <v>2988</v>
      </c>
      <c r="C1093">
        <v>39000</v>
      </c>
      <c r="D1093" t="s">
        <v>252</v>
      </c>
      <c r="E1093">
        <v>39000</v>
      </c>
      <c r="F1093" s="3">
        <f>(tblSalaries[[#This Row],[clean Salary (in local currency)]])*(VLOOKUP(tblSalaries[[#This Row],[Currency]],Sheet3!$A$2:$C$31,3,FALSE))*(VLOOKUP(tblSalaries[[#This Row],[Currency]],Sheet1!$N$4:$Q$186,4,FALSE))</f>
        <v>39000</v>
      </c>
      <c r="G1093" s="4">
        <f>IF(Dashboard!$J$5=VLOOKUP(tblSalaries[[#This Row],[Currency]],Sheet3!$A$2:$B$31,2,FALSE),tblSalaries[[#This Row],[clean Salary (in local currency)]],(tblSalaries[[#This Row],[PPP Adjusted  USD]]/VLOOKUP(Dashboard!$J$5,Sheet3!$B$2:$C$31,2,FALSE)))</f>
        <v>39000</v>
      </c>
      <c r="H1093" t="s">
        <v>2989</v>
      </c>
      <c r="I1093" t="s">
        <v>625</v>
      </c>
      <c r="J1093" t="s">
        <v>659</v>
      </c>
      <c r="K1093" t="s">
        <v>610</v>
      </c>
      <c r="L1093">
        <v>6</v>
      </c>
    </row>
    <row r="1094" spans="2:12" ht="15" customHeight="1">
      <c r="B1094" t="s">
        <v>2335</v>
      </c>
      <c r="C1094">
        <v>62000</v>
      </c>
      <c r="D1094" t="s">
        <v>224</v>
      </c>
      <c r="E1094">
        <v>63234.398696963413</v>
      </c>
      <c r="F1094" s="3">
        <f>(tblSalaries[[#This Row],[clean Salary (in local currency)]])*(VLOOKUP(tblSalaries[[#This Row],[Currency]],Sheet3!$A$2:$C$31,3,FALSE))*(VLOOKUP(tblSalaries[[#This Row],[Currency]],Sheet1!$N$4:$Q$186,4,FALSE))</f>
        <v>38856.27160831388</v>
      </c>
      <c r="G1094" s="4">
        <f>IF(Dashboard!$J$5=VLOOKUP(tblSalaries[[#This Row],[Currency]],Sheet3!$A$2:$B$31,2,FALSE),tblSalaries[[#This Row],[clean Salary (in local currency)]],(tblSalaries[[#This Row],[PPP Adjusted  USD]]/VLOOKUP(Dashboard!$J$5,Sheet3!$B$2:$C$31,2,FALSE)))</f>
        <v>38856.27160831388</v>
      </c>
      <c r="H1094" t="s">
        <v>899</v>
      </c>
      <c r="I1094" t="s">
        <v>603</v>
      </c>
      <c r="J1094" t="s">
        <v>703</v>
      </c>
      <c r="K1094" t="s">
        <v>605</v>
      </c>
      <c r="L1094">
        <v>3</v>
      </c>
    </row>
    <row r="1095" spans="2:12" ht="15" customHeight="1">
      <c r="B1095" t="s">
        <v>3745</v>
      </c>
      <c r="C1095">
        <v>38666</v>
      </c>
      <c r="D1095" t="s">
        <v>252</v>
      </c>
      <c r="E1095">
        <v>38666</v>
      </c>
      <c r="F1095" s="3">
        <f>(tblSalaries[[#This Row],[clean Salary (in local currency)]])*(VLOOKUP(tblSalaries[[#This Row],[Currency]],Sheet3!$A$2:$C$31,3,FALSE))*(VLOOKUP(tblSalaries[[#This Row],[Currency]],Sheet1!$N$4:$Q$186,4,FALSE))</f>
        <v>38666</v>
      </c>
      <c r="G1095" s="4">
        <f>IF(Dashboard!$J$5=VLOOKUP(tblSalaries[[#This Row],[Currency]],Sheet3!$A$2:$B$31,2,FALSE),tblSalaries[[#This Row],[clean Salary (in local currency)]],(tblSalaries[[#This Row],[PPP Adjusted  USD]]/VLOOKUP(Dashboard!$J$5,Sheet3!$B$2:$C$31,2,FALSE)))</f>
        <v>38666</v>
      </c>
      <c r="H1095" t="s">
        <v>3746</v>
      </c>
      <c r="I1095" t="s">
        <v>640</v>
      </c>
      <c r="J1095" t="s">
        <v>659</v>
      </c>
      <c r="K1095" t="s">
        <v>610</v>
      </c>
      <c r="L1095">
        <v>10</v>
      </c>
    </row>
    <row r="1096" spans="2:12" ht="15" customHeight="1">
      <c r="B1096" t="s">
        <v>838</v>
      </c>
      <c r="C1096">
        <v>35000</v>
      </c>
      <c r="D1096" t="s">
        <v>200</v>
      </c>
      <c r="E1096">
        <v>44463.980364706273</v>
      </c>
      <c r="F1096" s="3">
        <f>(tblSalaries[[#This Row],[clean Salary (in local currency)]])*(VLOOKUP(tblSalaries[[#This Row],[Currency]],Sheet3!$A$2:$C$31,3,FALSE))*(VLOOKUP(tblSalaries[[#This Row],[Currency]],Sheet1!$N$4:$Q$186,4,FALSE))</f>
        <v>38522.851009301827</v>
      </c>
      <c r="G1096" s="4">
        <f>IF(Dashboard!$J$5=VLOOKUP(tblSalaries[[#This Row],[Currency]],Sheet3!$A$2:$B$31,2,FALSE),tblSalaries[[#This Row],[clean Salary (in local currency)]],(tblSalaries[[#This Row],[PPP Adjusted  USD]]/VLOOKUP(Dashboard!$J$5,Sheet3!$B$2:$C$31,2,FALSE)))</f>
        <v>38522.851009301827</v>
      </c>
      <c r="H1096" t="s">
        <v>839</v>
      </c>
      <c r="I1096" t="s">
        <v>625</v>
      </c>
      <c r="J1096" t="s">
        <v>840</v>
      </c>
      <c r="K1096" t="s">
        <v>605</v>
      </c>
      <c r="L1096" t="s">
        <v>3847</v>
      </c>
    </row>
    <row r="1097" spans="2:12" ht="15" customHeight="1">
      <c r="B1097" t="s">
        <v>2748</v>
      </c>
      <c r="C1097">
        <v>35000</v>
      </c>
      <c r="D1097" t="s">
        <v>200</v>
      </c>
      <c r="E1097">
        <v>44463.980364706273</v>
      </c>
      <c r="F1097" s="3">
        <f>(tblSalaries[[#This Row],[clean Salary (in local currency)]])*(VLOOKUP(tblSalaries[[#This Row],[Currency]],Sheet3!$A$2:$C$31,3,FALSE))*(VLOOKUP(tblSalaries[[#This Row],[Currency]],Sheet1!$N$4:$Q$186,4,FALSE))</f>
        <v>38522.851009301827</v>
      </c>
      <c r="G1097" s="4">
        <f>IF(Dashboard!$J$5=VLOOKUP(tblSalaries[[#This Row],[Currency]],Sheet3!$A$2:$B$31,2,FALSE),tblSalaries[[#This Row],[clean Salary (in local currency)]],(tblSalaries[[#This Row],[PPP Adjusted  USD]]/VLOOKUP(Dashboard!$J$5,Sheet3!$B$2:$C$31,2,FALSE)))</f>
        <v>38522.851009301827</v>
      </c>
      <c r="H1097" t="s">
        <v>899</v>
      </c>
      <c r="I1097" t="s">
        <v>603</v>
      </c>
      <c r="J1097" t="s">
        <v>641</v>
      </c>
      <c r="K1097" t="s">
        <v>610</v>
      </c>
      <c r="L1097">
        <v>12</v>
      </c>
    </row>
    <row r="1098" spans="2:12" ht="15" customHeight="1">
      <c r="B1098" t="s">
        <v>2956</v>
      </c>
      <c r="C1098">
        <v>4000000</v>
      </c>
      <c r="D1098" t="s">
        <v>374</v>
      </c>
      <c r="E1098">
        <v>50694.322109187968</v>
      </c>
      <c r="F1098" s="3">
        <f>(tblSalaries[[#This Row],[clean Salary (in local currency)]])*(VLOOKUP(tblSalaries[[#This Row],[Currency]],Sheet3!$A$2:$C$31,3,FALSE))*(VLOOKUP(tblSalaries[[#This Row],[Currency]],Sheet1!$N$4:$Q$186,4,FALSE))</f>
        <v>38351.30137450336</v>
      </c>
      <c r="G1098" s="4">
        <f>IF(Dashboard!$J$5=VLOOKUP(tblSalaries[[#This Row],[Currency]],Sheet3!$A$2:$B$31,2,FALSE),tblSalaries[[#This Row],[clean Salary (in local currency)]],(tblSalaries[[#This Row],[PPP Adjusted  USD]]/VLOOKUP(Dashboard!$J$5,Sheet3!$B$2:$C$31,2,FALSE)))</f>
        <v>38351.30137450336</v>
      </c>
      <c r="H1098" t="s">
        <v>2957</v>
      </c>
      <c r="I1098" t="s">
        <v>603</v>
      </c>
      <c r="J1098" t="s">
        <v>1635</v>
      </c>
      <c r="K1098" t="s">
        <v>605</v>
      </c>
      <c r="L1098">
        <v>8</v>
      </c>
    </row>
    <row r="1099" spans="2:12" ht="15" customHeight="1">
      <c r="B1099" t="s">
        <v>2451</v>
      </c>
      <c r="C1099">
        <v>26000</v>
      </c>
      <c r="D1099" t="s">
        <v>204</v>
      </c>
      <c r="E1099">
        <v>40980.635073749385</v>
      </c>
      <c r="F1099" s="3">
        <f>(tblSalaries[[#This Row],[clean Salary (in local currency)]])*(VLOOKUP(tblSalaries[[#This Row],[Currency]],Sheet3!$A$2:$C$31,3,FALSE))*(VLOOKUP(tblSalaries[[#This Row],[Currency]],Sheet1!$N$4:$Q$186,4,FALSE))</f>
        <v>38323.251329491111</v>
      </c>
      <c r="G1099" s="4">
        <f>IF(Dashboard!$J$5=VLOOKUP(tblSalaries[[#This Row],[Currency]],Sheet3!$A$2:$B$31,2,FALSE),tblSalaries[[#This Row],[clean Salary (in local currency)]],(tblSalaries[[#This Row],[PPP Adjusted  USD]]/VLOOKUP(Dashboard!$J$5,Sheet3!$B$2:$C$31,2,FALSE)))</f>
        <v>38323.251329491111</v>
      </c>
      <c r="H1099" t="s">
        <v>692</v>
      </c>
      <c r="I1099" t="s">
        <v>692</v>
      </c>
      <c r="J1099" t="s">
        <v>687</v>
      </c>
      <c r="K1099" t="s">
        <v>610</v>
      </c>
      <c r="L1099">
        <v>8</v>
      </c>
    </row>
    <row r="1100" spans="2:12" ht="15" customHeight="1">
      <c r="B1100" t="s">
        <v>2739</v>
      </c>
      <c r="C1100">
        <v>26000</v>
      </c>
      <c r="D1100" t="s">
        <v>204</v>
      </c>
      <c r="E1100">
        <v>40980.635073749385</v>
      </c>
      <c r="F1100" s="3">
        <f>(tblSalaries[[#This Row],[clean Salary (in local currency)]])*(VLOOKUP(tblSalaries[[#This Row],[Currency]],Sheet3!$A$2:$C$31,3,FALSE))*(VLOOKUP(tblSalaries[[#This Row],[Currency]],Sheet1!$N$4:$Q$186,4,FALSE))</f>
        <v>38323.251329491111</v>
      </c>
      <c r="G1100" s="4">
        <f>IF(Dashboard!$J$5=VLOOKUP(tblSalaries[[#This Row],[Currency]],Sheet3!$A$2:$B$31,2,FALSE),tblSalaries[[#This Row],[clean Salary (in local currency)]],(tblSalaries[[#This Row],[PPP Adjusted  USD]]/VLOOKUP(Dashboard!$J$5,Sheet3!$B$2:$C$31,2,FALSE)))</f>
        <v>38323.251329491111</v>
      </c>
      <c r="H1100" t="s">
        <v>899</v>
      </c>
      <c r="I1100" t="s">
        <v>603</v>
      </c>
      <c r="J1100" t="s">
        <v>687</v>
      </c>
      <c r="K1100" t="s">
        <v>605</v>
      </c>
      <c r="L1100">
        <v>2</v>
      </c>
    </row>
    <row r="1101" spans="2:12" ht="15" customHeight="1">
      <c r="B1101" t="s">
        <v>2909</v>
      </c>
      <c r="C1101">
        <v>26000</v>
      </c>
      <c r="D1101" t="s">
        <v>204</v>
      </c>
      <c r="E1101">
        <v>40980.635073749385</v>
      </c>
      <c r="F1101" s="3">
        <f>(tblSalaries[[#This Row],[clean Salary (in local currency)]])*(VLOOKUP(tblSalaries[[#This Row],[Currency]],Sheet3!$A$2:$C$31,3,FALSE))*(VLOOKUP(tblSalaries[[#This Row],[Currency]],Sheet1!$N$4:$Q$186,4,FALSE))</f>
        <v>38323.251329491111</v>
      </c>
      <c r="G1101" s="4">
        <f>IF(Dashboard!$J$5=VLOOKUP(tblSalaries[[#This Row],[Currency]],Sheet3!$A$2:$B$31,2,FALSE),tblSalaries[[#This Row],[clean Salary (in local currency)]],(tblSalaries[[#This Row],[PPP Adjusted  USD]]/VLOOKUP(Dashboard!$J$5,Sheet3!$B$2:$C$31,2,FALSE)))</f>
        <v>38323.251329491111</v>
      </c>
      <c r="H1101" t="s">
        <v>2910</v>
      </c>
      <c r="I1101" t="s">
        <v>603</v>
      </c>
      <c r="J1101" t="s">
        <v>687</v>
      </c>
      <c r="K1101" t="s">
        <v>605</v>
      </c>
      <c r="L1101">
        <v>2</v>
      </c>
    </row>
    <row r="1102" spans="2:12" ht="15" customHeight="1">
      <c r="B1102" t="s">
        <v>739</v>
      </c>
      <c r="C1102">
        <v>38000</v>
      </c>
      <c r="D1102" t="s">
        <v>252</v>
      </c>
      <c r="E1102">
        <v>38000</v>
      </c>
      <c r="F1102" s="3">
        <f>(tblSalaries[[#This Row],[clean Salary (in local currency)]])*(VLOOKUP(tblSalaries[[#This Row],[Currency]],Sheet3!$A$2:$C$31,3,FALSE))*(VLOOKUP(tblSalaries[[#This Row],[Currency]],Sheet1!$N$4:$Q$186,4,FALSE))</f>
        <v>38000</v>
      </c>
      <c r="G1102" s="4">
        <f>IF(Dashboard!$J$5=VLOOKUP(tblSalaries[[#This Row],[Currency]],Sheet3!$A$2:$B$31,2,FALSE),tblSalaries[[#This Row],[clean Salary (in local currency)]],(tblSalaries[[#This Row],[PPP Adjusted  USD]]/VLOOKUP(Dashboard!$J$5,Sheet3!$B$2:$C$31,2,FALSE)))</f>
        <v>38000</v>
      </c>
      <c r="H1102" t="s">
        <v>740</v>
      </c>
      <c r="I1102" t="s">
        <v>603</v>
      </c>
      <c r="J1102" t="s">
        <v>613</v>
      </c>
      <c r="K1102" t="s">
        <v>605</v>
      </c>
      <c r="L1102" t="s">
        <v>3847</v>
      </c>
    </row>
    <row r="1103" spans="2:12" ht="15" customHeight="1">
      <c r="B1103" t="s">
        <v>1664</v>
      </c>
      <c r="C1103">
        <v>38000</v>
      </c>
      <c r="D1103" t="s">
        <v>252</v>
      </c>
      <c r="E1103">
        <v>38000</v>
      </c>
      <c r="F1103" s="3">
        <f>(tblSalaries[[#This Row],[clean Salary (in local currency)]])*(VLOOKUP(tblSalaries[[#This Row],[Currency]],Sheet3!$A$2:$C$31,3,FALSE))*(VLOOKUP(tblSalaries[[#This Row],[Currency]],Sheet1!$N$4:$Q$186,4,FALSE))</f>
        <v>38000</v>
      </c>
      <c r="G1103" s="4">
        <f>IF(Dashboard!$J$5=VLOOKUP(tblSalaries[[#This Row],[Currency]],Sheet3!$A$2:$B$31,2,FALSE),tblSalaries[[#This Row],[clean Salary (in local currency)]],(tblSalaries[[#This Row],[PPP Adjusted  USD]]/VLOOKUP(Dashboard!$J$5,Sheet3!$B$2:$C$31,2,FALSE)))</f>
        <v>38000</v>
      </c>
      <c r="H1103" t="s">
        <v>1665</v>
      </c>
      <c r="I1103" t="s">
        <v>603</v>
      </c>
      <c r="J1103" t="s">
        <v>613</v>
      </c>
      <c r="K1103" t="s">
        <v>610</v>
      </c>
      <c r="L1103">
        <v>11</v>
      </c>
    </row>
    <row r="1104" spans="2:12" ht="15" customHeight="1">
      <c r="B1104" t="s">
        <v>3212</v>
      </c>
      <c r="C1104">
        <v>38000</v>
      </c>
      <c r="D1104" t="s">
        <v>252</v>
      </c>
      <c r="E1104">
        <v>38000</v>
      </c>
      <c r="F1104" s="3">
        <f>(tblSalaries[[#This Row],[clean Salary (in local currency)]])*(VLOOKUP(tblSalaries[[#This Row],[Currency]],Sheet3!$A$2:$C$31,3,FALSE))*(VLOOKUP(tblSalaries[[#This Row],[Currency]],Sheet1!$N$4:$Q$186,4,FALSE))</f>
        <v>38000</v>
      </c>
      <c r="G1104" s="4">
        <f>IF(Dashboard!$J$5=VLOOKUP(tblSalaries[[#This Row],[Currency]],Sheet3!$A$2:$B$31,2,FALSE),tblSalaries[[#This Row],[clean Salary (in local currency)]],(tblSalaries[[#This Row],[PPP Adjusted  USD]]/VLOOKUP(Dashboard!$J$5,Sheet3!$B$2:$C$31,2,FALSE)))</f>
        <v>38000</v>
      </c>
      <c r="H1104" t="s">
        <v>637</v>
      </c>
      <c r="I1104" t="s">
        <v>637</v>
      </c>
      <c r="J1104" t="s">
        <v>613</v>
      </c>
      <c r="K1104" t="s">
        <v>605</v>
      </c>
      <c r="L1104">
        <v>11</v>
      </c>
    </row>
    <row r="1105" spans="2:12" ht="15" customHeight="1">
      <c r="B1105" t="s">
        <v>3342</v>
      </c>
      <c r="C1105">
        <v>38000</v>
      </c>
      <c r="D1105" t="s">
        <v>252</v>
      </c>
      <c r="E1105">
        <v>38000</v>
      </c>
      <c r="F1105" s="3">
        <f>(tblSalaries[[#This Row],[clean Salary (in local currency)]])*(VLOOKUP(tblSalaries[[#This Row],[Currency]],Sheet3!$A$2:$C$31,3,FALSE))*(VLOOKUP(tblSalaries[[#This Row],[Currency]],Sheet1!$N$4:$Q$186,4,FALSE))</f>
        <v>38000</v>
      </c>
      <c r="G1105" s="4">
        <f>IF(Dashboard!$J$5=VLOOKUP(tblSalaries[[#This Row],[Currency]],Sheet3!$A$2:$B$31,2,FALSE),tblSalaries[[#This Row],[clean Salary (in local currency)]],(tblSalaries[[#This Row],[PPP Adjusted  USD]]/VLOOKUP(Dashboard!$J$5,Sheet3!$B$2:$C$31,2,FALSE)))</f>
        <v>38000</v>
      </c>
      <c r="H1105" t="s">
        <v>899</v>
      </c>
      <c r="I1105" t="s">
        <v>603</v>
      </c>
      <c r="J1105" t="s">
        <v>613</v>
      </c>
      <c r="K1105" t="s">
        <v>610</v>
      </c>
      <c r="L1105">
        <v>1</v>
      </c>
    </row>
    <row r="1106" spans="2:12" ht="15" customHeight="1">
      <c r="B1106" t="s">
        <v>2927</v>
      </c>
      <c r="C1106">
        <v>34500</v>
      </c>
      <c r="D1106" t="s">
        <v>200</v>
      </c>
      <c r="E1106">
        <v>43828.780645210471</v>
      </c>
      <c r="F1106" s="3">
        <f>(tblSalaries[[#This Row],[clean Salary (in local currency)]])*(VLOOKUP(tblSalaries[[#This Row],[Currency]],Sheet3!$A$2:$C$31,3,FALSE))*(VLOOKUP(tblSalaries[[#This Row],[Currency]],Sheet1!$N$4:$Q$186,4,FALSE))</f>
        <v>37972.524566311804</v>
      </c>
      <c r="G1106" s="4">
        <f>IF(Dashboard!$J$5=VLOOKUP(tblSalaries[[#This Row],[Currency]],Sheet3!$A$2:$B$31,2,FALSE),tblSalaries[[#This Row],[clean Salary (in local currency)]],(tblSalaries[[#This Row],[PPP Adjusted  USD]]/VLOOKUP(Dashboard!$J$5,Sheet3!$B$2:$C$31,2,FALSE)))</f>
        <v>37972.524566311804</v>
      </c>
      <c r="H1106" t="s">
        <v>603</v>
      </c>
      <c r="I1106" t="s">
        <v>603</v>
      </c>
      <c r="J1106" t="s">
        <v>722</v>
      </c>
      <c r="K1106" t="s">
        <v>605</v>
      </c>
      <c r="L1106">
        <v>15</v>
      </c>
    </row>
    <row r="1107" spans="2:12" ht="15" customHeight="1">
      <c r="B1107" t="s">
        <v>2770</v>
      </c>
      <c r="C1107">
        <v>25750</v>
      </c>
      <c r="D1107" t="s">
        <v>204</v>
      </c>
      <c r="E1107">
        <v>40586.590505732565</v>
      </c>
      <c r="F1107" s="3">
        <f>(tblSalaries[[#This Row],[clean Salary (in local currency)]])*(VLOOKUP(tblSalaries[[#This Row],[Currency]],Sheet3!$A$2:$C$31,3,FALSE))*(VLOOKUP(tblSalaries[[#This Row],[Currency]],Sheet1!$N$4:$Q$186,4,FALSE))</f>
        <v>37954.758528246006</v>
      </c>
      <c r="G1107" s="4">
        <f>IF(Dashboard!$J$5=VLOOKUP(tblSalaries[[#This Row],[Currency]],Sheet3!$A$2:$B$31,2,FALSE),tblSalaries[[#This Row],[clean Salary (in local currency)]],(tblSalaries[[#This Row],[PPP Adjusted  USD]]/VLOOKUP(Dashboard!$J$5,Sheet3!$B$2:$C$31,2,FALSE)))</f>
        <v>37954.758528246006</v>
      </c>
      <c r="H1107" t="s">
        <v>1077</v>
      </c>
      <c r="I1107" t="s">
        <v>603</v>
      </c>
      <c r="J1107" t="s">
        <v>687</v>
      </c>
      <c r="K1107" t="s">
        <v>605</v>
      </c>
      <c r="L1107">
        <v>1</v>
      </c>
    </row>
    <row r="1108" spans="2:12" ht="15" customHeight="1">
      <c r="B1108" t="s">
        <v>847</v>
      </c>
      <c r="C1108">
        <v>37900</v>
      </c>
      <c r="D1108" t="s">
        <v>252</v>
      </c>
      <c r="E1108">
        <v>37900</v>
      </c>
      <c r="F1108" s="3">
        <f>(tblSalaries[[#This Row],[clean Salary (in local currency)]])*(VLOOKUP(tblSalaries[[#This Row],[Currency]],Sheet3!$A$2:$C$31,3,FALSE))*(VLOOKUP(tblSalaries[[#This Row],[Currency]],Sheet1!$N$4:$Q$186,4,FALSE))</f>
        <v>37900</v>
      </c>
      <c r="G1108" s="4">
        <f>IF(Dashboard!$J$5=VLOOKUP(tblSalaries[[#This Row],[Currency]],Sheet3!$A$2:$B$31,2,FALSE),tblSalaries[[#This Row],[clean Salary (in local currency)]],(tblSalaries[[#This Row],[PPP Adjusted  USD]]/VLOOKUP(Dashboard!$J$5,Sheet3!$B$2:$C$31,2,FALSE)))</f>
        <v>37900</v>
      </c>
      <c r="H1108" t="s">
        <v>848</v>
      </c>
      <c r="I1108" t="s">
        <v>637</v>
      </c>
      <c r="J1108" t="s">
        <v>613</v>
      </c>
      <c r="K1108" t="s">
        <v>610</v>
      </c>
      <c r="L1108" t="s">
        <v>3847</v>
      </c>
    </row>
    <row r="1109" spans="2:12" ht="15" customHeight="1">
      <c r="B1109" t="s">
        <v>714</v>
      </c>
      <c r="C1109">
        <v>800000</v>
      </c>
      <c r="D1109" t="s">
        <v>247</v>
      </c>
      <c r="E1109">
        <v>14246.333349954055</v>
      </c>
      <c r="F1109" s="3">
        <f>(tblSalaries[[#This Row],[clean Salary (in local currency)]])*(VLOOKUP(tblSalaries[[#This Row],[Currency]],Sheet3!$A$2:$C$31,3,FALSE))*(VLOOKUP(tblSalaries[[#This Row],[Currency]],Sheet1!$N$4:$Q$186,4,FALSE))</f>
        <v>37888.817878958762</v>
      </c>
      <c r="G1109" s="4">
        <f>IF(Dashboard!$J$5=VLOOKUP(tblSalaries[[#This Row],[Currency]],Sheet3!$A$2:$B$31,2,FALSE),tblSalaries[[#This Row],[clean Salary (in local currency)]],(tblSalaries[[#This Row],[PPP Adjusted  USD]]/VLOOKUP(Dashboard!$J$5,Sheet3!$B$2:$C$31,2,FALSE)))</f>
        <v>37888.817878958762</v>
      </c>
      <c r="H1109" t="s">
        <v>715</v>
      </c>
      <c r="I1109" t="s">
        <v>625</v>
      </c>
      <c r="J1109" t="s">
        <v>604</v>
      </c>
      <c r="K1109" t="s">
        <v>617</v>
      </c>
      <c r="L1109" t="s">
        <v>3847</v>
      </c>
    </row>
    <row r="1110" spans="2:12" ht="15" customHeight="1">
      <c r="B1110" t="s">
        <v>892</v>
      </c>
      <c r="C1110">
        <v>800000</v>
      </c>
      <c r="D1110" t="s">
        <v>247</v>
      </c>
      <c r="E1110">
        <v>14246.333349954055</v>
      </c>
      <c r="F1110" s="3">
        <f>(tblSalaries[[#This Row],[clean Salary (in local currency)]])*(VLOOKUP(tblSalaries[[#This Row],[Currency]],Sheet3!$A$2:$C$31,3,FALSE))*(VLOOKUP(tblSalaries[[#This Row],[Currency]],Sheet1!$N$4:$Q$186,4,FALSE))</f>
        <v>37888.817878958762</v>
      </c>
      <c r="G1110" s="4">
        <f>IF(Dashboard!$J$5=VLOOKUP(tblSalaries[[#This Row],[Currency]],Sheet3!$A$2:$B$31,2,FALSE),tblSalaries[[#This Row],[clean Salary (in local currency)]],(tblSalaries[[#This Row],[PPP Adjusted  USD]]/VLOOKUP(Dashboard!$J$5,Sheet3!$B$2:$C$31,2,FALSE)))</f>
        <v>37888.817878958762</v>
      </c>
      <c r="H1110" t="s">
        <v>893</v>
      </c>
      <c r="I1110" t="s">
        <v>625</v>
      </c>
      <c r="J1110" t="s">
        <v>604</v>
      </c>
      <c r="K1110" t="s">
        <v>617</v>
      </c>
      <c r="L1110" t="s">
        <v>3847</v>
      </c>
    </row>
    <row r="1111" spans="2:12" ht="15" customHeight="1">
      <c r="B1111" t="s">
        <v>1470</v>
      </c>
      <c r="C1111">
        <v>800000</v>
      </c>
      <c r="D1111" t="s">
        <v>247</v>
      </c>
      <c r="E1111">
        <v>14246.333349954055</v>
      </c>
      <c r="F1111" s="3">
        <f>(tblSalaries[[#This Row],[clean Salary (in local currency)]])*(VLOOKUP(tblSalaries[[#This Row],[Currency]],Sheet3!$A$2:$C$31,3,FALSE))*(VLOOKUP(tblSalaries[[#This Row],[Currency]],Sheet1!$N$4:$Q$186,4,FALSE))</f>
        <v>37888.817878958762</v>
      </c>
      <c r="G1111" s="4">
        <f>IF(Dashboard!$J$5=VLOOKUP(tblSalaries[[#This Row],[Currency]],Sheet3!$A$2:$B$31,2,FALSE),tblSalaries[[#This Row],[clean Salary (in local currency)]],(tblSalaries[[#This Row],[PPP Adjusted  USD]]/VLOOKUP(Dashboard!$J$5,Sheet3!$B$2:$C$31,2,FALSE)))</f>
        <v>37888.817878958762</v>
      </c>
      <c r="H1111" t="s">
        <v>1471</v>
      </c>
      <c r="I1111" t="s">
        <v>633</v>
      </c>
      <c r="J1111" t="s">
        <v>604</v>
      </c>
      <c r="K1111" t="s">
        <v>610</v>
      </c>
      <c r="L1111" t="s">
        <v>3847</v>
      </c>
    </row>
    <row r="1112" spans="2:12" ht="15" customHeight="1">
      <c r="B1112" t="s">
        <v>1793</v>
      </c>
      <c r="C1112">
        <v>800000</v>
      </c>
      <c r="D1112" t="s">
        <v>247</v>
      </c>
      <c r="E1112">
        <v>14246.333349954055</v>
      </c>
      <c r="F1112" s="3">
        <f>(tblSalaries[[#This Row],[clean Salary (in local currency)]])*(VLOOKUP(tblSalaries[[#This Row],[Currency]],Sheet3!$A$2:$C$31,3,FALSE))*(VLOOKUP(tblSalaries[[#This Row],[Currency]],Sheet1!$N$4:$Q$186,4,FALSE))</f>
        <v>37888.817878958762</v>
      </c>
      <c r="G1112" s="4">
        <f>IF(Dashboard!$J$5=VLOOKUP(tblSalaries[[#This Row],[Currency]],Sheet3!$A$2:$B$31,2,FALSE),tblSalaries[[#This Row],[clean Salary (in local currency)]],(tblSalaries[[#This Row],[PPP Adjusted  USD]]/VLOOKUP(Dashboard!$J$5,Sheet3!$B$2:$C$31,2,FALSE)))</f>
        <v>37888.817878958762</v>
      </c>
      <c r="H1112" t="s">
        <v>620</v>
      </c>
      <c r="I1112" t="s">
        <v>620</v>
      </c>
      <c r="J1112" t="s">
        <v>604</v>
      </c>
      <c r="K1112" t="s">
        <v>617</v>
      </c>
      <c r="L1112">
        <v>3</v>
      </c>
    </row>
    <row r="1113" spans="2:12" ht="15" customHeight="1">
      <c r="B1113" t="s">
        <v>1877</v>
      </c>
      <c r="C1113">
        <v>800000</v>
      </c>
      <c r="D1113" t="s">
        <v>247</v>
      </c>
      <c r="E1113">
        <v>14246.333349954055</v>
      </c>
      <c r="F1113" s="3">
        <f>(tblSalaries[[#This Row],[clean Salary (in local currency)]])*(VLOOKUP(tblSalaries[[#This Row],[Currency]],Sheet3!$A$2:$C$31,3,FALSE))*(VLOOKUP(tblSalaries[[#This Row],[Currency]],Sheet1!$N$4:$Q$186,4,FALSE))</f>
        <v>37888.817878958762</v>
      </c>
      <c r="G1113" s="4">
        <f>IF(Dashboard!$J$5=VLOOKUP(tblSalaries[[#This Row],[Currency]],Sheet3!$A$2:$B$31,2,FALSE),tblSalaries[[#This Row],[clean Salary (in local currency)]],(tblSalaries[[#This Row],[PPP Adjusted  USD]]/VLOOKUP(Dashboard!$J$5,Sheet3!$B$2:$C$31,2,FALSE)))</f>
        <v>37888.817878958762</v>
      </c>
      <c r="H1113" t="s">
        <v>625</v>
      </c>
      <c r="I1113" t="s">
        <v>625</v>
      </c>
      <c r="J1113" t="s">
        <v>604</v>
      </c>
      <c r="K1113" t="s">
        <v>605</v>
      </c>
      <c r="L1113">
        <v>7</v>
      </c>
    </row>
    <row r="1114" spans="2:12" ht="15" customHeight="1">
      <c r="B1114" t="s">
        <v>1930</v>
      </c>
      <c r="C1114">
        <v>800000</v>
      </c>
      <c r="D1114" t="s">
        <v>247</v>
      </c>
      <c r="E1114">
        <v>14246.333349954055</v>
      </c>
      <c r="F1114" s="3">
        <f>(tblSalaries[[#This Row],[clean Salary (in local currency)]])*(VLOOKUP(tblSalaries[[#This Row],[Currency]],Sheet3!$A$2:$C$31,3,FALSE))*(VLOOKUP(tblSalaries[[#This Row],[Currency]],Sheet1!$N$4:$Q$186,4,FALSE))</f>
        <v>37888.817878958762</v>
      </c>
      <c r="G1114" s="4">
        <f>IF(Dashboard!$J$5=VLOOKUP(tblSalaries[[#This Row],[Currency]],Sheet3!$A$2:$B$31,2,FALSE),tblSalaries[[#This Row],[clean Salary (in local currency)]],(tblSalaries[[#This Row],[PPP Adjusted  USD]]/VLOOKUP(Dashboard!$J$5,Sheet3!$B$2:$C$31,2,FALSE)))</f>
        <v>37888.817878958762</v>
      </c>
      <c r="H1114" t="s">
        <v>625</v>
      </c>
      <c r="I1114" t="s">
        <v>625</v>
      </c>
      <c r="J1114" t="s">
        <v>604</v>
      </c>
      <c r="K1114" t="s">
        <v>617</v>
      </c>
      <c r="L1114">
        <v>13</v>
      </c>
    </row>
    <row r="1115" spans="2:12" ht="15" customHeight="1">
      <c r="B1115" t="s">
        <v>3563</v>
      </c>
      <c r="C1115">
        <v>800000</v>
      </c>
      <c r="D1115" t="s">
        <v>247</v>
      </c>
      <c r="E1115">
        <v>14246.333349954055</v>
      </c>
      <c r="F1115" s="3">
        <f>(tblSalaries[[#This Row],[clean Salary (in local currency)]])*(VLOOKUP(tblSalaries[[#This Row],[Currency]],Sheet3!$A$2:$C$31,3,FALSE))*(VLOOKUP(tblSalaries[[#This Row],[Currency]],Sheet1!$N$4:$Q$186,4,FALSE))</f>
        <v>37888.817878958762</v>
      </c>
      <c r="G1115" s="4">
        <f>IF(Dashboard!$J$5=VLOOKUP(tblSalaries[[#This Row],[Currency]],Sheet3!$A$2:$B$31,2,FALSE),tblSalaries[[#This Row],[clean Salary (in local currency)]],(tblSalaries[[#This Row],[PPP Adjusted  USD]]/VLOOKUP(Dashboard!$J$5,Sheet3!$B$2:$C$31,2,FALSE)))</f>
        <v>37888.817878958762</v>
      </c>
      <c r="H1115" t="s">
        <v>1802</v>
      </c>
      <c r="I1115" t="s">
        <v>625</v>
      </c>
      <c r="J1115" t="s">
        <v>604</v>
      </c>
      <c r="K1115" t="s">
        <v>617</v>
      </c>
      <c r="L1115">
        <v>0</v>
      </c>
    </row>
    <row r="1116" spans="2:12" ht="15" customHeight="1">
      <c r="B1116" t="s">
        <v>3564</v>
      </c>
      <c r="C1116">
        <v>800000</v>
      </c>
      <c r="D1116" t="s">
        <v>247</v>
      </c>
      <c r="E1116">
        <v>14246.333349954055</v>
      </c>
      <c r="F1116" s="3">
        <f>(tblSalaries[[#This Row],[clean Salary (in local currency)]])*(VLOOKUP(tblSalaries[[#This Row],[Currency]],Sheet3!$A$2:$C$31,3,FALSE))*(VLOOKUP(tblSalaries[[#This Row],[Currency]],Sheet1!$N$4:$Q$186,4,FALSE))</f>
        <v>37888.817878958762</v>
      </c>
      <c r="G1116" s="4">
        <f>IF(Dashboard!$J$5=VLOOKUP(tblSalaries[[#This Row],[Currency]],Sheet3!$A$2:$B$31,2,FALSE),tblSalaries[[#This Row],[clean Salary (in local currency)]],(tblSalaries[[#This Row],[PPP Adjusted  USD]]/VLOOKUP(Dashboard!$J$5,Sheet3!$B$2:$C$31,2,FALSE)))</f>
        <v>37888.817878958762</v>
      </c>
      <c r="H1116" t="s">
        <v>1802</v>
      </c>
      <c r="I1116" t="s">
        <v>625</v>
      </c>
      <c r="J1116" t="s">
        <v>604</v>
      </c>
      <c r="K1116" t="s">
        <v>617</v>
      </c>
      <c r="L1116">
        <v>0</v>
      </c>
    </row>
    <row r="1117" spans="2:12" ht="15" customHeight="1">
      <c r="B1117" t="s">
        <v>1601</v>
      </c>
      <c r="C1117">
        <v>60000</v>
      </c>
      <c r="D1117" t="s">
        <v>224</v>
      </c>
      <c r="E1117">
        <v>61194.579384158147</v>
      </c>
      <c r="F1117" s="3">
        <f>(tblSalaries[[#This Row],[clean Salary (in local currency)]])*(VLOOKUP(tblSalaries[[#This Row],[Currency]],Sheet3!$A$2:$C$31,3,FALSE))*(VLOOKUP(tblSalaries[[#This Row],[Currency]],Sheet1!$N$4:$Q$186,4,FALSE))</f>
        <v>37602.843491916661</v>
      </c>
      <c r="G1117" s="4">
        <f>IF(Dashboard!$J$5=VLOOKUP(tblSalaries[[#This Row],[Currency]],Sheet3!$A$2:$B$31,2,FALSE),tblSalaries[[#This Row],[clean Salary (in local currency)]],(tblSalaries[[#This Row],[PPP Adjusted  USD]]/VLOOKUP(Dashboard!$J$5,Sheet3!$B$2:$C$31,2,FALSE)))</f>
        <v>37602.843491916661</v>
      </c>
      <c r="H1117" t="s">
        <v>603</v>
      </c>
      <c r="I1117" t="s">
        <v>603</v>
      </c>
      <c r="J1117" t="s">
        <v>703</v>
      </c>
      <c r="K1117" t="s">
        <v>617</v>
      </c>
      <c r="L1117" t="s">
        <v>3847</v>
      </c>
    </row>
    <row r="1118" spans="2:12" ht="15" customHeight="1">
      <c r="B1118" t="s">
        <v>3537</v>
      </c>
      <c r="C1118">
        <v>60000</v>
      </c>
      <c r="D1118" t="s">
        <v>224</v>
      </c>
      <c r="E1118">
        <v>61194.579384158147</v>
      </c>
      <c r="F1118" s="3">
        <f>(tblSalaries[[#This Row],[clean Salary (in local currency)]])*(VLOOKUP(tblSalaries[[#This Row],[Currency]],Sheet3!$A$2:$C$31,3,FALSE))*(VLOOKUP(tblSalaries[[#This Row],[Currency]],Sheet1!$N$4:$Q$186,4,FALSE))</f>
        <v>37602.843491916661</v>
      </c>
      <c r="G1118" s="4">
        <f>IF(Dashboard!$J$5=VLOOKUP(tblSalaries[[#This Row],[Currency]],Sheet3!$A$2:$B$31,2,FALSE),tblSalaries[[#This Row],[clean Salary (in local currency)]],(tblSalaries[[#This Row],[PPP Adjusted  USD]]/VLOOKUP(Dashboard!$J$5,Sheet3!$B$2:$C$31,2,FALSE)))</f>
        <v>37602.843491916661</v>
      </c>
      <c r="H1118" t="s">
        <v>648</v>
      </c>
      <c r="I1118" t="s">
        <v>603</v>
      </c>
      <c r="J1118" t="s">
        <v>703</v>
      </c>
      <c r="K1118" t="s">
        <v>617</v>
      </c>
      <c r="L1118">
        <v>3</v>
      </c>
    </row>
    <row r="1119" spans="2:12" ht="15" customHeight="1">
      <c r="B1119" t="s">
        <v>3710</v>
      </c>
      <c r="C1119">
        <v>37500</v>
      </c>
      <c r="D1119" t="s">
        <v>252</v>
      </c>
      <c r="E1119">
        <v>37500</v>
      </c>
      <c r="F1119" s="3">
        <f>(tblSalaries[[#This Row],[clean Salary (in local currency)]])*(VLOOKUP(tblSalaries[[#This Row],[Currency]],Sheet3!$A$2:$C$31,3,FALSE))*(VLOOKUP(tblSalaries[[#This Row],[Currency]],Sheet1!$N$4:$Q$186,4,FALSE))</f>
        <v>37500</v>
      </c>
      <c r="G1119" s="4">
        <f>IF(Dashboard!$J$5=VLOOKUP(tblSalaries[[#This Row],[Currency]],Sheet3!$A$2:$B$31,2,FALSE),tblSalaries[[#This Row],[clean Salary (in local currency)]],(tblSalaries[[#This Row],[PPP Adjusted  USD]]/VLOOKUP(Dashboard!$J$5,Sheet3!$B$2:$C$31,2,FALSE)))</f>
        <v>37500</v>
      </c>
      <c r="H1119" t="s">
        <v>702</v>
      </c>
      <c r="I1119" t="s">
        <v>692</v>
      </c>
      <c r="J1119" t="s">
        <v>604</v>
      </c>
      <c r="K1119" t="s">
        <v>610</v>
      </c>
      <c r="L1119">
        <v>0</v>
      </c>
    </row>
    <row r="1120" spans="2:12" ht="15" customHeight="1">
      <c r="B1120" t="s">
        <v>927</v>
      </c>
      <c r="C1120">
        <v>37440</v>
      </c>
      <c r="D1120" t="s">
        <v>252</v>
      </c>
      <c r="E1120">
        <v>37440</v>
      </c>
      <c r="F1120" s="3">
        <f>(tblSalaries[[#This Row],[clean Salary (in local currency)]])*(VLOOKUP(tblSalaries[[#This Row],[Currency]],Sheet3!$A$2:$C$31,3,FALSE))*(VLOOKUP(tblSalaries[[#This Row],[Currency]],Sheet1!$N$4:$Q$186,4,FALSE))</f>
        <v>37440</v>
      </c>
      <c r="G1120" s="4">
        <f>IF(Dashboard!$J$5=VLOOKUP(tblSalaries[[#This Row],[Currency]],Sheet3!$A$2:$B$31,2,FALSE),tblSalaries[[#This Row],[clean Salary (in local currency)]],(tblSalaries[[#This Row],[PPP Adjusted  USD]]/VLOOKUP(Dashboard!$J$5,Sheet3!$B$2:$C$31,2,FALSE)))</f>
        <v>37440</v>
      </c>
      <c r="H1120" t="s">
        <v>763</v>
      </c>
      <c r="I1120" t="s">
        <v>603</v>
      </c>
      <c r="J1120" t="s">
        <v>613</v>
      </c>
      <c r="K1120" t="s">
        <v>610</v>
      </c>
      <c r="L1120" t="s">
        <v>3847</v>
      </c>
    </row>
    <row r="1121" spans="2:12" ht="15" customHeight="1">
      <c r="B1121" t="s">
        <v>3470</v>
      </c>
      <c r="C1121">
        <v>400000</v>
      </c>
      <c r="D1121" t="s">
        <v>457</v>
      </c>
      <c r="E1121">
        <v>67700.452577525488</v>
      </c>
      <c r="F1121" s="3">
        <f>(tblSalaries[[#This Row],[clean Salary (in local currency)]])*(VLOOKUP(tblSalaries[[#This Row],[Currency]],Sheet3!$A$2:$C$31,3,FALSE))*(VLOOKUP(tblSalaries[[#This Row],[Currency]],Sheet1!$N$4:$Q$186,4,FALSE))</f>
        <v>37221.741022107679</v>
      </c>
      <c r="G1121" s="4">
        <f>IF(Dashboard!$J$5=VLOOKUP(tblSalaries[[#This Row],[Currency]],Sheet3!$A$2:$B$31,2,FALSE),tblSalaries[[#This Row],[clean Salary (in local currency)]],(tblSalaries[[#This Row],[PPP Adjusted  USD]]/VLOOKUP(Dashboard!$J$5,Sheet3!$B$2:$C$31,2,FALSE)))</f>
        <v>37221.741022107679</v>
      </c>
      <c r="H1121" t="s">
        <v>3471</v>
      </c>
      <c r="I1121" t="s">
        <v>603</v>
      </c>
      <c r="J1121" t="s">
        <v>1519</v>
      </c>
      <c r="K1121" t="s">
        <v>610</v>
      </c>
      <c r="L1121">
        <v>5</v>
      </c>
    </row>
    <row r="1122" spans="2:12" ht="15" customHeight="1">
      <c r="B1122" t="s">
        <v>1813</v>
      </c>
      <c r="C1122">
        <v>37000</v>
      </c>
      <c r="D1122" t="s">
        <v>252</v>
      </c>
      <c r="E1122">
        <v>37000</v>
      </c>
      <c r="F1122" s="3">
        <f>(tblSalaries[[#This Row],[clean Salary (in local currency)]])*(VLOOKUP(tblSalaries[[#This Row],[Currency]],Sheet3!$A$2:$C$31,3,FALSE))*(VLOOKUP(tblSalaries[[#This Row],[Currency]],Sheet1!$N$4:$Q$186,4,FALSE))</f>
        <v>37000</v>
      </c>
      <c r="G1122" s="4">
        <f>IF(Dashboard!$J$5=VLOOKUP(tblSalaries[[#This Row],[Currency]],Sheet3!$A$2:$B$31,2,FALSE),tblSalaries[[#This Row],[clean Salary (in local currency)]],(tblSalaries[[#This Row],[PPP Adjusted  USD]]/VLOOKUP(Dashboard!$J$5,Sheet3!$B$2:$C$31,2,FALSE)))</f>
        <v>37000</v>
      </c>
      <c r="H1122" t="s">
        <v>1814</v>
      </c>
      <c r="I1122" t="s">
        <v>620</v>
      </c>
      <c r="J1122" t="s">
        <v>604</v>
      </c>
      <c r="K1122" t="s">
        <v>605</v>
      </c>
      <c r="L1122">
        <v>10</v>
      </c>
    </row>
    <row r="1123" spans="2:12" ht="15" customHeight="1">
      <c r="B1123" t="s">
        <v>3016</v>
      </c>
      <c r="C1123">
        <v>37000</v>
      </c>
      <c r="D1123" t="s">
        <v>252</v>
      </c>
      <c r="E1123">
        <v>37000</v>
      </c>
      <c r="F1123" s="3">
        <f>(tblSalaries[[#This Row],[clean Salary (in local currency)]])*(VLOOKUP(tblSalaries[[#This Row],[Currency]],Sheet3!$A$2:$C$31,3,FALSE))*(VLOOKUP(tblSalaries[[#This Row],[Currency]],Sheet1!$N$4:$Q$186,4,FALSE))</f>
        <v>37000</v>
      </c>
      <c r="G1123" s="4">
        <f>IF(Dashboard!$J$5=VLOOKUP(tblSalaries[[#This Row],[Currency]],Sheet3!$A$2:$B$31,2,FALSE),tblSalaries[[#This Row],[clean Salary (in local currency)]],(tblSalaries[[#This Row],[PPP Adjusted  USD]]/VLOOKUP(Dashboard!$J$5,Sheet3!$B$2:$C$31,2,FALSE)))</f>
        <v>37000</v>
      </c>
      <c r="H1123" t="s">
        <v>3017</v>
      </c>
      <c r="I1123" t="s">
        <v>658</v>
      </c>
      <c r="J1123" t="s">
        <v>613</v>
      </c>
      <c r="K1123" t="s">
        <v>617</v>
      </c>
      <c r="L1123">
        <v>30</v>
      </c>
    </row>
    <row r="1124" spans="2:12" ht="15" customHeight="1">
      <c r="B1124" t="s">
        <v>3168</v>
      </c>
      <c r="C1124">
        <v>33500</v>
      </c>
      <c r="D1124" t="s">
        <v>200</v>
      </c>
      <c r="E1124">
        <v>42558.381206218859</v>
      </c>
      <c r="F1124" s="3">
        <f>(tblSalaries[[#This Row],[clean Salary (in local currency)]])*(VLOOKUP(tblSalaries[[#This Row],[Currency]],Sheet3!$A$2:$C$31,3,FALSE))*(VLOOKUP(tblSalaries[[#This Row],[Currency]],Sheet1!$N$4:$Q$186,4,FALSE))</f>
        <v>36871.871680331744</v>
      </c>
      <c r="G1124" s="4">
        <f>IF(Dashboard!$J$5=VLOOKUP(tblSalaries[[#This Row],[Currency]],Sheet3!$A$2:$B$31,2,FALSE),tblSalaries[[#This Row],[clean Salary (in local currency)]],(tblSalaries[[#This Row],[PPP Adjusted  USD]]/VLOOKUP(Dashboard!$J$5,Sheet3!$B$2:$C$31,2,FALSE)))</f>
        <v>36871.871680331744</v>
      </c>
      <c r="H1124" t="s">
        <v>3169</v>
      </c>
      <c r="I1124" t="s">
        <v>608</v>
      </c>
      <c r="J1124" t="s">
        <v>626</v>
      </c>
      <c r="K1124" t="s">
        <v>610</v>
      </c>
      <c r="L1124">
        <v>8</v>
      </c>
    </row>
    <row r="1125" spans="2:12" ht="15" customHeight="1">
      <c r="B1125" t="s">
        <v>1483</v>
      </c>
      <c r="C1125">
        <v>25000</v>
      </c>
      <c r="D1125" t="s">
        <v>204</v>
      </c>
      <c r="E1125">
        <v>39404.456801682099</v>
      </c>
      <c r="F1125" s="3">
        <f>(tblSalaries[[#This Row],[clean Salary (in local currency)]])*(VLOOKUP(tblSalaries[[#This Row],[Currency]],Sheet3!$A$2:$C$31,3,FALSE))*(VLOOKUP(tblSalaries[[#This Row],[Currency]],Sheet1!$N$4:$Q$186,4,FALSE))</f>
        <v>36849.280124510682</v>
      </c>
      <c r="G1125" s="4">
        <f>IF(Dashboard!$J$5=VLOOKUP(tblSalaries[[#This Row],[Currency]],Sheet3!$A$2:$B$31,2,FALSE),tblSalaries[[#This Row],[clean Salary (in local currency)]],(tblSalaries[[#This Row],[PPP Adjusted  USD]]/VLOOKUP(Dashboard!$J$5,Sheet3!$B$2:$C$31,2,FALSE)))</f>
        <v>36849.280124510682</v>
      </c>
      <c r="H1125" t="s">
        <v>603</v>
      </c>
      <c r="I1125" t="s">
        <v>603</v>
      </c>
      <c r="J1125" t="s">
        <v>687</v>
      </c>
      <c r="K1125" t="s">
        <v>605</v>
      </c>
      <c r="L1125" t="s">
        <v>3847</v>
      </c>
    </row>
    <row r="1126" spans="2:12" ht="15" customHeight="1">
      <c r="B1126" t="s">
        <v>2546</v>
      </c>
      <c r="C1126">
        <v>25000</v>
      </c>
      <c r="D1126" t="s">
        <v>204</v>
      </c>
      <c r="E1126">
        <v>39404.456801682099</v>
      </c>
      <c r="F1126" s="3">
        <f>(tblSalaries[[#This Row],[clean Salary (in local currency)]])*(VLOOKUP(tblSalaries[[#This Row],[Currency]],Sheet3!$A$2:$C$31,3,FALSE))*(VLOOKUP(tblSalaries[[#This Row],[Currency]],Sheet1!$N$4:$Q$186,4,FALSE))</f>
        <v>36849.280124510682</v>
      </c>
      <c r="G1126" s="4">
        <f>IF(Dashboard!$J$5=VLOOKUP(tblSalaries[[#This Row],[Currency]],Sheet3!$A$2:$B$31,2,FALSE),tblSalaries[[#This Row],[clean Salary (in local currency)]],(tblSalaries[[#This Row],[PPP Adjusted  USD]]/VLOOKUP(Dashboard!$J$5,Sheet3!$B$2:$C$31,2,FALSE)))</f>
        <v>36849.280124510682</v>
      </c>
      <c r="H1126" t="s">
        <v>2547</v>
      </c>
      <c r="I1126" t="s">
        <v>603</v>
      </c>
      <c r="J1126" t="s">
        <v>687</v>
      </c>
      <c r="K1126" t="s">
        <v>605</v>
      </c>
      <c r="L1126">
        <v>3</v>
      </c>
    </row>
    <row r="1127" spans="2:12" ht="15" customHeight="1">
      <c r="B1127" t="s">
        <v>2752</v>
      </c>
      <c r="C1127">
        <v>25000</v>
      </c>
      <c r="D1127" t="s">
        <v>204</v>
      </c>
      <c r="E1127">
        <v>39404.456801682099</v>
      </c>
      <c r="F1127" s="3">
        <f>(tblSalaries[[#This Row],[clean Salary (in local currency)]])*(VLOOKUP(tblSalaries[[#This Row],[Currency]],Sheet3!$A$2:$C$31,3,FALSE))*(VLOOKUP(tblSalaries[[#This Row],[Currency]],Sheet1!$N$4:$Q$186,4,FALSE))</f>
        <v>36849.280124510682</v>
      </c>
      <c r="G1127" s="4">
        <f>IF(Dashboard!$J$5=VLOOKUP(tblSalaries[[#This Row],[Currency]],Sheet3!$A$2:$B$31,2,FALSE),tblSalaries[[#This Row],[clean Salary (in local currency)]],(tblSalaries[[#This Row],[PPP Adjusted  USD]]/VLOOKUP(Dashboard!$J$5,Sheet3!$B$2:$C$31,2,FALSE)))</f>
        <v>36849.280124510682</v>
      </c>
      <c r="H1127" t="s">
        <v>2753</v>
      </c>
      <c r="I1127" t="s">
        <v>637</v>
      </c>
      <c r="J1127" t="s">
        <v>687</v>
      </c>
      <c r="K1127" t="s">
        <v>617</v>
      </c>
      <c r="L1127">
        <v>10</v>
      </c>
    </row>
    <row r="1128" spans="2:12" ht="15" customHeight="1">
      <c r="B1128" t="s">
        <v>3121</v>
      </c>
      <c r="C1128">
        <v>25000</v>
      </c>
      <c r="D1128" t="s">
        <v>204</v>
      </c>
      <c r="E1128">
        <v>39404.456801682099</v>
      </c>
      <c r="F1128" s="3">
        <f>(tblSalaries[[#This Row],[clean Salary (in local currency)]])*(VLOOKUP(tblSalaries[[#This Row],[Currency]],Sheet3!$A$2:$C$31,3,FALSE))*(VLOOKUP(tblSalaries[[#This Row],[Currency]],Sheet1!$N$4:$Q$186,4,FALSE))</f>
        <v>36849.280124510682</v>
      </c>
      <c r="G1128" s="4">
        <f>IF(Dashboard!$J$5=VLOOKUP(tblSalaries[[#This Row],[Currency]],Sheet3!$A$2:$B$31,2,FALSE),tblSalaries[[#This Row],[clean Salary (in local currency)]],(tblSalaries[[#This Row],[PPP Adjusted  USD]]/VLOOKUP(Dashboard!$J$5,Sheet3!$B$2:$C$31,2,FALSE)))</f>
        <v>36849.280124510682</v>
      </c>
      <c r="H1128" t="s">
        <v>3122</v>
      </c>
      <c r="I1128" t="s">
        <v>637</v>
      </c>
      <c r="J1128" t="s">
        <v>687</v>
      </c>
      <c r="K1128" t="s">
        <v>605</v>
      </c>
      <c r="L1128">
        <v>35</v>
      </c>
    </row>
    <row r="1129" spans="2:12" ht="15" customHeight="1">
      <c r="B1129" t="s">
        <v>3268</v>
      </c>
      <c r="C1129">
        <v>25000</v>
      </c>
      <c r="D1129" t="s">
        <v>204</v>
      </c>
      <c r="E1129">
        <v>39404.456801682099</v>
      </c>
      <c r="F1129" s="3">
        <f>(tblSalaries[[#This Row],[clean Salary (in local currency)]])*(VLOOKUP(tblSalaries[[#This Row],[Currency]],Sheet3!$A$2:$C$31,3,FALSE))*(VLOOKUP(tblSalaries[[#This Row],[Currency]],Sheet1!$N$4:$Q$186,4,FALSE))</f>
        <v>36849.280124510682</v>
      </c>
      <c r="G1129" s="4">
        <f>IF(Dashboard!$J$5=VLOOKUP(tblSalaries[[#This Row],[Currency]],Sheet3!$A$2:$B$31,2,FALSE),tblSalaries[[#This Row],[clean Salary (in local currency)]],(tblSalaries[[#This Row],[PPP Adjusted  USD]]/VLOOKUP(Dashboard!$J$5,Sheet3!$B$2:$C$31,2,FALSE)))</f>
        <v>36849.280124510682</v>
      </c>
      <c r="H1129" t="s">
        <v>3269</v>
      </c>
      <c r="I1129" t="s">
        <v>658</v>
      </c>
      <c r="J1129" t="s">
        <v>687</v>
      </c>
      <c r="K1129" t="s">
        <v>605</v>
      </c>
      <c r="L1129">
        <v>2</v>
      </c>
    </row>
    <row r="1130" spans="2:12" ht="15" customHeight="1">
      <c r="B1130" t="s">
        <v>3795</v>
      </c>
      <c r="C1130">
        <v>25000</v>
      </c>
      <c r="D1130" t="s">
        <v>204</v>
      </c>
      <c r="E1130">
        <v>39404.456801682099</v>
      </c>
      <c r="F1130" s="3">
        <f>(tblSalaries[[#This Row],[clean Salary (in local currency)]])*(VLOOKUP(tblSalaries[[#This Row],[Currency]],Sheet3!$A$2:$C$31,3,FALSE))*(VLOOKUP(tblSalaries[[#This Row],[Currency]],Sheet1!$N$4:$Q$186,4,FALSE))</f>
        <v>36849.280124510682</v>
      </c>
      <c r="G1130" s="4">
        <f>IF(Dashboard!$J$5=VLOOKUP(tblSalaries[[#This Row],[Currency]],Sheet3!$A$2:$B$31,2,FALSE),tblSalaries[[#This Row],[clean Salary (in local currency)]],(tblSalaries[[#This Row],[PPP Adjusted  USD]]/VLOOKUP(Dashboard!$J$5,Sheet3!$B$2:$C$31,2,FALSE)))</f>
        <v>36849.280124510682</v>
      </c>
      <c r="H1130" t="s">
        <v>811</v>
      </c>
      <c r="I1130" t="s">
        <v>603</v>
      </c>
      <c r="J1130" t="s">
        <v>687</v>
      </c>
      <c r="K1130" t="s">
        <v>605</v>
      </c>
      <c r="L1130">
        <v>3</v>
      </c>
    </row>
    <row r="1131" spans="2:12" ht="15" customHeight="1">
      <c r="B1131" t="s">
        <v>2230</v>
      </c>
      <c r="C1131">
        <v>775000</v>
      </c>
      <c r="D1131" t="s">
        <v>247</v>
      </c>
      <c r="E1131">
        <v>13801.135432767991</v>
      </c>
      <c r="F1131" s="3">
        <f>(tblSalaries[[#This Row],[clean Salary (in local currency)]])*(VLOOKUP(tblSalaries[[#This Row],[Currency]],Sheet3!$A$2:$C$31,3,FALSE))*(VLOOKUP(tblSalaries[[#This Row],[Currency]],Sheet1!$N$4:$Q$186,4,FALSE))</f>
        <v>36704.792320241308</v>
      </c>
      <c r="G1131" s="4">
        <f>IF(Dashboard!$J$5=VLOOKUP(tblSalaries[[#This Row],[Currency]],Sheet3!$A$2:$B$31,2,FALSE),tblSalaries[[#This Row],[clean Salary (in local currency)]],(tblSalaries[[#This Row],[PPP Adjusted  USD]]/VLOOKUP(Dashboard!$J$5,Sheet3!$B$2:$C$31,2,FALSE)))</f>
        <v>36704.792320241308</v>
      </c>
      <c r="H1131" t="s">
        <v>603</v>
      </c>
      <c r="I1131" t="s">
        <v>603</v>
      </c>
      <c r="J1131" t="s">
        <v>604</v>
      </c>
      <c r="K1131" t="s">
        <v>605</v>
      </c>
      <c r="L1131">
        <v>2</v>
      </c>
    </row>
    <row r="1132" spans="2:12" ht="15" customHeight="1">
      <c r="B1132" t="s">
        <v>2200</v>
      </c>
      <c r="C1132">
        <v>36500</v>
      </c>
      <c r="D1132" t="s">
        <v>252</v>
      </c>
      <c r="E1132">
        <v>36500</v>
      </c>
      <c r="F1132" s="3">
        <f>(tblSalaries[[#This Row],[clean Salary (in local currency)]])*(VLOOKUP(tblSalaries[[#This Row],[Currency]],Sheet3!$A$2:$C$31,3,FALSE))*(VLOOKUP(tblSalaries[[#This Row],[Currency]],Sheet1!$N$4:$Q$186,4,FALSE))</f>
        <v>36500</v>
      </c>
      <c r="G1132" s="4">
        <f>IF(Dashboard!$J$5=VLOOKUP(tblSalaries[[#This Row],[Currency]],Sheet3!$A$2:$B$31,2,FALSE),tblSalaries[[#This Row],[clean Salary (in local currency)]],(tblSalaries[[#This Row],[PPP Adjusted  USD]]/VLOOKUP(Dashboard!$J$5,Sheet3!$B$2:$C$31,2,FALSE)))</f>
        <v>36500</v>
      </c>
      <c r="H1132" t="s">
        <v>637</v>
      </c>
      <c r="I1132" t="s">
        <v>637</v>
      </c>
      <c r="J1132" t="s">
        <v>780</v>
      </c>
      <c r="K1132" t="s">
        <v>605</v>
      </c>
      <c r="L1132">
        <v>15</v>
      </c>
    </row>
    <row r="1133" spans="2:12" ht="15" customHeight="1">
      <c r="B1133" t="s">
        <v>2239</v>
      </c>
      <c r="C1133">
        <v>36400</v>
      </c>
      <c r="D1133" t="s">
        <v>252</v>
      </c>
      <c r="E1133">
        <v>36400</v>
      </c>
      <c r="F1133" s="3">
        <f>(tblSalaries[[#This Row],[clean Salary (in local currency)]])*(VLOOKUP(tblSalaries[[#This Row],[Currency]],Sheet3!$A$2:$C$31,3,FALSE))*(VLOOKUP(tblSalaries[[#This Row],[Currency]],Sheet1!$N$4:$Q$186,4,FALSE))</f>
        <v>36400</v>
      </c>
      <c r="G1133" s="4">
        <f>IF(Dashboard!$J$5=VLOOKUP(tblSalaries[[#This Row],[Currency]],Sheet3!$A$2:$B$31,2,FALSE),tblSalaries[[#This Row],[clean Salary (in local currency)]],(tblSalaries[[#This Row],[PPP Adjusted  USD]]/VLOOKUP(Dashboard!$J$5,Sheet3!$B$2:$C$31,2,FALSE)))</f>
        <v>36400</v>
      </c>
      <c r="H1133" t="s">
        <v>603</v>
      </c>
      <c r="I1133" t="s">
        <v>603</v>
      </c>
      <c r="J1133" t="s">
        <v>2240</v>
      </c>
      <c r="K1133" t="s">
        <v>605</v>
      </c>
      <c r="L1133">
        <v>20</v>
      </c>
    </row>
    <row r="1134" spans="2:12" ht="15" customHeight="1">
      <c r="B1134" t="s">
        <v>1527</v>
      </c>
      <c r="C1134">
        <v>46000</v>
      </c>
      <c r="D1134" t="s">
        <v>276</v>
      </c>
      <c r="E1134">
        <v>45234.630059395036</v>
      </c>
      <c r="F1134" s="3">
        <f>(tblSalaries[[#This Row],[clean Salary (in local currency)]])*(VLOOKUP(tblSalaries[[#This Row],[Currency]],Sheet3!$A$2:$C$31,3,FALSE))*(VLOOKUP(tblSalaries[[#This Row],[Currency]],Sheet1!$N$4:$Q$186,4,FALSE))</f>
        <v>36360.525347307856</v>
      </c>
      <c r="G1134" s="4">
        <f>IF(Dashboard!$J$5=VLOOKUP(tblSalaries[[#This Row],[Currency]],Sheet3!$A$2:$B$31,2,FALSE),tblSalaries[[#This Row],[clean Salary (in local currency)]],(tblSalaries[[#This Row],[PPP Adjusted  USD]]/VLOOKUP(Dashboard!$J$5,Sheet3!$B$2:$C$31,2,FALSE)))</f>
        <v>36360.525347307856</v>
      </c>
      <c r="H1134" t="s">
        <v>1528</v>
      </c>
      <c r="I1134" t="s">
        <v>603</v>
      </c>
      <c r="J1134" t="s">
        <v>708</v>
      </c>
      <c r="K1134" t="s">
        <v>610</v>
      </c>
      <c r="L1134" t="s">
        <v>3847</v>
      </c>
    </row>
    <row r="1135" spans="2:12" ht="15" customHeight="1">
      <c r="B1135" t="s">
        <v>3467</v>
      </c>
      <c r="C1135">
        <v>33000</v>
      </c>
      <c r="D1135" t="s">
        <v>200</v>
      </c>
      <c r="E1135">
        <v>41923.181486723057</v>
      </c>
      <c r="F1135" s="3">
        <f>(tblSalaries[[#This Row],[clean Salary (in local currency)]])*(VLOOKUP(tblSalaries[[#This Row],[Currency]],Sheet3!$A$2:$C$31,3,FALSE))*(VLOOKUP(tblSalaries[[#This Row],[Currency]],Sheet1!$N$4:$Q$186,4,FALSE))</f>
        <v>36321.545237341721</v>
      </c>
      <c r="G1135" s="4">
        <f>IF(Dashboard!$J$5=VLOOKUP(tblSalaries[[#This Row],[Currency]],Sheet3!$A$2:$B$31,2,FALSE),tblSalaries[[#This Row],[clean Salary (in local currency)]],(tblSalaries[[#This Row],[PPP Adjusted  USD]]/VLOOKUP(Dashboard!$J$5,Sheet3!$B$2:$C$31,2,FALSE)))</f>
        <v>36321.545237341721</v>
      </c>
      <c r="H1135" t="s">
        <v>2930</v>
      </c>
      <c r="I1135" t="s">
        <v>603</v>
      </c>
      <c r="J1135" t="s">
        <v>738</v>
      </c>
      <c r="K1135" t="s">
        <v>605</v>
      </c>
      <c r="L1135">
        <v>6</v>
      </c>
    </row>
    <row r="1136" spans="2:12" ht="15" customHeight="1">
      <c r="B1136" t="s">
        <v>806</v>
      </c>
      <c r="C1136">
        <v>36000</v>
      </c>
      <c r="D1136" t="s">
        <v>252</v>
      </c>
      <c r="E1136">
        <v>36000</v>
      </c>
      <c r="F1136" s="3">
        <f>(tblSalaries[[#This Row],[clean Salary (in local currency)]])*(VLOOKUP(tblSalaries[[#This Row],[Currency]],Sheet3!$A$2:$C$31,3,FALSE))*(VLOOKUP(tblSalaries[[#This Row],[Currency]],Sheet1!$N$4:$Q$186,4,FALSE))</f>
        <v>36000</v>
      </c>
      <c r="G1136" s="4">
        <f>IF(Dashboard!$J$5=VLOOKUP(tblSalaries[[#This Row],[Currency]],Sheet3!$A$2:$B$31,2,FALSE),tblSalaries[[#This Row],[clean Salary (in local currency)]],(tblSalaries[[#This Row],[PPP Adjusted  USD]]/VLOOKUP(Dashboard!$J$5,Sheet3!$B$2:$C$31,2,FALSE)))</f>
        <v>36000</v>
      </c>
      <c r="H1136" t="s">
        <v>807</v>
      </c>
      <c r="I1136" t="s">
        <v>625</v>
      </c>
      <c r="J1136" t="s">
        <v>613</v>
      </c>
      <c r="K1136" t="s">
        <v>617</v>
      </c>
      <c r="L1136" t="s">
        <v>3847</v>
      </c>
    </row>
    <row r="1137" spans="2:12" ht="15" customHeight="1">
      <c r="B1137" t="s">
        <v>834</v>
      </c>
      <c r="C1137">
        <v>36000</v>
      </c>
      <c r="D1137" t="s">
        <v>252</v>
      </c>
      <c r="E1137">
        <v>36000</v>
      </c>
      <c r="F1137" s="3">
        <f>(tblSalaries[[#This Row],[clean Salary (in local currency)]])*(VLOOKUP(tblSalaries[[#This Row],[Currency]],Sheet3!$A$2:$C$31,3,FALSE))*(VLOOKUP(tblSalaries[[#This Row],[Currency]],Sheet1!$N$4:$Q$186,4,FALSE))</f>
        <v>36000</v>
      </c>
      <c r="G1137" s="4">
        <f>IF(Dashboard!$J$5=VLOOKUP(tblSalaries[[#This Row],[Currency]],Sheet3!$A$2:$B$31,2,FALSE),tblSalaries[[#This Row],[clean Salary (in local currency)]],(tblSalaries[[#This Row],[PPP Adjusted  USD]]/VLOOKUP(Dashboard!$J$5,Sheet3!$B$2:$C$31,2,FALSE)))</f>
        <v>36000</v>
      </c>
      <c r="H1137" t="s">
        <v>603</v>
      </c>
      <c r="I1137" t="s">
        <v>603</v>
      </c>
      <c r="J1137" t="s">
        <v>613</v>
      </c>
      <c r="K1137" t="s">
        <v>605</v>
      </c>
      <c r="L1137" t="s">
        <v>3847</v>
      </c>
    </row>
    <row r="1138" spans="2:12" ht="15" customHeight="1">
      <c r="B1138" t="s">
        <v>878</v>
      </c>
      <c r="C1138">
        <v>36000</v>
      </c>
      <c r="D1138" t="s">
        <v>252</v>
      </c>
      <c r="E1138">
        <v>36000</v>
      </c>
      <c r="F1138" s="3">
        <f>(tblSalaries[[#This Row],[clean Salary (in local currency)]])*(VLOOKUP(tblSalaries[[#This Row],[Currency]],Sheet3!$A$2:$C$31,3,FALSE))*(VLOOKUP(tblSalaries[[#This Row],[Currency]],Sheet1!$N$4:$Q$186,4,FALSE))</f>
        <v>36000</v>
      </c>
      <c r="G1138" s="4">
        <f>IF(Dashboard!$J$5=VLOOKUP(tblSalaries[[#This Row],[Currency]],Sheet3!$A$2:$B$31,2,FALSE),tblSalaries[[#This Row],[clean Salary (in local currency)]],(tblSalaries[[#This Row],[PPP Adjusted  USD]]/VLOOKUP(Dashboard!$J$5,Sheet3!$B$2:$C$31,2,FALSE)))</f>
        <v>36000</v>
      </c>
      <c r="H1138" t="s">
        <v>879</v>
      </c>
      <c r="I1138" t="s">
        <v>637</v>
      </c>
      <c r="J1138" t="s">
        <v>880</v>
      </c>
      <c r="K1138" t="s">
        <v>605</v>
      </c>
      <c r="L1138" t="s">
        <v>3847</v>
      </c>
    </row>
    <row r="1139" spans="2:12" ht="15" customHeight="1">
      <c r="B1139" t="s">
        <v>1158</v>
      </c>
      <c r="C1139">
        <v>36000</v>
      </c>
      <c r="D1139" t="s">
        <v>252</v>
      </c>
      <c r="E1139">
        <v>36000</v>
      </c>
      <c r="F1139" s="3">
        <f>(tblSalaries[[#This Row],[clean Salary (in local currency)]])*(VLOOKUP(tblSalaries[[#This Row],[Currency]],Sheet3!$A$2:$C$31,3,FALSE))*(VLOOKUP(tblSalaries[[#This Row],[Currency]],Sheet1!$N$4:$Q$186,4,FALSE))</f>
        <v>36000</v>
      </c>
      <c r="G1139" s="4">
        <f>IF(Dashboard!$J$5=VLOOKUP(tblSalaries[[#This Row],[Currency]],Sheet3!$A$2:$B$31,2,FALSE),tblSalaries[[#This Row],[clean Salary (in local currency)]],(tblSalaries[[#This Row],[PPP Adjusted  USD]]/VLOOKUP(Dashboard!$J$5,Sheet3!$B$2:$C$31,2,FALSE)))</f>
        <v>36000</v>
      </c>
      <c r="H1139" t="s">
        <v>1159</v>
      </c>
      <c r="I1139" t="s">
        <v>640</v>
      </c>
      <c r="J1139" t="s">
        <v>683</v>
      </c>
      <c r="K1139" t="s">
        <v>605</v>
      </c>
      <c r="L1139" t="s">
        <v>3847</v>
      </c>
    </row>
    <row r="1140" spans="2:12" ht="15" customHeight="1">
      <c r="B1140" t="s">
        <v>1191</v>
      </c>
      <c r="C1140">
        <v>36000</v>
      </c>
      <c r="D1140" t="s">
        <v>252</v>
      </c>
      <c r="E1140">
        <v>36000</v>
      </c>
      <c r="F1140" s="3">
        <f>(tblSalaries[[#This Row],[clean Salary (in local currency)]])*(VLOOKUP(tblSalaries[[#This Row],[Currency]],Sheet3!$A$2:$C$31,3,FALSE))*(VLOOKUP(tblSalaries[[#This Row],[Currency]],Sheet1!$N$4:$Q$186,4,FALSE))</f>
        <v>36000</v>
      </c>
      <c r="G1140" s="4">
        <f>IF(Dashboard!$J$5=VLOOKUP(tblSalaries[[#This Row],[Currency]],Sheet3!$A$2:$B$31,2,FALSE),tblSalaries[[#This Row],[clean Salary (in local currency)]],(tblSalaries[[#This Row],[PPP Adjusted  USD]]/VLOOKUP(Dashboard!$J$5,Sheet3!$B$2:$C$31,2,FALSE)))</f>
        <v>36000</v>
      </c>
      <c r="H1140" t="s">
        <v>1192</v>
      </c>
      <c r="I1140" t="s">
        <v>603</v>
      </c>
      <c r="J1140" t="s">
        <v>613</v>
      </c>
      <c r="K1140" t="s">
        <v>610</v>
      </c>
      <c r="L1140" t="s">
        <v>3847</v>
      </c>
    </row>
    <row r="1141" spans="2:12" ht="15" customHeight="1">
      <c r="B1141" t="s">
        <v>1700</v>
      </c>
      <c r="C1141">
        <v>36000</v>
      </c>
      <c r="D1141" t="s">
        <v>252</v>
      </c>
      <c r="E1141">
        <v>36000</v>
      </c>
      <c r="F1141" s="3">
        <f>(tblSalaries[[#This Row],[clean Salary (in local currency)]])*(VLOOKUP(tblSalaries[[#This Row],[Currency]],Sheet3!$A$2:$C$31,3,FALSE))*(VLOOKUP(tblSalaries[[#This Row],[Currency]],Sheet1!$N$4:$Q$186,4,FALSE))</f>
        <v>36000</v>
      </c>
      <c r="G1141" s="4">
        <f>IF(Dashboard!$J$5=VLOOKUP(tblSalaries[[#This Row],[Currency]],Sheet3!$A$2:$B$31,2,FALSE),tblSalaries[[#This Row],[clean Salary (in local currency)]],(tblSalaries[[#This Row],[PPP Adjusted  USD]]/VLOOKUP(Dashboard!$J$5,Sheet3!$B$2:$C$31,2,FALSE)))</f>
        <v>36000</v>
      </c>
      <c r="H1141" t="s">
        <v>1701</v>
      </c>
      <c r="I1141" t="s">
        <v>692</v>
      </c>
      <c r="J1141" t="s">
        <v>683</v>
      </c>
      <c r="K1141" t="s">
        <v>610</v>
      </c>
      <c r="L1141">
        <v>10</v>
      </c>
    </row>
    <row r="1142" spans="2:12" ht="15" customHeight="1">
      <c r="B1142" t="s">
        <v>1962</v>
      </c>
      <c r="C1142">
        <v>36000</v>
      </c>
      <c r="D1142" t="s">
        <v>252</v>
      </c>
      <c r="E1142">
        <v>36000</v>
      </c>
      <c r="F1142" s="3">
        <f>(tblSalaries[[#This Row],[clean Salary (in local currency)]])*(VLOOKUP(tblSalaries[[#This Row],[Currency]],Sheet3!$A$2:$C$31,3,FALSE))*(VLOOKUP(tblSalaries[[#This Row],[Currency]],Sheet1!$N$4:$Q$186,4,FALSE))</f>
        <v>36000</v>
      </c>
      <c r="G1142" s="4">
        <f>IF(Dashboard!$J$5=VLOOKUP(tblSalaries[[#This Row],[Currency]],Sheet3!$A$2:$B$31,2,FALSE),tblSalaries[[#This Row],[clean Salary (in local currency)]],(tblSalaries[[#This Row],[PPP Adjusted  USD]]/VLOOKUP(Dashboard!$J$5,Sheet3!$B$2:$C$31,2,FALSE)))</f>
        <v>36000</v>
      </c>
      <c r="H1142" t="s">
        <v>1364</v>
      </c>
      <c r="I1142" t="s">
        <v>620</v>
      </c>
      <c r="J1142" t="s">
        <v>770</v>
      </c>
      <c r="K1142" t="s">
        <v>627</v>
      </c>
      <c r="L1142">
        <v>7</v>
      </c>
    </row>
    <row r="1143" spans="2:12" ht="15" customHeight="1">
      <c r="B1143" t="s">
        <v>2018</v>
      </c>
      <c r="C1143">
        <v>36000</v>
      </c>
      <c r="D1143" t="s">
        <v>252</v>
      </c>
      <c r="E1143">
        <v>36000</v>
      </c>
      <c r="F1143" s="3">
        <f>(tblSalaries[[#This Row],[clean Salary (in local currency)]])*(VLOOKUP(tblSalaries[[#This Row],[Currency]],Sheet3!$A$2:$C$31,3,FALSE))*(VLOOKUP(tblSalaries[[#This Row],[Currency]],Sheet1!$N$4:$Q$186,4,FALSE))</f>
        <v>36000</v>
      </c>
      <c r="G1143" s="4">
        <f>IF(Dashboard!$J$5=VLOOKUP(tblSalaries[[#This Row],[Currency]],Sheet3!$A$2:$B$31,2,FALSE),tblSalaries[[#This Row],[clean Salary (in local currency)]],(tblSalaries[[#This Row],[PPP Adjusted  USD]]/VLOOKUP(Dashboard!$J$5,Sheet3!$B$2:$C$31,2,FALSE)))</f>
        <v>36000</v>
      </c>
      <c r="H1143" t="s">
        <v>2019</v>
      </c>
      <c r="I1143" t="s">
        <v>625</v>
      </c>
      <c r="J1143" t="s">
        <v>703</v>
      </c>
      <c r="K1143" t="s">
        <v>617</v>
      </c>
      <c r="L1143">
        <v>12</v>
      </c>
    </row>
    <row r="1144" spans="2:12" ht="15" customHeight="1">
      <c r="B1144" t="s">
        <v>2233</v>
      </c>
      <c r="C1144">
        <v>36000</v>
      </c>
      <c r="D1144" t="s">
        <v>252</v>
      </c>
      <c r="E1144">
        <v>36000</v>
      </c>
      <c r="F1144" s="3">
        <f>(tblSalaries[[#This Row],[clean Salary (in local currency)]])*(VLOOKUP(tblSalaries[[#This Row],[Currency]],Sheet3!$A$2:$C$31,3,FALSE))*(VLOOKUP(tblSalaries[[#This Row],[Currency]],Sheet1!$N$4:$Q$186,4,FALSE))</f>
        <v>36000</v>
      </c>
      <c r="G1144" s="4">
        <f>IF(Dashboard!$J$5=VLOOKUP(tblSalaries[[#This Row],[Currency]],Sheet3!$A$2:$B$31,2,FALSE),tblSalaries[[#This Row],[clean Salary (in local currency)]],(tblSalaries[[#This Row],[PPP Adjusted  USD]]/VLOOKUP(Dashboard!$J$5,Sheet3!$B$2:$C$31,2,FALSE)))</f>
        <v>36000</v>
      </c>
      <c r="H1144" t="s">
        <v>2234</v>
      </c>
      <c r="I1144" t="s">
        <v>608</v>
      </c>
      <c r="J1144" t="s">
        <v>2235</v>
      </c>
      <c r="K1144" t="s">
        <v>617</v>
      </c>
      <c r="L1144">
        <v>9</v>
      </c>
    </row>
    <row r="1145" spans="2:12" ht="15" customHeight="1">
      <c r="B1145" t="s">
        <v>2293</v>
      </c>
      <c r="C1145">
        <v>36000</v>
      </c>
      <c r="D1145" t="s">
        <v>252</v>
      </c>
      <c r="E1145">
        <v>36000</v>
      </c>
      <c r="F1145" s="3">
        <f>(tblSalaries[[#This Row],[clean Salary (in local currency)]])*(VLOOKUP(tblSalaries[[#This Row],[Currency]],Sheet3!$A$2:$C$31,3,FALSE))*(VLOOKUP(tblSalaries[[#This Row],[Currency]],Sheet1!$N$4:$Q$186,4,FALSE))</f>
        <v>36000</v>
      </c>
      <c r="G1145" s="4">
        <f>IF(Dashboard!$J$5=VLOOKUP(tblSalaries[[#This Row],[Currency]],Sheet3!$A$2:$B$31,2,FALSE),tblSalaries[[#This Row],[clean Salary (in local currency)]],(tblSalaries[[#This Row],[PPP Adjusted  USD]]/VLOOKUP(Dashboard!$J$5,Sheet3!$B$2:$C$31,2,FALSE)))</f>
        <v>36000</v>
      </c>
      <c r="H1145" t="s">
        <v>637</v>
      </c>
      <c r="I1145" t="s">
        <v>637</v>
      </c>
      <c r="J1145" t="s">
        <v>770</v>
      </c>
      <c r="K1145" t="s">
        <v>605</v>
      </c>
      <c r="L1145">
        <v>4.5</v>
      </c>
    </row>
    <row r="1146" spans="2:12" ht="15" customHeight="1">
      <c r="B1146" t="s">
        <v>2344</v>
      </c>
      <c r="C1146">
        <v>36000</v>
      </c>
      <c r="D1146" t="s">
        <v>252</v>
      </c>
      <c r="E1146">
        <v>36000</v>
      </c>
      <c r="F1146" s="3">
        <f>(tblSalaries[[#This Row],[clean Salary (in local currency)]])*(VLOOKUP(tblSalaries[[#This Row],[Currency]],Sheet3!$A$2:$C$31,3,FALSE))*(VLOOKUP(tblSalaries[[#This Row],[Currency]],Sheet1!$N$4:$Q$186,4,FALSE))</f>
        <v>36000</v>
      </c>
      <c r="G1146" s="4">
        <f>IF(Dashboard!$J$5=VLOOKUP(tblSalaries[[#This Row],[Currency]],Sheet3!$A$2:$B$31,2,FALSE),tblSalaries[[#This Row],[clean Salary (in local currency)]],(tblSalaries[[#This Row],[PPP Adjusted  USD]]/VLOOKUP(Dashboard!$J$5,Sheet3!$B$2:$C$31,2,FALSE)))</f>
        <v>36000</v>
      </c>
      <c r="H1146" t="s">
        <v>839</v>
      </c>
      <c r="I1146" t="s">
        <v>625</v>
      </c>
      <c r="J1146" t="s">
        <v>2345</v>
      </c>
      <c r="K1146" t="s">
        <v>627</v>
      </c>
      <c r="L1146">
        <v>3</v>
      </c>
    </row>
    <row r="1147" spans="2:12" ht="15" customHeight="1">
      <c r="B1147" t="s">
        <v>2864</v>
      </c>
      <c r="C1147">
        <v>36000</v>
      </c>
      <c r="D1147" t="s">
        <v>252</v>
      </c>
      <c r="E1147">
        <v>36000</v>
      </c>
      <c r="F1147" s="3">
        <f>(tblSalaries[[#This Row],[clean Salary (in local currency)]])*(VLOOKUP(tblSalaries[[#This Row],[Currency]],Sheet3!$A$2:$C$31,3,FALSE))*(VLOOKUP(tblSalaries[[#This Row],[Currency]],Sheet1!$N$4:$Q$186,4,FALSE))</f>
        <v>36000</v>
      </c>
      <c r="G1147" s="4">
        <f>IF(Dashboard!$J$5=VLOOKUP(tblSalaries[[#This Row],[Currency]],Sheet3!$A$2:$B$31,2,FALSE),tblSalaries[[#This Row],[clean Salary (in local currency)]],(tblSalaries[[#This Row],[PPP Adjusted  USD]]/VLOOKUP(Dashboard!$J$5,Sheet3!$B$2:$C$31,2,FALSE)))</f>
        <v>36000</v>
      </c>
      <c r="H1147" t="s">
        <v>999</v>
      </c>
      <c r="I1147" t="s">
        <v>603</v>
      </c>
      <c r="J1147" t="s">
        <v>2424</v>
      </c>
      <c r="K1147" t="s">
        <v>617</v>
      </c>
      <c r="L1147">
        <v>10</v>
      </c>
    </row>
    <row r="1148" spans="2:12" ht="15" customHeight="1">
      <c r="B1148" t="s">
        <v>2974</v>
      </c>
      <c r="C1148">
        <v>36000</v>
      </c>
      <c r="D1148" t="s">
        <v>252</v>
      </c>
      <c r="E1148">
        <v>36000</v>
      </c>
      <c r="F1148" s="3">
        <f>(tblSalaries[[#This Row],[clean Salary (in local currency)]])*(VLOOKUP(tblSalaries[[#This Row],[Currency]],Sheet3!$A$2:$C$31,3,FALSE))*(VLOOKUP(tblSalaries[[#This Row],[Currency]],Sheet1!$N$4:$Q$186,4,FALSE))</f>
        <v>36000</v>
      </c>
      <c r="G1148" s="4">
        <f>IF(Dashboard!$J$5=VLOOKUP(tblSalaries[[#This Row],[Currency]],Sheet3!$A$2:$B$31,2,FALSE),tblSalaries[[#This Row],[clean Salary (in local currency)]],(tblSalaries[[#This Row],[PPP Adjusted  USD]]/VLOOKUP(Dashboard!$J$5,Sheet3!$B$2:$C$31,2,FALSE)))</f>
        <v>36000</v>
      </c>
      <c r="H1148" t="s">
        <v>2383</v>
      </c>
      <c r="I1148" t="s">
        <v>640</v>
      </c>
      <c r="J1148" t="s">
        <v>613</v>
      </c>
      <c r="K1148" t="s">
        <v>610</v>
      </c>
      <c r="L1148">
        <v>8</v>
      </c>
    </row>
    <row r="1149" spans="2:12" ht="15" customHeight="1">
      <c r="B1149" t="s">
        <v>3376</v>
      </c>
      <c r="C1149">
        <v>36000</v>
      </c>
      <c r="D1149" t="s">
        <v>252</v>
      </c>
      <c r="E1149">
        <v>36000</v>
      </c>
      <c r="F1149" s="3">
        <f>(tblSalaries[[#This Row],[clean Salary (in local currency)]])*(VLOOKUP(tblSalaries[[#This Row],[Currency]],Sheet3!$A$2:$C$31,3,FALSE))*(VLOOKUP(tblSalaries[[#This Row],[Currency]],Sheet1!$N$4:$Q$186,4,FALSE))</f>
        <v>36000</v>
      </c>
      <c r="G1149" s="4">
        <f>IF(Dashboard!$J$5=VLOOKUP(tblSalaries[[#This Row],[Currency]],Sheet3!$A$2:$B$31,2,FALSE),tblSalaries[[#This Row],[clean Salary (in local currency)]],(tblSalaries[[#This Row],[PPP Adjusted  USD]]/VLOOKUP(Dashboard!$J$5,Sheet3!$B$2:$C$31,2,FALSE)))</f>
        <v>36000</v>
      </c>
      <c r="H1149" t="s">
        <v>3377</v>
      </c>
      <c r="I1149" t="s">
        <v>692</v>
      </c>
      <c r="J1149" t="s">
        <v>3378</v>
      </c>
      <c r="K1149" t="s">
        <v>605</v>
      </c>
      <c r="L1149">
        <v>5</v>
      </c>
    </row>
    <row r="1150" spans="2:12" ht="15" customHeight="1">
      <c r="B1150" t="s">
        <v>3541</v>
      </c>
      <c r="C1150">
        <v>36000</v>
      </c>
      <c r="D1150" t="s">
        <v>252</v>
      </c>
      <c r="E1150">
        <v>36000</v>
      </c>
      <c r="F1150" s="3">
        <f>(tblSalaries[[#This Row],[clean Salary (in local currency)]])*(VLOOKUP(tblSalaries[[#This Row],[Currency]],Sheet3!$A$2:$C$31,3,FALSE))*(VLOOKUP(tblSalaries[[#This Row],[Currency]],Sheet1!$N$4:$Q$186,4,FALSE))</f>
        <v>36000</v>
      </c>
      <c r="G1150" s="4">
        <f>IF(Dashboard!$J$5=VLOOKUP(tblSalaries[[#This Row],[Currency]],Sheet3!$A$2:$B$31,2,FALSE),tblSalaries[[#This Row],[clean Salary (in local currency)]],(tblSalaries[[#This Row],[PPP Adjusted  USD]]/VLOOKUP(Dashboard!$J$5,Sheet3!$B$2:$C$31,2,FALSE)))</f>
        <v>36000</v>
      </c>
      <c r="H1150" t="s">
        <v>1494</v>
      </c>
      <c r="I1150" t="s">
        <v>603</v>
      </c>
      <c r="J1150" t="s">
        <v>613</v>
      </c>
      <c r="K1150" t="s">
        <v>605</v>
      </c>
      <c r="L1150">
        <v>4</v>
      </c>
    </row>
    <row r="1151" spans="2:12" ht="15" customHeight="1">
      <c r="B1151" t="s">
        <v>674</v>
      </c>
      <c r="C1151">
        <v>32400</v>
      </c>
      <c r="D1151" t="s">
        <v>200</v>
      </c>
      <c r="E1151">
        <v>41160.941823328096</v>
      </c>
      <c r="F1151" s="3">
        <f>(tblSalaries[[#This Row],[clean Salary (in local currency)]])*(VLOOKUP(tblSalaries[[#This Row],[Currency]],Sheet3!$A$2:$C$31,3,FALSE))*(VLOOKUP(tblSalaries[[#This Row],[Currency]],Sheet1!$N$4:$Q$186,4,FALSE))</f>
        <v>35661.153505753697</v>
      </c>
      <c r="G1151" s="4">
        <f>IF(Dashboard!$J$5=VLOOKUP(tblSalaries[[#This Row],[Currency]],Sheet3!$A$2:$B$31,2,FALSE),tblSalaries[[#This Row],[clean Salary (in local currency)]],(tblSalaries[[#This Row],[PPP Adjusted  USD]]/VLOOKUP(Dashboard!$J$5,Sheet3!$B$2:$C$31,2,FALSE)))</f>
        <v>35661.153505753697</v>
      </c>
      <c r="H1151" t="s">
        <v>675</v>
      </c>
      <c r="I1151" t="s">
        <v>625</v>
      </c>
      <c r="J1151" t="s">
        <v>676</v>
      </c>
      <c r="K1151" t="s">
        <v>605</v>
      </c>
      <c r="L1151" t="s">
        <v>3847</v>
      </c>
    </row>
    <row r="1152" spans="2:12" ht="15" customHeight="1">
      <c r="B1152" t="s">
        <v>1061</v>
      </c>
      <c r="C1152">
        <v>45000</v>
      </c>
      <c r="D1152" t="s">
        <v>276</v>
      </c>
      <c r="E1152">
        <v>44251.268536364711</v>
      </c>
      <c r="F1152" s="3">
        <f>(tblSalaries[[#This Row],[clean Salary (in local currency)]])*(VLOOKUP(tblSalaries[[#This Row],[Currency]],Sheet3!$A$2:$C$31,3,FALSE))*(VLOOKUP(tblSalaries[[#This Row],[Currency]],Sheet1!$N$4:$Q$186,4,FALSE))</f>
        <v>35570.079144105512</v>
      </c>
      <c r="G1152" s="4">
        <f>IF(Dashboard!$J$5=VLOOKUP(tblSalaries[[#This Row],[Currency]],Sheet3!$A$2:$B$31,2,FALSE),tblSalaries[[#This Row],[clean Salary (in local currency)]],(tblSalaries[[#This Row],[PPP Adjusted  USD]]/VLOOKUP(Dashboard!$J$5,Sheet3!$B$2:$C$31,2,FALSE)))</f>
        <v>35570.079144105512</v>
      </c>
      <c r="H1152" t="s">
        <v>1062</v>
      </c>
      <c r="I1152" t="s">
        <v>640</v>
      </c>
      <c r="J1152" t="s">
        <v>708</v>
      </c>
      <c r="K1152" t="s">
        <v>627</v>
      </c>
      <c r="L1152" t="s">
        <v>3847</v>
      </c>
    </row>
    <row r="1153" spans="2:12" ht="15" customHeight="1">
      <c r="B1153" t="s">
        <v>1351</v>
      </c>
      <c r="C1153">
        <v>750000</v>
      </c>
      <c r="D1153" t="s">
        <v>247</v>
      </c>
      <c r="E1153">
        <v>13355.937515581925</v>
      </c>
      <c r="F1153" s="3">
        <f>(tblSalaries[[#This Row],[clean Salary (in local currency)]])*(VLOOKUP(tblSalaries[[#This Row],[Currency]],Sheet3!$A$2:$C$31,3,FALSE))*(VLOOKUP(tblSalaries[[#This Row],[Currency]],Sheet1!$N$4:$Q$186,4,FALSE))</f>
        <v>35520.766761523839</v>
      </c>
      <c r="G1153" s="4">
        <f>IF(Dashboard!$J$5=VLOOKUP(tblSalaries[[#This Row],[Currency]],Sheet3!$A$2:$B$31,2,FALSE),tblSalaries[[#This Row],[clean Salary (in local currency)]],(tblSalaries[[#This Row],[PPP Adjusted  USD]]/VLOOKUP(Dashboard!$J$5,Sheet3!$B$2:$C$31,2,FALSE)))</f>
        <v>35520.766761523839</v>
      </c>
      <c r="H1153" t="s">
        <v>899</v>
      </c>
      <c r="I1153" t="s">
        <v>603</v>
      </c>
      <c r="J1153" t="s">
        <v>604</v>
      </c>
      <c r="K1153" t="s">
        <v>627</v>
      </c>
      <c r="L1153" t="s">
        <v>3847</v>
      </c>
    </row>
    <row r="1154" spans="2:12" ht="15" customHeight="1">
      <c r="B1154" t="s">
        <v>2715</v>
      </c>
      <c r="C1154">
        <v>750000</v>
      </c>
      <c r="D1154" t="s">
        <v>247</v>
      </c>
      <c r="E1154">
        <v>13355.937515581925</v>
      </c>
      <c r="F1154" s="3">
        <f>(tblSalaries[[#This Row],[clean Salary (in local currency)]])*(VLOOKUP(tblSalaries[[#This Row],[Currency]],Sheet3!$A$2:$C$31,3,FALSE))*(VLOOKUP(tblSalaries[[#This Row],[Currency]],Sheet1!$N$4:$Q$186,4,FALSE))</f>
        <v>35520.766761523839</v>
      </c>
      <c r="G1154" s="4">
        <f>IF(Dashboard!$J$5=VLOOKUP(tblSalaries[[#This Row],[Currency]],Sheet3!$A$2:$B$31,2,FALSE),tblSalaries[[#This Row],[clean Salary (in local currency)]],(tblSalaries[[#This Row],[PPP Adjusted  USD]]/VLOOKUP(Dashboard!$J$5,Sheet3!$B$2:$C$31,2,FALSE)))</f>
        <v>35520.766761523839</v>
      </c>
      <c r="H1154" t="s">
        <v>2190</v>
      </c>
      <c r="I1154" t="s">
        <v>625</v>
      </c>
      <c r="J1154" t="s">
        <v>604</v>
      </c>
      <c r="K1154" t="s">
        <v>617</v>
      </c>
      <c r="L1154">
        <v>3</v>
      </c>
    </row>
    <row r="1155" spans="2:12" ht="15" customHeight="1">
      <c r="B1155" t="s">
        <v>3048</v>
      </c>
      <c r="C1155">
        <v>750000</v>
      </c>
      <c r="D1155" t="s">
        <v>247</v>
      </c>
      <c r="E1155">
        <v>13355.937515581925</v>
      </c>
      <c r="F1155" s="3">
        <f>(tblSalaries[[#This Row],[clean Salary (in local currency)]])*(VLOOKUP(tblSalaries[[#This Row],[Currency]],Sheet3!$A$2:$C$31,3,FALSE))*(VLOOKUP(tblSalaries[[#This Row],[Currency]],Sheet1!$N$4:$Q$186,4,FALSE))</f>
        <v>35520.766761523839</v>
      </c>
      <c r="G1155" s="4">
        <f>IF(Dashboard!$J$5=VLOOKUP(tblSalaries[[#This Row],[Currency]],Sheet3!$A$2:$B$31,2,FALSE),tblSalaries[[#This Row],[clean Salary (in local currency)]],(tblSalaries[[#This Row],[PPP Adjusted  USD]]/VLOOKUP(Dashboard!$J$5,Sheet3!$B$2:$C$31,2,FALSE)))</f>
        <v>35520.766761523839</v>
      </c>
      <c r="H1155" t="s">
        <v>3049</v>
      </c>
      <c r="I1155" t="s">
        <v>633</v>
      </c>
      <c r="J1155" t="s">
        <v>604</v>
      </c>
      <c r="K1155" t="s">
        <v>627</v>
      </c>
      <c r="L1155">
        <v>1</v>
      </c>
    </row>
    <row r="1156" spans="2:12" ht="15" customHeight="1">
      <c r="B1156" t="s">
        <v>3797</v>
      </c>
      <c r="C1156">
        <v>750000</v>
      </c>
      <c r="D1156" t="s">
        <v>247</v>
      </c>
      <c r="E1156">
        <v>13355.937515581925</v>
      </c>
      <c r="F1156" s="3">
        <f>(tblSalaries[[#This Row],[clean Salary (in local currency)]])*(VLOOKUP(tblSalaries[[#This Row],[Currency]],Sheet3!$A$2:$C$31,3,FALSE))*(VLOOKUP(tblSalaries[[#This Row],[Currency]],Sheet1!$N$4:$Q$186,4,FALSE))</f>
        <v>35520.766761523839</v>
      </c>
      <c r="G1156" s="4">
        <f>IF(Dashboard!$J$5=VLOOKUP(tblSalaries[[#This Row],[Currency]],Sheet3!$A$2:$B$31,2,FALSE),tblSalaries[[#This Row],[clean Salary (in local currency)]],(tblSalaries[[#This Row],[PPP Adjusted  USD]]/VLOOKUP(Dashboard!$J$5,Sheet3!$B$2:$C$31,2,FALSE)))</f>
        <v>35520.766761523839</v>
      </c>
      <c r="H1156" t="s">
        <v>603</v>
      </c>
      <c r="I1156" t="s">
        <v>603</v>
      </c>
      <c r="J1156" t="s">
        <v>604</v>
      </c>
      <c r="K1156" t="s">
        <v>605</v>
      </c>
      <c r="L1156">
        <v>5</v>
      </c>
    </row>
    <row r="1157" spans="2:12" ht="15" customHeight="1">
      <c r="B1157" t="s">
        <v>3344</v>
      </c>
      <c r="C1157">
        <v>35500</v>
      </c>
      <c r="D1157" t="s">
        <v>252</v>
      </c>
      <c r="E1157">
        <v>35500</v>
      </c>
      <c r="F1157" s="3">
        <f>(tblSalaries[[#This Row],[clean Salary (in local currency)]])*(VLOOKUP(tblSalaries[[#This Row],[Currency]],Sheet3!$A$2:$C$31,3,FALSE))*(VLOOKUP(tblSalaries[[#This Row],[Currency]],Sheet1!$N$4:$Q$186,4,FALSE))</f>
        <v>35500</v>
      </c>
      <c r="G1157" s="4">
        <f>IF(Dashboard!$J$5=VLOOKUP(tblSalaries[[#This Row],[Currency]],Sheet3!$A$2:$B$31,2,FALSE),tblSalaries[[#This Row],[clean Salary (in local currency)]],(tblSalaries[[#This Row],[PPP Adjusted  USD]]/VLOOKUP(Dashboard!$J$5,Sheet3!$B$2:$C$31,2,FALSE)))</f>
        <v>35500</v>
      </c>
      <c r="H1157" t="s">
        <v>3345</v>
      </c>
      <c r="I1157" t="s">
        <v>603</v>
      </c>
      <c r="J1157" t="s">
        <v>613</v>
      </c>
      <c r="K1157" t="s">
        <v>605</v>
      </c>
      <c r="L1157">
        <v>20</v>
      </c>
    </row>
    <row r="1158" spans="2:12" ht="15" customHeight="1">
      <c r="B1158" t="s">
        <v>645</v>
      </c>
      <c r="C1158">
        <v>749000</v>
      </c>
      <c r="D1158" t="s">
        <v>247</v>
      </c>
      <c r="E1158">
        <v>13338.129598894484</v>
      </c>
      <c r="F1158" s="3">
        <f>(tblSalaries[[#This Row],[clean Salary (in local currency)]])*(VLOOKUP(tblSalaries[[#This Row],[Currency]],Sheet3!$A$2:$C$31,3,FALSE))*(VLOOKUP(tblSalaries[[#This Row],[Currency]],Sheet1!$N$4:$Q$186,4,FALSE))</f>
        <v>35473.405739175141</v>
      </c>
      <c r="G1158" s="4">
        <f>IF(Dashboard!$J$5=VLOOKUP(tblSalaries[[#This Row],[Currency]],Sheet3!$A$2:$B$31,2,FALSE),tblSalaries[[#This Row],[clean Salary (in local currency)]],(tblSalaries[[#This Row],[PPP Adjusted  USD]]/VLOOKUP(Dashboard!$J$5,Sheet3!$B$2:$C$31,2,FALSE)))</f>
        <v>35473.405739175141</v>
      </c>
      <c r="H1158" t="s">
        <v>646</v>
      </c>
      <c r="I1158" t="s">
        <v>603</v>
      </c>
      <c r="J1158" t="s">
        <v>604</v>
      </c>
      <c r="K1158" t="s">
        <v>610</v>
      </c>
      <c r="L1158" t="s">
        <v>3847</v>
      </c>
    </row>
    <row r="1159" spans="2:12" ht="15" customHeight="1">
      <c r="B1159" t="s">
        <v>2327</v>
      </c>
      <c r="C1159">
        <v>56600</v>
      </c>
      <c r="D1159" t="s">
        <v>224</v>
      </c>
      <c r="E1159">
        <v>57726.886552389187</v>
      </c>
      <c r="F1159" s="3">
        <f>(tblSalaries[[#This Row],[clean Salary (in local currency)]])*(VLOOKUP(tblSalaries[[#This Row],[Currency]],Sheet3!$A$2:$C$31,3,FALSE))*(VLOOKUP(tblSalaries[[#This Row],[Currency]],Sheet1!$N$4:$Q$186,4,FALSE))</f>
        <v>35472.015694041387</v>
      </c>
      <c r="G1159" s="4">
        <f>IF(Dashboard!$J$5=VLOOKUP(tblSalaries[[#This Row],[Currency]],Sheet3!$A$2:$B$31,2,FALSE),tblSalaries[[#This Row],[clean Salary (in local currency)]],(tblSalaries[[#This Row],[PPP Adjusted  USD]]/VLOOKUP(Dashboard!$J$5,Sheet3!$B$2:$C$31,2,FALSE)))</f>
        <v>35472.015694041387</v>
      </c>
      <c r="H1159" t="s">
        <v>2328</v>
      </c>
      <c r="I1159" t="s">
        <v>625</v>
      </c>
      <c r="J1159" t="s">
        <v>703</v>
      </c>
      <c r="K1159" t="s">
        <v>617</v>
      </c>
      <c r="L1159">
        <v>2</v>
      </c>
    </row>
    <row r="1160" spans="2:12" ht="15" customHeight="1">
      <c r="B1160" t="s">
        <v>1966</v>
      </c>
      <c r="C1160">
        <v>24000</v>
      </c>
      <c r="D1160" t="s">
        <v>204</v>
      </c>
      <c r="E1160">
        <v>37828.278529614821</v>
      </c>
      <c r="F1160" s="3">
        <f>(tblSalaries[[#This Row],[clean Salary (in local currency)]])*(VLOOKUP(tblSalaries[[#This Row],[Currency]],Sheet3!$A$2:$C$31,3,FALSE))*(VLOOKUP(tblSalaries[[#This Row],[Currency]],Sheet1!$N$4:$Q$186,4,FALSE))</f>
        <v>35375.30891953026</v>
      </c>
      <c r="G1160" s="4">
        <f>IF(Dashboard!$J$5=VLOOKUP(tblSalaries[[#This Row],[Currency]],Sheet3!$A$2:$B$31,2,FALSE),tblSalaries[[#This Row],[clean Salary (in local currency)]],(tblSalaries[[#This Row],[PPP Adjusted  USD]]/VLOOKUP(Dashboard!$J$5,Sheet3!$B$2:$C$31,2,FALSE)))</f>
        <v>35375.30891953026</v>
      </c>
      <c r="H1160" t="s">
        <v>1967</v>
      </c>
      <c r="I1160" t="s">
        <v>640</v>
      </c>
      <c r="J1160" t="s">
        <v>687</v>
      </c>
      <c r="K1160" t="s">
        <v>610</v>
      </c>
      <c r="L1160">
        <v>8</v>
      </c>
    </row>
    <row r="1161" spans="2:12" ht="15" customHeight="1">
      <c r="B1161" t="s">
        <v>921</v>
      </c>
      <c r="C1161">
        <v>35000</v>
      </c>
      <c r="D1161" t="s">
        <v>252</v>
      </c>
      <c r="E1161">
        <v>35000</v>
      </c>
      <c r="F1161" s="3">
        <f>(tblSalaries[[#This Row],[clean Salary (in local currency)]])*(VLOOKUP(tblSalaries[[#This Row],[Currency]],Sheet3!$A$2:$C$31,3,FALSE))*(VLOOKUP(tblSalaries[[#This Row],[Currency]],Sheet1!$N$4:$Q$186,4,FALSE))</f>
        <v>35000</v>
      </c>
      <c r="G1161" s="4">
        <f>IF(Dashboard!$J$5=VLOOKUP(tblSalaries[[#This Row],[Currency]],Sheet3!$A$2:$B$31,2,FALSE),tblSalaries[[#This Row],[clean Salary (in local currency)]],(tblSalaries[[#This Row],[PPP Adjusted  USD]]/VLOOKUP(Dashboard!$J$5,Sheet3!$B$2:$C$31,2,FALSE)))</f>
        <v>35000</v>
      </c>
      <c r="H1161" t="s">
        <v>922</v>
      </c>
      <c r="I1161" t="s">
        <v>625</v>
      </c>
      <c r="J1161" t="s">
        <v>613</v>
      </c>
      <c r="K1161" t="s">
        <v>617</v>
      </c>
      <c r="L1161" t="s">
        <v>3847</v>
      </c>
    </row>
    <row r="1162" spans="2:12" ht="15" customHeight="1">
      <c r="B1162" t="s">
        <v>1307</v>
      </c>
      <c r="C1162">
        <v>35000</v>
      </c>
      <c r="D1162" t="s">
        <v>252</v>
      </c>
      <c r="E1162">
        <v>35000</v>
      </c>
      <c r="F1162" s="3">
        <f>(tblSalaries[[#This Row],[clean Salary (in local currency)]])*(VLOOKUP(tblSalaries[[#This Row],[Currency]],Sheet3!$A$2:$C$31,3,FALSE))*(VLOOKUP(tblSalaries[[#This Row],[Currency]],Sheet1!$N$4:$Q$186,4,FALSE))</f>
        <v>35000</v>
      </c>
      <c r="G1162" s="4">
        <f>IF(Dashboard!$J$5=VLOOKUP(tblSalaries[[#This Row],[Currency]],Sheet3!$A$2:$B$31,2,FALSE),tblSalaries[[#This Row],[clean Salary (in local currency)]],(tblSalaries[[#This Row],[PPP Adjusted  USD]]/VLOOKUP(Dashboard!$J$5,Sheet3!$B$2:$C$31,2,FALSE)))</f>
        <v>35000</v>
      </c>
      <c r="H1162" t="s">
        <v>1308</v>
      </c>
      <c r="I1162" t="s">
        <v>603</v>
      </c>
      <c r="J1162" t="s">
        <v>748</v>
      </c>
      <c r="K1162" t="s">
        <v>610</v>
      </c>
      <c r="L1162" t="s">
        <v>3847</v>
      </c>
    </row>
    <row r="1163" spans="2:12" ht="15" customHeight="1">
      <c r="B1163" t="s">
        <v>1396</v>
      </c>
      <c r="C1163">
        <v>35000</v>
      </c>
      <c r="D1163" t="s">
        <v>252</v>
      </c>
      <c r="E1163">
        <v>35000</v>
      </c>
      <c r="F1163" s="3">
        <f>(tblSalaries[[#This Row],[clean Salary (in local currency)]])*(VLOOKUP(tblSalaries[[#This Row],[Currency]],Sheet3!$A$2:$C$31,3,FALSE))*(VLOOKUP(tblSalaries[[#This Row],[Currency]],Sheet1!$N$4:$Q$186,4,FALSE))</f>
        <v>35000</v>
      </c>
      <c r="G1163" s="4">
        <f>IF(Dashboard!$J$5=VLOOKUP(tblSalaries[[#This Row],[Currency]],Sheet3!$A$2:$B$31,2,FALSE),tblSalaries[[#This Row],[clean Salary (in local currency)]],(tblSalaries[[#This Row],[PPP Adjusted  USD]]/VLOOKUP(Dashboard!$J$5,Sheet3!$B$2:$C$31,2,FALSE)))</f>
        <v>35000</v>
      </c>
      <c r="H1163" t="s">
        <v>1397</v>
      </c>
      <c r="I1163" t="s">
        <v>603</v>
      </c>
      <c r="J1163" t="s">
        <v>683</v>
      </c>
      <c r="K1163" t="s">
        <v>605</v>
      </c>
      <c r="L1163" t="s">
        <v>3847</v>
      </c>
    </row>
    <row r="1164" spans="2:12" ht="15" customHeight="1">
      <c r="B1164" t="s">
        <v>1643</v>
      </c>
      <c r="C1164">
        <v>35000</v>
      </c>
      <c r="D1164" t="s">
        <v>252</v>
      </c>
      <c r="E1164">
        <v>35000</v>
      </c>
      <c r="F1164" s="3">
        <f>(tblSalaries[[#This Row],[clean Salary (in local currency)]])*(VLOOKUP(tblSalaries[[#This Row],[Currency]],Sheet3!$A$2:$C$31,3,FALSE))*(VLOOKUP(tblSalaries[[#This Row],[Currency]],Sheet1!$N$4:$Q$186,4,FALSE))</f>
        <v>35000</v>
      </c>
      <c r="G1164" s="4">
        <f>IF(Dashboard!$J$5=VLOOKUP(tblSalaries[[#This Row],[Currency]],Sheet3!$A$2:$B$31,2,FALSE),tblSalaries[[#This Row],[clean Salary (in local currency)]],(tblSalaries[[#This Row],[PPP Adjusted  USD]]/VLOOKUP(Dashboard!$J$5,Sheet3!$B$2:$C$31,2,FALSE)))</f>
        <v>35000</v>
      </c>
      <c r="H1164" t="s">
        <v>603</v>
      </c>
      <c r="I1164" t="s">
        <v>603</v>
      </c>
      <c r="J1164" t="s">
        <v>613</v>
      </c>
      <c r="K1164" t="s">
        <v>617</v>
      </c>
      <c r="L1164" t="s">
        <v>3847</v>
      </c>
    </row>
    <row r="1165" spans="2:12" ht="15" customHeight="1">
      <c r="B1165" t="s">
        <v>1650</v>
      </c>
      <c r="C1165">
        <v>35000</v>
      </c>
      <c r="D1165" t="s">
        <v>252</v>
      </c>
      <c r="E1165">
        <v>35000</v>
      </c>
      <c r="F1165" s="3">
        <f>(tblSalaries[[#This Row],[clean Salary (in local currency)]])*(VLOOKUP(tblSalaries[[#This Row],[Currency]],Sheet3!$A$2:$C$31,3,FALSE))*(VLOOKUP(tblSalaries[[#This Row],[Currency]],Sheet1!$N$4:$Q$186,4,FALSE))</f>
        <v>35000</v>
      </c>
      <c r="G1165" s="4">
        <f>IF(Dashboard!$J$5=VLOOKUP(tblSalaries[[#This Row],[Currency]],Sheet3!$A$2:$B$31,2,FALSE),tblSalaries[[#This Row],[clean Salary (in local currency)]],(tblSalaries[[#This Row],[PPP Adjusted  USD]]/VLOOKUP(Dashboard!$J$5,Sheet3!$B$2:$C$31,2,FALSE)))</f>
        <v>35000</v>
      </c>
      <c r="H1165" t="s">
        <v>1651</v>
      </c>
      <c r="I1165" t="s">
        <v>603</v>
      </c>
      <c r="J1165" t="s">
        <v>613</v>
      </c>
      <c r="K1165" t="s">
        <v>627</v>
      </c>
      <c r="L1165">
        <v>7</v>
      </c>
    </row>
    <row r="1166" spans="2:12" ht="15" customHeight="1">
      <c r="B1166" t="s">
        <v>1881</v>
      </c>
      <c r="C1166">
        <v>35000</v>
      </c>
      <c r="D1166" t="s">
        <v>252</v>
      </c>
      <c r="E1166">
        <v>35000</v>
      </c>
      <c r="F1166" s="3">
        <f>(tblSalaries[[#This Row],[clean Salary (in local currency)]])*(VLOOKUP(tblSalaries[[#This Row],[Currency]],Sheet3!$A$2:$C$31,3,FALSE))*(VLOOKUP(tblSalaries[[#This Row],[Currency]],Sheet1!$N$4:$Q$186,4,FALSE))</f>
        <v>35000</v>
      </c>
      <c r="G1166" s="4">
        <f>IF(Dashboard!$J$5=VLOOKUP(tblSalaries[[#This Row],[Currency]],Sheet3!$A$2:$B$31,2,FALSE),tblSalaries[[#This Row],[clean Salary (in local currency)]],(tblSalaries[[#This Row],[PPP Adjusted  USD]]/VLOOKUP(Dashboard!$J$5,Sheet3!$B$2:$C$31,2,FALSE)))</f>
        <v>35000</v>
      </c>
      <c r="H1166" t="s">
        <v>1647</v>
      </c>
      <c r="I1166" t="s">
        <v>640</v>
      </c>
      <c r="J1166" t="s">
        <v>613</v>
      </c>
      <c r="K1166" t="s">
        <v>605</v>
      </c>
      <c r="L1166">
        <v>10</v>
      </c>
    </row>
    <row r="1167" spans="2:12" ht="15" customHeight="1">
      <c r="B1167" t="s">
        <v>1925</v>
      </c>
      <c r="C1167">
        <v>35000</v>
      </c>
      <c r="D1167" t="s">
        <v>252</v>
      </c>
      <c r="E1167">
        <v>35000</v>
      </c>
      <c r="F1167" s="3">
        <f>(tblSalaries[[#This Row],[clean Salary (in local currency)]])*(VLOOKUP(tblSalaries[[#This Row],[Currency]],Sheet3!$A$2:$C$31,3,FALSE))*(VLOOKUP(tblSalaries[[#This Row],[Currency]],Sheet1!$N$4:$Q$186,4,FALSE))</f>
        <v>35000</v>
      </c>
      <c r="G1167" s="4">
        <f>IF(Dashboard!$J$5=VLOOKUP(tblSalaries[[#This Row],[Currency]],Sheet3!$A$2:$B$31,2,FALSE),tblSalaries[[#This Row],[clean Salary (in local currency)]],(tblSalaries[[#This Row],[PPP Adjusted  USD]]/VLOOKUP(Dashboard!$J$5,Sheet3!$B$2:$C$31,2,FALSE)))</f>
        <v>35000</v>
      </c>
      <c r="H1167" t="s">
        <v>1569</v>
      </c>
      <c r="I1167" t="s">
        <v>603</v>
      </c>
      <c r="J1167" t="s">
        <v>604</v>
      </c>
      <c r="K1167" t="s">
        <v>605</v>
      </c>
      <c r="L1167">
        <v>10</v>
      </c>
    </row>
    <row r="1168" spans="2:12" ht="15" customHeight="1">
      <c r="B1168" t="s">
        <v>2141</v>
      </c>
      <c r="C1168">
        <v>35000</v>
      </c>
      <c r="D1168" t="s">
        <v>252</v>
      </c>
      <c r="E1168">
        <v>35000</v>
      </c>
      <c r="F1168" s="3">
        <f>(tblSalaries[[#This Row],[clean Salary (in local currency)]])*(VLOOKUP(tblSalaries[[#This Row],[Currency]],Sheet3!$A$2:$C$31,3,FALSE))*(VLOOKUP(tblSalaries[[#This Row],[Currency]],Sheet1!$N$4:$Q$186,4,FALSE))</f>
        <v>35000</v>
      </c>
      <c r="G1168" s="4">
        <f>IF(Dashboard!$J$5=VLOOKUP(tblSalaries[[#This Row],[Currency]],Sheet3!$A$2:$B$31,2,FALSE),tblSalaries[[#This Row],[clean Salary (in local currency)]],(tblSalaries[[#This Row],[PPP Adjusted  USD]]/VLOOKUP(Dashboard!$J$5,Sheet3!$B$2:$C$31,2,FALSE)))</f>
        <v>35000</v>
      </c>
      <c r="H1168" t="s">
        <v>1727</v>
      </c>
      <c r="I1168" t="s">
        <v>625</v>
      </c>
      <c r="J1168" t="s">
        <v>2142</v>
      </c>
      <c r="K1168" t="s">
        <v>610</v>
      </c>
      <c r="L1168">
        <v>10</v>
      </c>
    </row>
    <row r="1169" spans="2:12" ht="15" customHeight="1">
      <c r="B1169" t="s">
        <v>2605</v>
      </c>
      <c r="C1169">
        <v>35000</v>
      </c>
      <c r="D1169" t="s">
        <v>252</v>
      </c>
      <c r="E1169">
        <v>35000</v>
      </c>
      <c r="F1169" s="3">
        <f>(tblSalaries[[#This Row],[clean Salary (in local currency)]])*(VLOOKUP(tblSalaries[[#This Row],[Currency]],Sheet3!$A$2:$C$31,3,FALSE))*(VLOOKUP(tblSalaries[[#This Row],[Currency]],Sheet1!$N$4:$Q$186,4,FALSE))</f>
        <v>35000</v>
      </c>
      <c r="G1169" s="4">
        <f>IF(Dashboard!$J$5=VLOOKUP(tblSalaries[[#This Row],[Currency]],Sheet3!$A$2:$B$31,2,FALSE),tblSalaries[[#This Row],[clean Salary (in local currency)]],(tblSalaries[[#This Row],[PPP Adjusted  USD]]/VLOOKUP(Dashboard!$J$5,Sheet3!$B$2:$C$31,2,FALSE)))</f>
        <v>35000</v>
      </c>
      <c r="H1169" t="s">
        <v>2606</v>
      </c>
      <c r="I1169" t="s">
        <v>603</v>
      </c>
      <c r="J1169" t="s">
        <v>613</v>
      </c>
      <c r="K1169" t="s">
        <v>610</v>
      </c>
      <c r="L1169">
        <v>20</v>
      </c>
    </row>
    <row r="1170" spans="2:12" ht="15" customHeight="1">
      <c r="B1170" t="s">
        <v>2811</v>
      </c>
      <c r="C1170">
        <v>35000</v>
      </c>
      <c r="D1170" t="s">
        <v>252</v>
      </c>
      <c r="E1170">
        <v>35000</v>
      </c>
      <c r="F1170" s="3">
        <f>(tblSalaries[[#This Row],[clean Salary (in local currency)]])*(VLOOKUP(tblSalaries[[#This Row],[Currency]],Sheet3!$A$2:$C$31,3,FALSE))*(VLOOKUP(tblSalaries[[#This Row],[Currency]],Sheet1!$N$4:$Q$186,4,FALSE))</f>
        <v>35000</v>
      </c>
      <c r="G1170" s="4">
        <f>IF(Dashboard!$J$5=VLOOKUP(tblSalaries[[#This Row],[Currency]],Sheet3!$A$2:$B$31,2,FALSE),tblSalaries[[#This Row],[clean Salary (in local currency)]],(tblSalaries[[#This Row],[PPP Adjusted  USD]]/VLOOKUP(Dashboard!$J$5,Sheet3!$B$2:$C$31,2,FALSE)))</f>
        <v>35000</v>
      </c>
      <c r="H1170" t="s">
        <v>2812</v>
      </c>
      <c r="I1170" t="s">
        <v>633</v>
      </c>
      <c r="J1170" t="s">
        <v>2345</v>
      </c>
      <c r="K1170" t="s">
        <v>610</v>
      </c>
      <c r="L1170">
        <v>12</v>
      </c>
    </row>
    <row r="1171" spans="2:12" ht="15" customHeight="1">
      <c r="B1171" t="s">
        <v>3077</v>
      </c>
      <c r="C1171">
        <v>55000</v>
      </c>
      <c r="D1171" t="s">
        <v>224</v>
      </c>
      <c r="E1171">
        <v>56095.031102144967</v>
      </c>
      <c r="F1171" s="3">
        <f>(tblSalaries[[#This Row],[clean Salary (in local currency)]])*(VLOOKUP(tblSalaries[[#This Row],[Currency]],Sheet3!$A$2:$C$31,3,FALSE))*(VLOOKUP(tblSalaries[[#This Row],[Currency]],Sheet1!$N$4:$Q$186,4,FALSE))</f>
        <v>34469.273200923606</v>
      </c>
      <c r="G1171" s="4">
        <f>IF(Dashboard!$J$5=VLOOKUP(tblSalaries[[#This Row],[Currency]],Sheet3!$A$2:$B$31,2,FALSE),tblSalaries[[#This Row],[clean Salary (in local currency)]],(tblSalaries[[#This Row],[PPP Adjusted  USD]]/VLOOKUP(Dashboard!$J$5,Sheet3!$B$2:$C$31,2,FALSE)))</f>
        <v>34469.273200923606</v>
      </c>
      <c r="H1171" t="s">
        <v>3078</v>
      </c>
      <c r="I1171" t="s">
        <v>603</v>
      </c>
      <c r="J1171" t="s">
        <v>703</v>
      </c>
      <c r="K1171" t="s">
        <v>617</v>
      </c>
      <c r="L1171">
        <v>11</v>
      </c>
    </row>
    <row r="1172" spans="2:12" ht="15" customHeight="1">
      <c r="B1172" t="s">
        <v>1544</v>
      </c>
      <c r="C1172">
        <v>720000</v>
      </c>
      <c r="D1172" t="s">
        <v>247</v>
      </c>
      <c r="E1172">
        <v>12821.700014958649</v>
      </c>
      <c r="F1172" s="3">
        <f>(tblSalaries[[#This Row],[clean Salary (in local currency)]])*(VLOOKUP(tblSalaries[[#This Row],[Currency]],Sheet3!$A$2:$C$31,3,FALSE))*(VLOOKUP(tblSalaries[[#This Row],[Currency]],Sheet1!$N$4:$Q$186,4,FALSE))</f>
        <v>34099.936091062889</v>
      </c>
      <c r="G1172" s="4">
        <f>IF(Dashboard!$J$5=VLOOKUP(tblSalaries[[#This Row],[Currency]],Sheet3!$A$2:$B$31,2,FALSE),tblSalaries[[#This Row],[clean Salary (in local currency)]],(tblSalaries[[#This Row],[PPP Adjusted  USD]]/VLOOKUP(Dashboard!$J$5,Sheet3!$B$2:$C$31,2,FALSE)))</f>
        <v>34099.936091062889</v>
      </c>
      <c r="H1172" t="s">
        <v>1545</v>
      </c>
      <c r="I1172" t="s">
        <v>625</v>
      </c>
      <c r="J1172" t="s">
        <v>604</v>
      </c>
      <c r="K1172" t="s">
        <v>617</v>
      </c>
      <c r="L1172" t="s">
        <v>3847</v>
      </c>
    </row>
    <row r="1173" spans="2:12" ht="15" customHeight="1">
      <c r="B1173" t="s">
        <v>1760</v>
      </c>
      <c r="C1173">
        <v>720000</v>
      </c>
      <c r="D1173" t="s">
        <v>247</v>
      </c>
      <c r="E1173">
        <v>12821.700014958649</v>
      </c>
      <c r="F1173" s="3">
        <f>(tblSalaries[[#This Row],[clean Salary (in local currency)]])*(VLOOKUP(tblSalaries[[#This Row],[Currency]],Sheet3!$A$2:$C$31,3,FALSE))*(VLOOKUP(tblSalaries[[#This Row],[Currency]],Sheet1!$N$4:$Q$186,4,FALSE))</f>
        <v>34099.936091062889</v>
      </c>
      <c r="G1173" s="4">
        <f>IF(Dashboard!$J$5=VLOOKUP(tblSalaries[[#This Row],[Currency]],Sheet3!$A$2:$B$31,2,FALSE),tblSalaries[[#This Row],[clean Salary (in local currency)]],(tblSalaries[[#This Row],[PPP Adjusted  USD]]/VLOOKUP(Dashboard!$J$5,Sheet3!$B$2:$C$31,2,FALSE)))</f>
        <v>34099.936091062889</v>
      </c>
      <c r="H1173" t="s">
        <v>1761</v>
      </c>
      <c r="I1173" t="s">
        <v>625</v>
      </c>
      <c r="J1173" t="s">
        <v>604</v>
      </c>
      <c r="K1173" t="s">
        <v>605</v>
      </c>
      <c r="L1173">
        <v>12</v>
      </c>
    </row>
    <row r="1174" spans="2:12" ht="15" customHeight="1">
      <c r="B1174" t="s">
        <v>1882</v>
      </c>
      <c r="C1174">
        <v>720000</v>
      </c>
      <c r="D1174" t="s">
        <v>247</v>
      </c>
      <c r="E1174">
        <v>12821.700014958649</v>
      </c>
      <c r="F1174" s="3">
        <f>(tblSalaries[[#This Row],[clean Salary (in local currency)]])*(VLOOKUP(tblSalaries[[#This Row],[Currency]],Sheet3!$A$2:$C$31,3,FALSE))*(VLOOKUP(tblSalaries[[#This Row],[Currency]],Sheet1!$N$4:$Q$186,4,FALSE))</f>
        <v>34099.936091062889</v>
      </c>
      <c r="G1174" s="4">
        <f>IF(Dashboard!$J$5=VLOOKUP(tblSalaries[[#This Row],[Currency]],Sheet3!$A$2:$B$31,2,FALSE),tblSalaries[[#This Row],[clean Salary (in local currency)]],(tblSalaries[[#This Row],[PPP Adjusted  USD]]/VLOOKUP(Dashboard!$J$5,Sheet3!$B$2:$C$31,2,FALSE)))</f>
        <v>34099.936091062889</v>
      </c>
      <c r="H1174" t="s">
        <v>1883</v>
      </c>
      <c r="I1174" t="s">
        <v>637</v>
      </c>
      <c r="J1174" t="s">
        <v>604</v>
      </c>
      <c r="K1174" t="s">
        <v>605</v>
      </c>
      <c r="L1174">
        <v>4</v>
      </c>
    </row>
    <row r="1175" spans="2:12" ht="15" customHeight="1">
      <c r="B1175" t="s">
        <v>1903</v>
      </c>
      <c r="C1175">
        <v>720000</v>
      </c>
      <c r="D1175" t="s">
        <v>247</v>
      </c>
      <c r="E1175">
        <v>12821.700014958649</v>
      </c>
      <c r="F1175" s="3">
        <f>(tblSalaries[[#This Row],[clean Salary (in local currency)]])*(VLOOKUP(tblSalaries[[#This Row],[Currency]],Sheet3!$A$2:$C$31,3,FALSE))*(VLOOKUP(tblSalaries[[#This Row],[Currency]],Sheet1!$N$4:$Q$186,4,FALSE))</f>
        <v>34099.936091062889</v>
      </c>
      <c r="G1175" s="4">
        <f>IF(Dashboard!$J$5=VLOOKUP(tblSalaries[[#This Row],[Currency]],Sheet3!$A$2:$B$31,2,FALSE),tblSalaries[[#This Row],[clean Salary (in local currency)]],(tblSalaries[[#This Row],[PPP Adjusted  USD]]/VLOOKUP(Dashboard!$J$5,Sheet3!$B$2:$C$31,2,FALSE)))</f>
        <v>34099.936091062889</v>
      </c>
      <c r="H1175" t="s">
        <v>1904</v>
      </c>
      <c r="I1175" t="s">
        <v>625</v>
      </c>
      <c r="J1175" t="s">
        <v>604</v>
      </c>
      <c r="K1175" t="s">
        <v>610</v>
      </c>
      <c r="L1175">
        <v>10</v>
      </c>
    </row>
    <row r="1176" spans="2:12" ht="15" customHeight="1">
      <c r="B1176" t="s">
        <v>2185</v>
      </c>
      <c r="C1176">
        <v>720000</v>
      </c>
      <c r="D1176" t="s">
        <v>247</v>
      </c>
      <c r="E1176">
        <v>12821.700014958649</v>
      </c>
      <c r="F1176" s="3">
        <f>(tblSalaries[[#This Row],[clean Salary (in local currency)]])*(VLOOKUP(tblSalaries[[#This Row],[Currency]],Sheet3!$A$2:$C$31,3,FALSE))*(VLOOKUP(tblSalaries[[#This Row],[Currency]],Sheet1!$N$4:$Q$186,4,FALSE))</f>
        <v>34099.936091062889</v>
      </c>
      <c r="G1176" s="4">
        <f>IF(Dashboard!$J$5=VLOOKUP(tblSalaries[[#This Row],[Currency]],Sheet3!$A$2:$B$31,2,FALSE),tblSalaries[[#This Row],[clean Salary (in local currency)]],(tblSalaries[[#This Row],[PPP Adjusted  USD]]/VLOOKUP(Dashboard!$J$5,Sheet3!$B$2:$C$31,2,FALSE)))</f>
        <v>34099.936091062889</v>
      </c>
      <c r="H1176" t="s">
        <v>2186</v>
      </c>
      <c r="I1176" t="s">
        <v>637</v>
      </c>
      <c r="J1176" t="s">
        <v>604</v>
      </c>
      <c r="K1176" t="s">
        <v>605</v>
      </c>
      <c r="L1176">
        <v>3</v>
      </c>
    </row>
    <row r="1177" spans="2:12" ht="15" customHeight="1">
      <c r="B1177" t="s">
        <v>3133</v>
      </c>
      <c r="C1177">
        <v>720000</v>
      </c>
      <c r="D1177" t="s">
        <v>247</v>
      </c>
      <c r="E1177">
        <v>12821.700014958649</v>
      </c>
      <c r="F1177" s="3">
        <f>(tblSalaries[[#This Row],[clean Salary (in local currency)]])*(VLOOKUP(tblSalaries[[#This Row],[Currency]],Sheet3!$A$2:$C$31,3,FALSE))*(VLOOKUP(tblSalaries[[#This Row],[Currency]],Sheet1!$N$4:$Q$186,4,FALSE))</f>
        <v>34099.936091062889</v>
      </c>
      <c r="G1177" s="4">
        <f>IF(Dashboard!$J$5=VLOOKUP(tblSalaries[[#This Row],[Currency]],Sheet3!$A$2:$B$31,2,FALSE),tblSalaries[[#This Row],[clean Salary (in local currency)]],(tblSalaries[[#This Row],[PPP Adjusted  USD]]/VLOOKUP(Dashboard!$J$5,Sheet3!$B$2:$C$31,2,FALSE)))</f>
        <v>34099.936091062889</v>
      </c>
      <c r="H1177" t="s">
        <v>3134</v>
      </c>
      <c r="I1177" t="s">
        <v>603</v>
      </c>
      <c r="J1177" t="s">
        <v>604</v>
      </c>
      <c r="K1177" t="s">
        <v>605</v>
      </c>
      <c r="L1177">
        <v>3</v>
      </c>
    </row>
    <row r="1178" spans="2:12" ht="15" customHeight="1">
      <c r="B1178" t="s">
        <v>1371</v>
      </c>
      <c r="C1178">
        <v>34000</v>
      </c>
      <c r="D1178" t="s">
        <v>252</v>
      </c>
      <c r="E1178">
        <v>34000</v>
      </c>
      <c r="F1178" s="3">
        <f>(tblSalaries[[#This Row],[clean Salary (in local currency)]])*(VLOOKUP(tblSalaries[[#This Row],[Currency]],Sheet3!$A$2:$C$31,3,FALSE))*(VLOOKUP(tblSalaries[[#This Row],[Currency]],Sheet1!$N$4:$Q$186,4,FALSE))</f>
        <v>34000</v>
      </c>
      <c r="G1178" s="4">
        <f>IF(Dashboard!$J$5=VLOOKUP(tblSalaries[[#This Row],[Currency]],Sheet3!$A$2:$B$31,2,FALSE),tblSalaries[[#This Row],[clean Salary (in local currency)]],(tblSalaries[[#This Row],[PPP Adjusted  USD]]/VLOOKUP(Dashboard!$J$5,Sheet3!$B$2:$C$31,2,FALSE)))</f>
        <v>34000</v>
      </c>
      <c r="H1178" t="s">
        <v>1372</v>
      </c>
      <c r="I1178" t="s">
        <v>603</v>
      </c>
      <c r="J1178" t="s">
        <v>613</v>
      </c>
      <c r="K1178" t="s">
        <v>605</v>
      </c>
      <c r="L1178" t="s">
        <v>3847</v>
      </c>
    </row>
    <row r="1179" spans="2:12" ht="15" customHeight="1">
      <c r="B1179" t="s">
        <v>3240</v>
      </c>
      <c r="C1179">
        <v>34000</v>
      </c>
      <c r="D1179" t="s">
        <v>252</v>
      </c>
      <c r="E1179">
        <v>34000</v>
      </c>
      <c r="F1179" s="3">
        <f>(tblSalaries[[#This Row],[clean Salary (in local currency)]])*(VLOOKUP(tblSalaries[[#This Row],[Currency]],Sheet3!$A$2:$C$31,3,FALSE))*(VLOOKUP(tblSalaries[[#This Row],[Currency]],Sheet1!$N$4:$Q$186,4,FALSE))</f>
        <v>34000</v>
      </c>
      <c r="G1179" s="4">
        <f>IF(Dashboard!$J$5=VLOOKUP(tblSalaries[[#This Row],[Currency]],Sheet3!$A$2:$B$31,2,FALSE),tblSalaries[[#This Row],[clean Salary (in local currency)]],(tblSalaries[[#This Row],[PPP Adjusted  USD]]/VLOOKUP(Dashboard!$J$5,Sheet3!$B$2:$C$31,2,FALSE)))</f>
        <v>34000</v>
      </c>
      <c r="H1179" t="s">
        <v>3241</v>
      </c>
      <c r="I1179" t="s">
        <v>603</v>
      </c>
      <c r="J1179" t="s">
        <v>604</v>
      </c>
      <c r="K1179" t="s">
        <v>610</v>
      </c>
      <c r="L1179">
        <v>4</v>
      </c>
    </row>
    <row r="1180" spans="2:12" ht="15" customHeight="1">
      <c r="B1180" t="s">
        <v>2509</v>
      </c>
      <c r="C1180">
        <v>23000</v>
      </c>
      <c r="D1180" t="s">
        <v>204</v>
      </c>
      <c r="E1180">
        <v>36252.100257547536</v>
      </c>
      <c r="F1180" s="3">
        <f>(tblSalaries[[#This Row],[clean Salary (in local currency)]])*(VLOOKUP(tblSalaries[[#This Row],[Currency]],Sheet3!$A$2:$C$31,3,FALSE))*(VLOOKUP(tblSalaries[[#This Row],[Currency]],Sheet1!$N$4:$Q$186,4,FALSE))</f>
        <v>33901.337714549831</v>
      </c>
      <c r="G1180" s="4">
        <f>IF(Dashboard!$J$5=VLOOKUP(tblSalaries[[#This Row],[Currency]],Sheet3!$A$2:$B$31,2,FALSE),tblSalaries[[#This Row],[clean Salary (in local currency)]],(tblSalaries[[#This Row],[PPP Adjusted  USD]]/VLOOKUP(Dashboard!$J$5,Sheet3!$B$2:$C$31,2,FALSE)))</f>
        <v>33901.337714549831</v>
      </c>
      <c r="H1180" t="s">
        <v>811</v>
      </c>
      <c r="I1180" t="s">
        <v>603</v>
      </c>
      <c r="J1180" t="s">
        <v>687</v>
      </c>
      <c r="K1180" t="s">
        <v>610</v>
      </c>
      <c r="L1180">
        <v>5</v>
      </c>
    </row>
    <row r="1181" spans="2:12" ht="15" customHeight="1">
      <c r="B1181" t="s">
        <v>2597</v>
      </c>
      <c r="C1181">
        <v>23000</v>
      </c>
      <c r="D1181" t="s">
        <v>204</v>
      </c>
      <c r="E1181">
        <v>36252.100257547536</v>
      </c>
      <c r="F1181" s="3">
        <f>(tblSalaries[[#This Row],[clean Salary (in local currency)]])*(VLOOKUP(tblSalaries[[#This Row],[Currency]],Sheet3!$A$2:$C$31,3,FALSE))*(VLOOKUP(tblSalaries[[#This Row],[Currency]],Sheet1!$N$4:$Q$186,4,FALSE))</f>
        <v>33901.337714549831</v>
      </c>
      <c r="G1181" s="4">
        <f>IF(Dashboard!$J$5=VLOOKUP(tblSalaries[[#This Row],[Currency]],Sheet3!$A$2:$B$31,2,FALSE),tblSalaries[[#This Row],[clean Salary (in local currency)]],(tblSalaries[[#This Row],[PPP Adjusted  USD]]/VLOOKUP(Dashboard!$J$5,Sheet3!$B$2:$C$31,2,FALSE)))</f>
        <v>33901.337714549831</v>
      </c>
      <c r="H1181" t="s">
        <v>2598</v>
      </c>
      <c r="I1181" t="s">
        <v>625</v>
      </c>
      <c r="J1181" t="s">
        <v>687</v>
      </c>
      <c r="K1181" t="s">
        <v>605</v>
      </c>
      <c r="L1181">
        <v>10</v>
      </c>
    </row>
    <row r="1182" spans="2:12" ht="15" customHeight="1">
      <c r="B1182" t="s">
        <v>2052</v>
      </c>
      <c r="C1182">
        <v>33900</v>
      </c>
      <c r="D1182" t="s">
        <v>252</v>
      </c>
      <c r="E1182">
        <v>33900</v>
      </c>
      <c r="F1182" s="3">
        <f>(tblSalaries[[#This Row],[clean Salary (in local currency)]])*(VLOOKUP(tblSalaries[[#This Row],[Currency]],Sheet3!$A$2:$C$31,3,FALSE))*(VLOOKUP(tblSalaries[[#This Row],[Currency]],Sheet1!$N$4:$Q$186,4,FALSE))</f>
        <v>33900</v>
      </c>
      <c r="G1182" s="4">
        <f>IF(Dashboard!$J$5=VLOOKUP(tblSalaries[[#This Row],[Currency]],Sheet3!$A$2:$B$31,2,FALSE),tblSalaries[[#This Row],[clean Salary (in local currency)]],(tblSalaries[[#This Row],[PPP Adjusted  USD]]/VLOOKUP(Dashboard!$J$5,Sheet3!$B$2:$C$31,2,FALSE)))</f>
        <v>33900</v>
      </c>
      <c r="H1182" t="s">
        <v>999</v>
      </c>
      <c r="I1182" t="s">
        <v>603</v>
      </c>
      <c r="J1182" t="s">
        <v>613</v>
      </c>
      <c r="K1182" t="s">
        <v>617</v>
      </c>
      <c r="L1182">
        <v>10</v>
      </c>
    </row>
    <row r="1183" spans="2:12" ht="15" customHeight="1">
      <c r="B1183" t="s">
        <v>3627</v>
      </c>
      <c r="C1183">
        <v>33600</v>
      </c>
      <c r="D1183" t="s">
        <v>252</v>
      </c>
      <c r="E1183">
        <v>33600</v>
      </c>
      <c r="F1183" s="3">
        <f>(tblSalaries[[#This Row],[clean Salary (in local currency)]])*(VLOOKUP(tblSalaries[[#This Row],[Currency]],Sheet3!$A$2:$C$31,3,FALSE))*(VLOOKUP(tblSalaries[[#This Row],[Currency]],Sheet1!$N$4:$Q$186,4,FALSE))</f>
        <v>33600</v>
      </c>
      <c r="G1183" s="4">
        <f>IF(Dashboard!$J$5=VLOOKUP(tblSalaries[[#This Row],[Currency]],Sheet3!$A$2:$B$31,2,FALSE),tblSalaries[[#This Row],[clean Salary (in local currency)]],(tblSalaries[[#This Row],[PPP Adjusted  USD]]/VLOOKUP(Dashboard!$J$5,Sheet3!$B$2:$C$31,2,FALSE)))</f>
        <v>33600</v>
      </c>
      <c r="H1183" t="s">
        <v>1792</v>
      </c>
      <c r="I1183" t="s">
        <v>603</v>
      </c>
      <c r="J1183" t="s">
        <v>1035</v>
      </c>
      <c r="K1183" t="s">
        <v>610</v>
      </c>
      <c r="L1183">
        <v>2</v>
      </c>
    </row>
    <row r="1184" spans="2:12" ht="15" customHeight="1">
      <c r="B1184" t="s">
        <v>3628</v>
      </c>
      <c r="C1184">
        <v>33600</v>
      </c>
      <c r="D1184" t="s">
        <v>252</v>
      </c>
      <c r="E1184">
        <v>33600</v>
      </c>
      <c r="F1184" s="3">
        <f>(tblSalaries[[#This Row],[clean Salary (in local currency)]])*(VLOOKUP(tblSalaries[[#This Row],[Currency]],Sheet3!$A$2:$C$31,3,FALSE))*(VLOOKUP(tblSalaries[[#This Row],[Currency]],Sheet1!$N$4:$Q$186,4,FALSE))</f>
        <v>33600</v>
      </c>
      <c r="G1184" s="4">
        <f>IF(Dashboard!$J$5=VLOOKUP(tblSalaries[[#This Row],[Currency]],Sheet3!$A$2:$B$31,2,FALSE),tblSalaries[[#This Row],[clean Salary (in local currency)]],(tblSalaries[[#This Row],[PPP Adjusted  USD]]/VLOOKUP(Dashboard!$J$5,Sheet3!$B$2:$C$31,2,FALSE)))</f>
        <v>33600</v>
      </c>
      <c r="H1184" t="s">
        <v>1792</v>
      </c>
      <c r="I1184" t="s">
        <v>603</v>
      </c>
      <c r="J1184" t="s">
        <v>1035</v>
      </c>
      <c r="K1184" t="s">
        <v>610</v>
      </c>
      <c r="L1184">
        <v>2</v>
      </c>
    </row>
    <row r="1185" spans="2:12" ht="15" customHeight="1">
      <c r="B1185" t="s">
        <v>2615</v>
      </c>
      <c r="C1185">
        <v>708000</v>
      </c>
      <c r="D1185" t="s">
        <v>247</v>
      </c>
      <c r="E1185">
        <v>12608.005014709339</v>
      </c>
      <c r="F1185" s="3">
        <f>(tblSalaries[[#This Row],[clean Salary (in local currency)]])*(VLOOKUP(tblSalaries[[#This Row],[Currency]],Sheet3!$A$2:$C$31,3,FALSE))*(VLOOKUP(tblSalaries[[#This Row],[Currency]],Sheet1!$N$4:$Q$186,4,FALSE))</f>
        <v>33531.603822878511</v>
      </c>
      <c r="G1185" s="4">
        <f>IF(Dashboard!$J$5=VLOOKUP(tblSalaries[[#This Row],[Currency]],Sheet3!$A$2:$B$31,2,FALSE),tblSalaries[[#This Row],[clean Salary (in local currency)]],(tblSalaries[[#This Row],[PPP Adjusted  USD]]/VLOOKUP(Dashboard!$J$5,Sheet3!$B$2:$C$31,2,FALSE)))</f>
        <v>33531.603822878511</v>
      </c>
      <c r="H1185" t="s">
        <v>2616</v>
      </c>
      <c r="I1185" t="s">
        <v>625</v>
      </c>
      <c r="J1185" t="s">
        <v>604</v>
      </c>
      <c r="K1185" t="s">
        <v>605</v>
      </c>
      <c r="L1185">
        <v>5</v>
      </c>
    </row>
    <row r="1186" spans="2:12" ht="15" customHeight="1">
      <c r="B1186" t="s">
        <v>1854</v>
      </c>
      <c r="C1186">
        <v>33500</v>
      </c>
      <c r="D1186" t="s">
        <v>252</v>
      </c>
      <c r="E1186">
        <v>33500</v>
      </c>
      <c r="F1186" s="3">
        <f>(tblSalaries[[#This Row],[clean Salary (in local currency)]])*(VLOOKUP(tblSalaries[[#This Row],[Currency]],Sheet3!$A$2:$C$31,3,FALSE))*(VLOOKUP(tblSalaries[[#This Row],[Currency]],Sheet1!$N$4:$Q$186,4,FALSE))</f>
        <v>33500</v>
      </c>
      <c r="G1186" s="4">
        <f>IF(Dashboard!$J$5=VLOOKUP(tblSalaries[[#This Row],[Currency]],Sheet3!$A$2:$B$31,2,FALSE),tblSalaries[[#This Row],[clean Salary (in local currency)]],(tblSalaries[[#This Row],[PPP Adjusted  USD]]/VLOOKUP(Dashboard!$J$5,Sheet3!$B$2:$C$31,2,FALSE)))</f>
        <v>33500</v>
      </c>
      <c r="H1186" t="s">
        <v>1855</v>
      </c>
      <c r="I1186" t="s">
        <v>637</v>
      </c>
      <c r="J1186" t="s">
        <v>1164</v>
      </c>
      <c r="K1186" t="s">
        <v>627</v>
      </c>
      <c r="L1186">
        <v>10</v>
      </c>
    </row>
    <row r="1187" spans="2:12" ht="15" customHeight="1">
      <c r="B1187" t="s">
        <v>768</v>
      </c>
      <c r="C1187">
        <v>33420</v>
      </c>
      <c r="D1187" t="s">
        <v>252</v>
      </c>
      <c r="E1187">
        <v>33420</v>
      </c>
      <c r="F1187" s="3">
        <f>(tblSalaries[[#This Row],[clean Salary (in local currency)]])*(VLOOKUP(tblSalaries[[#This Row],[Currency]],Sheet3!$A$2:$C$31,3,FALSE))*(VLOOKUP(tblSalaries[[#This Row],[Currency]],Sheet1!$N$4:$Q$186,4,FALSE))</f>
        <v>33420</v>
      </c>
      <c r="G1187" s="4">
        <f>IF(Dashboard!$J$5=VLOOKUP(tblSalaries[[#This Row],[Currency]],Sheet3!$A$2:$B$31,2,FALSE),tblSalaries[[#This Row],[clean Salary (in local currency)]],(tblSalaries[[#This Row],[PPP Adjusted  USD]]/VLOOKUP(Dashboard!$J$5,Sheet3!$B$2:$C$31,2,FALSE)))</f>
        <v>33420</v>
      </c>
      <c r="H1187" t="s">
        <v>769</v>
      </c>
      <c r="I1187" t="s">
        <v>625</v>
      </c>
      <c r="J1187" t="s">
        <v>770</v>
      </c>
      <c r="K1187" t="s">
        <v>610</v>
      </c>
      <c r="L1187" t="s">
        <v>3847</v>
      </c>
    </row>
    <row r="1188" spans="2:12" ht="15" customHeight="1">
      <c r="B1188" t="s">
        <v>3674</v>
      </c>
      <c r="C1188">
        <v>33250</v>
      </c>
      <c r="D1188" t="s">
        <v>252</v>
      </c>
      <c r="E1188">
        <v>33250</v>
      </c>
      <c r="F1188" s="3">
        <f>(tblSalaries[[#This Row],[clean Salary (in local currency)]])*(VLOOKUP(tblSalaries[[#This Row],[Currency]],Sheet3!$A$2:$C$31,3,FALSE))*(VLOOKUP(tblSalaries[[#This Row],[Currency]],Sheet1!$N$4:$Q$186,4,FALSE))</f>
        <v>33250</v>
      </c>
      <c r="G1188" s="4">
        <f>IF(Dashboard!$J$5=VLOOKUP(tblSalaries[[#This Row],[Currency]],Sheet3!$A$2:$B$31,2,FALSE),tblSalaries[[#This Row],[clean Salary (in local currency)]],(tblSalaries[[#This Row],[PPP Adjusted  USD]]/VLOOKUP(Dashboard!$J$5,Sheet3!$B$2:$C$31,2,FALSE)))</f>
        <v>33250</v>
      </c>
      <c r="H1188" t="s">
        <v>3675</v>
      </c>
      <c r="I1188" t="s">
        <v>625</v>
      </c>
      <c r="J1188" t="s">
        <v>613</v>
      </c>
      <c r="K1188" t="s">
        <v>610</v>
      </c>
      <c r="L1188">
        <v>20</v>
      </c>
    </row>
    <row r="1189" spans="2:12" ht="15" customHeight="1">
      <c r="B1189" t="s">
        <v>802</v>
      </c>
      <c r="C1189">
        <v>42000</v>
      </c>
      <c r="D1189" t="s">
        <v>276</v>
      </c>
      <c r="E1189">
        <v>41301.183967273726</v>
      </c>
      <c r="F1189" s="3">
        <f>(tblSalaries[[#This Row],[clean Salary (in local currency)]])*(VLOOKUP(tblSalaries[[#This Row],[Currency]],Sheet3!$A$2:$C$31,3,FALSE))*(VLOOKUP(tblSalaries[[#This Row],[Currency]],Sheet1!$N$4:$Q$186,4,FALSE))</f>
        <v>33198.740534498473</v>
      </c>
      <c r="G1189" s="4">
        <f>IF(Dashboard!$J$5=VLOOKUP(tblSalaries[[#This Row],[Currency]],Sheet3!$A$2:$B$31,2,FALSE),tblSalaries[[#This Row],[clean Salary (in local currency)]],(tblSalaries[[#This Row],[PPP Adjusted  USD]]/VLOOKUP(Dashboard!$J$5,Sheet3!$B$2:$C$31,2,FALSE)))</f>
        <v>33198.740534498473</v>
      </c>
      <c r="H1189" t="s">
        <v>803</v>
      </c>
      <c r="I1189" t="s">
        <v>603</v>
      </c>
      <c r="J1189" t="s">
        <v>708</v>
      </c>
      <c r="K1189" t="s">
        <v>605</v>
      </c>
      <c r="L1189" t="s">
        <v>3847</v>
      </c>
    </row>
    <row r="1190" spans="2:12" ht="15" customHeight="1">
      <c r="B1190" t="s">
        <v>1193</v>
      </c>
      <c r="C1190">
        <v>42000</v>
      </c>
      <c r="D1190" t="s">
        <v>276</v>
      </c>
      <c r="E1190">
        <v>41301.183967273726</v>
      </c>
      <c r="F1190" s="3">
        <f>(tblSalaries[[#This Row],[clean Salary (in local currency)]])*(VLOOKUP(tblSalaries[[#This Row],[Currency]],Sheet3!$A$2:$C$31,3,FALSE))*(VLOOKUP(tblSalaries[[#This Row],[Currency]],Sheet1!$N$4:$Q$186,4,FALSE))</f>
        <v>33198.740534498473</v>
      </c>
      <c r="G1190" s="4">
        <f>IF(Dashboard!$J$5=VLOOKUP(tblSalaries[[#This Row],[Currency]],Sheet3!$A$2:$B$31,2,FALSE),tblSalaries[[#This Row],[clean Salary (in local currency)]],(tblSalaries[[#This Row],[PPP Adjusted  USD]]/VLOOKUP(Dashboard!$J$5,Sheet3!$B$2:$C$31,2,FALSE)))</f>
        <v>33198.740534498473</v>
      </c>
      <c r="H1190" t="s">
        <v>612</v>
      </c>
      <c r="I1190" t="s">
        <v>603</v>
      </c>
      <c r="J1190" t="s">
        <v>708</v>
      </c>
      <c r="K1190" t="s">
        <v>610</v>
      </c>
      <c r="L1190" t="s">
        <v>3847</v>
      </c>
    </row>
    <row r="1191" spans="2:12" ht="15" customHeight="1">
      <c r="B1191" t="s">
        <v>1978</v>
      </c>
      <c r="C1191">
        <v>700000</v>
      </c>
      <c r="D1191" t="s">
        <v>247</v>
      </c>
      <c r="E1191">
        <v>12465.541681209797</v>
      </c>
      <c r="F1191" s="3">
        <f>(tblSalaries[[#This Row],[clean Salary (in local currency)]])*(VLOOKUP(tblSalaries[[#This Row],[Currency]],Sheet3!$A$2:$C$31,3,FALSE))*(VLOOKUP(tblSalaries[[#This Row],[Currency]],Sheet1!$N$4:$Q$186,4,FALSE))</f>
        <v>33152.715644088916</v>
      </c>
      <c r="G1191" s="4">
        <f>IF(Dashboard!$J$5=VLOOKUP(tblSalaries[[#This Row],[Currency]],Sheet3!$A$2:$B$31,2,FALSE),tblSalaries[[#This Row],[clean Salary (in local currency)]],(tblSalaries[[#This Row],[PPP Adjusted  USD]]/VLOOKUP(Dashboard!$J$5,Sheet3!$B$2:$C$31,2,FALSE)))</f>
        <v>33152.715644088916</v>
      </c>
      <c r="H1191" t="s">
        <v>1979</v>
      </c>
      <c r="I1191" t="s">
        <v>603</v>
      </c>
      <c r="J1191" t="s">
        <v>604</v>
      </c>
      <c r="K1191" t="s">
        <v>610</v>
      </c>
      <c r="L1191">
        <v>5</v>
      </c>
    </row>
    <row r="1192" spans="2:12" ht="15" customHeight="1">
      <c r="B1192" t="s">
        <v>2256</v>
      </c>
      <c r="C1192">
        <v>700000</v>
      </c>
      <c r="D1192" t="s">
        <v>247</v>
      </c>
      <c r="E1192">
        <v>12465.541681209797</v>
      </c>
      <c r="F1192" s="3">
        <f>(tblSalaries[[#This Row],[clean Salary (in local currency)]])*(VLOOKUP(tblSalaries[[#This Row],[Currency]],Sheet3!$A$2:$C$31,3,FALSE))*(VLOOKUP(tblSalaries[[#This Row],[Currency]],Sheet1!$N$4:$Q$186,4,FALSE))</f>
        <v>33152.715644088916</v>
      </c>
      <c r="G1192" s="4">
        <f>IF(Dashboard!$J$5=VLOOKUP(tblSalaries[[#This Row],[Currency]],Sheet3!$A$2:$B$31,2,FALSE),tblSalaries[[#This Row],[clean Salary (in local currency)]],(tblSalaries[[#This Row],[PPP Adjusted  USD]]/VLOOKUP(Dashboard!$J$5,Sheet3!$B$2:$C$31,2,FALSE)))</f>
        <v>33152.715644088916</v>
      </c>
      <c r="H1192" t="s">
        <v>2257</v>
      </c>
      <c r="I1192" t="s">
        <v>625</v>
      </c>
      <c r="J1192" t="s">
        <v>604</v>
      </c>
      <c r="K1192" t="s">
        <v>605</v>
      </c>
      <c r="L1192">
        <v>3</v>
      </c>
    </row>
    <row r="1193" spans="2:12" ht="15" customHeight="1">
      <c r="B1193" t="s">
        <v>2272</v>
      </c>
      <c r="C1193">
        <v>700000</v>
      </c>
      <c r="D1193" t="s">
        <v>247</v>
      </c>
      <c r="E1193">
        <v>12465.541681209797</v>
      </c>
      <c r="F1193" s="3">
        <f>(tblSalaries[[#This Row],[clean Salary (in local currency)]])*(VLOOKUP(tblSalaries[[#This Row],[Currency]],Sheet3!$A$2:$C$31,3,FALSE))*(VLOOKUP(tblSalaries[[#This Row],[Currency]],Sheet1!$N$4:$Q$186,4,FALSE))</f>
        <v>33152.715644088916</v>
      </c>
      <c r="G1193" s="4">
        <f>IF(Dashboard!$J$5=VLOOKUP(tblSalaries[[#This Row],[Currency]],Sheet3!$A$2:$B$31,2,FALSE),tblSalaries[[#This Row],[clean Salary (in local currency)]],(tblSalaries[[#This Row],[PPP Adjusted  USD]]/VLOOKUP(Dashboard!$J$5,Sheet3!$B$2:$C$31,2,FALSE)))</f>
        <v>33152.715644088916</v>
      </c>
      <c r="H1193" t="s">
        <v>899</v>
      </c>
      <c r="I1193" t="s">
        <v>603</v>
      </c>
      <c r="J1193" t="s">
        <v>604</v>
      </c>
      <c r="K1193" t="s">
        <v>610</v>
      </c>
      <c r="L1193">
        <v>1</v>
      </c>
    </row>
    <row r="1194" spans="2:12" ht="15" customHeight="1">
      <c r="B1194" t="s">
        <v>2374</v>
      </c>
      <c r="C1194">
        <v>700000</v>
      </c>
      <c r="D1194" t="s">
        <v>247</v>
      </c>
      <c r="E1194">
        <v>12465.541681209797</v>
      </c>
      <c r="F1194" s="3">
        <f>(tblSalaries[[#This Row],[clean Salary (in local currency)]])*(VLOOKUP(tblSalaries[[#This Row],[Currency]],Sheet3!$A$2:$C$31,3,FALSE))*(VLOOKUP(tblSalaries[[#This Row],[Currency]],Sheet1!$N$4:$Q$186,4,FALSE))</f>
        <v>33152.715644088916</v>
      </c>
      <c r="G1194" s="4">
        <f>IF(Dashboard!$J$5=VLOOKUP(tblSalaries[[#This Row],[Currency]],Sheet3!$A$2:$B$31,2,FALSE),tblSalaries[[#This Row],[clean Salary (in local currency)]],(tblSalaries[[#This Row],[PPP Adjusted  USD]]/VLOOKUP(Dashboard!$J$5,Sheet3!$B$2:$C$31,2,FALSE)))</f>
        <v>33152.715644088916</v>
      </c>
      <c r="H1194" t="s">
        <v>2375</v>
      </c>
      <c r="I1194" t="s">
        <v>625</v>
      </c>
      <c r="J1194" t="s">
        <v>604</v>
      </c>
      <c r="K1194" t="s">
        <v>617</v>
      </c>
      <c r="L1194">
        <v>7</v>
      </c>
    </row>
    <row r="1195" spans="2:12" ht="15" customHeight="1">
      <c r="B1195" t="s">
        <v>2443</v>
      </c>
      <c r="C1195">
        <v>700000</v>
      </c>
      <c r="D1195" t="s">
        <v>247</v>
      </c>
      <c r="E1195">
        <v>12465.541681209797</v>
      </c>
      <c r="F1195" s="3">
        <f>(tblSalaries[[#This Row],[clean Salary (in local currency)]])*(VLOOKUP(tblSalaries[[#This Row],[Currency]],Sheet3!$A$2:$C$31,3,FALSE))*(VLOOKUP(tblSalaries[[#This Row],[Currency]],Sheet1!$N$4:$Q$186,4,FALSE))</f>
        <v>33152.715644088916</v>
      </c>
      <c r="G1195" s="4">
        <f>IF(Dashboard!$J$5=VLOOKUP(tblSalaries[[#This Row],[Currency]],Sheet3!$A$2:$B$31,2,FALSE),tblSalaries[[#This Row],[clean Salary (in local currency)]],(tblSalaries[[#This Row],[PPP Adjusted  USD]]/VLOOKUP(Dashboard!$J$5,Sheet3!$B$2:$C$31,2,FALSE)))</f>
        <v>33152.715644088916</v>
      </c>
      <c r="H1195" t="s">
        <v>1397</v>
      </c>
      <c r="I1195" t="s">
        <v>603</v>
      </c>
      <c r="J1195" t="s">
        <v>604</v>
      </c>
      <c r="K1195" t="s">
        <v>605</v>
      </c>
      <c r="L1195">
        <v>5</v>
      </c>
    </row>
    <row r="1196" spans="2:12" ht="15" customHeight="1">
      <c r="B1196" t="s">
        <v>2728</v>
      </c>
      <c r="C1196">
        <v>700000</v>
      </c>
      <c r="D1196" t="s">
        <v>247</v>
      </c>
      <c r="E1196">
        <v>12465.541681209797</v>
      </c>
      <c r="F1196" s="3">
        <f>(tblSalaries[[#This Row],[clean Salary (in local currency)]])*(VLOOKUP(tblSalaries[[#This Row],[Currency]],Sheet3!$A$2:$C$31,3,FALSE))*(VLOOKUP(tblSalaries[[#This Row],[Currency]],Sheet1!$N$4:$Q$186,4,FALSE))</f>
        <v>33152.715644088916</v>
      </c>
      <c r="G1196" s="4">
        <f>IF(Dashboard!$J$5=VLOOKUP(tblSalaries[[#This Row],[Currency]],Sheet3!$A$2:$B$31,2,FALSE),tblSalaries[[#This Row],[clean Salary (in local currency)]],(tblSalaries[[#This Row],[PPP Adjusted  USD]]/VLOOKUP(Dashboard!$J$5,Sheet3!$B$2:$C$31,2,FALSE)))</f>
        <v>33152.715644088916</v>
      </c>
      <c r="H1196" t="s">
        <v>2729</v>
      </c>
      <c r="I1196" t="s">
        <v>658</v>
      </c>
      <c r="J1196" t="s">
        <v>604</v>
      </c>
      <c r="K1196" t="s">
        <v>605</v>
      </c>
      <c r="L1196">
        <v>6</v>
      </c>
    </row>
    <row r="1197" spans="2:12" ht="15" customHeight="1">
      <c r="B1197" t="s">
        <v>3274</v>
      </c>
      <c r="C1197">
        <v>700000</v>
      </c>
      <c r="D1197" t="s">
        <v>247</v>
      </c>
      <c r="E1197">
        <v>12465.541681209797</v>
      </c>
      <c r="F1197" s="3">
        <f>(tblSalaries[[#This Row],[clean Salary (in local currency)]])*(VLOOKUP(tblSalaries[[#This Row],[Currency]],Sheet3!$A$2:$C$31,3,FALSE))*(VLOOKUP(tblSalaries[[#This Row],[Currency]],Sheet1!$N$4:$Q$186,4,FALSE))</f>
        <v>33152.715644088916</v>
      </c>
      <c r="G1197" s="4">
        <f>IF(Dashboard!$J$5=VLOOKUP(tblSalaries[[#This Row],[Currency]],Sheet3!$A$2:$B$31,2,FALSE),tblSalaries[[#This Row],[clean Salary (in local currency)]],(tblSalaries[[#This Row],[PPP Adjusted  USD]]/VLOOKUP(Dashboard!$J$5,Sheet3!$B$2:$C$31,2,FALSE)))</f>
        <v>33152.715644088916</v>
      </c>
      <c r="H1197" t="s">
        <v>3275</v>
      </c>
      <c r="I1197" t="s">
        <v>625</v>
      </c>
      <c r="J1197" t="s">
        <v>604</v>
      </c>
      <c r="K1197" t="s">
        <v>610</v>
      </c>
      <c r="L1197">
        <v>30</v>
      </c>
    </row>
    <row r="1198" spans="2:12" ht="15" customHeight="1">
      <c r="B1198" t="s">
        <v>3727</v>
      </c>
      <c r="C1198">
        <v>700000</v>
      </c>
      <c r="D1198" t="s">
        <v>247</v>
      </c>
      <c r="E1198">
        <v>12465.541681209797</v>
      </c>
      <c r="F1198" s="3">
        <f>(tblSalaries[[#This Row],[clean Salary (in local currency)]])*(VLOOKUP(tblSalaries[[#This Row],[Currency]],Sheet3!$A$2:$C$31,3,FALSE))*(VLOOKUP(tblSalaries[[#This Row],[Currency]],Sheet1!$N$4:$Q$186,4,FALSE))</f>
        <v>33152.715644088916</v>
      </c>
      <c r="G1198" s="4">
        <f>IF(Dashboard!$J$5=VLOOKUP(tblSalaries[[#This Row],[Currency]],Sheet3!$A$2:$B$31,2,FALSE),tblSalaries[[#This Row],[clean Salary (in local currency)]],(tblSalaries[[#This Row],[PPP Adjusted  USD]]/VLOOKUP(Dashboard!$J$5,Sheet3!$B$2:$C$31,2,FALSE)))</f>
        <v>33152.715644088916</v>
      </c>
      <c r="H1198" t="s">
        <v>3728</v>
      </c>
      <c r="I1198" t="s">
        <v>603</v>
      </c>
      <c r="J1198" t="s">
        <v>604</v>
      </c>
      <c r="K1198" t="s">
        <v>617</v>
      </c>
      <c r="L1198">
        <v>4</v>
      </c>
    </row>
    <row r="1199" spans="2:12" ht="15" customHeight="1">
      <c r="B1199" t="s">
        <v>3757</v>
      </c>
      <c r="C1199">
        <v>700000</v>
      </c>
      <c r="D1199" t="s">
        <v>247</v>
      </c>
      <c r="E1199">
        <v>12465.541681209797</v>
      </c>
      <c r="F1199" s="3">
        <f>(tblSalaries[[#This Row],[clean Salary (in local currency)]])*(VLOOKUP(tblSalaries[[#This Row],[Currency]],Sheet3!$A$2:$C$31,3,FALSE))*(VLOOKUP(tblSalaries[[#This Row],[Currency]],Sheet1!$N$4:$Q$186,4,FALSE))</f>
        <v>33152.715644088916</v>
      </c>
      <c r="G1199" s="4">
        <f>IF(Dashboard!$J$5=VLOOKUP(tblSalaries[[#This Row],[Currency]],Sheet3!$A$2:$B$31,2,FALSE),tblSalaries[[#This Row],[clean Salary (in local currency)]],(tblSalaries[[#This Row],[PPP Adjusted  USD]]/VLOOKUP(Dashboard!$J$5,Sheet3!$B$2:$C$31,2,FALSE)))</f>
        <v>33152.715644088916</v>
      </c>
      <c r="H1199" t="s">
        <v>3758</v>
      </c>
      <c r="I1199" t="s">
        <v>625</v>
      </c>
      <c r="J1199" t="s">
        <v>604</v>
      </c>
      <c r="K1199" t="s">
        <v>617</v>
      </c>
      <c r="L1199">
        <v>9</v>
      </c>
    </row>
    <row r="1200" spans="2:12" ht="15" customHeight="1">
      <c r="B1200" t="s">
        <v>2428</v>
      </c>
      <c r="C1200">
        <v>55000</v>
      </c>
      <c r="D1200" t="s">
        <v>295</v>
      </c>
      <c r="E1200">
        <v>43867.345148271634</v>
      </c>
      <c r="F1200" s="3">
        <f>(tblSalaries[[#This Row],[clean Salary (in local currency)]])*(VLOOKUP(tblSalaries[[#This Row],[Currency]],Sheet3!$A$2:$C$31,3,FALSE))*(VLOOKUP(tblSalaries[[#This Row],[Currency]],Sheet1!$N$4:$Q$186,4,FALSE))</f>
        <v>33118.624572617751</v>
      </c>
      <c r="G1200" s="4">
        <f>IF(Dashboard!$J$5=VLOOKUP(tblSalaries[[#This Row],[Currency]],Sheet3!$A$2:$B$31,2,FALSE),tblSalaries[[#This Row],[clean Salary (in local currency)]],(tblSalaries[[#This Row],[PPP Adjusted  USD]]/VLOOKUP(Dashboard!$J$5,Sheet3!$B$2:$C$31,2,FALSE)))</f>
        <v>33118.624572617751</v>
      </c>
      <c r="H1200" t="s">
        <v>612</v>
      </c>
      <c r="I1200" t="s">
        <v>603</v>
      </c>
      <c r="J1200" t="s">
        <v>1604</v>
      </c>
      <c r="K1200" t="s">
        <v>610</v>
      </c>
      <c r="L1200">
        <v>10</v>
      </c>
    </row>
    <row r="1201" spans="2:12" ht="15" customHeight="1">
      <c r="B1201" t="s">
        <v>2123</v>
      </c>
      <c r="C1201">
        <v>30000</v>
      </c>
      <c r="D1201" t="s">
        <v>200</v>
      </c>
      <c r="E1201">
        <v>38111.983169748237</v>
      </c>
      <c r="F1201" s="3">
        <f>(tblSalaries[[#This Row],[clean Salary (in local currency)]])*(VLOOKUP(tblSalaries[[#This Row],[Currency]],Sheet3!$A$2:$C$31,3,FALSE))*(VLOOKUP(tblSalaries[[#This Row],[Currency]],Sheet1!$N$4:$Q$186,4,FALSE))</f>
        <v>33019.58657940157</v>
      </c>
      <c r="G1201" s="4">
        <f>IF(Dashboard!$J$5=VLOOKUP(tblSalaries[[#This Row],[Currency]],Sheet3!$A$2:$B$31,2,FALSE),tblSalaries[[#This Row],[clean Salary (in local currency)]],(tblSalaries[[#This Row],[PPP Adjusted  USD]]/VLOOKUP(Dashboard!$J$5,Sheet3!$B$2:$C$31,2,FALSE)))</f>
        <v>33019.58657940157</v>
      </c>
      <c r="H1201" t="s">
        <v>2124</v>
      </c>
      <c r="I1201" t="s">
        <v>637</v>
      </c>
      <c r="J1201" t="s">
        <v>634</v>
      </c>
      <c r="K1201" t="s">
        <v>610</v>
      </c>
      <c r="L1201">
        <v>8</v>
      </c>
    </row>
    <row r="1202" spans="2:12" ht="15" customHeight="1">
      <c r="B1202" t="s">
        <v>2587</v>
      </c>
      <c r="C1202">
        <v>30000</v>
      </c>
      <c r="D1202" t="s">
        <v>200</v>
      </c>
      <c r="E1202">
        <v>38111.983169748237</v>
      </c>
      <c r="F1202" s="3">
        <f>(tblSalaries[[#This Row],[clean Salary (in local currency)]])*(VLOOKUP(tblSalaries[[#This Row],[Currency]],Sheet3!$A$2:$C$31,3,FALSE))*(VLOOKUP(tblSalaries[[#This Row],[Currency]],Sheet1!$N$4:$Q$186,4,FALSE))</f>
        <v>33019.58657940157</v>
      </c>
      <c r="G1202" s="4">
        <f>IF(Dashboard!$J$5=VLOOKUP(tblSalaries[[#This Row],[Currency]],Sheet3!$A$2:$B$31,2,FALSE),tblSalaries[[#This Row],[clean Salary (in local currency)]],(tblSalaries[[#This Row],[PPP Adjusted  USD]]/VLOOKUP(Dashboard!$J$5,Sheet3!$B$2:$C$31,2,FALSE)))</f>
        <v>33019.58657940157</v>
      </c>
      <c r="H1202" t="s">
        <v>2588</v>
      </c>
      <c r="I1202" t="s">
        <v>603</v>
      </c>
      <c r="J1202" t="s">
        <v>676</v>
      </c>
      <c r="K1202" t="s">
        <v>627</v>
      </c>
      <c r="L1202">
        <v>15</v>
      </c>
    </row>
    <row r="1203" spans="2:12" ht="15" customHeight="1">
      <c r="B1203" t="s">
        <v>2749</v>
      </c>
      <c r="C1203">
        <v>30000</v>
      </c>
      <c r="D1203" t="s">
        <v>200</v>
      </c>
      <c r="E1203">
        <v>38111.983169748237</v>
      </c>
      <c r="F1203" s="3">
        <f>(tblSalaries[[#This Row],[clean Salary (in local currency)]])*(VLOOKUP(tblSalaries[[#This Row],[Currency]],Sheet3!$A$2:$C$31,3,FALSE))*(VLOOKUP(tblSalaries[[#This Row],[Currency]],Sheet1!$N$4:$Q$186,4,FALSE))</f>
        <v>33019.58657940157</v>
      </c>
      <c r="G1203" s="4">
        <f>IF(Dashboard!$J$5=VLOOKUP(tblSalaries[[#This Row],[Currency]],Sheet3!$A$2:$B$31,2,FALSE),tblSalaries[[#This Row],[clean Salary (in local currency)]],(tblSalaries[[#This Row],[PPP Adjusted  USD]]/VLOOKUP(Dashboard!$J$5,Sheet3!$B$2:$C$31,2,FALSE)))</f>
        <v>33019.58657940157</v>
      </c>
      <c r="H1203" t="s">
        <v>2750</v>
      </c>
      <c r="I1203" t="s">
        <v>692</v>
      </c>
      <c r="J1203" t="s">
        <v>722</v>
      </c>
      <c r="K1203" t="s">
        <v>627</v>
      </c>
      <c r="L1203">
        <v>8</v>
      </c>
    </row>
    <row r="1204" spans="2:12" ht="15" customHeight="1">
      <c r="B1204" t="s">
        <v>2844</v>
      </c>
      <c r="C1204">
        <v>30000</v>
      </c>
      <c r="D1204" t="s">
        <v>200</v>
      </c>
      <c r="E1204">
        <v>38111.983169748237</v>
      </c>
      <c r="F1204" s="3">
        <f>(tblSalaries[[#This Row],[clean Salary (in local currency)]])*(VLOOKUP(tblSalaries[[#This Row],[Currency]],Sheet3!$A$2:$C$31,3,FALSE))*(VLOOKUP(tblSalaries[[#This Row],[Currency]],Sheet1!$N$4:$Q$186,4,FALSE))</f>
        <v>33019.58657940157</v>
      </c>
      <c r="G1204" s="4">
        <f>IF(Dashboard!$J$5=VLOOKUP(tblSalaries[[#This Row],[Currency]],Sheet3!$A$2:$B$31,2,FALSE),tblSalaries[[#This Row],[clean Salary (in local currency)]],(tblSalaries[[#This Row],[PPP Adjusted  USD]]/VLOOKUP(Dashboard!$J$5,Sheet3!$B$2:$C$31,2,FALSE)))</f>
        <v>33019.58657940157</v>
      </c>
      <c r="H1204" t="s">
        <v>2845</v>
      </c>
      <c r="I1204" t="s">
        <v>603</v>
      </c>
      <c r="J1204" t="s">
        <v>676</v>
      </c>
      <c r="K1204" t="s">
        <v>617</v>
      </c>
      <c r="L1204">
        <v>15</v>
      </c>
    </row>
    <row r="1205" spans="2:12" ht="15" customHeight="1">
      <c r="B1205" t="s">
        <v>3437</v>
      </c>
      <c r="C1205">
        <v>30000</v>
      </c>
      <c r="D1205" t="s">
        <v>200</v>
      </c>
      <c r="E1205">
        <v>38111.983169748237</v>
      </c>
      <c r="F1205" s="3">
        <f>(tblSalaries[[#This Row],[clean Salary (in local currency)]])*(VLOOKUP(tblSalaries[[#This Row],[Currency]],Sheet3!$A$2:$C$31,3,FALSE))*(VLOOKUP(tblSalaries[[#This Row],[Currency]],Sheet1!$N$4:$Q$186,4,FALSE))</f>
        <v>33019.58657940157</v>
      </c>
      <c r="G1205" s="4">
        <f>IF(Dashboard!$J$5=VLOOKUP(tblSalaries[[#This Row],[Currency]],Sheet3!$A$2:$B$31,2,FALSE),tblSalaries[[#This Row],[clean Salary (in local currency)]],(tblSalaries[[#This Row],[PPP Adjusted  USD]]/VLOOKUP(Dashboard!$J$5,Sheet3!$B$2:$C$31,2,FALSE)))</f>
        <v>33019.58657940157</v>
      </c>
      <c r="H1205" t="s">
        <v>3438</v>
      </c>
      <c r="I1205" t="s">
        <v>603</v>
      </c>
      <c r="J1205" t="s">
        <v>1557</v>
      </c>
      <c r="K1205" t="s">
        <v>627</v>
      </c>
      <c r="L1205">
        <v>12</v>
      </c>
    </row>
    <row r="1206" spans="2:12" ht="15" customHeight="1">
      <c r="B1206" t="s">
        <v>2964</v>
      </c>
      <c r="C1206">
        <v>33000</v>
      </c>
      <c r="D1206" t="s">
        <v>252</v>
      </c>
      <c r="E1206">
        <v>33000</v>
      </c>
      <c r="F1206" s="3">
        <f>(tblSalaries[[#This Row],[clean Salary (in local currency)]])*(VLOOKUP(tblSalaries[[#This Row],[Currency]],Sheet3!$A$2:$C$31,3,FALSE))*(VLOOKUP(tblSalaries[[#This Row],[Currency]],Sheet1!$N$4:$Q$186,4,FALSE))</f>
        <v>33000</v>
      </c>
      <c r="G1206" s="4">
        <f>IF(Dashboard!$J$5=VLOOKUP(tblSalaries[[#This Row],[Currency]],Sheet3!$A$2:$B$31,2,FALSE),tblSalaries[[#This Row],[clean Salary (in local currency)]],(tblSalaries[[#This Row],[PPP Adjusted  USD]]/VLOOKUP(Dashboard!$J$5,Sheet3!$B$2:$C$31,2,FALSE)))</f>
        <v>33000</v>
      </c>
      <c r="H1206" t="s">
        <v>2965</v>
      </c>
      <c r="I1206" t="s">
        <v>608</v>
      </c>
      <c r="J1206" t="s">
        <v>613</v>
      </c>
      <c r="K1206" t="s">
        <v>605</v>
      </c>
      <c r="L1206">
        <v>3</v>
      </c>
    </row>
    <row r="1207" spans="2:12" ht="15" customHeight="1">
      <c r="B1207" t="s">
        <v>3349</v>
      </c>
      <c r="C1207">
        <v>32884</v>
      </c>
      <c r="D1207" t="s">
        <v>252</v>
      </c>
      <c r="E1207">
        <v>32884</v>
      </c>
      <c r="F1207" s="3">
        <f>(tblSalaries[[#This Row],[clean Salary (in local currency)]])*(VLOOKUP(tblSalaries[[#This Row],[Currency]],Sheet3!$A$2:$C$31,3,FALSE))*(VLOOKUP(tblSalaries[[#This Row],[Currency]],Sheet1!$N$4:$Q$186,4,FALSE))</f>
        <v>32884</v>
      </c>
      <c r="G1207" s="4">
        <f>IF(Dashboard!$J$5=VLOOKUP(tblSalaries[[#This Row],[Currency]],Sheet3!$A$2:$B$31,2,FALSE),tblSalaries[[#This Row],[clean Salary (in local currency)]],(tblSalaries[[#This Row],[PPP Adjusted  USD]]/VLOOKUP(Dashboard!$J$5,Sheet3!$B$2:$C$31,2,FALSE)))</f>
        <v>32884</v>
      </c>
      <c r="H1207" t="s">
        <v>999</v>
      </c>
      <c r="I1207" t="s">
        <v>603</v>
      </c>
      <c r="J1207" t="s">
        <v>613</v>
      </c>
      <c r="K1207" t="s">
        <v>610</v>
      </c>
      <c r="L1207">
        <v>10</v>
      </c>
    </row>
    <row r="1208" spans="2:12" ht="15" customHeight="1">
      <c r="B1208" t="s">
        <v>3605</v>
      </c>
      <c r="C1208">
        <v>22300</v>
      </c>
      <c r="D1208" t="s">
        <v>204</v>
      </c>
      <c r="E1208">
        <v>35148.775467100437</v>
      </c>
      <c r="F1208" s="3">
        <f>(tblSalaries[[#This Row],[clean Salary (in local currency)]])*(VLOOKUP(tblSalaries[[#This Row],[Currency]],Sheet3!$A$2:$C$31,3,FALSE))*(VLOOKUP(tblSalaries[[#This Row],[Currency]],Sheet1!$N$4:$Q$186,4,FALSE))</f>
        <v>32869.557871063531</v>
      </c>
      <c r="G1208" s="4">
        <f>IF(Dashboard!$J$5=VLOOKUP(tblSalaries[[#This Row],[Currency]],Sheet3!$A$2:$B$31,2,FALSE),tblSalaries[[#This Row],[clean Salary (in local currency)]],(tblSalaries[[#This Row],[PPP Adjusted  USD]]/VLOOKUP(Dashboard!$J$5,Sheet3!$B$2:$C$31,2,FALSE)))</f>
        <v>32869.557871063531</v>
      </c>
      <c r="H1208" t="s">
        <v>3606</v>
      </c>
      <c r="I1208" t="s">
        <v>603</v>
      </c>
      <c r="J1208" t="s">
        <v>687</v>
      </c>
      <c r="K1208" t="s">
        <v>610</v>
      </c>
      <c r="L1208">
        <v>4</v>
      </c>
    </row>
    <row r="1209" spans="2:12" ht="15" customHeight="1">
      <c r="B1209" t="s">
        <v>2347</v>
      </c>
      <c r="C1209">
        <v>52000</v>
      </c>
      <c r="D1209" t="s">
        <v>224</v>
      </c>
      <c r="E1209">
        <v>53035.30213293706</v>
      </c>
      <c r="F1209" s="3">
        <f>(tblSalaries[[#This Row],[clean Salary (in local currency)]])*(VLOOKUP(tblSalaries[[#This Row],[Currency]],Sheet3!$A$2:$C$31,3,FALSE))*(VLOOKUP(tblSalaries[[#This Row],[Currency]],Sheet1!$N$4:$Q$186,4,FALSE))</f>
        <v>32589.131026327774</v>
      </c>
      <c r="G1209" s="4">
        <f>IF(Dashboard!$J$5=VLOOKUP(tblSalaries[[#This Row],[Currency]],Sheet3!$A$2:$B$31,2,FALSE),tblSalaries[[#This Row],[clean Salary (in local currency)]],(tblSalaries[[#This Row],[PPP Adjusted  USD]]/VLOOKUP(Dashboard!$J$5,Sheet3!$B$2:$C$31,2,FALSE)))</f>
        <v>32589.131026327774</v>
      </c>
      <c r="H1209" t="s">
        <v>2348</v>
      </c>
      <c r="I1209" t="s">
        <v>603</v>
      </c>
      <c r="J1209" t="s">
        <v>703</v>
      </c>
      <c r="K1209" t="s">
        <v>605</v>
      </c>
      <c r="L1209">
        <v>4</v>
      </c>
    </row>
    <row r="1210" spans="2:12" ht="15" customHeight="1">
      <c r="B1210" t="s">
        <v>3423</v>
      </c>
      <c r="C1210">
        <v>22000</v>
      </c>
      <c r="D1210" t="s">
        <v>204</v>
      </c>
      <c r="E1210">
        <v>34675.92198548025</v>
      </c>
      <c r="F1210" s="3">
        <f>(tblSalaries[[#This Row],[clean Salary (in local currency)]])*(VLOOKUP(tblSalaries[[#This Row],[Currency]],Sheet3!$A$2:$C$31,3,FALSE))*(VLOOKUP(tblSalaries[[#This Row],[Currency]],Sheet1!$N$4:$Q$186,4,FALSE))</f>
        <v>32427.366509569405</v>
      </c>
      <c r="G1210" s="4">
        <f>IF(Dashboard!$J$5=VLOOKUP(tblSalaries[[#This Row],[Currency]],Sheet3!$A$2:$B$31,2,FALSE),tblSalaries[[#This Row],[clean Salary (in local currency)]],(tblSalaries[[#This Row],[PPP Adjusted  USD]]/VLOOKUP(Dashboard!$J$5,Sheet3!$B$2:$C$31,2,FALSE)))</f>
        <v>32427.366509569405</v>
      </c>
      <c r="H1210" t="s">
        <v>3424</v>
      </c>
      <c r="I1210" t="s">
        <v>625</v>
      </c>
      <c r="J1210" t="s">
        <v>687</v>
      </c>
      <c r="K1210" t="s">
        <v>605</v>
      </c>
      <c r="L1210">
        <v>17</v>
      </c>
    </row>
    <row r="1211" spans="2:12" ht="15" customHeight="1">
      <c r="B1211" t="s">
        <v>3367</v>
      </c>
      <c r="C1211">
        <v>680000</v>
      </c>
      <c r="D1211" t="s">
        <v>247</v>
      </c>
      <c r="E1211">
        <v>12109.383347460946</v>
      </c>
      <c r="F1211" s="3">
        <f>(tblSalaries[[#This Row],[clean Salary (in local currency)]])*(VLOOKUP(tblSalaries[[#This Row],[Currency]],Sheet3!$A$2:$C$31,3,FALSE))*(VLOOKUP(tblSalaries[[#This Row],[Currency]],Sheet1!$N$4:$Q$186,4,FALSE))</f>
        <v>32205.495197114946</v>
      </c>
      <c r="G1211" s="4">
        <f>IF(Dashboard!$J$5=VLOOKUP(tblSalaries[[#This Row],[Currency]],Sheet3!$A$2:$B$31,2,FALSE),tblSalaries[[#This Row],[clean Salary (in local currency)]],(tblSalaries[[#This Row],[PPP Adjusted  USD]]/VLOOKUP(Dashboard!$J$5,Sheet3!$B$2:$C$31,2,FALSE)))</f>
        <v>32205.495197114946</v>
      </c>
      <c r="H1211" t="s">
        <v>2071</v>
      </c>
      <c r="I1211" t="s">
        <v>625</v>
      </c>
      <c r="J1211" t="s">
        <v>604</v>
      </c>
      <c r="K1211" t="s">
        <v>627</v>
      </c>
      <c r="L1211">
        <v>2</v>
      </c>
    </row>
    <row r="1212" spans="2:12" ht="15" customHeight="1">
      <c r="B1212" t="s">
        <v>1954</v>
      </c>
      <c r="C1212">
        <v>21798</v>
      </c>
      <c r="D1212" t="s">
        <v>204</v>
      </c>
      <c r="E1212">
        <v>34357.533974522659</v>
      </c>
      <c r="F1212" s="3">
        <f>(tblSalaries[[#This Row],[clean Salary (in local currency)]])*(VLOOKUP(tblSalaries[[#This Row],[Currency]],Sheet3!$A$2:$C$31,3,FALSE))*(VLOOKUP(tblSalaries[[#This Row],[Currency]],Sheet1!$N$4:$Q$186,4,FALSE))</f>
        <v>32129.624326163357</v>
      </c>
      <c r="G1212" s="4">
        <f>IF(Dashboard!$J$5=VLOOKUP(tblSalaries[[#This Row],[Currency]],Sheet3!$A$2:$B$31,2,FALSE),tblSalaries[[#This Row],[clean Salary (in local currency)]],(tblSalaries[[#This Row],[PPP Adjusted  USD]]/VLOOKUP(Dashboard!$J$5,Sheet3!$B$2:$C$31,2,FALSE)))</f>
        <v>32129.624326163357</v>
      </c>
      <c r="H1212" t="s">
        <v>811</v>
      </c>
      <c r="I1212" t="s">
        <v>603</v>
      </c>
      <c r="J1212" t="s">
        <v>687</v>
      </c>
      <c r="K1212" t="s">
        <v>610</v>
      </c>
      <c r="L1212">
        <v>1.5</v>
      </c>
    </row>
    <row r="1213" spans="2:12" ht="15" customHeight="1">
      <c r="B1213" t="s">
        <v>2133</v>
      </c>
      <c r="C1213">
        <v>32000</v>
      </c>
      <c r="D1213" t="s">
        <v>252</v>
      </c>
      <c r="E1213">
        <v>32000</v>
      </c>
      <c r="F1213" s="3">
        <f>(tblSalaries[[#This Row],[clean Salary (in local currency)]])*(VLOOKUP(tblSalaries[[#This Row],[Currency]],Sheet3!$A$2:$C$31,3,FALSE))*(VLOOKUP(tblSalaries[[#This Row],[Currency]],Sheet1!$N$4:$Q$186,4,FALSE))</f>
        <v>32000</v>
      </c>
      <c r="G1213" s="4">
        <f>IF(Dashboard!$J$5=VLOOKUP(tblSalaries[[#This Row],[Currency]],Sheet3!$A$2:$B$31,2,FALSE),tblSalaries[[#This Row],[clean Salary (in local currency)]],(tblSalaries[[#This Row],[PPP Adjusted  USD]]/VLOOKUP(Dashboard!$J$5,Sheet3!$B$2:$C$31,2,FALSE)))</f>
        <v>32000</v>
      </c>
      <c r="H1213" t="s">
        <v>2134</v>
      </c>
      <c r="I1213" t="s">
        <v>625</v>
      </c>
      <c r="J1213" t="s">
        <v>613</v>
      </c>
      <c r="K1213" t="s">
        <v>605</v>
      </c>
      <c r="L1213">
        <v>1</v>
      </c>
    </row>
    <row r="1214" spans="2:12" ht="15" customHeight="1">
      <c r="B1214" t="s">
        <v>3176</v>
      </c>
      <c r="C1214">
        <v>32000</v>
      </c>
      <c r="D1214" t="s">
        <v>252</v>
      </c>
      <c r="E1214">
        <v>32000</v>
      </c>
      <c r="F1214" s="3">
        <f>(tblSalaries[[#This Row],[clean Salary (in local currency)]])*(VLOOKUP(tblSalaries[[#This Row],[Currency]],Sheet3!$A$2:$C$31,3,FALSE))*(VLOOKUP(tblSalaries[[#This Row],[Currency]],Sheet1!$N$4:$Q$186,4,FALSE))</f>
        <v>32000</v>
      </c>
      <c r="G1214" s="4">
        <f>IF(Dashboard!$J$5=VLOOKUP(tblSalaries[[#This Row],[Currency]],Sheet3!$A$2:$B$31,2,FALSE),tblSalaries[[#This Row],[clean Salary (in local currency)]],(tblSalaries[[#This Row],[PPP Adjusted  USD]]/VLOOKUP(Dashboard!$J$5,Sheet3!$B$2:$C$31,2,FALSE)))</f>
        <v>32000</v>
      </c>
      <c r="H1214" t="s">
        <v>3177</v>
      </c>
      <c r="I1214" t="s">
        <v>658</v>
      </c>
      <c r="J1214" t="s">
        <v>613</v>
      </c>
      <c r="K1214" t="s">
        <v>605</v>
      </c>
      <c r="L1214">
        <v>10</v>
      </c>
    </row>
    <row r="1215" spans="2:12" ht="15" customHeight="1">
      <c r="B1215" t="s">
        <v>3347</v>
      </c>
      <c r="C1215">
        <v>21500</v>
      </c>
      <c r="D1215" t="s">
        <v>204</v>
      </c>
      <c r="E1215">
        <v>33887.832849446611</v>
      </c>
      <c r="F1215" s="3">
        <f>(tblSalaries[[#This Row],[clean Salary (in local currency)]])*(VLOOKUP(tblSalaries[[#This Row],[Currency]],Sheet3!$A$2:$C$31,3,FALSE))*(VLOOKUP(tblSalaries[[#This Row],[Currency]],Sheet1!$N$4:$Q$186,4,FALSE))</f>
        <v>31690.380907079194</v>
      </c>
      <c r="G1215" s="4">
        <f>IF(Dashboard!$J$5=VLOOKUP(tblSalaries[[#This Row],[Currency]],Sheet3!$A$2:$B$31,2,FALSE),tblSalaries[[#This Row],[clean Salary (in local currency)]],(tblSalaries[[#This Row],[PPP Adjusted  USD]]/VLOOKUP(Dashboard!$J$5,Sheet3!$B$2:$C$31,2,FALSE)))</f>
        <v>31690.380907079194</v>
      </c>
      <c r="H1215" t="s">
        <v>811</v>
      </c>
      <c r="I1215" t="s">
        <v>603</v>
      </c>
      <c r="J1215" t="s">
        <v>687</v>
      </c>
      <c r="K1215" t="s">
        <v>610</v>
      </c>
      <c r="L1215">
        <v>1</v>
      </c>
    </row>
    <row r="1216" spans="2:12" ht="15" customHeight="1">
      <c r="B1216" t="s">
        <v>3630</v>
      </c>
      <c r="C1216">
        <v>40000</v>
      </c>
      <c r="D1216" t="s">
        <v>276</v>
      </c>
      <c r="E1216">
        <v>39334.460921213074</v>
      </c>
      <c r="F1216" s="3">
        <f>(tblSalaries[[#This Row],[clean Salary (in local currency)]])*(VLOOKUP(tblSalaries[[#This Row],[Currency]],Sheet3!$A$2:$C$31,3,FALSE))*(VLOOKUP(tblSalaries[[#This Row],[Currency]],Sheet1!$N$4:$Q$186,4,FALSE))</f>
        <v>31617.848128093785</v>
      </c>
      <c r="G1216" s="4">
        <f>IF(Dashboard!$J$5=VLOOKUP(tblSalaries[[#This Row],[Currency]],Sheet3!$A$2:$B$31,2,FALSE),tblSalaries[[#This Row],[clean Salary (in local currency)]],(tblSalaries[[#This Row],[PPP Adjusted  USD]]/VLOOKUP(Dashboard!$J$5,Sheet3!$B$2:$C$31,2,FALSE)))</f>
        <v>31617.848128093785</v>
      </c>
      <c r="H1216" t="s">
        <v>3631</v>
      </c>
      <c r="I1216" t="s">
        <v>603</v>
      </c>
      <c r="J1216" t="s">
        <v>708</v>
      </c>
      <c r="K1216" t="s">
        <v>627</v>
      </c>
      <c r="L1216">
        <v>1</v>
      </c>
    </row>
    <row r="1217" spans="2:12" ht="15" customHeight="1">
      <c r="B1217" t="s">
        <v>3653</v>
      </c>
      <c r="C1217">
        <v>1281600</v>
      </c>
      <c r="D1217" t="s">
        <v>461</v>
      </c>
      <c r="E1217">
        <v>13603.016099449767</v>
      </c>
      <c r="F1217" s="3">
        <f>(tblSalaries[[#This Row],[clean Salary (in local currency)]])*(VLOOKUP(tblSalaries[[#This Row],[Currency]],Sheet3!$A$2:$C$31,3,FALSE))*(VLOOKUP(tblSalaries[[#This Row],[Currency]],Sheet1!$N$4:$Q$186,4,FALSE))</f>
        <v>31563.317942446392</v>
      </c>
      <c r="G1217" s="4">
        <f>IF(Dashboard!$J$5=VLOOKUP(tblSalaries[[#This Row],[Currency]],Sheet3!$A$2:$B$31,2,FALSE),tblSalaries[[#This Row],[clean Salary (in local currency)]],(tblSalaries[[#This Row],[PPP Adjusted  USD]]/VLOOKUP(Dashboard!$J$5,Sheet3!$B$2:$C$31,2,FALSE)))</f>
        <v>31563.317942446392</v>
      </c>
      <c r="H1217" t="s">
        <v>3654</v>
      </c>
      <c r="I1217" t="s">
        <v>625</v>
      </c>
      <c r="J1217" t="s">
        <v>616</v>
      </c>
      <c r="K1217" t="s">
        <v>610</v>
      </c>
      <c r="L1217">
        <v>8</v>
      </c>
    </row>
    <row r="1218" spans="2:12" ht="15" customHeight="1">
      <c r="B1218" t="s">
        <v>2872</v>
      </c>
      <c r="C1218">
        <v>28500</v>
      </c>
      <c r="D1218" t="s">
        <v>200</v>
      </c>
      <c r="E1218">
        <v>36206.384011260823</v>
      </c>
      <c r="F1218" s="3">
        <f>(tblSalaries[[#This Row],[clean Salary (in local currency)]])*(VLOOKUP(tblSalaries[[#This Row],[Currency]],Sheet3!$A$2:$C$31,3,FALSE))*(VLOOKUP(tblSalaries[[#This Row],[Currency]],Sheet1!$N$4:$Q$186,4,FALSE))</f>
        <v>31368.607250431487</v>
      </c>
      <c r="G1218" s="4">
        <f>IF(Dashboard!$J$5=VLOOKUP(tblSalaries[[#This Row],[Currency]],Sheet3!$A$2:$B$31,2,FALSE),tblSalaries[[#This Row],[clean Salary (in local currency)]],(tblSalaries[[#This Row],[PPP Adjusted  USD]]/VLOOKUP(Dashboard!$J$5,Sheet3!$B$2:$C$31,2,FALSE)))</f>
        <v>31368.607250431487</v>
      </c>
      <c r="H1218" t="s">
        <v>2873</v>
      </c>
      <c r="I1218" t="s">
        <v>603</v>
      </c>
      <c r="J1218" t="s">
        <v>722</v>
      </c>
      <c r="K1218" t="s">
        <v>627</v>
      </c>
      <c r="L1218">
        <v>5</v>
      </c>
    </row>
    <row r="1219" spans="2:12" ht="15" customHeight="1">
      <c r="B1219" t="s">
        <v>2331</v>
      </c>
      <c r="C1219">
        <v>50000</v>
      </c>
      <c r="D1219" t="s">
        <v>224</v>
      </c>
      <c r="E1219">
        <v>50995.482820131787</v>
      </c>
      <c r="F1219" s="3">
        <f>(tblSalaries[[#This Row],[clean Salary (in local currency)]])*(VLOOKUP(tblSalaries[[#This Row],[Currency]],Sheet3!$A$2:$C$31,3,FALSE))*(VLOOKUP(tblSalaries[[#This Row],[Currency]],Sheet1!$N$4:$Q$186,4,FALSE))</f>
        <v>31335.702909930551</v>
      </c>
      <c r="G1219" s="4">
        <f>IF(Dashboard!$J$5=VLOOKUP(tblSalaries[[#This Row],[Currency]],Sheet3!$A$2:$B$31,2,FALSE),tblSalaries[[#This Row],[clean Salary (in local currency)]],(tblSalaries[[#This Row],[PPP Adjusted  USD]]/VLOOKUP(Dashboard!$J$5,Sheet3!$B$2:$C$31,2,FALSE)))</f>
        <v>31335.702909930551</v>
      </c>
      <c r="H1219" t="s">
        <v>1715</v>
      </c>
      <c r="I1219" t="s">
        <v>608</v>
      </c>
      <c r="J1219" t="s">
        <v>703</v>
      </c>
      <c r="K1219" t="s">
        <v>627</v>
      </c>
      <c r="L1219">
        <v>5</v>
      </c>
    </row>
    <row r="1220" spans="2:12" ht="15" customHeight="1">
      <c r="B1220" t="s">
        <v>2452</v>
      </c>
      <c r="C1220">
        <v>50000</v>
      </c>
      <c r="D1220" t="s">
        <v>224</v>
      </c>
      <c r="E1220">
        <v>50995.482820131787</v>
      </c>
      <c r="F1220" s="3">
        <f>(tblSalaries[[#This Row],[clean Salary (in local currency)]])*(VLOOKUP(tblSalaries[[#This Row],[Currency]],Sheet3!$A$2:$C$31,3,FALSE))*(VLOOKUP(tblSalaries[[#This Row],[Currency]],Sheet1!$N$4:$Q$186,4,FALSE))</f>
        <v>31335.702909930551</v>
      </c>
      <c r="G1220" s="4">
        <f>IF(Dashboard!$J$5=VLOOKUP(tblSalaries[[#This Row],[Currency]],Sheet3!$A$2:$B$31,2,FALSE),tblSalaries[[#This Row],[clean Salary (in local currency)]],(tblSalaries[[#This Row],[PPP Adjusted  USD]]/VLOOKUP(Dashboard!$J$5,Sheet3!$B$2:$C$31,2,FALSE)))</f>
        <v>31335.702909930551</v>
      </c>
      <c r="H1220" t="s">
        <v>2453</v>
      </c>
      <c r="I1220" t="s">
        <v>603</v>
      </c>
      <c r="J1220" t="s">
        <v>703</v>
      </c>
      <c r="K1220" t="s">
        <v>605</v>
      </c>
      <c r="L1220">
        <v>4</v>
      </c>
    </row>
    <row r="1221" spans="2:12" ht="15" customHeight="1">
      <c r="B1221" t="s">
        <v>793</v>
      </c>
      <c r="C1221">
        <v>31330</v>
      </c>
      <c r="D1221" t="s">
        <v>252</v>
      </c>
      <c r="E1221">
        <v>31330</v>
      </c>
      <c r="F1221" s="3">
        <f>(tblSalaries[[#This Row],[clean Salary (in local currency)]])*(VLOOKUP(tblSalaries[[#This Row],[Currency]],Sheet3!$A$2:$C$31,3,FALSE))*(VLOOKUP(tblSalaries[[#This Row],[Currency]],Sheet1!$N$4:$Q$186,4,FALSE))</f>
        <v>31330</v>
      </c>
      <c r="G1221" s="4">
        <f>IF(Dashboard!$J$5=VLOOKUP(tblSalaries[[#This Row],[Currency]],Sheet3!$A$2:$B$31,2,FALSE),tblSalaries[[#This Row],[clean Salary (in local currency)]],(tblSalaries[[#This Row],[PPP Adjusted  USD]]/VLOOKUP(Dashboard!$J$5,Sheet3!$B$2:$C$31,2,FALSE)))</f>
        <v>31330</v>
      </c>
      <c r="H1221" t="s">
        <v>794</v>
      </c>
      <c r="I1221" t="s">
        <v>603</v>
      </c>
      <c r="J1221" t="s">
        <v>795</v>
      </c>
      <c r="K1221" t="s">
        <v>610</v>
      </c>
      <c r="L1221" t="s">
        <v>3847</v>
      </c>
    </row>
    <row r="1222" spans="2:12" ht="15" customHeight="1">
      <c r="B1222" t="s">
        <v>1840</v>
      </c>
      <c r="C1222">
        <v>720000</v>
      </c>
      <c r="D1222" t="s">
        <v>473</v>
      </c>
      <c r="E1222">
        <v>17067.637625607145</v>
      </c>
      <c r="F1222" s="3">
        <f>(tblSalaries[[#This Row],[clean Salary (in local currency)]])*(VLOOKUP(tblSalaries[[#This Row],[Currency]],Sheet3!$A$2:$C$31,3,FALSE))*(VLOOKUP(tblSalaries[[#This Row],[Currency]],Sheet1!$N$4:$Q$186,4,FALSE))</f>
        <v>31264.362288276276</v>
      </c>
      <c r="G1222" s="4">
        <f>IF(Dashboard!$J$5=VLOOKUP(tblSalaries[[#This Row],[Currency]],Sheet3!$A$2:$B$31,2,FALSE),tblSalaries[[#This Row],[clean Salary (in local currency)]],(tblSalaries[[#This Row],[PPP Adjusted  USD]]/VLOOKUP(Dashboard!$J$5,Sheet3!$B$2:$C$31,2,FALSE)))</f>
        <v>31264.362288276276</v>
      </c>
      <c r="H1222" t="s">
        <v>1315</v>
      </c>
      <c r="I1222" t="s">
        <v>625</v>
      </c>
      <c r="J1222" t="s">
        <v>1146</v>
      </c>
      <c r="K1222" t="s">
        <v>605</v>
      </c>
      <c r="L1222">
        <v>9</v>
      </c>
    </row>
    <row r="1223" spans="2:12" ht="15" customHeight="1">
      <c r="B1223" t="s">
        <v>2891</v>
      </c>
      <c r="C1223">
        <v>660000</v>
      </c>
      <c r="D1223" t="s">
        <v>247</v>
      </c>
      <c r="E1223">
        <v>11753.225013712095</v>
      </c>
      <c r="F1223" s="3">
        <f>(tblSalaries[[#This Row],[clean Salary (in local currency)]])*(VLOOKUP(tblSalaries[[#This Row],[Currency]],Sheet3!$A$2:$C$31,3,FALSE))*(VLOOKUP(tblSalaries[[#This Row],[Currency]],Sheet1!$N$4:$Q$186,4,FALSE))</f>
        <v>31258.274750140983</v>
      </c>
      <c r="G1223" s="4">
        <f>IF(Dashboard!$J$5=VLOOKUP(tblSalaries[[#This Row],[Currency]],Sheet3!$A$2:$B$31,2,FALSE),tblSalaries[[#This Row],[clean Salary (in local currency)]],(tblSalaries[[#This Row],[PPP Adjusted  USD]]/VLOOKUP(Dashboard!$J$5,Sheet3!$B$2:$C$31,2,FALSE)))</f>
        <v>31258.274750140983</v>
      </c>
      <c r="H1223" t="s">
        <v>2892</v>
      </c>
      <c r="I1223" t="s">
        <v>625</v>
      </c>
      <c r="J1223" t="s">
        <v>604</v>
      </c>
      <c r="K1223" t="s">
        <v>610</v>
      </c>
      <c r="L1223">
        <v>7</v>
      </c>
    </row>
    <row r="1224" spans="2:12" ht="15" customHeight="1">
      <c r="B1224" t="s">
        <v>1910</v>
      </c>
      <c r="C1224">
        <v>31250</v>
      </c>
      <c r="D1224" t="s">
        <v>252</v>
      </c>
      <c r="E1224">
        <v>31250</v>
      </c>
      <c r="F1224" s="3">
        <f>(tblSalaries[[#This Row],[clean Salary (in local currency)]])*(VLOOKUP(tblSalaries[[#This Row],[Currency]],Sheet3!$A$2:$C$31,3,FALSE))*(VLOOKUP(tblSalaries[[#This Row],[Currency]],Sheet1!$N$4:$Q$186,4,FALSE))</f>
        <v>31250</v>
      </c>
      <c r="G1224" s="4">
        <f>IF(Dashboard!$J$5=VLOOKUP(tblSalaries[[#This Row],[Currency]],Sheet3!$A$2:$B$31,2,FALSE),tblSalaries[[#This Row],[clean Salary (in local currency)]],(tblSalaries[[#This Row],[PPP Adjusted  USD]]/VLOOKUP(Dashboard!$J$5,Sheet3!$B$2:$C$31,2,FALSE)))</f>
        <v>31250</v>
      </c>
      <c r="H1224" t="s">
        <v>1911</v>
      </c>
      <c r="I1224" t="s">
        <v>625</v>
      </c>
      <c r="J1224" t="s">
        <v>604</v>
      </c>
      <c r="K1224" t="s">
        <v>617</v>
      </c>
      <c r="L1224">
        <v>6</v>
      </c>
    </row>
    <row r="1225" spans="2:12" ht="15" customHeight="1">
      <c r="B1225" t="s">
        <v>3283</v>
      </c>
      <c r="C1225">
        <v>31200</v>
      </c>
      <c r="D1225" t="s">
        <v>252</v>
      </c>
      <c r="E1225">
        <v>31200</v>
      </c>
      <c r="F1225" s="3">
        <f>(tblSalaries[[#This Row],[clean Salary (in local currency)]])*(VLOOKUP(tblSalaries[[#This Row],[Currency]],Sheet3!$A$2:$C$31,3,FALSE))*(VLOOKUP(tblSalaries[[#This Row],[Currency]],Sheet1!$N$4:$Q$186,4,FALSE))</f>
        <v>31200</v>
      </c>
      <c r="G1225" s="4">
        <f>IF(Dashboard!$J$5=VLOOKUP(tblSalaries[[#This Row],[Currency]],Sheet3!$A$2:$B$31,2,FALSE),tblSalaries[[#This Row],[clean Salary (in local currency)]],(tblSalaries[[#This Row],[PPP Adjusted  USD]]/VLOOKUP(Dashboard!$J$5,Sheet3!$B$2:$C$31,2,FALSE)))</f>
        <v>31200</v>
      </c>
      <c r="H1225" t="s">
        <v>811</v>
      </c>
      <c r="I1225" t="s">
        <v>603</v>
      </c>
      <c r="J1225" t="s">
        <v>613</v>
      </c>
      <c r="K1225" t="s">
        <v>605</v>
      </c>
      <c r="L1225">
        <v>15</v>
      </c>
    </row>
    <row r="1226" spans="2:12" ht="15" customHeight="1">
      <c r="B1226" t="s">
        <v>3425</v>
      </c>
      <c r="C1226">
        <v>31200</v>
      </c>
      <c r="D1226" t="s">
        <v>252</v>
      </c>
      <c r="E1226">
        <v>31200</v>
      </c>
      <c r="F1226" s="3">
        <f>(tblSalaries[[#This Row],[clean Salary (in local currency)]])*(VLOOKUP(tblSalaries[[#This Row],[Currency]],Sheet3!$A$2:$C$31,3,FALSE))*(VLOOKUP(tblSalaries[[#This Row],[Currency]],Sheet1!$N$4:$Q$186,4,FALSE))</f>
        <v>31200</v>
      </c>
      <c r="G1226" s="4">
        <f>IF(Dashboard!$J$5=VLOOKUP(tblSalaries[[#This Row],[Currency]],Sheet3!$A$2:$B$31,2,FALSE),tblSalaries[[#This Row],[clean Salary (in local currency)]],(tblSalaries[[#This Row],[PPP Adjusted  USD]]/VLOOKUP(Dashboard!$J$5,Sheet3!$B$2:$C$31,2,FALSE)))</f>
        <v>31200</v>
      </c>
      <c r="H1226" t="s">
        <v>1337</v>
      </c>
      <c r="I1226" t="s">
        <v>658</v>
      </c>
      <c r="J1226" t="s">
        <v>1255</v>
      </c>
      <c r="K1226" t="s">
        <v>610</v>
      </c>
      <c r="L1226">
        <v>11</v>
      </c>
    </row>
    <row r="1227" spans="2:12" ht="15" customHeight="1">
      <c r="B1227" t="s">
        <v>3555</v>
      </c>
      <c r="C1227">
        <v>31200</v>
      </c>
      <c r="D1227" t="s">
        <v>252</v>
      </c>
      <c r="E1227">
        <v>31200</v>
      </c>
      <c r="F1227" s="3">
        <f>(tblSalaries[[#This Row],[clean Salary (in local currency)]])*(VLOOKUP(tblSalaries[[#This Row],[Currency]],Sheet3!$A$2:$C$31,3,FALSE))*(VLOOKUP(tblSalaries[[#This Row],[Currency]],Sheet1!$N$4:$Q$186,4,FALSE))</f>
        <v>31200</v>
      </c>
      <c r="G1227" s="4">
        <f>IF(Dashboard!$J$5=VLOOKUP(tblSalaries[[#This Row],[Currency]],Sheet3!$A$2:$B$31,2,FALSE),tblSalaries[[#This Row],[clean Salary (in local currency)]],(tblSalaries[[#This Row],[PPP Adjusted  USD]]/VLOOKUP(Dashboard!$J$5,Sheet3!$B$2:$C$31,2,FALSE)))</f>
        <v>31200</v>
      </c>
      <c r="H1227" t="s">
        <v>2299</v>
      </c>
      <c r="I1227" t="s">
        <v>603</v>
      </c>
      <c r="J1227" t="s">
        <v>795</v>
      </c>
      <c r="K1227" t="s">
        <v>605</v>
      </c>
      <c r="L1227">
        <v>4</v>
      </c>
    </row>
    <row r="1228" spans="2:12" ht="15" customHeight="1">
      <c r="B1228" t="s">
        <v>1106</v>
      </c>
      <c r="C1228">
        <v>31000</v>
      </c>
      <c r="D1228" t="s">
        <v>252</v>
      </c>
      <c r="E1228">
        <v>31000</v>
      </c>
      <c r="F1228" s="3">
        <f>(tblSalaries[[#This Row],[clean Salary (in local currency)]])*(VLOOKUP(tblSalaries[[#This Row],[Currency]],Sheet3!$A$2:$C$31,3,FALSE))*(VLOOKUP(tblSalaries[[#This Row],[Currency]],Sheet1!$N$4:$Q$186,4,FALSE))</f>
        <v>31000</v>
      </c>
      <c r="G1228" s="4">
        <f>IF(Dashboard!$J$5=VLOOKUP(tblSalaries[[#This Row],[Currency]],Sheet3!$A$2:$B$31,2,FALSE),tblSalaries[[#This Row],[clean Salary (in local currency)]],(tblSalaries[[#This Row],[PPP Adjusted  USD]]/VLOOKUP(Dashboard!$J$5,Sheet3!$B$2:$C$31,2,FALSE)))</f>
        <v>31000</v>
      </c>
      <c r="H1228" t="s">
        <v>1107</v>
      </c>
      <c r="I1228" t="s">
        <v>603</v>
      </c>
      <c r="J1228" t="s">
        <v>613</v>
      </c>
      <c r="K1228" t="s">
        <v>605</v>
      </c>
      <c r="L1228" t="s">
        <v>3847</v>
      </c>
    </row>
    <row r="1229" spans="2:12" ht="15" customHeight="1">
      <c r="B1229" t="s">
        <v>1185</v>
      </c>
      <c r="C1229">
        <v>31000</v>
      </c>
      <c r="D1229" t="s">
        <v>252</v>
      </c>
      <c r="E1229">
        <v>31000</v>
      </c>
      <c r="F1229" s="3">
        <f>(tblSalaries[[#This Row],[clean Salary (in local currency)]])*(VLOOKUP(tblSalaries[[#This Row],[Currency]],Sheet3!$A$2:$C$31,3,FALSE))*(VLOOKUP(tblSalaries[[#This Row],[Currency]],Sheet1!$N$4:$Q$186,4,FALSE))</f>
        <v>31000</v>
      </c>
      <c r="G1229" s="4">
        <f>IF(Dashboard!$J$5=VLOOKUP(tblSalaries[[#This Row],[Currency]],Sheet3!$A$2:$B$31,2,FALSE),tblSalaries[[#This Row],[clean Salary (in local currency)]],(tblSalaries[[#This Row],[PPP Adjusted  USD]]/VLOOKUP(Dashboard!$J$5,Sheet3!$B$2:$C$31,2,FALSE)))</f>
        <v>31000</v>
      </c>
      <c r="H1229" t="s">
        <v>1186</v>
      </c>
      <c r="I1229" t="s">
        <v>640</v>
      </c>
      <c r="J1229" t="s">
        <v>613</v>
      </c>
      <c r="K1229" t="s">
        <v>617</v>
      </c>
      <c r="L1229" t="s">
        <v>3847</v>
      </c>
    </row>
    <row r="1230" spans="2:12" ht="15" customHeight="1">
      <c r="B1230" t="s">
        <v>1669</v>
      </c>
      <c r="C1230">
        <v>21000</v>
      </c>
      <c r="D1230" t="s">
        <v>204</v>
      </c>
      <c r="E1230">
        <v>33099.743713412965</v>
      </c>
      <c r="F1230" s="3">
        <f>(tblSalaries[[#This Row],[clean Salary (in local currency)]])*(VLOOKUP(tblSalaries[[#This Row],[Currency]],Sheet3!$A$2:$C$31,3,FALSE))*(VLOOKUP(tblSalaries[[#This Row],[Currency]],Sheet1!$N$4:$Q$186,4,FALSE))</f>
        <v>30953.395304588976</v>
      </c>
      <c r="G1230" s="4">
        <f>IF(Dashboard!$J$5=VLOOKUP(tblSalaries[[#This Row],[Currency]],Sheet3!$A$2:$B$31,2,FALSE),tblSalaries[[#This Row],[clean Salary (in local currency)]],(tblSalaries[[#This Row],[PPP Adjusted  USD]]/VLOOKUP(Dashboard!$J$5,Sheet3!$B$2:$C$31,2,FALSE)))</f>
        <v>30953.395304588976</v>
      </c>
      <c r="H1230" t="s">
        <v>745</v>
      </c>
      <c r="I1230" t="s">
        <v>603</v>
      </c>
      <c r="J1230" t="s">
        <v>687</v>
      </c>
      <c r="K1230" t="s">
        <v>610</v>
      </c>
      <c r="L1230">
        <v>10</v>
      </c>
    </row>
    <row r="1231" spans="2:12" ht="15" customHeight="1">
      <c r="B1231" t="s">
        <v>3785</v>
      </c>
      <c r="C1231">
        <v>28000</v>
      </c>
      <c r="D1231" t="s">
        <v>200</v>
      </c>
      <c r="E1231">
        <v>35571.184291765021</v>
      </c>
      <c r="F1231" s="3">
        <f>(tblSalaries[[#This Row],[clean Salary (in local currency)]])*(VLOOKUP(tblSalaries[[#This Row],[Currency]],Sheet3!$A$2:$C$31,3,FALSE))*(VLOOKUP(tblSalaries[[#This Row],[Currency]],Sheet1!$N$4:$Q$186,4,FALSE))</f>
        <v>30818.280807441464</v>
      </c>
      <c r="G1231" s="4">
        <f>IF(Dashboard!$J$5=VLOOKUP(tblSalaries[[#This Row],[Currency]],Sheet3!$A$2:$B$31,2,FALSE),tblSalaries[[#This Row],[clean Salary (in local currency)]],(tblSalaries[[#This Row],[PPP Adjusted  USD]]/VLOOKUP(Dashboard!$J$5,Sheet3!$B$2:$C$31,2,FALSE)))</f>
        <v>30818.280807441464</v>
      </c>
      <c r="H1231" t="s">
        <v>1196</v>
      </c>
      <c r="I1231" t="s">
        <v>608</v>
      </c>
      <c r="J1231" t="s">
        <v>1557</v>
      </c>
      <c r="K1231" t="s">
        <v>605</v>
      </c>
      <c r="L1231">
        <v>8</v>
      </c>
    </row>
    <row r="1232" spans="2:12" ht="15" customHeight="1">
      <c r="B1232" t="s">
        <v>2070</v>
      </c>
      <c r="C1232">
        <v>650000</v>
      </c>
      <c r="D1232" t="s">
        <v>247</v>
      </c>
      <c r="E1232">
        <v>11575.14584683767</v>
      </c>
      <c r="F1232" s="3">
        <f>(tblSalaries[[#This Row],[clean Salary (in local currency)]])*(VLOOKUP(tblSalaries[[#This Row],[Currency]],Sheet3!$A$2:$C$31,3,FALSE))*(VLOOKUP(tblSalaries[[#This Row],[Currency]],Sheet1!$N$4:$Q$186,4,FALSE))</f>
        <v>30784.664526653996</v>
      </c>
      <c r="G1232" s="4">
        <f>IF(Dashboard!$J$5=VLOOKUP(tblSalaries[[#This Row],[Currency]],Sheet3!$A$2:$B$31,2,FALSE),tblSalaries[[#This Row],[clean Salary (in local currency)]],(tblSalaries[[#This Row],[PPP Adjusted  USD]]/VLOOKUP(Dashboard!$J$5,Sheet3!$B$2:$C$31,2,FALSE)))</f>
        <v>30784.664526653996</v>
      </c>
      <c r="H1232" t="s">
        <v>2071</v>
      </c>
      <c r="I1232" t="s">
        <v>625</v>
      </c>
      <c r="J1232" t="s">
        <v>604</v>
      </c>
      <c r="K1232" t="s">
        <v>617</v>
      </c>
      <c r="L1232">
        <v>5</v>
      </c>
    </row>
    <row r="1233" spans="2:12" ht="15" customHeight="1">
      <c r="B1233" t="s">
        <v>2126</v>
      </c>
      <c r="C1233">
        <v>650000</v>
      </c>
      <c r="D1233" t="s">
        <v>247</v>
      </c>
      <c r="E1233">
        <v>11575.14584683767</v>
      </c>
      <c r="F1233" s="3">
        <f>(tblSalaries[[#This Row],[clean Salary (in local currency)]])*(VLOOKUP(tblSalaries[[#This Row],[Currency]],Sheet3!$A$2:$C$31,3,FALSE))*(VLOOKUP(tblSalaries[[#This Row],[Currency]],Sheet1!$N$4:$Q$186,4,FALSE))</f>
        <v>30784.664526653996</v>
      </c>
      <c r="G1233" s="4">
        <f>IF(Dashboard!$J$5=VLOOKUP(tblSalaries[[#This Row],[Currency]],Sheet3!$A$2:$B$31,2,FALSE),tblSalaries[[#This Row],[clean Salary (in local currency)]],(tblSalaries[[#This Row],[PPP Adjusted  USD]]/VLOOKUP(Dashboard!$J$5,Sheet3!$B$2:$C$31,2,FALSE)))</f>
        <v>30784.664526653996</v>
      </c>
      <c r="H1233" t="s">
        <v>2127</v>
      </c>
      <c r="I1233" t="s">
        <v>603</v>
      </c>
      <c r="J1233" t="s">
        <v>604</v>
      </c>
      <c r="K1233" t="s">
        <v>610</v>
      </c>
      <c r="L1233">
        <v>3.5</v>
      </c>
    </row>
    <row r="1234" spans="2:12" ht="15" customHeight="1">
      <c r="B1234" t="s">
        <v>2380</v>
      </c>
      <c r="C1234">
        <v>650000</v>
      </c>
      <c r="D1234" t="s">
        <v>247</v>
      </c>
      <c r="E1234">
        <v>11575.14584683767</v>
      </c>
      <c r="F1234" s="3">
        <f>(tblSalaries[[#This Row],[clean Salary (in local currency)]])*(VLOOKUP(tblSalaries[[#This Row],[Currency]],Sheet3!$A$2:$C$31,3,FALSE))*(VLOOKUP(tblSalaries[[#This Row],[Currency]],Sheet1!$N$4:$Q$186,4,FALSE))</f>
        <v>30784.664526653996</v>
      </c>
      <c r="G1234" s="4">
        <f>IF(Dashboard!$J$5=VLOOKUP(tblSalaries[[#This Row],[Currency]],Sheet3!$A$2:$B$31,2,FALSE),tblSalaries[[#This Row],[clean Salary (in local currency)]],(tblSalaries[[#This Row],[PPP Adjusted  USD]]/VLOOKUP(Dashboard!$J$5,Sheet3!$B$2:$C$31,2,FALSE)))</f>
        <v>30784.664526653996</v>
      </c>
      <c r="H1234" t="s">
        <v>2381</v>
      </c>
      <c r="I1234" t="s">
        <v>625</v>
      </c>
      <c r="J1234" t="s">
        <v>604</v>
      </c>
      <c r="K1234" t="s">
        <v>617</v>
      </c>
      <c r="L1234">
        <v>1</v>
      </c>
    </row>
    <row r="1235" spans="2:12" ht="15" customHeight="1">
      <c r="B1235" t="s">
        <v>3180</v>
      </c>
      <c r="C1235">
        <v>650000</v>
      </c>
      <c r="D1235" t="s">
        <v>247</v>
      </c>
      <c r="E1235">
        <v>11575.14584683767</v>
      </c>
      <c r="F1235" s="3">
        <f>(tblSalaries[[#This Row],[clean Salary (in local currency)]])*(VLOOKUP(tblSalaries[[#This Row],[Currency]],Sheet3!$A$2:$C$31,3,FALSE))*(VLOOKUP(tblSalaries[[#This Row],[Currency]],Sheet1!$N$4:$Q$186,4,FALSE))</f>
        <v>30784.664526653996</v>
      </c>
      <c r="G1235" s="4">
        <f>IF(Dashboard!$J$5=VLOOKUP(tblSalaries[[#This Row],[Currency]],Sheet3!$A$2:$B$31,2,FALSE),tblSalaries[[#This Row],[clean Salary (in local currency)]],(tblSalaries[[#This Row],[PPP Adjusted  USD]]/VLOOKUP(Dashboard!$J$5,Sheet3!$B$2:$C$31,2,FALSE)))</f>
        <v>30784.664526653996</v>
      </c>
      <c r="H1235" t="s">
        <v>3181</v>
      </c>
      <c r="I1235" t="s">
        <v>603</v>
      </c>
      <c r="J1235" t="s">
        <v>604</v>
      </c>
      <c r="K1235" t="s">
        <v>605</v>
      </c>
      <c r="L1235">
        <v>21</v>
      </c>
    </row>
    <row r="1236" spans="2:12" ht="15" customHeight="1">
      <c r="B1236" t="s">
        <v>3325</v>
      </c>
      <c r="C1236">
        <v>650000</v>
      </c>
      <c r="D1236" t="s">
        <v>247</v>
      </c>
      <c r="E1236">
        <v>11575.14584683767</v>
      </c>
      <c r="F1236" s="3">
        <f>(tblSalaries[[#This Row],[clean Salary (in local currency)]])*(VLOOKUP(tblSalaries[[#This Row],[Currency]],Sheet3!$A$2:$C$31,3,FALSE))*(VLOOKUP(tblSalaries[[#This Row],[Currency]],Sheet1!$N$4:$Q$186,4,FALSE))</f>
        <v>30784.664526653996</v>
      </c>
      <c r="G1236" s="4">
        <f>IF(Dashboard!$J$5=VLOOKUP(tblSalaries[[#This Row],[Currency]],Sheet3!$A$2:$B$31,2,FALSE),tblSalaries[[#This Row],[clean Salary (in local currency)]],(tblSalaries[[#This Row],[PPP Adjusted  USD]]/VLOOKUP(Dashboard!$J$5,Sheet3!$B$2:$C$31,2,FALSE)))</f>
        <v>30784.664526653996</v>
      </c>
      <c r="H1236" t="s">
        <v>1569</v>
      </c>
      <c r="I1236" t="s">
        <v>603</v>
      </c>
      <c r="J1236" t="s">
        <v>604</v>
      </c>
      <c r="K1236" t="s">
        <v>605</v>
      </c>
      <c r="L1236">
        <v>5</v>
      </c>
    </row>
    <row r="1237" spans="2:12" ht="15" customHeight="1">
      <c r="B1237" t="s">
        <v>2858</v>
      </c>
      <c r="C1237">
        <v>49000</v>
      </c>
      <c r="D1237" t="s">
        <v>224</v>
      </c>
      <c r="E1237">
        <v>49975.573163729154</v>
      </c>
      <c r="F1237" s="3">
        <f>(tblSalaries[[#This Row],[clean Salary (in local currency)]])*(VLOOKUP(tblSalaries[[#This Row],[Currency]],Sheet3!$A$2:$C$31,3,FALSE))*(VLOOKUP(tblSalaries[[#This Row],[Currency]],Sheet1!$N$4:$Q$186,4,FALSE))</f>
        <v>30708.988851731941</v>
      </c>
      <c r="G1237" s="4">
        <f>IF(Dashboard!$J$5=VLOOKUP(tblSalaries[[#This Row],[Currency]],Sheet3!$A$2:$B$31,2,FALSE),tblSalaries[[#This Row],[clean Salary (in local currency)]],(tblSalaries[[#This Row],[PPP Adjusted  USD]]/VLOOKUP(Dashboard!$J$5,Sheet3!$B$2:$C$31,2,FALSE)))</f>
        <v>30708.988851731941</v>
      </c>
      <c r="H1237" t="s">
        <v>2859</v>
      </c>
      <c r="I1237" t="s">
        <v>608</v>
      </c>
      <c r="J1237" t="s">
        <v>703</v>
      </c>
      <c r="K1237" t="s">
        <v>605</v>
      </c>
      <c r="L1237">
        <v>30</v>
      </c>
    </row>
    <row r="1238" spans="2:12" ht="15" customHeight="1">
      <c r="B1238" t="s">
        <v>1860</v>
      </c>
      <c r="C1238">
        <v>648000</v>
      </c>
      <c r="D1238" t="s">
        <v>247</v>
      </c>
      <c r="E1238">
        <v>11539.530013462785</v>
      </c>
      <c r="F1238" s="3">
        <f>(tblSalaries[[#This Row],[clean Salary (in local currency)]])*(VLOOKUP(tblSalaries[[#This Row],[Currency]],Sheet3!$A$2:$C$31,3,FALSE))*(VLOOKUP(tblSalaries[[#This Row],[Currency]],Sheet1!$N$4:$Q$186,4,FALSE))</f>
        <v>30689.942481956601</v>
      </c>
      <c r="G1238" s="4">
        <f>IF(Dashboard!$J$5=VLOOKUP(tblSalaries[[#This Row],[Currency]],Sheet3!$A$2:$B$31,2,FALSE),tblSalaries[[#This Row],[clean Salary (in local currency)]],(tblSalaries[[#This Row],[PPP Adjusted  USD]]/VLOOKUP(Dashboard!$J$5,Sheet3!$B$2:$C$31,2,FALSE)))</f>
        <v>30689.942481956601</v>
      </c>
      <c r="H1238" t="s">
        <v>1861</v>
      </c>
      <c r="I1238" t="s">
        <v>603</v>
      </c>
      <c r="J1238" t="s">
        <v>604</v>
      </c>
      <c r="K1238" t="s">
        <v>610</v>
      </c>
      <c r="L1238">
        <v>2</v>
      </c>
    </row>
    <row r="1239" spans="2:12" ht="15" customHeight="1">
      <c r="B1239" t="s">
        <v>3084</v>
      </c>
      <c r="C1239">
        <v>60000</v>
      </c>
      <c r="D1239" t="s">
        <v>420</v>
      </c>
      <c r="E1239">
        <v>19008.034062397041</v>
      </c>
      <c r="F1239" s="3">
        <f>(tblSalaries[[#This Row],[clean Salary (in local currency)]])*(VLOOKUP(tblSalaries[[#This Row],[Currency]],Sheet3!$A$2:$C$31,3,FALSE))*(VLOOKUP(tblSalaries[[#This Row],[Currency]],Sheet1!$N$4:$Q$186,4,FALSE))</f>
        <v>30507.73097242316</v>
      </c>
      <c r="G1239" s="4">
        <f>IF(Dashboard!$J$5=VLOOKUP(tblSalaries[[#This Row],[Currency]],Sheet3!$A$2:$B$31,2,FALSE),tblSalaries[[#This Row],[clean Salary (in local currency)]],(tblSalaries[[#This Row],[PPP Adjusted  USD]]/VLOOKUP(Dashboard!$J$5,Sheet3!$B$2:$C$31,2,FALSE)))</f>
        <v>30507.73097242316</v>
      </c>
      <c r="H1239" t="s">
        <v>3085</v>
      </c>
      <c r="I1239" t="s">
        <v>625</v>
      </c>
      <c r="J1239" t="s">
        <v>2345</v>
      </c>
      <c r="K1239" t="s">
        <v>605</v>
      </c>
      <c r="L1239">
        <v>3</v>
      </c>
    </row>
    <row r="1240" spans="2:12" ht="15" customHeight="1">
      <c r="B1240" t="s">
        <v>3448</v>
      </c>
      <c r="C1240">
        <v>30500</v>
      </c>
      <c r="D1240" t="s">
        <v>252</v>
      </c>
      <c r="E1240">
        <v>30500</v>
      </c>
      <c r="F1240" s="3">
        <f>(tblSalaries[[#This Row],[clean Salary (in local currency)]])*(VLOOKUP(tblSalaries[[#This Row],[Currency]],Sheet3!$A$2:$C$31,3,FALSE))*(VLOOKUP(tblSalaries[[#This Row],[Currency]],Sheet1!$N$4:$Q$186,4,FALSE))</f>
        <v>30500</v>
      </c>
      <c r="G1240" s="4">
        <f>IF(Dashboard!$J$5=VLOOKUP(tblSalaries[[#This Row],[Currency]],Sheet3!$A$2:$B$31,2,FALSE),tblSalaries[[#This Row],[clean Salary (in local currency)]],(tblSalaries[[#This Row],[PPP Adjusted  USD]]/VLOOKUP(Dashboard!$J$5,Sheet3!$B$2:$C$31,2,FALSE)))</f>
        <v>30500</v>
      </c>
      <c r="H1240" t="s">
        <v>612</v>
      </c>
      <c r="I1240" t="s">
        <v>603</v>
      </c>
      <c r="J1240" t="s">
        <v>795</v>
      </c>
      <c r="K1240" t="s">
        <v>610</v>
      </c>
      <c r="L1240">
        <v>8</v>
      </c>
    </row>
    <row r="1241" spans="2:12" ht="15" customHeight="1">
      <c r="B1241" t="s">
        <v>3340</v>
      </c>
      <c r="C1241">
        <v>27600</v>
      </c>
      <c r="D1241" t="s">
        <v>200</v>
      </c>
      <c r="E1241">
        <v>35063.024516168378</v>
      </c>
      <c r="F1241" s="3">
        <f>(tblSalaries[[#This Row],[clean Salary (in local currency)]])*(VLOOKUP(tblSalaries[[#This Row],[Currency]],Sheet3!$A$2:$C$31,3,FALSE))*(VLOOKUP(tblSalaries[[#This Row],[Currency]],Sheet1!$N$4:$Q$186,4,FALSE))</f>
        <v>30378.019653049443</v>
      </c>
      <c r="G1241" s="4">
        <f>IF(Dashboard!$J$5=VLOOKUP(tblSalaries[[#This Row],[Currency]],Sheet3!$A$2:$B$31,2,FALSE),tblSalaries[[#This Row],[clean Salary (in local currency)]],(tblSalaries[[#This Row],[PPP Adjusted  USD]]/VLOOKUP(Dashboard!$J$5,Sheet3!$B$2:$C$31,2,FALSE)))</f>
        <v>30378.019653049443</v>
      </c>
      <c r="H1241" t="s">
        <v>1196</v>
      </c>
      <c r="I1241" t="s">
        <v>608</v>
      </c>
      <c r="J1241" t="s">
        <v>644</v>
      </c>
      <c r="K1241" t="s">
        <v>610</v>
      </c>
      <c r="L1241">
        <v>15</v>
      </c>
    </row>
    <row r="1242" spans="2:12" ht="15" customHeight="1">
      <c r="B1242" t="s">
        <v>2387</v>
      </c>
      <c r="C1242">
        <v>640000</v>
      </c>
      <c r="D1242" t="s">
        <v>247</v>
      </c>
      <c r="E1242">
        <v>11397.066679963244</v>
      </c>
      <c r="F1242" s="3">
        <f>(tblSalaries[[#This Row],[clean Salary (in local currency)]])*(VLOOKUP(tblSalaries[[#This Row],[Currency]],Sheet3!$A$2:$C$31,3,FALSE))*(VLOOKUP(tblSalaries[[#This Row],[Currency]],Sheet1!$N$4:$Q$186,4,FALSE))</f>
        <v>30311.054303167009</v>
      </c>
      <c r="G1242" s="4">
        <f>IF(Dashboard!$J$5=VLOOKUP(tblSalaries[[#This Row],[Currency]],Sheet3!$A$2:$B$31,2,FALSE),tblSalaries[[#This Row],[clean Salary (in local currency)]],(tblSalaries[[#This Row],[PPP Adjusted  USD]]/VLOOKUP(Dashboard!$J$5,Sheet3!$B$2:$C$31,2,FALSE)))</f>
        <v>30311.054303167009</v>
      </c>
      <c r="H1242" t="s">
        <v>2388</v>
      </c>
      <c r="I1242" t="s">
        <v>603</v>
      </c>
      <c r="J1242" t="s">
        <v>604</v>
      </c>
      <c r="K1242" t="s">
        <v>610</v>
      </c>
      <c r="L1242">
        <v>6</v>
      </c>
    </row>
    <row r="1243" spans="2:12" ht="15" customHeight="1">
      <c r="B1243" t="s">
        <v>1991</v>
      </c>
      <c r="C1243">
        <v>30232</v>
      </c>
      <c r="D1243" t="s">
        <v>252</v>
      </c>
      <c r="E1243">
        <v>30232</v>
      </c>
      <c r="F1243" s="3">
        <f>(tblSalaries[[#This Row],[clean Salary (in local currency)]])*(VLOOKUP(tblSalaries[[#This Row],[Currency]],Sheet3!$A$2:$C$31,3,FALSE))*(VLOOKUP(tblSalaries[[#This Row],[Currency]],Sheet1!$N$4:$Q$186,4,FALSE))</f>
        <v>30232</v>
      </c>
      <c r="G1243" s="4">
        <f>IF(Dashboard!$J$5=VLOOKUP(tblSalaries[[#This Row],[Currency]],Sheet3!$A$2:$B$31,2,FALSE),tblSalaries[[#This Row],[clean Salary (in local currency)]],(tblSalaries[[#This Row],[PPP Adjusted  USD]]/VLOOKUP(Dashboard!$J$5,Sheet3!$B$2:$C$31,2,FALSE)))</f>
        <v>30232</v>
      </c>
      <c r="H1243" t="s">
        <v>1992</v>
      </c>
      <c r="I1243" t="s">
        <v>637</v>
      </c>
      <c r="J1243" t="s">
        <v>613</v>
      </c>
      <c r="K1243" t="s">
        <v>617</v>
      </c>
      <c r="L1243">
        <v>5</v>
      </c>
    </row>
    <row r="1244" spans="2:12" ht="15" customHeight="1">
      <c r="B1244" t="s">
        <v>3759</v>
      </c>
      <c r="C1244">
        <v>20500</v>
      </c>
      <c r="D1244" t="s">
        <v>204</v>
      </c>
      <c r="E1244">
        <v>32311.654577379326</v>
      </c>
      <c r="F1244" s="3">
        <f>(tblSalaries[[#This Row],[clean Salary (in local currency)]])*(VLOOKUP(tblSalaries[[#This Row],[Currency]],Sheet3!$A$2:$C$31,3,FALSE))*(VLOOKUP(tblSalaries[[#This Row],[Currency]],Sheet1!$N$4:$Q$186,4,FALSE))</f>
        <v>30216.409702098765</v>
      </c>
      <c r="G1244" s="4">
        <f>IF(Dashboard!$J$5=VLOOKUP(tblSalaries[[#This Row],[Currency]],Sheet3!$A$2:$B$31,2,FALSE),tblSalaries[[#This Row],[clean Salary (in local currency)]],(tblSalaries[[#This Row],[PPP Adjusted  USD]]/VLOOKUP(Dashboard!$J$5,Sheet3!$B$2:$C$31,2,FALSE)))</f>
        <v>30216.409702098765</v>
      </c>
      <c r="H1244" t="s">
        <v>987</v>
      </c>
      <c r="I1244" t="s">
        <v>603</v>
      </c>
      <c r="J1244" t="s">
        <v>687</v>
      </c>
      <c r="K1244" t="s">
        <v>605</v>
      </c>
      <c r="L1244">
        <v>20</v>
      </c>
    </row>
    <row r="1245" spans="2:12" ht="15" customHeight="1">
      <c r="B1245" t="s">
        <v>1893</v>
      </c>
      <c r="C1245">
        <v>636000</v>
      </c>
      <c r="D1245" t="s">
        <v>247</v>
      </c>
      <c r="E1245">
        <v>11325.835013213473</v>
      </c>
      <c r="F1245" s="3">
        <f>(tblSalaries[[#This Row],[clean Salary (in local currency)]])*(VLOOKUP(tblSalaries[[#This Row],[Currency]],Sheet3!$A$2:$C$31,3,FALSE))*(VLOOKUP(tblSalaries[[#This Row],[Currency]],Sheet1!$N$4:$Q$186,4,FALSE))</f>
        <v>30121.610213772216</v>
      </c>
      <c r="G1245" s="4">
        <f>IF(Dashboard!$J$5=VLOOKUP(tblSalaries[[#This Row],[Currency]],Sheet3!$A$2:$B$31,2,FALSE),tblSalaries[[#This Row],[clean Salary (in local currency)]],(tblSalaries[[#This Row],[PPP Adjusted  USD]]/VLOOKUP(Dashboard!$J$5,Sheet3!$B$2:$C$31,2,FALSE)))</f>
        <v>30121.610213772216</v>
      </c>
      <c r="H1245" t="s">
        <v>1894</v>
      </c>
      <c r="I1245" t="s">
        <v>625</v>
      </c>
      <c r="J1245" t="s">
        <v>604</v>
      </c>
      <c r="K1245" t="s">
        <v>605</v>
      </c>
      <c r="L1245">
        <v>2</v>
      </c>
    </row>
    <row r="1246" spans="2:12" ht="15" customHeight="1">
      <c r="B1246" t="s">
        <v>2015</v>
      </c>
      <c r="C1246">
        <v>636000</v>
      </c>
      <c r="D1246" t="s">
        <v>247</v>
      </c>
      <c r="E1246">
        <v>11325.835013213473</v>
      </c>
      <c r="F1246" s="3">
        <f>(tblSalaries[[#This Row],[clean Salary (in local currency)]])*(VLOOKUP(tblSalaries[[#This Row],[Currency]],Sheet3!$A$2:$C$31,3,FALSE))*(VLOOKUP(tblSalaries[[#This Row],[Currency]],Sheet1!$N$4:$Q$186,4,FALSE))</f>
        <v>30121.610213772216</v>
      </c>
      <c r="G1246" s="4">
        <f>IF(Dashboard!$J$5=VLOOKUP(tblSalaries[[#This Row],[Currency]],Sheet3!$A$2:$B$31,2,FALSE),tblSalaries[[#This Row],[clean Salary (in local currency)]],(tblSalaries[[#This Row],[PPP Adjusted  USD]]/VLOOKUP(Dashboard!$J$5,Sheet3!$B$2:$C$31,2,FALSE)))</f>
        <v>30121.610213772216</v>
      </c>
      <c r="H1246" t="s">
        <v>1487</v>
      </c>
      <c r="I1246" t="s">
        <v>625</v>
      </c>
      <c r="J1246" t="s">
        <v>604</v>
      </c>
      <c r="K1246" t="s">
        <v>605</v>
      </c>
      <c r="L1246">
        <v>7</v>
      </c>
    </row>
    <row r="1247" spans="2:12" ht="15" customHeight="1">
      <c r="B1247" t="s">
        <v>3105</v>
      </c>
      <c r="C1247">
        <v>50000</v>
      </c>
      <c r="D1247" t="s">
        <v>295</v>
      </c>
      <c r="E1247">
        <v>39879.404680246938</v>
      </c>
      <c r="F1247" s="3">
        <f>(tblSalaries[[#This Row],[clean Salary (in local currency)]])*(VLOOKUP(tblSalaries[[#This Row],[Currency]],Sheet3!$A$2:$C$31,3,FALSE))*(VLOOKUP(tblSalaries[[#This Row],[Currency]],Sheet1!$N$4:$Q$186,4,FALSE))</f>
        <v>30107.840520561589</v>
      </c>
      <c r="G1247" s="4">
        <f>IF(Dashboard!$J$5=VLOOKUP(tblSalaries[[#This Row],[Currency]],Sheet3!$A$2:$B$31,2,FALSE),tblSalaries[[#This Row],[clean Salary (in local currency)]],(tblSalaries[[#This Row],[PPP Adjusted  USD]]/VLOOKUP(Dashboard!$J$5,Sheet3!$B$2:$C$31,2,FALSE)))</f>
        <v>30107.840520561589</v>
      </c>
      <c r="H1247" t="s">
        <v>3106</v>
      </c>
      <c r="I1247" t="s">
        <v>620</v>
      </c>
      <c r="J1247" t="s">
        <v>1604</v>
      </c>
      <c r="K1247" t="s">
        <v>605</v>
      </c>
      <c r="L1247">
        <v>5</v>
      </c>
    </row>
    <row r="1248" spans="2:12" ht="15" customHeight="1">
      <c r="B1248" t="s">
        <v>2807</v>
      </c>
      <c r="C1248">
        <v>48000</v>
      </c>
      <c r="D1248" t="s">
        <v>224</v>
      </c>
      <c r="E1248">
        <v>48955.663507326513</v>
      </c>
      <c r="F1248" s="3">
        <f>(tblSalaries[[#This Row],[clean Salary (in local currency)]])*(VLOOKUP(tblSalaries[[#This Row],[Currency]],Sheet3!$A$2:$C$31,3,FALSE))*(VLOOKUP(tblSalaries[[#This Row],[Currency]],Sheet1!$N$4:$Q$186,4,FALSE))</f>
        <v>30082.274793533328</v>
      </c>
      <c r="G1248" s="4">
        <f>IF(Dashboard!$J$5=VLOOKUP(tblSalaries[[#This Row],[Currency]],Sheet3!$A$2:$B$31,2,FALSE),tblSalaries[[#This Row],[clean Salary (in local currency)]],(tblSalaries[[#This Row],[PPP Adjusted  USD]]/VLOOKUP(Dashboard!$J$5,Sheet3!$B$2:$C$31,2,FALSE)))</f>
        <v>30082.274793533328</v>
      </c>
      <c r="H1248" t="s">
        <v>1609</v>
      </c>
      <c r="I1248" t="s">
        <v>603</v>
      </c>
      <c r="J1248" t="s">
        <v>703</v>
      </c>
      <c r="K1248" t="s">
        <v>627</v>
      </c>
      <c r="L1248">
        <v>2</v>
      </c>
    </row>
    <row r="1249" spans="2:12" ht="15" customHeight="1">
      <c r="B1249" t="s">
        <v>697</v>
      </c>
      <c r="C1249">
        <v>30000</v>
      </c>
      <c r="D1249" t="s">
        <v>252</v>
      </c>
      <c r="E1249">
        <v>30000</v>
      </c>
      <c r="F1249" s="3">
        <f>(tblSalaries[[#This Row],[clean Salary (in local currency)]])*(VLOOKUP(tblSalaries[[#This Row],[Currency]],Sheet3!$A$2:$C$31,3,FALSE))*(VLOOKUP(tblSalaries[[#This Row],[Currency]],Sheet1!$N$4:$Q$186,4,FALSE))</f>
        <v>30000</v>
      </c>
      <c r="G1249" s="4">
        <f>IF(Dashboard!$J$5=VLOOKUP(tblSalaries[[#This Row],[Currency]],Sheet3!$A$2:$B$31,2,FALSE),tblSalaries[[#This Row],[clean Salary (in local currency)]],(tblSalaries[[#This Row],[PPP Adjusted  USD]]/VLOOKUP(Dashboard!$J$5,Sheet3!$B$2:$C$31,2,FALSE)))</f>
        <v>30000</v>
      </c>
      <c r="H1249" t="s">
        <v>698</v>
      </c>
      <c r="I1249" t="s">
        <v>692</v>
      </c>
      <c r="J1249" t="s">
        <v>613</v>
      </c>
      <c r="K1249" t="s">
        <v>617</v>
      </c>
      <c r="L1249" t="s">
        <v>3847</v>
      </c>
    </row>
    <row r="1250" spans="2:12" ht="15" customHeight="1">
      <c r="B1250" t="s">
        <v>1369</v>
      </c>
      <c r="C1250">
        <v>30000</v>
      </c>
      <c r="D1250" t="s">
        <v>252</v>
      </c>
      <c r="E1250">
        <v>30000</v>
      </c>
      <c r="F1250" s="3">
        <f>(tblSalaries[[#This Row],[clean Salary (in local currency)]])*(VLOOKUP(tblSalaries[[#This Row],[Currency]],Sheet3!$A$2:$C$31,3,FALSE))*(VLOOKUP(tblSalaries[[#This Row],[Currency]],Sheet1!$N$4:$Q$186,4,FALSE))</f>
        <v>30000</v>
      </c>
      <c r="G1250" s="4">
        <f>IF(Dashboard!$J$5=VLOOKUP(tblSalaries[[#This Row],[Currency]],Sheet3!$A$2:$B$31,2,FALSE),tblSalaries[[#This Row],[clean Salary (in local currency)]],(tblSalaries[[#This Row],[PPP Adjusted  USD]]/VLOOKUP(Dashboard!$J$5,Sheet3!$B$2:$C$31,2,FALSE)))</f>
        <v>30000</v>
      </c>
      <c r="H1250" t="s">
        <v>1313</v>
      </c>
      <c r="I1250" t="s">
        <v>633</v>
      </c>
      <c r="J1250" t="s">
        <v>604</v>
      </c>
      <c r="K1250" t="s">
        <v>617</v>
      </c>
      <c r="L1250" t="s">
        <v>3847</v>
      </c>
    </row>
    <row r="1251" spans="2:12" ht="15" customHeight="1">
      <c r="B1251" t="s">
        <v>1417</v>
      </c>
      <c r="C1251">
        <v>30000</v>
      </c>
      <c r="D1251" t="s">
        <v>252</v>
      </c>
      <c r="E1251">
        <v>30000</v>
      </c>
      <c r="F1251" s="3">
        <f>(tblSalaries[[#This Row],[clean Salary (in local currency)]])*(VLOOKUP(tblSalaries[[#This Row],[Currency]],Sheet3!$A$2:$C$31,3,FALSE))*(VLOOKUP(tblSalaries[[#This Row],[Currency]],Sheet1!$N$4:$Q$186,4,FALSE))</f>
        <v>30000</v>
      </c>
      <c r="G1251" s="4">
        <f>IF(Dashboard!$J$5=VLOOKUP(tblSalaries[[#This Row],[Currency]],Sheet3!$A$2:$B$31,2,FALSE),tblSalaries[[#This Row],[clean Salary (in local currency)]],(tblSalaries[[#This Row],[PPP Adjusted  USD]]/VLOOKUP(Dashboard!$J$5,Sheet3!$B$2:$C$31,2,FALSE)))</f>
        <v>30000</v>
      </c>
      <c r="H1251" t="s">
        <v>1418</v>
      </c>
      <c r="I1251" t="s">
        <v>625</v>
      </c>
      <c r="J1251" t="s">
        <v>613</v>
      </c>
      <c r="K1251" t="s">
        <v>617</v>
      </c>
      <c r="L1251" t="s">
        <v>3847</v>
      </c>
    </row>
    <row r="1252" spans="2:12" ht="15" customHeight="1">
      <c r="B1252" t="s">
        <v>1419</v>
      </c>
      <c r="C1252">
        <v>30000</v>
      </c>
      <c r="D1252" t="s">
        <v>252</v>
      </c>
      <c r="E1252">
        <v>30000</v>
      </c>
      <c r="F1252" s="3">
        <f>(tblSalaries[[#This Row],[clean Salary (in local currency)]])*(VLOOKUP(tblSalaries[[#This Row],[Currency]],Sheet3!$A$2:$C$31,3,FALSE))*(VLOOKUP(tblSalaries[[#This Row],[Currency]],Sheet1!$N$4:$Q$186,4,FALSE))</f>
        <v>30000</v>
      </c>
      <c r="G1252" s="4">
        <f>IF(Dashboard!$J$5=VLOOKUP(tblSalaries[[#This Row],[Currency]],Sheet3!$A$2:$B$31,2,FALSE),tblSalaries[[#This Row],[clean Salary (in local currency)]],(tblSalaries[[#This Row],[PPP Adjusted  USD]]/VLOOKUP(Dashboard!$J$5,Sheet3!$B$2:$C$31,2,FALSE)))</f>
        <v>30000</v>
      </c>
      <c r="H1252" t="s">
        <v>1420</v>
      </c>
      <c r="I1252" t="s">
        <v>658</v>
      </c>
      <c r="J1252" t="s">
        <v>1385</v>
      </c>
      <c r="K1252" t="s">
        <v>627</v>
      </c>
      <c r="L1252" t="s">
        <v>3847</v>
      </c>
    </row>
    <row r="1253" spans="2:12" ht="15" customHeight="1">
      <c r="B1253" t="s">
        <v>1507</v>
      </c>
      <c r="C1253">
        <v>30000</v>
      </c>
      <c r="D1253" t="s">
        <v>252</v>
      </c>
      <c r="E1253">
        <v>30000</v>
      </c>
      <c r="F1253" s="3">
        <f>(tblSalaries[[#This Row],[clean Salary (in local currency)]])*(VLOOKUP(tblSalaries[[#This Row],[Currency]],Sheet3!$A$2:$C$31,3,FALSE))*(VLOOKUP(tblSalaries[[#This Row],[Currency]],Sheet1!$N$4:$Q$186,4,FALSE))</f>
        <v>30000</v>
      </c>
      <c r="G1253" s="4">
        <f>IF(Dashboard!$J$5=VLOOKUP(tblSalaries[[#This Row],[Currency]],Sheet3!$A$2:$B$31,2,FALSE),tblSalaries[[#This Row],[clean Salary (in local currency)]],(tblSalaries[[#This Row],[PPP Adjusted  USD]]/VLOOKUP(Dashboard!$J$5,Sheet3!$B$2:$C$31,2,FALSE)))</f>
        <v>30000</v>
      </c>
      <c r="H1253" t="s">
        <v>1508</v>
      </c>
      <c r="I1253" t="s">
        <v>603</v>
      </c>
      <c r="J1253" t="s">
        <v>613</v>
      </c>
      <c r="K1253" t="s">
        <v>862</v>
      </c>
      <c r="L1253" t="s">
        <v>3847</v>
      </c>
    </row>
    <row r="1254" spans="2:12" ht="15" customHeight="1">
      <c r="B1254" t="s">
        <v>1730</v>
      </c>
      <c r="C1254">
        <v>30000</v>
      </c>
      <c r="D1254" t="s">
        <v>252</v>
      </c>
      <c r="E1254">
        <v>30000</v>
      </c>
      <c r="F1254" s="3">
        <f>(tblSalaries[[#This Row],[clean Salary (in local currency)]])*(VLOOKUP(tblSalaries[[#This Row],[Currency]],Sheet3!$A$2:$C$31,3,FALSE))*(VLOOKUP(tblSalaries[[#This Row],[Currency]],Sheet1!$N$4:$Q$186,4,FALSE))</f>
        <v>30000</v>
      </c>
      <c r="G1254" s="4">
        <f>IF(Dashboard!$J$5=VLOOKUP(tblSalaries[[#This Row],[Currency]],Sheet3!$A$2:$B$31,2,FALSE),tblSalaries[[#This Row],[clean Salary (in local currency)]],(tblSalaries[[#This Row],[PPP Adjusted  USD]]/VLOOKUP(Dashboard!$J$5,Sheet3!$B$2:$C$31,2,FALSE)))</f>
        <v>30000</v>
      </c>
      <c r="H1254" t="s">
        <v>1731</v>
      </c>
      <c r="I1254" t="s">
        <v>603</v>
      </c>
      <c r="J1254" t="s">
        <v>613</v>
      </c>
      <c r="K1254" t="s">
        <v>617</v>
      </c>
      <c r="L1254">
        <v>8</v>
      </c>
    </row>
    <row r="1255" spans="2:12" ht="15" customHeight="1">
      <c r="B1255" t="s">
        <v>2091</v>
      </c>
      <c r="C1255">
        <v>30000</v>
      </c>
      <c r="D1255" t="s">
        <v>252</v>
      </c>
      <c r="E1255">
        <v>30000</v>
      </c>
      <c r="F1255" s="3">
        <f>(tblSalaries[[#This Row],[clean Salary (in local currency)]])*(VLOOKUP(tblSalaries[[#This Row],[Currency]],Sheet3!$A$2:$C$31,3,FALSE))*(VLOOKUP(tblSalaries[[#This Row],[Currency]],Sheet1!$N$4:$Q$186,4,FALSE))</f>
        <v>30000</v>
      </c>
      <c r="G1255" s="4">
        <f>IF(Dashboard!$J$5=VLOOKUP(tblSalaries[[#This Row],[Currency]],Sheet3!$A$2:$B$31,2,FALSE),tblSalaries[[#This Row],[clean Salary (in local currency)]],(tblSalaries[[#This Row],[PPP Adjusted  USD]]/VLOOKUP(Dashboard!$J$5,Sheet3!$B$2:$C$31,2,FALSE)))</f>
        <v>30000</v>
      </c>
      <c r="H1255" t="s">
        <v>2092</v>
      </c>
      <c r="I1255" t="s">
        <v>608</v>
      </c>
      <c r="J1255" t="s">
        <v>1758</v>
      </c>
      <c r="K1255" t="s">
        <v>605</v>
      </c>
      <c r="L1255">
        <v>7</v>
      </c>
    </row>
    <row r="1256" spans="2:12" ht="15" customHeight="1">
      <c r="B1256" t="s">
        <v>2115</v>
      </c>
      <c r="C1256">
        <v>30000</v>
      </c>
      <c r="D1256" t="s">
        <v>252</v>
      </c>
      <c r="E1256">
        <v>30000</v>
      </c>
      <c r="F1256" s="3">
        <f>(tblSalaries[[#This Row],[clean Salary (in local currency)]])*(VLOOKUP(tblSalaries[[#This Row],[Currency]],Sheet3!$A$2:$C$31,3,FALSE))*(VLOOKUP(tblSalaries[[#This Row],[Currency]],Sheet1!$N$4:$Q$186,4,FALSE))</f>
        <v>30000</v>
      </c>
      <c r="G1256" s="4">
        <f>IF(Dashboard!$J$5=VLOOKUP(tblSalaries[[#This Row],[Currency]],Sheet3!$A$2:$B$31,2,FALSE),tblSalaries[[#This Row],[clean Salary (in local currency)]],(tblSalaries[[#This Row],[PPP Adjusted  USD]]/VLOOKUP(Dashboard!$J$5,Sheet3!$B$2:$C$31,2,FALSE)))</f>
        <v>30000</v>
      </c>
      <c r="H1256" t="s">
        <v>1747</v>
      </c>
      <c r="I1256" t="s">
        <v>658</v>
      </c>
      <c r="J1256" t="s">
        <v>604</v>
      </c>
      <c r="K1256" t="s">
        <v>605</v>
      </c>
      <c r="L1256">
        <v>2</v>
      </c>
    </row>
    <row r="1257" spans="2:12" ht="15" customHeight="1">
      <c r="B1257" t="s">
        <v>2279</v>
      </c>
      <c r="C1257">
        <v>30000</v>
      </c>
      <c r="D1257" t="s">
        <v>252</v>
      </c>
      <c r="E1257">
        <v>30000</v>
      </c>
      <c r="F1257" s="3">
        <f>(tblSalaries[[#This Row],[clean Salary (in local currency)]])*(VLOOKUP(tblSalaries[[#This Row],[Currency]],Sheet3!$A$2:$C$31,3,FALSE))*(VLOOKUP(tblSalaries[[#This Row],[Currency]],Sheet1!$N$4:$Q$186,4,FALSE))</f>
        <v>30000</v>
      </c>
      <c r="G1257" s="4">
        <f>IF(Dashboard!$J$5=VLOOKUP(tblSalaries[[#This Row],[Currency]],Sheet3!$A$2:$B$31,2,FALSE),tblSalaries[[#This Row],[clean Salary (in local currency)]],(tblSalaries[[#This Row],[PPP Adjusted  USD]]/VLOOKUP(Dashboard!$J$5,Sheet3!$B$2:$C$31,2,FALSE)))</f>
        <v>30000</v>
      </c>
      <c r="H1257" t="s">
        <v>2280</v>
      </c>
      <c r="I1257" t="s">
        <v>637</v>
      </c>
      <c r="J1257" t="s">
        <v>1410</v>
      </c>
      <c r="K1257" t="s">
        <v>617</v>
      </c>
      <c r="L1257">
        <v>30</v>
      </c>
    </row>
    <row r="1258" spans="2:12" ht="15" customHeight="1">
      <c r="B1258" t="s">
        <v>2623</v>
      </c>
      <c r="C1258">
        <v>30000</v>
      </c>
      <c r="D1258" t="s">
        <v>252</v>
      </c>
      <c r="E1258">
        <v>30000</v>
      </c>
      <c r="F1258" s="3">
        <f>(tblSalaries[[#This Row],[clean Salary (in local currency)]])*(VLOOKUP(tblSalaries[[#This Row],[Currency]],Sheet3!$A$2:$C$31,3,FALSE))*(VLOOKUP(tblSalaries[[#This Row],[Currency]],Sheet1!$N$4:$Q$186,4,FALSE))</f>
        <v>30000</v>
      </c>
      <c r="G1258" s="4">
        <f>IF(Dashboard!$J$5=VLOOKUP(tblSalaries[[#This Row],[Currency]],Sheet3!$A$2:$B$31,2,FALSE),tblSalaries[[#This Row],[clean Salary (in local currency)]],(tblSalaries[[#This Row],[PPP Adjusted  USD]]/VLOOKUP(Dashboard!$J$5,Sheet3!$B$2:$C$31,2,FALSE)))</f>
        <v>30000</v>
      </c>
      <c r="H1258" t="s">
        <v>2624</v>
      </c>
      <c r="I1258" t="s">
        <v>625</v>
      </c>
      <c r="J1258" t="s">
        <v>833</v>
      </c>
      <c r="K1258" t="s">
        <v>610</v>
      </c>
      <c r="L1258">
        <v>17</v>
      </c>
    </row>
    <row r="1259" spans="2:12" ht="15" customHeight="1">
      <c r="B1259" t="s">
        <v>2805</v>
      </c>
      <c r="C1259">
        <v>30000</v>
      </c>
      <c r="D1259" t="s">
        <v>252</v>
      </c>
      <c r="E1259">
        <v>30000</v>
      </c>
      <c r="F1259" s="3">
        <f>(tblSalaries[[#This Row],[clean Salary (in local currency)]])*(VLOOKUP(tblSalaries[[#This Row],[Currency]],Sheet3!$A$2:$C$31,3,FALSE))*(VLOOKUP(tblSalaries[[#This Row],[Currency]],Sheet1!$N$4:$Q$186,4,FALSE))</f>
        <v>30000</v>
      </c>
      <c r="G1259" s="4">
        <f>IF(Dashboard!$J$5=VLOOKUP(tblSalaries[[#This Row],[Currency]],Sheet3!$A$2:$B$31,2,FALSE),tblSalaries[[#This Row],[clean Salary (in local currency)]],(tblSalaries[[#This Row],[PPP Adjusted  USD]]/VLOOKUP(Dashboard!$J$5,Sheet3!$B$2:$C$31,2,FALSE)))</f>
        <v>30000</v>
      </c>
      <c r="H1259" t="s">
        <v>2806</v>
      </c>
      <c r="I1259" t="s">
        <v>625</v>
      </c>
      <c r="J1259" t="s">
        <v>604</v>
      </c>
      <c r="K1259" t="s">
        <v>617</v>
      </c>
      <c r="L1259">
        <v>3</v>
      </c>
    </row>
    <row r="1260" spans="2:12" ht="15" customHeight="1">
      <c r="B1260" t="s">
        <v>3093</v>
      </c>
      <c r="C1260">
        <v>30000</v>
      </c>
      <c r="D1260" t="s">
        <v>252</v>
      </c>
      <c r="E1260">
        <v>30000</v>
      </c>
      <c r="F1260" s="3">
        <f>(tblSalaries[[#This Row],[clean Salary (in local currency)]])*(VLOOKUP(tblSalaries[[#This Row],[Currency]],Sheet3!$A$2:$C$31,3,FALSE))*(VLOOKUP(tblSalaries[[#This Row],[Currency]],Sheet1!$N$4:$Q$186,4,FALSE))</f>
        <v>30000</v>
      </c>
      <c r="G1260" s="4">
        <f>IF(Dashboard!$J$5=VLOOKUP(tblSalaries[[#This Row],[Currency]],Sheet3!$A$2:$B$31,2,FALSE),tblSalaries[[#This Row],[clean Salary (in local currency)]],(tblSalaries[[#This Row],[PPP Adjusted  USD]]/VLOOKUP(Dashboard!$J$5,Sheet3!$B$2:$C$31,2,FALSE)))</f>
        <v>30000</v>
      </c>
      <c r="H1260" t="s">
        <v>3094</v>
      </c>
      <c r="I1260" t="s">
        <v>637</v>
      </c>
      <c r="J1260" t="s">
        <v>770</v>
      </c>
      <c r="K1260" t="s">
        <v>605</v>
      </c>
      <c r="L1260">
        <v>8</v>
      </c>
    </row>
    <row r="1261" spans="2:12" ht="15" customHeight="1">
      <c r="B1261" t="s">
        <v>3238</v>
      </c>
      <c r="C1261">
        <v>30000</v>
      </c>
      <c r="D1261" t="s">
        <v>252</v>
      </c>
      <c r="E1261">
        <v>30000</v>
      </c>
      <c r="F1261" s="3">
        <f>(tblSalaries[[#This Row],[clean Salary (in local currency)]])*(VLOOKUP(tblSalaries[[#This Row],[Currency]],Sheet3!$A$2:$C$31,3,FALSE))*(VLOOKUP(tblSalaries[[#This Row],[Currency]],Sheet1!$N$4:$Q$186,4,FALSE))</f>
        <v>30000</v>
      </c>
      <c r="G1261" s="4">
        <f>IF(Dashboard!$J$5=VLOOKUP(tblSalaries[[#This Row],[Currency]],Sheet3!$A$2:$B$31,2,FALSE),tblSalaries[[#This Row],[clean Salary (in local currency)]],(tblSalaries[[#This Row],[PPP Adjusted  USD]]/VLOOKUP(Dashboard!$J$5,Sheet3!$B$2:$C$31,2,FALSE)))</f>
        <v>30000</v>
      </c>
      <c r="H1261" t="s">
        <v>3239</v>
      </c>
      <c r="I1261" t="s">
        <v>625</v>
      </c>
      <c r="J1261" t="s">
        <v>616</v>
      </c>
      <c r="K1261" t="s">
        <v>605</v>
      </c>
      <c r="L1261">
        <v>5</v>
      </c>
    </row>
    <row r="1262" spans="2:12" ht="15" customHeight="1">
      <c r="B1262" t="s">
        <v>3278</v>
      </c>
      <c r="C1262">
        <v>30000</v>
      </c>
      <c r="D1262" t="s">
        <v>252</v>
      </c>
      <c r="E1262">
        <v>30000</v>
      </c>
      <c r="F1262" s="3">
        <f>(tblSalaries[[#This Row],[clean Salary (in local currency)]])*(VLOOKUP(tblSalaries[[#This Row],[Currency]],Sheet3!$A$2:$C$31,3,FALSE))*(VLOOKUP(tblSalaries[[#This Row],[Currency]],Sheet1!$N$4:$Q$186,4,FALSE))</f>
        <v>30000</v>
      </c>
      <c r="G1262" s="4">
        <f>IF(Dashboard!$J$5=VLOOKUP(tblSalaries[[#This Row],[Currency]],Sheet3!$A$2:$B$31,2,FALSE),tblSalaries[[#This Row],[clean Salary (in local currency)]],(tblSalaries[[#This Row],[PPP Adjusted  USD]]/VLOOKUP(Dashboard!$J$5,Sheet3!$B$2:$C$31,2,FALSE)))</f>
        <v>30000</v>
      </c>
      <c r="H1262" t="s">
        <v>3279</v>
      </c>
      <c r="I1262" t="s">
        <v>603</v>
      </c>
      <c r="J1262" t="s">
        <v>604</v>
      </c>
      <c r="K1262" t="s">
        <v>610</v>
      </c>
      <c r="L1262">
        <v>4</v>
      </c>
    </row>
    <row r="1263" spans="2:12" ht="15" customHeight="1">
      <c r="B1263" t="s">
        <v>3551</v>
      </c>
      <c r="C1263">
        <v>30000</v>
      </c>
      <c r="D1263" t="s">
        <v>252</v>
      </c>
      <c r="E1263">
        <v>30000</v>
      </c>
      <c r="F1263" s="3">
        <f>(tblSalaries[[#This Row],[clean Salary (in local currency)]])*(VLOOKUP(tblSalaries[[#This Row],[Currency]],Sheet3!$A$2:$C$31,3,FALSE))*(VLOOKUP(tblSalaries[[#This Row],[Currency]],Sheet1!$N$4:$Q$186,4,FALSE))</f>
        <v>30000</v>
      </c>
      <c r="G1263" s="4">
        <f>IF(Dashboard!$J$5=VLOOKUP(tblSalaries[[#This Row],[Currency]],Sheet3!$A$2:$B$31,2,FALSE),tblSalaries[[#This Row],[clean Salary (in local currency)]],(tblSalaries[[#This Row],[PPP Adjusted  USD]]/VLOOKUP(Dashboard!$J$5,Sheet3!$B$2:$C$31,2,FALSE)))</f>
        <v>30000</v>
      </c>
      <c r="H1263" t="s">
        <v>2555</v>
      </c>
      <c r="I1263" t="s">
        <v>625</v>
      </c>
      <c r="J1263" t="s">
        <v>613</v>
      </c>
      <c r="K1263" t="s">
        <v>605</v>
      </c>
      <c r="L1263">
        <v>1</v>
      </c>
    </row>
    <row r="1264" spans="2:12" ht="15" customHeight="1">
      <c r="B1264" t="s">
        <v>3572</v>
      </c>
      <c r="C1264">
        <v>30000</v>
      </c>
      <c r="D1264" t="s">
        <v>252</v>
      </c>
      <c r="E1264">
        <v>30000</v>
      </c>
      <c r="F1264" s="3">
        <f>(tblSalaries[[#This Row],[clean Salary (in local currency)]])*(VLOOKUP(tblSalaries[[#This Row],[Currency]],Sheet3!$A$2:$C$31,3,FALSE))*(VLOOKUP(tblSalaries[[#This Row],[Currency]],Sheet1!$N$4:$Q$186,4,FALSE))</f>
        <v>30000</v>
      </c>
      <c r="G1264" s="4">
        <f>IF(Dashboard!$J$5=VLOOKUP(tblSalaries[[#This Row],[Currency]],Sheet3!$A$2:$B$31,2,FALSE),tblSalaries[[#This Row],[clean Salary (in local currency)]],(tblSalaries[[#This Row],[PPP Adjusted  USD]]/VLOOKUP(Dashboard!$J$5,Sheet3!$B$2:$C$31,2,FALSE)))</f>
        <v>30000</v>
      </c>
      <c r="H1264" t="s">
        <v>3573</v>
      </c>
      <c r="I1264" t="s">
        <v>603</v>
      </c>
      <c r="J1264" t="s">
        <v>613</v>
      </c>
      <c r="K1264" t="s">
        <v>617</v>
      </c>
      <c r="L1264">
        <v>4</v>
      </c>
    </row>
    <row r="1265" spans="2:12" ht="15" customHeight="1">
      <c r="B1265" t="s">
        <v>3601</v>
      </c>
      <c r="C1265">
        <v>30000</v>
      </c>
      <c r="D1265" t="s">
        <v>252</v>
      </c>
      <c r="E1265">
        <v>30000</v>
      </c>
      <c r="F1265" s="3">
        <f>(tblSalaries[[#This Row],[clean Salary (in local currency)]])*(VLOOKUP(tblSalaries[[#This Row],[Currency]],Sheet3!$A$2:$C$31,3,FALSE))*(VLOOKUP(tblSalaries[[#This Row],[Currency]],Sheet1!$N$4:$Q$186,4,FALSE))</f>
        <v>30000</v>
      </c>
      <c r="G1265" s="4">
        <f>IF(Dashboard!$J$5=VLOOKUP(tblSalaries[[#This Row],[Currency]],Sheet3!$A$2:$B$31,2,FALSE),tblSalaries[[#This Row],[clean Salary (in local currency)]],(tblSalaries[[#This Row],[PPP Adjusted  USD]]/VLOOKUP(Dashboard!$J$5,Sheet3!$B$2:$C$31,2,FALSE)))</f>
        <v>30000</v>
      </c>
      <c r="H1265" t="s">
        <v>3602</v>
      </c>
      <c r="I1265" t="s">
        <v>603</v>
      </c>
      <c r="J1265" t="s">
        <v>2345</v>
      </c>
      <c r="K1265" t="s">
        <v>627</v>
      </c>
      <c r="L1265">
        <v>12</v>
      </c>
    </row>
    <row r="1266" spans="2:12" ht="15" customHeight="1">
      <c r="B1266" t="s">
        <v>3715</v>
      </c>
      <c r="C1266">
        <v>30000</v>
      </c>
      <c r="D1266" t="s">
        <v>252</v>
      </c>
      <c r="E1266">
        <v>30000</v>
      </c>
      <c r="F1266" s="3">
        <f>(tblSalaries[[#This Row],[clean Salary (in local currency)]])*(VLOOKUP(tblSalaries[[#This Row],[Currency]],Sheet3!$A$2:$C$31,3,FALSE))*(VLOOKUP(tblSalaries[[#This Row],[Currency]],Sheet1!$N$4:$Q$186,4,FALSE))</f>
        <v>30000</v>
      </c>
      <c r="G1266" s="4">
        <f>IF(Dashboard!$J$5=VLOOKUP(tblSalaries[[#This Row],[Currency]],Sheet3!$A$2:$B$31,2,FALSE),tblSalaries[[#This Row],[clean Salary (in local currency)]],(tblSalaries[[#This Row],[PPP Adjusted  USD]]/VLOOKUP(Dashboard!$J$5,Sheet3!$B$2:$C$31,2,FALSE)))</f>
        <v>30000</v>
      </c>
      <c r="H1266" t="s">
        <v>3186</v>
      </c>
      <c r="I1266" t="s">
        <v>603</v>
      </c>
      <c r="J1266" t="s">
        <v>795</v>
      </c>
      <c r="K1266" t="s">
        <v>617</v>
      </c>
      <c r="L1266">
        <v>1</v>
      </c>
    </row>
    <row r="1267" spans="2:12" ht="15" customHeight="1">
      <c r="B1267" t="s">
        <v>1206</v>
      </c>
      <c r="C1267">
        <v>20000</v>
      </c>
      <c r="D1267" t="s">
        <v>204</v>
      </c>
      <c r="E1267">
        <v>31523.565441345683</v>
      </c>
      <c r="F1267" s="3">
        <f>(tblSalaries[[#This Row],[clean Salary (in local currency)]])*(VLOOKUP(tblSalaries[[#This Row],[Currency]],Sheet3!$A$2:$C$31,3,FALSE))*(VLOOKUP(tblSalaries[[#This Row],[Currency]],Sheet1!$N$4:$Q$186,4,FALSE))</f>
        <v>29479.42409960855</v>
      </c>
      <c r="G1267" s="4">
        <f>IF(Dashboard!$J$5=VLOOKUP(tblSalaries[[#This Row],[Currency]],Sheet3!$A$2:$B$31,2,FALSE),tblSalaries[[#This Row],[clean Salary (in local currency)]],(tblSalaries[[#This Row],[PPP Adjusted  USD]]/VLOOKUP(Dashboard!$J$5,Sheet3!$B$2:$C$31,2,FALSE)))</f>
        <v>29479.42409960855</v>
      </c>
      <c r="H1267" t="s">
        <v>1207</v>
      </c>
      <c r="I1267" t="s">
        <v>620</v>
      </c>
      <c r="J1267" t="s">
        <v>687</v>
      </c>
      <c r="K1267" t="s">
        <v>627</v>
      </c>
      <c r="L1267" t="s">
        <v>3847</v>
      </c>
    </row>
    <row r="1268" spans="2:12" ht="15" customHeight="1">
      <c r="B1268" t="s">
        <v>1637</v>
      </c>
      <c r="C1268">
        <v>20000</v>
      </c>
      <c r="D1268" t="s">
        <v>204</v>
      </c>
      <c r="E1268">
        <v>31523.565441345683</v>
      </c>
      <c r="F1268" s="3">
        <f>(tblSalaries[[#This Row],[clean Salary (in local currency)]])*(VLOOKUP(tblSalaries[[#This Row],[Currency]],Sheet3!$A$2:$C$31,3,FALSE))*(VLOOKUP(tblSalaries[[#This Row],[Currency]],Sheet1!$N$4:$Q$186,4,FALSE))</f>
        <v>29479.42409960855</v>
      </c>
      <c r="G1268" s="4">
        <f>IF(Dashboard!$J$5=VLOOKUP(tblSalaries[[#This Row],[Currency]],Sheet3!$A$2:$B$31,2,FALSE),tblSalaries[[#This Row],[clean Salary (in local currency)]],(tblSalaries[[#This Row],[PPP Adjusted  USD]]/VLOOKUP(Dashboard!$J$5,Sheet3!$B$2:$C$31,2,FALSE)))</f>
        <v>29479.42409960855</v>
      </c>
      <c r="H1268" t="s">
        <v>1638</v>
      </c>
      <c r="I1268" t="s">
        <v>692</v>
      </c>
      <c r="J1268" t="s">
        <v>687</v>
      </c>
      <c r="K1268" t="s">
        <v>605</v>
      </c>
      <c r="L1268" t="s">
        <v>3847</v>
      </c>
    </row>
    <row r="1269" spans="2:12" ht="15" customHeight="1">
      <c r="B1269" t="s">
        <v>2492</v>
      </c>
      <c r="C1269">
        <v>20000</v>
      </c>
      <c r="D1269" t="s">
        <v>204</v>
      </c>
      <c r="E1269">
        <v>31523.565441345683</v>
      </c>
      <c r="F1269" s="3">
        <f>(tblSalaries[[#This Row],[clean Salary (in local currency)]])*(VLOOKUP(tblSalaries[[#This Row],[Currency]],Sheet3!$A$2:$C$31,3,FALSE))*(VLOOKUP(tblSalaries[[#This Row],[Currency]],Sheet1!$N$4:$Q$186,4,FALSE))</f>
        <v>29479.42409960855</v>
      </c>
      <c r="G1269" s="4">
        <f>IF(Dashboard!$J$5=VLOOKUP(tblSalaries[[#This Row],[Currency]],Sheet3!$A$2:$B$31,2,FALSE),tblSalaries[[#This Row],[clean Salary (in local currency)]],(tblSalaries[[#This Row],[PPP Adjusted  USD]]/VLOOKUP(Dashboard!$J$5,Sheet3!$B$2:$C$31,2,FALSE)))</f>
        <v>29479.42409960855</v>
      </c>
      <c r="H1269" t="s">
        <v>2493</v>
      </c>
      <c r="I1269" t="s">
        <v>603</v>
      </c>
      <c r="J1269" t="s">
        <v>687</v>
      </c>
      <c r="K1269" t="s">
        <v>605</v>
      </c>
      <c r="L1269">
        <v>1</v>
      </c>
    </row>
    <row r="1270" spans="2:12" ht="15" customHeight="1">
      <c r="B1270" t="s">
        <v>2778</v>
      </c>
      <c r="C1270">
        <v>20000</v>
      </c>
      <c r="D1270" t="s">
        <v>204</v>
      </c>
      <c r="E1270">
        <v>31523.565441345683</v>
      </c>
      <c r="F1270" s="3">
        <f>(tblSalaries[[#This Row],[clean Salary (in local currency)]])*(VLOOKUP(tblSalaries[[#This Row],[Currency]],Sheet3!$A$2:$C$31,3,FALSE))*(VLOOKUP(tblSalaries[[#This Row],[Currency]],Sheet1!$N$4:$Q$186,4,FALSE))</f>
        <v>29479.42409960855</v>
      </c>
      <c r="G1270" s="4">
        <f>IF(Dashboard!$J$5=VLOOKUP(tblSalaries[[#This Row],[Currency]],Sheet3!$A$2:$B$31,2,FALSE),tblSalaries[[#This Row],[clean Salary (in local currency)]],(tblSalaries[[#This Row],[PPP Adjusted  USD]]/VLOOKUP(Dashboard!$J$5,Sheet3!$B$2:$C$31,2,FALSE)))</f>
        <v>29479.42409960855</v>
      </c>
      <c r="H1270" t="s">
        <v>2779</v>
      </c>
      <c r="I1270" t="s">
        <v>603</v>
      </c>
      <c r="J1270" t="s">
        <v>687</v>
      </c>
      <c r="K1270" t="s">
        <v>605</v>
      </c>
      <c r="L1270">
        <v>1</v>
      </c>
    </row>
    <row r="1271" spans="2:12" ht="15" customHeight="1">
      <c r="B1271" t="s">
        <v>3338</v>
      </c>
      <c r="C1271">
        <v>20000</v>
      </c>
      <c r="D1271" t="s">
        <v>204</v>
      </c>
      <c r="E1271">
        <v>31523.565441345683</v>
      </c>
      <c r="F1271" s="3">
        <f>(tblSalaries[[#This Row],[clean Salary (in local currency)]])*(VLOOKUP(tblSalaries[[#This Row],[Currency]],Sheet3!$A$2:$C$31,3,FALSE))*(VLOOKUP(tblSalaries[[#This Row],[Currency]],Sheet1!$N$4:$Q$186,4,FALSE))</f>
        <v>29479.42409960855</v>
      </c>
      <c r="G1271" s="4">
        <f>IF(Dashboard!$J$5=VLOOKUP(tblSalaries[[#This Row],[Currency]],Sheet3!$A$2:$B$31,2,FALSE),tblSalaries[[#This Row],[clean Salary (in local currency)]],(tblSalaries[[#This Row],[PPP Adjusted  USD]]/VLOOKUP(Dashboard!$J$5,Sheet3!$B$2:$C$31,2,FALSE)))</f>
        <v>29479.42409960855</v>
      </c>
      <c r="H1271" t="s">
        <v>1209</v>
      </c>
      <c r="I1271" t="s">
        <v>603</v>
      </c>
      <c r="J1271" t="s">
        <v>687</v>
      </c>
      <c r="K1271" t="s">
        <v>610</v>
      </c>
      <c r="L1271">
        <v>3</v>
      </c>
    </row>
    <row r="1272" spans="2:12" ht="15" customHeight="1">
      <c r="B1272" t="s">
        <v>3729</v>
      </c>
      <c r="C1272">
        <v>20000</v>
      </c>
      <c r="D1272" t="s">
        <v>204</v>
      </c>
      <c r="E1272">
        <v>31523.565441345683</v>
      </c>
      <c r="F1272" s="3">
        <f>(tblSalaries[[#This Row],[clean Salary (in local currency)]])*(VLOOKUP(tblSalaries[[#This Row],[Currency]],Sheet3!$A$2:$C$31,3,FALSE))*(VLOOKUP(tblSalaries[[#This Row],[Currency]],Sheet1!$N$4:$Q$186,4,FALSE))</f>
        <v>29479.42409960855</v>
      </c>
      <c r="G1272" s="4">
        <f>IF(Dashboard!$J$5=VLOOKUP(tblSalaries[[#This Row],[Currency]],Sheet3!$A$2:$B$31,2,FALSE),tblSalaries[[#This Row],[clean Salary (in local currency)]],(tblSalaries[[#This Row],[PPP Adjusted  USD]]/VLOOKUP(Dashboard!$J$5,Sheet3!$B$2:$C$31,2,FALSE)))</f>
        <v>29479.42409960855</v>
      </c>
      <c r="H1272" t="s">
        <v>637</v>
      </c>
      <c r="I1272" t="s">
        <v>637</v>
      </c>
      <c r="J1272" t="s">
        <v>687</v>
      </c>
      <c r="K1272" t="s">
        <v>617</v>
      </c>
      <c r="L1272">
        <v>10</v>
      </c>
    </row>
    <row r="1273" spans="2:12" ht="15" customHeight="1">
      <c r="B1273" t="s">
        <v>1338</v>
      </c>
      <c r="C1273">
        <v>620000</v>
      </c>
      <c r="D1273" t="s">
        <v>247</v>
      </c>
      <c r="E1273">
        <v>11040.908346214392</v>
      </c>
      <c r="F1273" s="3">
        <f>(tblSalaries[[#This Row],[clean Salary (in local currency)]])*(VLOOKUP(tblSalaries[[#This Row],[Currency]],Sheet3!$A$2:$C$31,3,FALSE))*(VLOOKUP(tblSalaries[[#This Row],[Currency]],Sheet1!$N$4:$Q$186,4,FALSE))</f>
        <v>29363.83385619304</v>
      </c>
      <c r="G1273" s="4">
        <f>IF(Dashboard!$J$5=VLOOKUP(tblSalaries[[#This Row],[Currency]],Sheet3!$A$2:$B$31,2,FALSE),tblSalaries[[#This Row],[clean Salary (in local currency)]],(tblSalaries[[#This Row],[PPP Adjusted  USD]]/VLOOKUP(Dashboard!$J$5,Sheet3!$B$2:$C$31,2,FALSE)))</f>
        <v>29363.83385619304</v>
      </c>
      <c r="H1273" t="s">
        <v>1339</v>
      </c>
      <c r="I1273" t="s">
        <v>625</v>
      </c>
      <c r="J1273" t="s">
        <v>604</v>
      </c>
      <c r="K1273" t="s">
        <v>627</v>
      </c>
      <c r="L1273" t="s">
        <v>3847</v>
      </c>
    </row>
    <row r="1274" spans="2:12" ht="15" customHeight="1">
      <c r="B1274" t="s">
        <v>3113</v>
      </c>
      <c r="C1274">
        <v>620000</v>
      </c>
      <c r="D1274" t="s">
        <v>247</v>
      </c>
      <c r="E1274">
        <v>11040.908346214392</v>
      </c>
      <c r="F1274" s="3">
        <f>(tblSalaries[[#This Row],[clean Salary (in local currency)]])*(VLOOKUP(tblSalaries[[#This Row],[Currency]],Sheet3!$A$2:$C$31,3,FALSE))*(VLOOKUP(tblSalaries[[#This Row],[Currency]],Sheet1!$N$4:$Q$186,4,FALSE))</f>
        <v>29363.83385619304</v>
      </c>
      <c r="G1274" s="4">
        <f>IF(Dashboard!$J$5=VLOOKUP(tblSalaries[[#This Row],[Currency]],Sheet3!$A$2:$B$31,2,FALSE),tblSalaries[[#This Row],[clean Salary (in local currency)]],(tblSalaries[[#This Row],[PPP Adjusted  USD]]/VLOOKUP(Dashboard!$J$5,Sheet3!$B$2:$C$31,2,FALSE)))</f>
        <v>29363.83385619304</v>
      </c>
      <c r="H1274" t="s">
        <v>3114</v>
      </c>
      <c r="I1274" t="s">
        <v>603</v>
      </c>
      <c r="J1274" t="s">
        <v>604</v>
      </c>
      <c r="K1274" t="s">
        <v>627</v>
      </c>
      <c r="L1274">
        <v>5</v>
      </c>
    </row>
    <row r="1275" spans="2:12" ht="15" customHeight="1">
      <c r="B1275" t="s">
        <v>1262</v>
      </c>
      <c r="C1275">
        <v>29000</v>
      </c>
      <c r="D1275" t="s">
        <v>252</v>
      </c>
      <c r="E1275">
        <v>29000</v>
      </c>
      <c r="F1275" s="3">
        <f>(tblSalaries[[#This Row],[clean Salary (in local currency)]])*(VLOOKUP(tblSalaries[[#This Row],[Currency]],Sheet3!$A$2:$C$31,3,FALSE))*(VLOOKUP(tblSalaries[[#This Row],[Currency]],Sheet1!$N$4:$Q$186,4,FALSE))</f>
        <v>29000</v>
      </c>
      <c r="G1275" s="4">
        <f>IF(Dashboard!$J$5=VLOOKUP(tblSalaries[[#This Row],[Currency]],Sheet3!$A$2:$B$31,2,FALSE),tblSalaries[[#This Row],[clean Salary (in local currency)]],(tblSalaries[[#This Row],[PPP Adjusted  USD]]/VLOOKUP(Dashboard!$J$5,Sheet3!$B$2:$C$31,2,FALSE)))</f>
        <v>29000</v>
      </c>
      <c r="H1275" t="s">
        <v>1263</v>
      </c>
      <c r="I1275" t="s">
        <v>625</v>
      </c>
      <c r="J1275" t="s">
        <v>613</v>
      </c>
      <c r="K1275" t="s">
        <v>605</v>
      </c>
      <c r="L1275" t="s">
        <v>3847</v>
      </c>
    </row>
    <row r="1276" spans="2:12" ht="15" customHeight="1">
      <c r="B1276" t="s">
        <v>3718</v>
      </c>
      <c r="C1276">
        <v>29000</v>
      </c>
      <c r="D1276" t="s">
        <v>252</v>
      </c>
      <c r="E1276">
        <v>29000</v>
      </c>
      <c r="F1276" s="3">
        <f>(tblSalaries[[#This Row],[clean Salary (in local currency)]])*(VLOOKUP(tblSalaries[[#This Row],[Currency]],Sheet3!$A$2:$C$31,3,FALSE))*(VLOOKUP(tblSalaries[[#This Row],[Currency]],Sheet1!$N$4:$Q$186,4,FALSE))</f>
        <v>29000</v>
      </c>
      <c r="G1276" s="4">
        <f>IF(Dashboard!$J$5=VLOOKUP(tblSalaries[[#This Row],[Currency]],Sheet3!$A$2:$B$31,2,FALSE),tblSalaries[[#This Row],[clean Salary (in local currency)]],(tblSalaries[[#This Row],[PPP Adjusted  USD]]/VLOOKUP(Dashboard!$J$5,Sheet3!$B$2:$C$31,2,FALSE)))</f>
        <v>29000</v>
      </c>
      <c r="H1276" t="s">
        <v>3719</v>
      </c>
      <c r="I1276" t="s">
        <v>620</v>
      </c>
      <c r="J1276" t="s">
        <v>613</v>
      </c>
      <c r="K1276" t="s">
        <v>610</v>
      </c>
      <c r="L1276">
        <v>1</v>
      </c>
    </row>
    <row r="1277" spans="2:12" ht="15" customHeight="1">
      <c r="B1277" t="s">
        <v>3565</v>
      </c>
      <c r="C1277">
        <v>28995</v>
      </c>
      <c r="D1277" t="s">
        <v>252</v>
      </c>
      <c r="E1277">
        <v>28995</v>
      </c>
      <c r="F1277" s="3">
        <f>(tblSalaries[[#This Row],[clean Salary (in local currency)]])*(VLOOKUP(tblSalaries[[#This Row],[Currency]],Sheet3!$A$2:$C$31,3,FALSE))*(VLOOKUP(tblSalaries[[#This Row],[Currency]],Sheet1!$N$4:$Q$186,4,FALSE))</f>
        <v>28995</v>
      </c>
      <c r="G1277" s="4">
        <f>IF(Dashboard!$J$5=VLOOKUP(tblSalaries[[#This Row],[Currency]],Sheet3!$A$2:$B$31,2,FALSE),tblSalaries[[#This Row],[clean Salary (in local currency)]],(tblSalaries[[#This Row],[PPP Adjusted  USD]]/VLOOKUP(Dashboard!$J$5,Sheet3!$B$2:$C$31,2,FALSE)))</f>
        <v>28995</v>
      </c>
      <c r="H1277" t="s">
        <v>1778</v>
      </c>
      <c r="I1277" t="s">
        <v>625</v>
      </c>
      <c r="J1277" t="s">
        <v>604</v>
      </c>
      <c r="K1277" t="s">
        <v>605</v>
      </c>
      <c r="L1277">
        <v>6</v>
      </c>
    </row>
    <row r="1278" spans="2:12" ht="15" customHeight="1">
      <c r="B1278" t="s">
        <v>2406</v>
      </c>
      <c r="C1278">
        <v>612000</v>
      </c>
      <c r="D1278" t="s">
        <v>247</v>
      </c>
      <c r="E1278">
        <v>10898.445012714852</v>
      </c>
      <c r="F1278" s="3">
        <f>(tblSalaries[[#This Row],[clean Salary (in local currency)]])*(VLOOKUP(tblSalaries[[#This Row],[Currency]],Sheet3!$A$2:$C$31,3,FALSE))*(VLOOKUP(tblSalaries[[#This Row],[Currency]],Sheet1!$N$4:$Q$186,4,FALSE))</f>
        <v>28984.945677403455</v>
      </c>
      <c r="G1278" s="4">
        <f>IF(Dashboard!$J$5=VLOOKUP(tblSalaries[[#This Row],[Currency]],Sheet3!$A$2:$B$31,2,FALSE),tblSalaries[[#This Row],[clean Salary (in local currency)]],(tblSalaries[[#This Row],[PPP Adjusted  USD]]/VLOOKUP(Dashboard!$J$5,Sheet3!$B$2:$C$31,2,FALSE)))</f>
        <v>28984.945677403455</v>
      </c>
      <c r="H1278" t="s">
        <v>2407</v>
      </c>
      <c r="I1278" t="s">
        <v>625</v>
      </c>
      <c r="J1278" t="s">
        <v>604</v>
      </c>
      <c r="K1278" t="s">
        <v>617</v>
      </c>
      <c r="L1278">
        <v>13</v>
      </c>
    </row>
    <row r="1279" spans="2:12" ht="15" customHeight="1">
      <c r="B1279" t="s">
        <v>3500</v>
      </c>
      <c r="C1279">
        <v>36000</v>
      </c>
      <c r="D1279" t="s">
        <v>276</v>
      </c>
      <c r="E1279">
        <v>35401.014829091764</v>
      </c>
      <c r="F1279" s="3">
        <f>(tblSalaries[[#This Row],[clean Salary (in local currency)]])*(VLOOKUP(tblSalaries[[#This Row],[Currency]],Sheet3!$A$2:$C$31,3,FALSE))*(VLOOKUP(tblSalaries[[#This Row],[Currency]],Sheet1!$N$4:$Q$186,4,FALSE))</f>
        <v>28456.063315284406</v>
      </c>
      <c r="G1279" s="4">
        <f>IF(Dashboard!$J$5=VLOOKUP(tblSalaries[[#This Row],[Currency]],Sheet3!$A$2:$B$31,2,FALSE),tblSalaries[[#This Row],[clean Salary (in local currency)]],(tblSalaries[[#This Row],[PPP Adjusted  USD]]/VLOOKUP(Dashboard!$J$5,Sheet3!$B$2:$C$31,2,FALSE)))</f>
        <v>28456.063315284406</v>
      </c>
      <c r="H1279" t="s">
        <v>3501</v>
      </c>
      <c r="I1279" t="s">
        <v>603</v>
      </c>
      <c r="J1279" t="s">
        <v>708</v>
      </c>
      <c r="K1279" t="s">
        <v>610</v>
      </c>
      <c r="L1279">
        <v>2</v>
      </c>
    </row>
    <row r="1280" spans="2:12" ht="15" customHeight="1">
      <c r="B1280" t="s">
        <v>679</v>
      </c>
      <c r="C1280">
        <v>600000</v>
      </c>
      <c r="D1280" t="s">
        <v>247</v>
      </c>
      <c r="E1280">
        <v>10684.750012465542</v>
      </c>
      <c r="F1280" s="3">
        <f>(tblSalaries[[#This Row],[clean Salary (in local currency)]])*(VLOOKUP(tblSalaries[[#This Row],[Currency]],Sheet3!$A$2:$C$31,3,FALSE))*(VLOOKUP(tblSalaries[[#This Row],[Currency]],Sheet1!$N$4:$Q$186,4,FALSE))</f>
        <v>28416.613409219077</v>
      </c>
      <c r="G1280" s="4">
        <f>IF(Dashboard!$J$5=VLOOKUP(tblSalaries[[#This Row],[Currency]],Sheet3!$A$2:$B$31,2,FALSE),tblSalaries[[#This Row],[clean Salary (in local currency)]],(tblSalaries[[#This Row],[PPP Adjusted  USD]]/VLOOKUP(Dashboard!$J$5,Sheet3!$B$2:$C$31,2,FALSE)))</f>
        <v>28416.613409219077</v>
      </c>
      <c r="H1280" t="s">
        <v>680</v>
      </c>
      <c r="I1280" t="s">
        <v>625</v>
      </c>
      <c r="J1280" t="s">
        <v>604</v>
      </c>
      <c r="K1280" t="s">
        <v>605</v>
      </c>
      <c r="L1280" t="s">
        <v>3847</v>
      </c>
    </row>
    <row r="1281" spans="2:12" ht="15" customHeight="1">
      <c r="B1281" t="s">
        <v>1558</v>
      </c>
      <c r="C1281">
        <v>600000</v>
      </c>
      <c r="D1281" t="s">
        <v>247</v>
      </c>
      <c r="E1281">
        <v>10684.750012465542</v>
      </c>
      <c r="F1281" s="3">
        <f>(tblSalaries[[#This Row],[clean Salary (in local currency)]])*(VLOOKUP(tblSalaries[[#This Row],[Currency]],Sheet3!$A$2:$C$31,3,FALSE))*(VLOOKUP(tblSalaries[[#This Row],[Currency]],Sheet1!$N$4:$Q$186,4,FALSE))</f>
        <v>28416.613409219077</v>
      </c>
      <c r="G1281" s="4">
        <f>IF(Dashboard!$J$5=VLOOKUP(tblSalaries[[#This Row],[Currency]],Sheet3!$A$2:$B$31,2,FALSE),tblSalaries[[#This Row],[clean Salary (in local currency)]],(tblSalaries[[#This Row],[PPP Adjusted  USD]]/VLOOKUP(Dashboard!$J$5,Sheet3!$B$2:$C$31,2,FALSE)))</f>
        <v>28416.613409219077</v>
      </c>
      <c r="H1281" t="s">
        <v>1559</v>
      </c>
      <c r="I1281" t="s">
        <v>625</v>
      </c>
      <c r="J1281" t="s">
        <v>604</v>
      </c>
      <c r="K1281" t="s">
        <v>605</v>
      </c>
      <c r="L1281" t="s">
        <v>3847</v>
      </c>
    </row>
    <row r="1282" spans="2:12" ht="15" customHeight="1">
      <c r="B1282" t="s">
        <v>1586</v>
      </c>
      <c r="C1282">
        <v>600000</v>
      </c>
      <c r="D1282" t="s">
        <v>247</v>
      </c>
      <c r="E1282">
        <v>10684.750012465542</v>
      </c>
      <c r="F1282" s="3">
        <f>(tblSalaries[[#This Row],[clean Salary (in local currency)]])*(VLOOKUP(tblSalaries[[#This Row],[Currency]],Sheet3!$A$2:$C$31,3,FALSE))*(VLOOKUP(tblSalaries[[#This Row],[Currency]],Sheet1!$N$4:$Q$186,4,FALSE))</f>
        <v>28416.613409219077</v>
      </c>
      <c r="G1282" s="4">
        <f>IF(Dashboard!$J$5=VLOOKUP(tblSalaries[[#This Row],[Currency]],Sheet3!$A$2:$B$31,2,FALSE),tblSalaries[[#This Row],[clean Salary (in local currency)]],(tblSalaries[[#This Row],[PPP Adjusted  USD]]/VLOOKUP(Dashboard!$J$5,Sheet3!$B$2:$C$31,2,FALSE)))</f>
        <v>28416.613409219077</v>
      </c>
      <c r="H1282" t="s">
        <v>889</v>
      </c>
      <c r="I1282" t="s">
        <v>625</v>
      </c>
      <c r="J1282" t="s">
        <v>604</v>
      </c>
      <c r="K1282" t="s">
        <v>605</v>
      </c>
      <c r="L1282" t="s">
        <v>3847</v>
      </c>
    </row>
    <row r="1283" spans="2:12" ht="15" customHeight="1">
      <c r="B1283" t="s">
        <v>1774</v>
      </c>
      <c r="C1283">
        <v>600000</v>
      </c>
      <c r="D1283" t="s">
        <v>247</v>
      </c>
      <c r="E1283">
        <v>10684.750012465542</v>
      </c>
      <c r="F1283" s="3">
        <f>(tblSalaries[[#This Row],[clean Salary (in local currency)]])*(VLOOKUP(tblSalaries[[#This Row],[Currency]],Sheet3!$A$2:$C$31,3,FALSE))*(VLOOKUP(tblSalaries[[#This Row],[Currency]],Sheet1!$N$4:$Q$186,4,FALSE))</f>
        <v>28416.613409219077</v>
      </c>
      <c r="G1283" s="4">
        <f>IF(Dashboard!$J$5=VLOOKUP(tblSalaries[[#This Row],[Currency]],Sheet3!$A$2:$B$31,2,FALSE),tblSalaries[[#This Row],[clean Salary (in local currency)]],(tblSalaries[[#This Row],[PPP Adjusted  USD]]/VLOOKUP(Dashboard!$J$5,Sheet3!$B$2:$C$31,2,FALSE)))</f>
        <v>28416.613409219077</v>
      </c>
      <c r="H1283" t="s">
        <v>612</v>
      </c>
      <c r="I1283" t="s">
        <v>603</v>
      </c>
      <c r="J1283" t="s">
        <v>604</v>
      </c>
      <c r="K1283" t="s">
        <v>617</v>
      </c>
      <c r="L1283">
        <v>3</v>
      </c>
    </row>
    <row r="1284" spans="2:12" ht="15" customHeight="1">
      <c r="B1284" t="s">
        <v>1786</v>
      </c>
      <c r="C1284">
        <v>600000</v>
      </c>
      <c r="D1284" t="s">
        <v>247</v>
      </c>
      <c r="E1284">
        <v>10684.750012465542</v>
      </c>
      <c r="F1284" s="3">
        <f>(tblSalaries[[#This Row],[clean Salary (in local currency)]])*(VLOOKUP(tblSalaries[[#This Row],[Currency]],Sheet3!$A$2:$C$31,3,FALSE))*(VLOOKUP(tblSalaries[[#This Row],[Currency]],Sheet1!$N$4:$Q$186,4,FALSE))</f>
        <v>28416.613409219077</v>
      </c>
      <c r="G1284" s="4">
        <f>IF(Dashboard!$J$5=VLOOKUP(tblSalaries[[#This Row],[Currency]],Sheet3!$A$2:$B$31,2,FALSE),tblSalaries[[#This Row],[clean Salary (in local currency)]],(tblSalaries[[#This Row],[PPP Adjusted  USD]]/VLOOKUP(Dashboard!$J$5,Sheet3!$B$2:$C$31,2,FALSE)))</f>
        <v>28416.613409219077</v>
      </c>
      <c r="H1284" t="s">
        <v>1787</v>
      </c>
      <c r="I1284" t="s">
        <v>625</v>
      </c>
      <c r="J1284" t="s">
        <v>604</v>
      </c>
      <c r="K1284" t="s">
        <v>605</v>
      </c>
      <c r="L1284">
        <v>11</v>
      </c>
    </row>
    <row r="1285" spans="2:12" ht="15" customHeight="1">
      <c r="B1285" t="s">
        <v>1884</v>
      </c>
      <c r="C1285">
        <v>600000</v>
      </c>
      <c r="D1285" t="s">
        <v>247</v>
      </c>
      <c r="E1285">
        <v>10684.750012465542</v>
      </c>
      <c r="F1285" s="3">
        <f>(tblSalaries[[#This Row],[clean Salary (in local currency)]])*(VLOOKUP(tblSalaries[[#This Row],[Currency]],Sheet3!$A$2:$C$31,3,FALSE))*(VLOOKUP(tblSalaries[[#This Row],[Currency]],Sheet1!$N$4:$Q$186,4,FALSE))</f>
        <v>28416.613409219077</v>
      </c>
      <c r="G1285" s="4">
        <f>IF(Dashboard!$J$5=VLOOKUP(tblSalaries[[#This Row],[Currency]],Sheet3!$A$2:$B$31,2,FALSE),tblSalaries[[#This Row],[clean Salary (in local currency)]],(tblSalaries[[#This Row],[PPP Adjusted  USD]]/VLOOKUP(Dashboard!$J$5,Sheet3!$B$2:$C$31,2,FALSE)))</f>
        <v>28416.613409219077</v>
      </c>
      <c r="H1285" t="s">
        <v>1885</v>
      </c>
      <c r="I1285" t="s">
        <v>625</v>
      </c>
      <c r="J1285" t="s">
        <v>604</v>
      </c>
      <c r="K1285" t="s">
        <v>627</v>
      </c>
      <c r="L1285">
        <v>2</v>
      </c>
    </row>
    <row r="1286" spans="2:12" ht="15" customHeight="1">
      <c r="B1286" t="s">
        <v>1921</v>
      </c>
      <c r="C1286">
        <v>600000</v>
      </c>
      <c r="D1286" t="s">
        <v>247</v>
      </c>
      <c r="E1286">
        <v>10684.750012465542</v>
      </c>
      <c r="F1286" s="3">
        <f>(tblSalaries[[#This Row],[clean Salary (in local currency)]])*(VLOOKUP(tblSalaries[[#This Row],[Currency]],Sheet3!$A$2:$C$31,3,FALSE))*(VLOOKUP(tblSalaries[[#This Row],[Currency]],Sheet1!$N$4:$Q$186,4,FALSE))</f>
        <v>28416.613409219077</v>
      </c>
      <c r="G1286" s="4">
        <f>IF(Dashboard!$J$5=VLOOKUP(tblSalaries[[#This Row],[Currency]],Sheet3!$A$2:$B$31,2,FALSE),tblSalaries[[#This Row],[clean Salary (in local currency)]],(tblSalaries[[#This Row],[PPP Adjusted  USD]]/VLOOKUP(Dashboard!$J$5,Sheet3!$B$2:$C$31,2,FALSE)))</f>
        <v>28416.613409219077</v>
      </c>
      <c r="H1286" t="s">
        <v>1922</v>
      </c>
      <c r="I1286" t="s">
        <v>637</v>
      </c>
      <c r="J1286" t="s">
        <v>604</v>
      </c>
      <c r="K1286" t="s">
        <v>610</v>
      </c>
      <c r="L1286">
        <v>7</v>
      </c>
    </row>
    <row r="1287" spans="2:12" ht="15" customHeight="1">
      <c r="B1287" t="s">
        <v>1931</v>
      </c>
      <c r="C1287">
        <v>600000</v>
      </c>
      <c r="D1287" t="s">
        <v>247</v>
      </c>
      <c r="E1287">
        <v>10684.750012465542</v>
      </c>
      <c r="F1287" s="3">
        <f>(tblSalaries[[#This Row],[clean Salary (in local currency)]])*(VLOOKUP(tblSalaries[[#This Row],[Currency]],Sheet3!$A$2:$C$31,3,FALSE))*(VLOOKUP(tblSalaries[[#This Row],[Currency]],Sheet1!$N$4:$Q$186,4,FALSE))</f>
        <v>28416.613409219077</v>
      </c>
      <c r="G1287" s="4">
        <f>IF(Dashboard!$J$5=VLOOKUP(tblSalaries[[#This Row],[Currency]],Sheet3!$A$2:$B$31,2,FALSE),tblSalaries[[#This Row],[clean Salary (in local currency)]],(tblSalaries[[#This Row],[PPP Adjusted  USD]]/VLOOKUP(Dashboard!$J$5,Sheet3!$B$2:$C$31,2,FALSE)))</f>
        <v>28416.613409219077</v>
      </c>
      <c r="H1287" t="s">
        <v>1932</v>
      </c>
      <c r="I1287" t="s">
        <v>625</v>
      </c>
      <c r="J1287" t="s">
        <v>604</v>
      </c>
      <c r="K1287" t="s">
        <v>617</v>
      </c>
      <c r="L1287">
        <v>8</v>
      </c>
    </row>
    <row r="1288" spans="2:12" ht="15" customHeight="1">
      <c r="B1288" t="s">
        <v>1942</v>
      </c>
      <c r="C1288">
        <v>600000</v>
      </c>
      <c r="D1288" t="s">
        <v>247</v>
      </c>
      <c r="E1288">
        <v>10684.750012465542</v>
      </c>
      <c r="F1288" s="3">
        <f>(tblSalaries[[#This Row],[clean Salary (in local currency)]])*(VLOOKUP(tblSalaries[[#This Row],[Currency]],Sheet3!$A$2:$C$31,3,FALSE))*(VLOOKUP(tblSalaries[[#This Row],[Currency]],Sheet1!$N$4:$Q$186,4,FALSE))</f>
        <v>28416.613409219077</v>
      </c>
      <c r="G1288" s="4">
        <f>IF(Dashboard!$J$5=VLOOKUP(tblSalaries[[#This Row],[Currency]],Sheet3!$A$2:$B$31,2,FALSE),tblSalaries[[#This Row],[clean Salary (in local currency)]],(tblSalaries[[#This Row],[PPP Adjusted  USD]]/VLOOKUP(Dashboard!$J$5,Sheet3!$B$2:$C$31,2,FALSE)))</f>
        <v>28416.613409219077</v>
      </c>
      <c r="H1288" t="s">
        <v>1611</v>
      </c>
      <c r="I1288" t="s">
        <v>625</v>
      </c>
      <c r="J1288" t="s">
        <v>604</v>
      </c>
      <c r="K1288" t="s">
        <v>605</v>
      </c>
      <c r="L1288">
        <v>5</v>
      </c>
    </row>
    <row r="1289" spans="2:12" ht="15" customHeight="1">
      <c r="B1289" t="s">
        <v>2051</v>
      </c>
      <c r="C1289">
        <v>600000</v>
      </c>
      <c r="D1289" t="s">
        <v>247</v>
      </c>
      <c r="E1289">
        <v>10684.750012465542</v>
      </c>
      <c r="F1289" s="3">
        <f>(tblSalaries[[#This Row],[clean Salary (in local currency)]])*(VLOOKUP(tblSalaries[[#This Row],[Currency]],Sheet3!$A$2:$C$31,3,FALSE))*(VLOOKUP(tblSalaries[[#This Row],[Currency]],Sheet1!$N$4:$Q$186,4,FALSE))</f>
        <v>28416.613409219077</v>
      </c>
      <c r="G1289" s="4">
        <f>IF(Dashboard!$J$5=VLOOKUP(tblSalaries[[#This Row],[Currency]],Sheet3!$A$2:$B$31,2,FALSE),tblSalaries[[#This Row],[clean Salary (in local currency)]],(tblSalaries[[#This Row],[PPP Adjusted  USD]]/VLOOKUP(Dashboard!$J$5,Sheet3!$B$2:$C$31,2,FALSE)))</f>
        <v>28416.613409219077</v>
      </c>
      <c r="H1289" t="s">
        <v>602</v>
      </c>
      <c r="I1289" t="s">
        <v>603</v>
      </c>
      <c r="J1289" t="s">
        <v>604</v>
      </c>
      <c r="K1289" t="s">
        <v>610</v>
      </c>
      <c r="L1289">
        <v>4</v>
      </c>
    </row>
    <row r="1290" spans="2:12" ht="15" customHeight="1">
      <c r="B1290" t="s">
        <v>2084</v>
      </c>
      <c r="C1290">
        <v>600000</v>
      </c>
      <c r="D1290" t="s">
        <v>247</v>
      </c>
      <c r="E1290">
        <v>10684.750012465542</v>
      </c>
      <c r="F1290" s="3">
        <f>(tblSalaries[[#This Row],[clean Salary (in local currency)]])*(VLOOKUP(tblSalaries[[#This Row],[Currency]],Sheet3!$A$2:$C$31,3,FALSE))*(VLOOKUP(tblSalaries[[#This Row],[Currency]],Sheet1!$N$4:$Q$186,4,FALSE))</f>
        <v>28416.613409219077</v>
      </c>
      <c r="G1290" s="4">
        <f>IF(Dashboard!$J$5=VLOOKUP(tblSalaries[[#This Row],[Currency]],Sheet3!$A$2:$B$31,2,FALSE),tblSalaries[[#This Row],[clean Salary (in local currency)]],(tblSalaries[[#This Row],[PPP Adjusted  USD]]/VLOOKUP(Dashboard!$J$5,Sheet3!$B$2:$C$31,2,FALSE)))</f>
        <v>28416.613409219077</v>
      </c>
      <c r="H1290" t="s">
        <v>1951</v>
      </c>
      <c r="I1290" t="s">
        <v>603</v>
      </c>
      <c r="J1290" t="s">
        <v>604</v>
      </c>
      <c r="K1290" t="s">
        <v>610</v>
      </c>
      <c r="L1290">
        <v>5</v>
      </c>
    </row>
    <row r="1291" spans="2:12" ht="15" customHeight="1">
      <c r="B1291" t="s">
        <v>2104</v>
      </c>
      <c r="C1291">
        <v>600000</v>
      </c>
      <c r="D1291" t="s">
        <v>247</v>
      </c>
      <c r="E1291">
        <v>10684.750012465542</v>
      </c>
      <c r="F1291" s="3">
        <f>(tblSalaries[[#This Row],[clean Salary (in local currency)]])*(VLOOKUP(tblSalaries[[#This Row],[Currency]],Sheet3!$A$2:$C$31,3,FALSE))*(VLOOKUP(tblSalaries[[#This Row],[Currency]],Sheet1!$N$4:$Q$186,4,FALSE))</f>
        <v>28416.613409219077</v>
      </c>
      <c r="G1291" s="4">
        <f>IF(Dashboard!$J$5=VLOOKUP(tblSalaries[[#This Row],[Currency]],Sheet3!$A$2:$B$31,2,FALSE),tblSalaries[[#This Row],[clean Salary (in local currency)]],(tblSalaries[[#This Row],[PPP Adjusted  USD]]/VLOOKUP(Dashboard!$J$5,Sheet3!$B$2:$C$31,2,FALSE)))</f>
        <v>28416.613409219077</v>
      </c>
      <c r="H1291" t="s">
        <v>2105</v>
      </c>
      <c r="I1291" t="s">
        <v>625</v>
      </c>
      <c r="J1291" t="s">
        <v>604</v>
      </c>
      <c r="K1291" t="s">
        <v>610</v>
      </c>
      <c r="L1291">
        <v>20</v>
      </c>
    </row>
    <row r="1292" spans="2:12" ht="15" customHeight="1">
      <c r="B1292" t="s">
        <v>2106</v>
      </c>
      <c r="C1292">
        <v>600000</v>
      </c>
      <c r="D1292" t="s">
        <v>247</v>
      </c>
      <c r="E1292">
        <v>10684.750012465542</v>
      </c>
      <c r="F1292" s="3">
        <f>(tblSalaries[[#This Row],[clean Salary (in local currency)]])*(VLOOKUP(tblSalaries[[#This Row],[Currency]],Sheet3!$A$2:$C$31,3,FALSE))*(VLOOKUP(tblSalaries[[#This Row],[Currency]],Sheet1!$N$4:$Q$186,4,FALSE))</f>
        <v>28416.613409219077</v>
      </c>
      <c r="G1292" s="4">
        <f>IF(Dashboard!$J$5=VLOOKUP(tblSalaries[[#This Row],[Currency]],Sheet3!$A$2:$B$31,2,FALSE),tblSalaries[[#This Row],[clean Salary (in local currency)]],(tblSalaries[[#This Row],[PPP Adjusted  USD]]/VLOOKUP(Dashboard!$J$5,Sheet3!$B$2:$C$31,2,FALSE)))</f>
        <v>28416.613409219077</v>
      </c>
      <c r="H1292" t="s">
        <v>889</v>
      </c>
      <c r="I1292" t="s">
        <v>625</v>
      </c>
      <c r="J1292" t="s">
        <v>604</v>
      </c>
      <c r="K1292" t="s">
        <v>617</v>
      </c>
      <c r="L1292">
        <v>18</v>
      </c>
    </row>
    <row r="1293" spans="2:12" ht="15" customHeight="1">
      <c r="B1293" t="s">
        <v>2187</v>
      </c>
      <c r="C1293">
        <v>600000</v>
      </c>
      <c r="D1293" t="s">
        <v>247</v>
      </c>
      <c r="E1293">
        <v>10684.750012465542</v>
      </c>
      <c r="F1293" s="3">
        <f>(tblSalaries[[#This Row],[clean Salary (in local currency)]])*(VLOOKUP(tblSalaries[[#This Row],[Currency]],Sheet3!$A$2:$C$31,3,FALSE))*(VLOOKUP(tblSalaries[[#This Row],[Currency]],Sheet1!$N$4:$Q$186,4,FALSE))</f>
        <v>28416.613409219077</v>
      </c>
      <c r="G1293" s="4">
        <f>IF(Dashboard!$J$5=VLOOKUP(tblSalaries[[#This Row],[Currency]],Sheet3!$A$2:$B$31,2,FALSE),tblSalaries[[#This Row],[clean Salary (in local currency)]],(tblSalaries[[#This Row],[PPP Adjusted  USD]]/VLOOKUP(Dashboard!$J$5,Sheet3!$B$2:$C$31,2,FALSE)))</f>
        <v>28416.613409219077</v>
      </c>
      <c r="H1293" t="s">
        <v>2188</v>
      </c>
      <c r="I1293" t="s">
        <v>625</v>
      </c>
      <c r="J1293" t="s">
        <v>604</v>
      </c>
      <c r="K1293" t="s">
        <v>610</v>
      </c>
      <c r="L1293">
        <v>5</v>
      </c>
    </row>
    <row r="1294" spans="2:12" ht="15" customHeight="1">
      <c r="B1294" t="s">
        <v>2222</v>
      </c>
      <c r="C1294">
        <v>600000</v>
      </c>
      <c r="D1294" t="s">
        <v>247</v>
      </c>
      <c r="E1294">
        <v>10684.750012465542</v>
      </c>
      <c r="F1294" s="3">
        <f>(tblSalaries[[#This Row],[clean Salary (in local currency)]])*(VLOOKUP(tblSalaries[[#This Row],[Currency]],Sheet3!$A$2:$C$31,3,FALSE))*(VLOOKUP(tblSalaries[[#This Row],[Currency]],Sheet1!$N$4:$Q$186,4,FALSE))</f>
        <v>28416.613409219077</v>
      </c>
      <c r="G1294" s="4">
        <f>IF(Dashboard!$J$5=VLOOKUP(tblSalaries[[#This Row],[Currency]],Sheet3!$A$2:$B$31,2,FALSE),tblSalaries[[#This Row],[clean Salary (in local currency)]],(tblSalaries[[#This Row],[PPP Adjusted  USD]]/VLOOKUP(Dashboard!$J$5,Sheet3!$B$2:$C$31,2,FALSE)))</f>
        <v>28416.613409219077</v>
      </c>
      <c r="H1294" t="s">
        <v>625</v>
      </c>
      <c r="I1294" t="s">
        <v>625</v>
      </c>
      <c r="J1294" t="s">
        <v>604</v>
      </c>
      <c r="K1294" t="s">
        <v>610</v>
      </c>
      <c r="L1294">
        <v>9</v>
      </c>
    </row>
    <row r="1295" spans="2:12" ht="15" customHeight="1">
      <c r="B1295" t="s">
        <v>2254</v>
      </c>
      <c r="C1295">
        <v>600000</v>
      </c>
      <c r="D1295" t="s">
        <v>247</v>
      </c>
      <c r="E1295">
        <v>10684.750012465542</v>
      </c>
      <c r="F1295" s="3">
        <f>(tblSalaries[[#This Row],[clean Salary (in local currency)]])*(VLOOKUP(tblSalaries[[#This Row],[Currency]],Sheet3!$A$2:$C$31,3,FALSE))*(VLOOKUP(tblSalaries[[#This Row],[Currency]],Sheet1!$N$4:$Q$186,4,FALSE))</f>
        <v>28416.613409219077</v>
      </c>
      <c r="G1295" s="4">
        <f>IF(Dashboard!$J$5=VLOOKUP(tblSalaries[[#This Row],[Currency]],Sheet3!$A$2:$B$31,2,FALSE),tblSalaries[[#This Row],[clean Salary (in local currency)]],(tblSalaries[[#This Row],[PPP Adjusted  USD]]/VLOOKUP(Dashboard!$J$5,Sheet3!$B$2:$C$31,2,FALSE)))</f>
        <v>28416.613409219077</v>
      </c>
      <c r="H1295" t="s">
        <v>745</v>
      </c>
      <c r="I1295" t="s">
        <v>603</v>
      </c>
      <c r="J1295" t="s">
        <v>604</v>
      </c>
      <c r="K1295" t="s">
        <v>610</v>
      </c>
      <c r="L1295">
        <v>8</v>
      </c>
    </row>
    <row r="1296" spans="2:12" ht="15" customHeight="1">
      <c r="B1296" t="s">
        <v>2287</v>
      </c>
      <c r="C1296">
        <v>600000</v>
      </c>
      <c r="D1296" t="s">
        <v>247</v>
      </c>
      <c r="E1296">
        <v>10684.750012465542</v>
      </c>
      <c r="F1296" s="3">
        <f>(tblSalaries[[#This Row],[clean Salary (in local currency)]])*(VLOOKUP(tblSalaries[[#This Row],[Currency]],Sheet3!$A$2:$C$31,3,FALSE))*(VLOOKUP(tblSalaries[[#This Row],[Currency]],Sheet1!$N$4:$Q$186,4,FALSE))</f>
        <v>28416.613409219077</v>
      </c>
      <c r="G1296" s="4">
        <f>IF(Dashboard!$J$5=VLOOKUP(tblSalaries[[#This Row],[Currency]],Sheet3!$A$2:$B$31,2,FALSE),tblSalaries[[#This Row],[clean Salary (in local currency)]],(tblSalaries[[#This Row],[PPP Adjusted  USD]]/VLOOKUP(Dashboard!$J$5,Sheet3!$B$2:$C$31,2,FALSE)))</f>
        <v>28416.613409219077</v>
      </c>
      <c r="H1296" t="s">
        <v>2288</v>
      </c>
      <c r="I1296" t="s">
        <v>603</v>
      </c>
      <c r="J1296" t="s">
        <v>604</v>
      </c>
      <c r="K1296" t="s">
        <v>605</v>
      </c>
      <c r="L1296">
        <v>11</v>
      </c>
    </row>
    <row r="1297" spans="2:12" ht="15" customHeight="1">
      <c r="B1297" t="s">
        <v>2289</v>
      </c>
      <c r="C1297">
        <v>600000</v>
      </c>
      <c r="D1297" t="s">
        <v>247</v>
      </c>
      <c r="E1297">
        <v>10684.750012465542</v>
      </c>
      <c r="F1297" s="3">
        <f>(tblSalaries[[#This Row],[clean Salary (in local currency)]])*(VLOOKUP(tblSalaries[[#This Row],[Currency]],Sheet3!$A$2:$C$31,3,FALSE))*(VLOOKUP(tblSalaries[[#This Row],[Currency]],Sheet1!$N$4:$Q$186,4,FALSE))</f>
        <v>28416.613409219077</v>
      </c>
      <c r="G1297" s="4">
        <f>IF(Dashboard!$J$5=VLOOKUP(tblSalaries[[#This Row],[Currency]],Sheet3!$A$2:$B$31,2,FALSE),tblSalaries[[#This Row],[clean Salary (in local currency)]],(tblSalaries[[#This Row],[PPP Adjusted  USD]]/VLOOKUP(Dashboard!$J$5,Sheet3!$B$2:$C$31,2,FALSE)))</f>
        <v>28416.613409219077</v>
      </c>
      <c r="H1297" t="s">
        <v>1792</v>
      </c>
      <c r="I1297" t="s">
        <v>603</v>
      </c>
      <c r="J1297" t="s">
        <v>604</v>
      </c>
      <c r="K1297" t="s">
        <v>617</v>
      </c>
      <c r="L1297">
        <v>4</v>
      </c>
    </row>
    <row r="1298" spans="2:12" ht="15" customHeight="1">
      <c r="B1298" t="s">
        <v>2431</v>
      </c>
      <c r="C1298">
        <v>600000</v>
      </c>
      <c r="D1298" t="s">
        <v>247</v>
      </c>
      <c r="E1298">
        <v>10684.750012465542</v>
      </c>
      <c r="F1298" s="3">
        <f>(tblSalaries[[#This Row],[clean Salary (in local currency)]])*(VLOOKUP(tblSalaries[[#This Row],[Currency]],Sheet3!$A$2:$C$31,3,FALSE))*(VLOOKUP(tblSalaries[[#This Row],[Currency]],Sheet1!$N$4:$Q$186,4,FALSE))</f>
        <v>28416.613409219077</v>
      </c>
      <c r="G1298" s="4">
        <f>IF(Dashboard!$J$5=VLOOKUP(tblSalaries[[#This Row],[Currency]],Sheet3!$A$2:$B$31,2,FALSE),tblSalaries[[#This Row],[clean Salary (in local currency)]],(tblSalaries[[#This Row],[PPP Adjusted  USD]]/VLOOKUP(Dashboard!$J$5,Sheet3!$B$2:$C$31,2,FALSE)))</f>
        <v>28416.613409219077</v>
      </c>
      <c r="H1298" t="s">
        <v>899</v>
      </c>
      <c r="I1298" t="s">
        <v>603</v>
      </c>
      <c r="J1298" t="s">
        <v>604</v>
      </c>
      <c r="K1298" t="s">
        <v>610</v>
      </c>
      <c r="L1298">
        <v>12</v>
      </c>
    </row>
    <row r="1299" spans="2:12" ht="15" customHeight="1">
      <c r="B1299" t="s">
        <v>2505</v>
      </c>
      <c r="C1299">
        <v>600000</v>
      </c>
      <c r="D1299" t="s">
        <v>247</v>
      </c>
      <c r="E1299">
        <v>10684.750012465542</v>
      </c>
      <c r="F1299" s="3">
        <f>(tblSalaries[[#This Row],[clean Salary (in local currency)]])*(VLOOKUP(tblSalaries[[#This Row],[Currency]],Sheet3!$A$2:$C$31,3,FALSE))*(VLOOKUP(tblSalaries[[#This Row],[Currency]],Sheet1!$N$4:$Q$186,4,FALSE))</f>
        <v>28416.613409219077</v>
      </c>
      <c r="G1299" s="4">
        <f>IF(Dashboard!$J$5=VLOOKUP(tblSalaries[[#This Row],[Currency]],Sheet3!$A$2:$B$31,2,FALSE),tblSalaries[[#This Row],[clean Salary (in local currency)]],(tblSalaries[[#This Row],[PPP Adjusted  USD]]/VLOOKUP(Dashboard!$J$5,Sheet3!$B$2:$C$31,2,FALSE)))</f>
        <v>28416.613409219077</v>
      </c>
      <c r="H1299" t="s">
        <v>2506</v>
      </c>
      <c r="I1299" t="s">
        <v>603</v>
      </c>
      <c r="J1299" t="s">
        <v>604</v>
      </c>
      <c r="K1299" t="s">
        <v>605</v>
      </c>
      <c r="L1299">
        <v>10</v>
      </c>
    </row>
    <row r="1300" spans="2:12" ht="15" customHeight="1">
      <c r="B1300" t="s">
        <v>2538</v>
      </c>
      <c r="C1300">
        <v>600000</v>
      </c>
      <c r="D1300" t="s">
        <v>247</v>
      </c>
      <c r="E1300">
        <v>10684.750012465542</v>
      </c>
      <c r="F1300" s="3">
        <f>(tblSalaries[[#This Row],[clean Salary (in local currency)]])*(VLOOKUP(tblSalaries[[#This Row],[Currency]],Sheet3!$A$2:$C$31,3,FALSE))*(VLOOKUP(tblSalaries[[#This Row],[Currency]],Sheet1!$N$4:$Q$186,4,FALSE))</f>
        <v>28416.613409219077</v>
      </c>
      <c r="G1300" s="4">
        <f>IF(Dashboard!$J$5=VLOOKUP(tblSalaries[[#This Row],[Currency]],Sheet3!$A$2:$B$31,2,FALSE),tblSalaries[[#This Row],[clean Salary (in local currency)]],(tblSalaries[[#This Row],[PPP Adjusted  USD]]/VLOOKUP(Dashboard!$J$5,Sheet3!$B$2:$C$31,2,FALSE)))</f>
        <v>28416.613409219077</v>
      </c>
      <c r="H1300" t="s">
        <v>2539</v>
      </c>
      <c r="I1300" t="s">
        <v>637</v>
      </c>
      <c r="J1300" t="s">
        <v>604</v>
      </c>
      <c r="K1300" t="s">
        <v>617</v>
      </c>
      <c r="L1300">
        <v>8</v>
      </c>
    </row>
    <row r="1301" spans="2:12" ht="15" customHeight="1">
      <c r="B1301" t="s">
        <v>2846</v>
      </c>
      <c r="C1301">
        <v>600000</v>
      </c>
      <c r="D1301" t="s">
        <v>247</v>
      </c>
      <c r="E1301">
        <v>10684.750012465542</v>
      </c>
      <c r="F1301" s="3">
        <f>(tblSalaries[[#This Row],[clean Salary (in local currency)]])*(VLOOKUP(tblSalaries[[#This Row],[Currency]],Sheet3!$A$2:$C$31,3,FALSE))*(VLOOKUP(tblSalaries[[#This Row],[Currency]],Sheet1!$N$4:$Q$186,4,FALSE))</f>
        <v>28416.613409219077</v>
      </c>
      <c r="G1301" s="4">
        <f>IF(Dashboard!$J$5=VLOOKUP(tblSalaries[[#This Row],[Currency]],Sheet3!$A$2:$B$31,2,FALSE),tblSalaries[[#This Row],[clean Salary (in local currency)]],(tblSalaries[[#This Row],[PPP Adjusted  USD]]/VLOOKUP(Dashboard!$J$5,Sheet3!$B$2:$C$31,2,FALSE)))</f>
        <v>28416.613409219077</v>
      </c>
      <c r="H1301" t="s">
        <v>2847</v>
      </c>
      <c r="I1301" t="s">
        <v>625</v>
      </c>
      <c r="J1301" t="s">
        <v>604</v>
      </c>
      <c r="K1301" t="s">
        <v>617</v>
      </c>
      <c r="L1301">
        <v>2</v>
      </c>
    </row>
    <row r="1302" spans="2:12" ht="15" customHeight="1">
      <c r="B1302" t="s">
        <v>2879</v>
      </c>
      <c r="C1302">
        <v>600000</v>
      </c>
      <c r="D1302" t="s">
        <v>247</v>
      </c>
      <c r="E1302">
        <v>10684.750012465542</v>
      </c>
      <c r="F1302" s="3">
        <f>(tblSalaries[[#This Row],[clean Salary (in local currency)]])*(VLOOKUP(tblSalaries[[#This Row],[Currency]],Sheet3!$A$2:$C$31,3,FALSE))*(VLOOKUP(tblSalaries[[#This Row],[Currency]],Sheet1!$N$4:$Q$186,4,FALSE))</f>
        <v>28416.613409219077</v>
      </c>
      <c r="G1302" s="4">
        <f>IF(Dashboard!$J$5=VLOOKUP(tblSalaries[[#This Row],[Currency]],Sheet3!$A$2:$B$31,2,FALSE),tblSalaries[[#This Row],[clean Salary (in local currency)]],(tblSalaries[[#This Row],[PPP Adjusted  USD]]/VLOOKUP(Dashboard!$J$5,Sheet3!$B$2:$C$31,2,FALSE)))</f>
        <v>28416.613409219077</v>
      </c>
      <c r="H1302" t="s">
        <v>1278</v>
      </c>
      <c r="I1302" t="s">
        <v>625</v>
      </c>
      <c r="J1302" t="s">
        <v>604</v>
      </c>
      <c r="K1302" t="s">
        <v>617</v>
      </c>
      <c r="L1302">
        <v>28</v>
      </c>
    </row>
    <row r="1303" spans="2:12" ht="15" customHeight="1">
      <c r="B1303" t="s">
        <v>2911</v>
      </c>
      <c r="C1303">
        <v>600000</v>
      </c>
      <c r="D1303" t="s">
        <v>247</v>
      </c>
      <c r="E1303">
        <v>10684.750012465542</v>
      </c>
      <c r="F1303" s="3">
        <f>(tblSalaries[[#This Row],[clean Salary (in local currency)]])*(VLOOKUP(tblSalaries[[#This Row],[Currency]],Sheet3!$A$2:$C$31,3,FALSE))*(VLOOKUP(tblSalaries[[#This Row],[Currency]],Sheet1!$N$4:$Q$186,4,FALSE))</f>
        <v>28416.613409219077</v>
      </c>
      <c r="G1303" s="4">
        <f>IF(Dashboard!$J$5=VLOOKUP(tblSalaries[[#This Row],[Currency]],Sheet3!$A$2:$B$31,2,FALSE),tblSalaries[[#This Row],[clean Salary (in local currency)]],(tblSalaries[[#This Row],[PPP Adjusted  USD]]/VLOOKUP(Dashboard!$J$5,Sheet3!$B$2:$C$31,2,FALSE)))</f>
        <v>28416.613409219077</v>
      </c>
      <c r="H1303" t="s">
        <v>2190</v>
      </c>
      <c r="I1303" t="s">
        <v>625</v>
      </c>
      <c r="J1303" t="s">
        <v>604</v>
      </c>
      <c r="K1303" t="s">
        <v>627</v>
      </c>
      <c r="L1303">
        <v>7</v>
      </c>
    </row>
    <row r="1304" spans="2:12" ht="15" customHeight="1">
      <c r="B1304" t="s">
        <v>3092</v>
      </c>
      <c r="C1304">
        <v>600000</v>
      </c>
      <c r="D1304" t="s">
        <v>247</v>
      </c>
      <c r="E1304">
        <v>10684.750012465542</v>
      </c>
      <c r="F1304" s="3">
        <f>(tblSalaries[[#This Row],[clean Salary (in local currency)]])*(VLOOKUP(tblSalaries[[#This Row],[Currency]],Sheet3!$A$2:$C$31,3,FALSE))*(VLOOKUP(tblSalaries[[#This Row],[Currency]],Sheet1!$N$4:$Q$186,4,FALSE))</f>
        <v>28416.613409219077</v>
      </c>
      <c r="G1304" s="4">
        <f>IF(Dashboard!$J$5=VLOOKUP(tblSalaries[[#This Row],[Currency]],Sheet3!$A$2:$B$31,2,FALSE),tblSalaries[[#This Row],[clean Salary (in local currency)]],(tblSalaries[[#This Row],[PPP Adjusted  USD]]/VLOOKUP(Dashboard!$J$5,Sheet3!$B$2:$C$31,2,FALSE)))</f>
        <v>28416.613409219077</v>
      </c>
      <c r="H1304" t="s">
        <v>702</v>
      </c>
      <c r="I1304" t="s">
        <v>692</v>
      </c>
      <c r="J1304" t="s">
        <v>604</v>
      </c>
      <c r="K1304" t="s">
        <v>617</v>
      </c>
      <c r="L1304">
        <v>36</v>
      </c>
    </row>
    <row r="1305" spans="2:12" ht="15" customHeight="1">
      <c r="B1305" t="s">
        <v>3503</v>
      </c>
      <c r="C1305">
        <v>600000</v>
      </c>
      <c r="D1305" t="s">
        <v>247</v>
      </c>
      <c r="E1305">
        <v>10684.750012465542</v>
      </c>
      <c r="F1305" s="3">
        <f>(tblSalaries[[#This Row],[clean Salary (in local currency)]])*(VLOOKUP(tblSalaries[[#This Row],[Currency]],Sheet3!$A$2:$C$31,3,FALSE))*(VLOOKUP(tblSalaries[[#This Row],[Currency]],Sheet1!$N$4:$Q$186,4,FALSE))</f>
        <v>28416.613409219077</v>
      </c>
      <c r="G1305" s="4">
        <f>IF(Dashboard!$J$5=VLOOKUP(tblSalaries[[#This Row],[Currency]],Sheet3!$A$2:$B$31,2,FALSE),tblSalaries[[#This Row],[clean Salary (in local currency)]],(tblSalaries[[#This Row],[PPP Adjusted  USD]]/VLOOKUP(Dashboard!$J$5,Sheet3!$B$2:$C$31,2,FALSE)))</f>
        <v>28416.613409219077</v>
      </c>
      <c r="H1305" t="s">
        <v>3504</v>
      </c>
      <c r="I1305" t="s">
        <v>603</v>
      </c>
      <c r="J1305" t="s">
        <v>604</v>
      </c>
      <c r="K1305" t="s">
        <v>610</v>
      </c>
      <c r="L1305">
        <v>5</v>
      </c>
    </row>
    <row r="1306" spans="2:12" ht="15" customHeight="1">
      <c r="B1306" t="s">
        <v>3751</v>
      </c>
      <c r="C1306">
        <v>600000</v>
      </c>
      <c r="D1306" t="s">
        <v>247</v>
      </c>
      <c r="E1306">
        <v>10684.750012465542</v>
      </c>
      <c r="F1306" s="3">
        <f>(tblSalaries[[#This Row],[clean Salary (in local currency)]])*(VLOOKUP(tblSalaries[[#This Row],[Currency]],Sheet3!$A$2:$C$31,3,FALSE))*(VLOOKUP(tblSalaries[[#This Row],[Currency]],Sheet1!$N$4:$Q$186,4,FALSE))</f>
        <v>28416.613409219077</v>
      </c>
      <c r="G1306" s="4">
        <f>IF(Dashboard!$J$5=VLOOKUP(tblSalaries[[#This Row],[Currency]],Sheet3!$A$2:$B$31,2,FALSE),tblSalaries[[#This Row],[clean Salary (in local currency)]],(tblSalaries[[#This Row],[PPP Adjusted  USD]]/VLOOKUP(Dashboard!$J$5,Sheet3!$B$2:$C$31,2,FALSE)))</f>
        <v>28416.613409219077</v>
      </c>
      <c r="H1306" t="s">
        <v>3752</v>
      </c>
      <c r="I1306" t="s">
        <v>625</v>
      </c>
      <c r="J1306" t="s">
        <v>604</v>
      </c>
      <c r="K1306" t="s">
        <v>605</v>
      </c>
      <c r="L1306">
        <v>12</v>
      </c>
    </row>
    <row r="1307" spans="2:12" ht="15" customHeight="1">
      <c r="B1307" t="s">
        <v>635</v>
      </c>
      <c r="C1307">
        <v>1152000</v>
      </c>
      <c r="D1307" t="s">
        <v>461</v>
      </c>
      <c r="E1307">
        <v>12227.430201752599</v>
      </c>
      <c r="F1307" s="3">
        <f>(tblSalaries[[#This Row],[clean Salary (in local currency)]])*(VLOOKUP(tblSalaries[[#This Row],[Currency]],Sheet3!$A$2:$C$31,3,FALSE))*(VLOOKUP(tblSalaries[[#This Row],[Currency]],Sheet1!$N$4:$Q$186,4,FALSE))</f>
        <v>28371.521746019225</v>
      </c>
      <c r="G1307" s="4">
        <f>IF(Dashboard!$J$5=VLOOKUP(tblSalaries[[#This Row],[Currency]],Sheet3!$A$2:$B$31,2,FALSE),tblSalaries[[#This Row],[clean Salary (in local currency)]],(tblSalaries[[#This Row],[PPP Adjusted  USD]]/VLOOKUP(Dashboard!$J$5,Sheet3!$B$2:$C$31,2,FALSE)))</f>
        <v>28371.521746019225</v>
      </c>
      <c r="H1307" t="s">
        <v>636</v>
      </c>
      <c r="I1307" t="s">
        <v>637</v>
      </c>
      <c r="J1307" t="s">
        <v>616</v>
      </c>
      <c r="K1307" t="s">
        <v>610</v>
      </c>
      <c r="L1307" t="s">
        <v>3847</v>
      </c>
    </row>
    <row r="1308" spans="2:12" ht="15" customHeight="1">
      <c r="B1308" t="s">
        <v>998</v>
      </c>
      <c r="C1308">
        <v>28000</v>
      </c>
      <c r="D1308" t="s">
        <v>252</v>
      </c>
      <c r="E1308">
        <v>28000</v>
      </c>
      <c r="F1308" s="3">
        <f>(tblSalaries[[#This Row],[clean Salary (in local currency)]])*(VLOOKUP(tblSalaries[[#This Row],[Currency]],Sheet3!$A$2:$C$31,3,FALSE))*(VLOOKUP(tblSalaries[[#This Row],[Currency]],Sheet1!$N$4:$Q$186,4,FALSE))</f>
        <v>28000</v>
      </c>
      <c r="G1308" s="4">
        <f>IF(Dashboard!$J$5=VLOOKUP(tblSalaries[[#This Row],[Currency]],Sheet3!$A$2:$B$31,2,FALSE),tblSalaries[[#This Row],[clean Salary (in local currency)]],(tblSalaries[[#This Row],[PPP Adjusted  USD]]/VLOOKUP(Dashboard!$J$5,Sheet3!$B$2:$C$31,2,FALSE)))</f>
        <v>28000</v>
      </c>
      <c r="H1308" t="s">
        <v>999</v>
      </c>
      <c r="I1308" t="s">
        <v>603</v>
      </c>
      <c r="J1308" t="s">
        <v>613</v>
      </c>
      <c r="K1308" t="s">
        <v>605</v>
      </c>
      <c r="L1308" t="s">
        <v>3847</v>
      </c>
    </row>
    <row r="1309" spans="2:12" ht="15" customHeight="1">
      <c r="B1309" t="s">
        <v>2425</v>
      </c>
      <c r="C1309">
        <v>28000</v>
      </c>
      <c r="D1309" t="s">
        <v>252</v>
      </c>
      <c r="E1309">
        <v>28000</v>
      </c>
      <c r="F1309" s="3">
        <f>(tblSalaries[[#This Row],[clean Salary (in local currency)]])*(VLOOKUP(tblSalaries[[#This Row],[Currency]],Sheet3!$A$2:$C$31,3,FALSE))*(VLOOKUP(tblSalaries[[#This Row],[Currency]],Sheet1!$N$4:$Q$186,4,FALSE))</f>
        <v>28000</v>
      </c>
      <c r="G1309" s="4">
        <f>IF(Dashboard!$J$5=VLOOKUP(tblSalaries[[#This Row],[Currency]],Sheet3!$A$2:$B$31,2,FALSE),tblSalaries[[#This Row],[clean Salary (in local currency)]],(tblSalaries[[#This Row],[PPP Adjusted  USD]]/VLOOKUP(Dashboard!$J$5,Sheet3!$B$2:$C$31,2,FALSE)))</f>
        <v>28000</v>
      </c>
      <c r="H1309" t="s">
        <v>2426</v>
      </c>
      <c r="I1309" t="s">
        <v>658</v>
      </c>
      <c r="J1309" t="s">
        <v>604</v>
      </c>
      <c r="K1309" t="s">
        <v>617</v>
      </c>
      <c r="L1309">
        <v>3</v>
      </c>
    </row>
    <row r="1310" spans="2:12" ht="15" customHeight="1">
      <c r="B1310" t="s">
        <v>2649</v>
      </c>
      <c r="C1310">
        <v>28000</v>
      </c>
      <c r="D1310" t="s">
        <v>252</v>
      </c>
      <c r="E1310">
        <v>28000</v>
      </c>
      <c r="F1310" s="3">
        <f>(tblSalaries[[#This Row],[clean Salary (in local currency)]])*(VLOOKUP(tblSalaries[[#This Row],[Currency]],Sheet3!$A$2:$C$31,3,FALSE))*(VLOOKUP(tblSalaries[[#This Row],[Currency]],Sheet1!$N$4:$Q$186,4,FALSE))</f>
        <v>28000</v>
      </c>
      <c r="G1310" s="4">
        <f>IF(Dashboard!$J$5=VLOOKUP(tblSalaries[[#This Row],[Currency]],Sheet3!$A$2:$B$31,2,FALSE),tblSalaries[[#This Row],[clean Salary (in local currency)]],(tblSalaries[[#This Row],[PPP Adjusted  USD]]/VLOOKUP(Dashboard!$J$5,Sheet3!$B$2:$C$31,2,FALSE)))</f>
        <v>28000</v>
      </c>
      <c r="H1310" t="s">
        <v>2650</v>
      </c>
      <c r="I1310" t="s">
        <v>625</v>
      </c>
      <c r="J1310" t="s">
        <v>689</v>
      </c>
      <c r="K1310" t="s">
        <v>605</v>
      </c>
      <c r="L1310">
        <v>5</v>
      </c>
    </row>
    <row r="1311" spans="2:12" ht="15" customHeight="1">
      <c r="B1311" t="s">
        <v>2655</v>
      </c>
      <c r="C1311">
        <v>27840</v>
      </c>
      <c r="D1311" t="s">
        <v>252</v>
      </c>
      <c r="E1311">
        <v>27840</v>
      </c>
      <c r="F1311" s="3">
        <f>(tblSalaries[[#This Row],[clean Salary (in local currency)]])*(VLOOKUP(tblSalaries[[#This Row],[Currency]],Sheet3!$A$2:$C$31,3,FALSE))*(VLOOKUP(tblSalaries[[#This Row],[Currency]],Sheet1!$N$4:$Q$186,4,FALSE))</f>
        <v>27840</v>
      </c>
      <c r="G1311" s="4">
        <f>IF(Dashboard!$J$5=VLOOKUP(tblSalaries[[#This Row],[Currency]],Sheet3!$A$2:$B$31,2,FALSE),tblSalaries[[#This Row],[clean Salary (in local currency)]],(tblSalaries[[#This Row],[PPP Adjusted  USD]]/VLOOKUP(Dashboard!$J$5,Sheet3!$B$2:$C$31,2,FALSE)))</f>
        <v>27840</v>
      </c>
      <c r="H1311" t="s">
        <v>2656</v>
      </c>
      <c r="I1311" t="s">
        <v>603</v>
      </c>
      <c r="J1311" t="s">
        <v>613</v>
      </c>
      <c r="K1311" t="s">
        <v>617</v>
      </c>
      <c r="L1311">
        <v>1</v>
      </c>
    </row>
    <row r="1312" spans="2:12" ht="15" customHeight="1">
      <c r="B1312" t="s">
        <v>2357</v>
      </c>
      <c r="C1312">
        <v>35000</v>
      </c>
      <c r="D1312" t="s">
        <v>276</v>
      </c>
      <c r="E1312">
        <v>34417.653306061438</v>
      </c>
      <c r="F1312" s="3">
        <f>(tblSalaries[[#This Row],[clean Salary (in local currency)]])*(VLOOKUP(tblSalaries[[#This Row],[Currency]],Sheet3!$A$2:$C$31,3,FALSE))*(VLOOKUP(tblSalaries[[#This Row],[Currency]],Sheet1!$N$4:$Q$186,4,FALSE))</f>
        <v>27665.617112082062</v>
      </c>
      <c r="G1312" s="4">
        <f>IF(Dashboard!$J$5=VLOOKUP(tblSalaries[[#This Row],[Currency]],Sheet3!$A$2:$B$31,2,FALSE),tblSalaries[[#This Row],[clean Salary (in local currency)]],(tblSalaries[[#This Row],[PPP Adjusted  USD]]/VLOOKUP(Dashboard!$J$5,Sheet3!$B$2:$C$31,2,FALSE)))</f>
        <v>27665.617112082062</v>
      </c>
      <c r="H1312" t="s">
        <v>1951</v>
      </c>
      <c r="I1312" t="s">
        <v>603</v>
      </c>
      <c r="J1312" t="s">
        <v>708</v>
      </c>
      <c r="K1312" t="s">
        <v>610</v>
      </c>
      <c r="L1312">
        <v>4</v>
      </c>
    </row>
    <row r="1313" spans="2:12" ht="15" customHeight="1">
      <c r="B1313" t="s">
        <v>1125</v>
      </c>
      <c r="C1313">
        <v>27600</v>
      </c>
      <c r="D1313" t="s">
        <v>252</v>
      </c>
      <c r="E1313">
        <v>27600</v>
      </c>
      <c r="F1313" s="3">
        <f>(tblSalaries[[#This Row],[clean Salary (in local currency)]])*(VLOOKUP(tblSalaries[[#This Row],[Currency]],Sheet3!$A$2:$C$31,3,FALSE))*(VLOOKUP(tblSalaries[[#This Row],[Currency]],Sheet1!$N$4:$Q$186,4,FALSE))</f>
        <v>27600</v>
      </c>
      <c r="G1313" s="4">
        <f>IF(Dashboard!$J$5=VLOOKUP(tblSalaries[[#This Row],[Currency]],Sheet3!$A$2:$B$31,2,FALSE),tblSalaries[[#This Row],[clean Salary (in local currency)]],(tblSalaries[[#This Row],[PPP Adjusted  USD]]/VLOOKUP(Dashboard!$J$5,Sheet3!$B$2:$C$31,2,FALSE)))</f>
        <v>27600</v>
      </c>
      <c r="H1313" t="s">
        <v>1126</v>
      </c>
      <c r="I1313" t="s">
        <v>692</v>
      </c>
      <c r="J1313" t="s">
        <v>1035</v>
      </c>
      <c r="K1313" t="s">
        <v>610</v>
      </c>
      <c r="L1313" t="s">
        <v>3847</v>
      </c>
    </row>
    <row r="1314" spans="2:12" ht="15" customHeight="1">
      <c r="B1314" t="s">
        <v>1654</v>
      </c>
      <c r="C1314">
        <v>27500</v>
      </c>
      <c r="D1314" t="s">
        <v>252</v>
      </c>
      <c r="E1314">
        <v>27500</v>
      </c>
      <c r="F1314" s="3">
        <f>(tblSalaries[[#This Row],[clean Salary (in local currency)]])*(VLOOKUP(tblSalaries[[#This Row],[Currency]],Sheet3!$A$2:$C$31,3,FALSE))*(VLOOKUP(tblSalaries[[#This Row],[Currency]],Sheet1!$N$4:$Q$186,4,FALSE))</f>
        <v>27500</v>
      </c>
      <c r="G1314" s="4">
        <f>IF(Dashboard!$J$5=VLOOKUP(tblSalaries[[#This Row],[Currency]],Sheet3!$A$2:$B$31,2,FALSE),tblSalaries[[#This Row],[clean Salary (in local currency)]],(tblSalaries[[#This Row],[PPP Adjusted  USD]]/VLOOKUP(Dashboard!$J$5,Sheet3!$B$2:$C$31,2,FALSE)))</f>
        <v>27500</v>
      </c>
      <c r="H1314" t="s">
        <v>1569</v>
      </c>
      <c r="I1314" t="s">
        <v>603</v>
      </c>
      <c r="J1314" t="s">
        <v>613</v>
      </c>
      <c r="K1314" t="s">
        <v>610</v>
      </c>
      <c r="L1314">
        <v>1</v>
      </c>
    </row>
    <row r="1315" spans="2:12" ht="15" customHeight="1">
      <c r="B1315" t="s">
        <v>974</v>
      </c>
      <c r="C1315">
        <v>18500</v>
      </c>
      <c r="D1315" t="s">
        <v>204</v>
      </c>
      <c r="E1315">
        <v>29159.298033244755</v>
      </c>
      <c r="F1315" s="3">
        <f>(tblSalaries[[#This Row],[clean Salary (in local currency)]])*(VLOOKUP(tblSalaries[[#This Row],[Currency]],Sheet3!$A$2:$C$31,3,FALSE))*(VLOOKUP(tblSalaries[[#This Row],[Currency]],Sheet1!$N$4:$Q$186,4,FALSE))</f>
        <v>27268.467292137906</v>
      </c>
      <c r="G1315" s="4">
        <f>IF(Dashboard!$J$5=VLOOKUP(tblSalaries[[#This Row],[Currency]],Sheet3!$A$2:$B$31,2,FALSE),tblSalaries[[#This Row],[clean Salary (in local currency)]],(tblSalaries[[#This Row],[PPP Adjusted  USD]]/VLOOKUP(Dashboard!$J$5,Sheet3!$B$2:$C$31,2,FALSE)))</f>
        <v>27268.467292137906</v>
      </c>
      <c r="H1315" t="s">
        <v>975</v>
      </c>
      <c r="I1315" t="s">
        <v>625</v>
      </c>
      <c r="J1315" t="s">
        <v>687</v>
      </c>
      <c r="K1315" t="s">
        <v>610</v>
      </c>
      <c r="L1315" t="s">
        <v>3847</v>
      </c>
    </row>
    <row r="1316" spans="2:12" ht="15" customHeight="1">
      <c r="B1316" t="s">
        <v>2860</v>
      </c>
      <c r="C1316">
        <v>575000</v>
      </c>
      <c r="D1316" t="s">
        <v>247</v>
      </c>
      <c r="E1316">
        <v>10239.552095279476</v>
      </c>
      <c r="F1316" s="3">
        <f>(tblSalaries[[#This Row],[clean Salary (in local currency)]])*(VLOOKUP(tblSalaries[[#This Row],[Currency]],Sheet3!$A$2:$C$31,3,FALSE))*(VLOOKUP(tblSalaries[[#This Row],[Currency]],Sheet1!$N$4:$Q$186,4,FALSE))</f>
        <v>27232.587850501608</v>
      </c>
      <c r="G1316" s="4">
        <f>IF(Dashboard!$J$5=VLOOKUP(tblSalaries[[#This Row],[Currency]],Sheet3!$A$2:$B$31,2,FALSE),tblSalaries[[#This Row],[clean Salary (in local currency)]],(tblSalaries[[#This Row],[PPP Adjusted  USD]]/VLOOKUP(Dashboard!$J$5,Sheet3!$B$2:$C$31,2,FALSE)))</f>
        <v>27232.587850501608</v>
      </c>
      <c r="H1316" t="s">
        <v>2861</v>
      </c>
      <c r="I1316" t="s">
        <v>625</v>
      </c>
      <c r="J1316" t="s">
        <v>604</v>
      </c>
      <c r="K1316" t="s">
        <v>617</v>
      </c>
      <c r="L1316">
        <v>5</v>
      </c>
    </row>
    <row r="1317" spans="2:12" ht="15" customHeight="1">
      <c r="B1317" t="s">
        <v>2671</v>
      </c>
      <c r="C1317">
        <v>60000</v>
      </c>
      <c r="D1317" t="s">
        <v>476</v>
      </c>
      <c r="E1317">
        <v>18018.883790212141</v>
      </c>
      <c r="F1317" s="3">
        <f>(tblSalaries[[#This Row],[clean Salary (in local currency)]])*(VLOOKUP(tblSalaries[[#This Row],[Currency]],Sheet3!$A$2:$C$31,3,FALSE))*(VLOOKUP(tblSalaries[[#This Row],[Currency]],Sheet1!$N$4:$Q$186,4,FALSE))</f>
        <v>27060.816564109915</v>
      </c>
      <c r="G1317" s="4">
        <f>IF(Dashboard!$J$5=VLOOKUP(tblSalaries[[#This Row],[Currency]],Sheet3!$A$2:$B$31,2,FALSE),tblSalaries[[#This Row],[clean Salary (in local currency)]],(tblSalaries[[#This Row],[PPP Adjusted  USD]]/VLOOKUP(Dashboard!$J$5,Sheet3!$B$2:$C$31,2,FALSE)))</f>
        <v>27060.816564109915</v>
      </c>
      <c r="H1317" t="s">
        <v>745</v>
      </c>
      <c r="I1317" t="s">
        <v>603</v>
      </c>
      <c r="J1317" t="s">
        <v>689</v>
      </c>
      <c r="K1317" t="s">
        <v>610</v>
      </c>
      <c r="L1317">
        <v>10</v>
      </c>
    </row>
    <row r="1318" spans="2:12" ht="15" customHeight="1">
      <c r="B1318" t="s">
        <v>1033</v>
      </c>
      <c r="C1318">
        <v>27000</v>
      </c>
      <c r="D1318" t="s">
        <v>252</v>
      </c>
      <c r="E1318">
        <v>27000</v>
      </c>
      <c r="F1318" s="3">
        <f>(tblSalaries[[#This Row],[clean Salary (in local currency)]])*(VLOOKUP(tblSalaries[[#This Row],[Currency]],Sheet3!$A$2:$C$31,3,FALSE))*(VLOOKUP(tblSalaries[[#This Row],[Currency]],Sheet1!$N$4:$Q$186,4,FALSE))</f>
        <v>27000</v>
      </c>
      <c r="G1318" s="4">
        <f>IF(Dashboard!$J$5=VLOOKUP(tblSalaries[[#This Row],[Currency]],Sheet3!$A$2:$B$31,2,FALSE),tblSalaries[[#This Row],[clean Salary (in local currency)]],(tblSalaries[[#This Row],[PPP Adjusted  USD]]/VLOOKUP(Dashboard!$J$5,Sheet3!$B$2:$C$31,2,FALSE)))</f>
        <v>27000</v>
      </c>
      <c r="H1318" t="s">
        <v>1034</v>
      </c>
      <c r="I1318" t="s">
        <v>603</v>
      </c>
      <c r="J1318" t="s">
        <v>1035</v>
      </c>
      <c r="K1318" t="s">
        <v>610</v>
      </c>
      <c r="L1318" t="s">
        <v>3847</v>
      </c>
    </row>
    <row r="1319" spans="2:12" ht="15" customHeight="1">
      <c r="B1319" t="s">
        <v>2014</v>
      </c>
      <c r="C1319">
        <v>570000</v>
      </c>
      <c r="D1319" t="s">
        <v>247</v>
      </c>
      <c r="E1319">
        <v>10150.512511842264</v>
      </c>
      <c r="F1319" s="3">
        <f>(tblSalaries[[#This Row],[clean Salary (in local currency)]])*(VLOOKUP(tblSalaries[[#This Row],[Currency]],Sheet3!$A$2:$C$31,3,FALSE))*(VLOOKUP(tblSalaries[[#This Row],[Currency]],Sheet1!$N$4:$Q$186,4,FALSE))</f>
        <v>26995.78273875812</v>
      </c>
      <c r="G1319" s="4">
        <f>IF(Dashboard!$J$5=VLOOKUP(tblSalaries[[#This Row],[Currency]],Sheet3!$A$2:$B$31,2,FALSE),tblSalaries[[#This Row],[clean Salary (in local currency)]],(tblSalaries[[#This Row],[PPP Adjusted  USD]]/VLOOKUP(Dashboard!$J$5,Sheet3!$B$2:$C$31,2,FALSE)))</f>
        <v>26995.78273875812</v>
      </c>
      <c r="H1319" t="s">
        <v>603</v>
      </c>
      <c r="I1319" t="s">
        <v>603</v>
      </c>
      <c r="J1319" t="s">
        <v>604</v>
      </c>
      <c r="K1319" t="s">
        <v>610</v>
      </c>
      <c r="L1319">
        <v>2.4</v>
      </c>
    </row>
    <row r="1320" spans="2:12" ht="15" customHeight="1">
      <c r="B1320" t="s">
        <v>2402</v>
      </c>
      <c r="C1320">
        <v>570000</v>
      </c>
      <c r="D1320" t="s">
        <v>247</v>
      </c>
      <c r="E1320">
        <v>10150.512511842264</v>
      </c>
      <c r="F1320" s="3">
        <f>(tblSalaries[[#This Row],[clean Salary (in local currency)]])*(VLOOKUP(tblSalaries[[#This Row],[Currency]],Sheet3!$A$2:$C$31,3,FALSE))*(VLOOKUP(tblSalaries[[#This Row],[Currency]],Sheet1!$N$4:$Q$186,4,FALSE))</f>
        <v>26995.78273875812</v>
      </c>
      <c r="G1320" s="4">
        <f>IF(Dashboard!$J$5=VLOOKUP(tblSalaries[[#This Row],[Currency]],Sheet3!$A$2:$B$31,2,FALSE),tblSalaries[[#This Row],[clean Salary (in local currency)]],(tblSalaries[[#This Row],[PPP Adjusted  USD]]/VLOOKUP(Dashboard!$J$5,Sheet3!$B$2:$C$31,2,FALSE)))</f>
        <v>26995.78273875812</v>
      </c>
      <c r="H1320" t="s">
        <v>2403</v>
      </c>
      <c r="I1320" t="s">
        <v>603</v>
      </c>
      <c r="J1320" t="s">
        <v>604</v>
      </c>
      <c r="K1320" t="s">
        <v>605</v>
      </c>
      <c r="L1320">
        <v>5</v>
      </c>
    </row>
    <row r="1321" spans="2:12" ht="15" customHeight="1">
      <c r="B1321" t="s">
        <v>2322</v>
      </c>
      <c r="C1321">
        <v>43000</v>
      </c>
      <c r="D1321" t="s">
        <v>224</v>
      </c>
      <c r="E1321">
        <v>43856.11522531334</v>
      </c>
      <c r="F1321" s="3">
        <f>(tblSalaries[[#This Row],[clean Salary (in local currency)]])*(VLOOKUP(tblSalaries[[#This Row],[Currency]],Sheet3!$A$2:$C$31,3,FALSE))*(VLOOKUP(tblSalaries[[#This Row],[Currency]],Sheet1!$N$4:$Q$186,4,FALSE))</f>
        <v>26948.704502540277</v>
      </c>
      <c r="G1321" s="4">
        <f>IF(Dashboard!$J$5=VLOOKUP(tblSalaries[[#This Row],[Currency]],Sheet3!$A$2:$B$31,2,FALSE),tblSalaries[[#This Row],[clean Salary (in local currency)]],(tblSalaries[[#This Row],[PPP Adjusted  USD]]/VLOOKUP(Dashboard!$J$5,Sheet3!$B$2:$C$31,2,FALSE)))</f>
        <v>26948.704502540277</v>
      </c>
      <c r="H1321" t="s">
        <v>2323</v>
      </c>
      <c r="I1321" t="s">
        <v>625</v>
      </c>
      <c r="J1321" t="s">
        <v>703</v>
      </c>
      <c r="K1321" t="s">
        <v>610</v>
      </c>
      <c r="L1321">
        <v>1</v>
      </c>
    </row>
    <row r="1322" spans="2:12" ht="15" customHeight="1">
      <c r="B1322" t="s">
        <v>734</v>
      </c>
      <c r="C1322">
        <v>18000</v>
      </c>
      <c r="D1322" t="s">
        <v>204</v>
      </c>
      <c r="E1322">
        <v>28371.208897211112</v>
      </c>
      <c r="F1322" s="3">
        <f>(tblSalaries[[#This Row],[clean Salary (in local currency)]])*(VLOOKUP(tblSalaries[[#This Row],[Currency]],Sheet3!$A$2:$C$31,3,FALSE))*(VLOOKUP(tblSalaries[[#This Row],[Currency]],Sheet1!$N$4:$Q$186,4,FALSE))</f>
        <v>26531.481689647691</v>
      </c>
      <c r="G1322" s="4">
        <f>IF(Dashboard!$J$5=VLOOKUP(tblSalaries[[#This Row],[Currency]],Sheet3!$A$2:$B$31,2,FALSE),tblSalaries[[#This Row],[clean Salary (in local currency)]],(tblSalaries[[#This Row],[PPP Adjusted  USD]]/VLOOKUP(Dashboard!$J$5,Sheet3!$B$2:$C$31,2,FALSE)))</f>
        <v>26531.481689647691</v>
      </c>
      <c r="H1322" t="s">
        <v>735</v>
      </c>
      <c r="I1322" t="s">
        <v>625</v>
      </c>
      <c r="J1322" t="s">
        <v>687</v>
      </c>
      <c r="K1322" t="s">
        <v>627</v>
      </c>
      <c r="L1322" t="s">
        <v>3847</v>
      </c>
    </row>
    <row r="1323" spans="2:12" ht="15" customHeight="1">
      <c r="B1323" t="s">
        <v>3648</v>
      </c>
      <c r="C1323">
        <v>560000</v>
      </c>
      <c r="D1323" t="s">
        <v>247</v>
      </c>
      <c r="E1323">
        <v>9972.4333449678379</v>
      </c>
      <c r="F1323" s="3">
        <f>(tblSalaries[[#This Row],[clean Salary (in local currency)]])*(VLOOKUP(tblSalaries[[#This Row],[Currency]],Sheet3!$A$2:$C$31,3,FALSE))*(VLOOKUP(tblSalaries[[#This Row],[Currency]],Sheet1!$N$4:$Q$186,4,FALSE))</f>
        <v>26522.172515271133</v>
      </c>
      <c r="G1323" s="4">
        <f>IF(Dashboard!$J$5=VLOOKUP(tblSalaries[[#This Row],[Currency]],Sheet3!$A$2:$B$31,2,FALSE),tblSalaries[[#This Row],[clean Salary (in local currency)]],(tblSalaries[[#This Row],[PPP Adjusted  USD]]/VLOOKUP(Dashboard!$J$5,Sheet3!$B$2:$C$31,2,FALSE)))</f>
        <v>26522.172515271133</v>
      </c>
      <c r="H1323" t="s">
        <v>3649</v>
      </c>
      <c r="I1323" t="s">
        <v>625</v>
      </c>
      <c r="J1323" t="s">
        <v>604</v>
      </c>
      <c r="K1323" t="s">
        <v>617</v>
      </c>
      <c r="L1323">
        <v>4</v>
      </c>
    </row>
    <row r="1324" spans="2:12" ht="15" customHeight="1">
      <c r="B1324" t="s">
        <v>728</v>
      </c>
      <c r="C1324">
        <v>24000</v>
      </c>
      <c r="D1324" t="s">
        <v>200</v>
      </c>
      <c r="E1324">
        <v>30489.586535798586</v>
      </c>
      <c r="F1324" s="3">
        <f>(tblSalaries[[#This Row],[clean Salary (in local currency)]])*(VLOOKUP(tblSalaries[[#This Row],[Currency]],Sheet3!$A$2:$C$31,3,FALSE))*(VLOOKUP(tblSalaries[[#This Row],[Currency]],Sheet1!$N$4:$Q$186,4,FALSE))</f>
        <v>26415.669263521253</v>
      </c>
      <c r="G1324" s="4">
        <f>IF(Dashboard!$J$5=VLOOKUP(tblSalaries[[#This Row],[Currency]],Sheet3!$A$2:$B$31,2,FALSE),tblSalaries[[#This Row],[clean Salary (in local currency)]],(tblSalaries[[#This Row],[PPP Adjusted  USD]]/VLOOKUP(Dashboard!$J$5,Sheet3!$B$2:$C$31,2,FALSE)))</f>
        <v>26415.669263521253</v>
      </c>
      <c r="H1324" t="s">
        <v>729</v>
      </c>
      <c r="I1324" t="s">
        <v>625</v>
      </c>
      <c r="J1324" t="s">
        <v>626</v>
      </c>
      <c r="K1324" t="s">
        <v>610</v>
      </c>
      <c r="L1324" t="s">
        <v>3847</v>
      </c>
    </row>
    <row r="1325" spans="2:12" ht="15" customHeight="1">
      <c r="B1325" t="s">
        <v>2884</v>
      </c>
      <c r="C1325">
        <v>24000</v>
      </c>
      <c r="D1325" t="s">
        <v>200</v>
      </c>
      <c r="E1325">
        <v>30489.586535798586</v>
      </c>
      <c r="F1325" s="3">
        <f>(tblSalaries[[#This Row],[clean Salary (in local currency)]])*(VLOOKUP(tblSalaries[[#This Row],[Currency]],Sheet3!$A$2:$C$31,3,FALSE))*(VLOOKUP(tblSalaries[[#This Row],[Currency]],Sheet1!$N$4:$Q$186,4,FALSE))</f>
        <v>26415.669263521253</v>
      </c>
      <c r="G1325" s="4">
        <f>IF(Dashboard!$J$5=VLOOKUP(tblSalaries[[#This Row],[Currency]],Sheet3!$A$2:$B$31,2,FALSE),tblSalaries[[#This Row],[clean Salary (in local currency)]],(tblSalaries[[#This Row],[PPP Adjusted  USD]]/VLOOKUP(Dashboard!$J$5,Sheet3!$B$2:$C$31,2,FALSE)))</f>
        <v>26415.669263521253</v>
      </c>
      <c r="H1325" t="s">
        <v>608</v>
      </c>
      <c r="I1325" t="s">
        <v>608</v>
      </c>
      <c r="J1325" t="s">
        <v>2010</v>
      </c>
      <c r="K1325" t="s">
        <v>605</v>
      </c>
      <c r="L1325">
        <v>10</v>
      </c>
    </row>
    <row r="1326" spans="2:12" ht="15" customHeight="1">
      <c r="B1326" t="s">
        <v>2170</v>
      </c>
      <c r="C1326">
        <v>26400</v>
      </c>
      <c r="D1326" t="s">
        <v>252</v>
      </c>
      <c r="E1326">
        <v>26400</v>
      </c>
      <c r="F1326" s="3">
        <f>(tblSalaries[[#This Row],[clean Salary (in local currency)]])*(VLOOKUP(tblSalaries[[#This Row],[Currency]],Sheet3!$A$2:$C$31,3,FALSE))*(VLOOKUP(tblSalaries[[#This Row],[Currency]],Sheet1!$N$4:$Q$186,4,FALSE))</f>
        <v>26400</v>
      </c>
      <c r="G1326" s="4">
        <f>IF(Dashboard!$J$5=VLOOKUP(tblSalaries[[#This Row],[Currency]],Sheet3!$A$2:$B$31,2,FALSE),tblSalaries[[#This Row],[clean Salary (in local currency)]],(tblSalaries[[#This Row],[PPP Adjusted  USD]]/VLOOKUP(Dashboard!$J$5,Sheet3!$B$2:$C$31,2,FALSE)))</f>
        <v>26400</v>
      </c>
      <c r="H1326" t="s">
        <v>2171</v>
      </c>
      <c r="I1326" t="s">
        <v>603</v>
      </c>
      <c r="J1326" t="s">
        <v>770</v>
      </c>
      <c r="K1326" t="s">
        <v>610</v>
      </c>
      <c r="L1326">
        <v>6</v>
      </c>
    </row>
    <row r="1327" spans="2:12" ht="15" customHeight="1">
      <c r="B1327" t="s">
        <v>660</v>
      </c>
      <c r="C1327">
        <v>550000</v>
      </c>
      <c r="D1327" t="s">
        <v>247</v>
      </c>
      <c r="E1327">
        <v>9794.354178093412</v>
      </c>
      <c r="F1327" s="3">
        <f>(tblSalaries[[#This Row],[clean Salary (in local currency)]])*(VLOOKUP(tblSalaries[[#This Row],[Currency]],Sheet3!$A$2:$C$31,3,FALSE))*(VLOOKUP(tblSalaries[[#This Row],[Currency]],Sheet1!$N$4:$Q$186,4,FALSE))</f>
        <v>26048.56229178415</v>
      </c>
      <c r="G1327" s="4">
        <f>IF(Dashboard!$J$5=VLOOKUP(tblSalaries[[#This Row],[Currency]],Sheet3!$A$2:$B$31,2,FALSE),tblSalaries[[#This Row],[clean Salary (in local currency)]],(tblSalaries[[#This Row],[PPP Adjusted  USD]]/VLOOKUP(Dashboard!$J$5,Sheet3!$B$2:$C$31,2,FALSE)))</f>
        <v>26048.56229178415</v>
      </c>
      <c r="H1327" t="s">
        <v>661</v>
      </c>
      <c r="I1327" t="s">
        <v>625</v>
      </c>
      <c r="J1327" t="s">
        <v>604</v>
      </c>
      <c r="K1327" t="s">
        <v>617</v>
      </c>
      <c r="L1327" t="s">
        <v>3847</v>
      </c>
    </row>
    <row r="1328" spans="2:12" ht="15" customHeight="1">
      <c r="B1328" t="s">
        <v>2099</v>
      </c>
      <c r="C1328">
        <v>550000</v>
      </c>
      <c r="D1328" t="s">
        <v>247</v>
      </c>
      <c r="E1328">
        <v>9794.354178093412</v>
      </c>
      <c r="F1328" s="3">
        <f>(tblSalaries[[#This Row],[clean Salary (in local currency)]])*(VLOOKUP(tblSalaries[[#This Row],[Currency]],Sheet3!$A$2:$C$31,3,FALSE))*(VLOOKUP(tblSalaries[[#This Row],[Currency]],Sheet1!$N$4:$Q$186,4,FALSE))</f>
        <v>26048.56229178415</v>
      </c>
      <c r="G1328" s="4">
        <f>IF(Dashboard!$J$5=VLOOKUP(tblSalaries[[#This Row],[Currency]],Sheet3!$A$2:$B$31,2,FALSE),tblSalaries[[#This Row],[clean Salary (in local currency)]],(tblSalaries[[#This Row],[PPP Adjusted  USD]]/VLOOKUP(Dashboard!$J$5,Sheet3!$B$2:$C$31,2,FALSE)))</f>
        <v>26048.56229178415</v>
      </c>
      <c r="H1328" t="s">
        <v>1447</v>
      </c>
      <c r="I1328" t="s">
        <v>603</v>
      </c>
      <c r="J1328" t="s">
        <v>604</v>
      </c>
      <c r="K1328" t="s">
        <v>605</v>
      </c>
      <c r="L1328">
        <v>1</v>
      </c>
    </row>
    <row r="1329" spans="2:12" ht="15" customHeight="1">
      <c r="B1329" t="s">
        <v>2132</v>
      </c>
      <c r="C1329">
        <v>550000</v>
      </c>
      <c r="D1329" t="s">
        <v>247</v>
      </c>
      <c r="E1329">
        <v>9794.354178093412</v>
      </c>
      <c r="F1329" s="3">
        <f>(tblSalaries[[#This Row],[clean Salary (in local currency)]])*(VLOOKUP(tblSalaries[[#This Row],[Currency]],Sheet3!$A$2:$C$31,3,FALSE))*(VLOOKUP(tblSalaries[[#This Row],[Currency]],Sheet1!$N$4:$Q$186,4,FALSE))</f>
        <v>26048.56229178415</v>
      </c>
      <c r="G1329" s="4">
        <f>IF(Dashboard!$J$5=VLOOKUP(tblSalaries[[#This Row],[Currency]],Sheet3!$A$2:$B$31,2,FALSE),tblSalaries[[#This Row],[clean Salary (in local currency)]],(tblSalaries[[#This Row],[PPP Adjusted  USD]]/VLOOKUP(Dashboard!$J$5,Sheet3!$B$2:$C$31,2,FALSE)))</f>
        <v>26048.56229178415</v>
      </c>
      <c r="H1329" t="s">
        <v>603</v>
      </c>
      <c r="I1329" t="s">
        <v>603</v>
      </c>
      <c r="J1329" t="s">
        <v>604</v>
      </c>
      <c r="K1329" t="s">
        <v>605</v>
      </c>
      <c r="L1329">
        <v>1</v>
      </c>
    </row>
    <row r="1330" spans="2:12" ht="15" customHeight="1">
      <c r="B1330" t="s">
        <v>3507</v>
      </c>
      <c r="C1330">
        <v>550000</v>
      </c>
      <c r="D1330" t="s">
        <v>247</v>
      </c>
      <c r="E1330">
        <v>9794.354178093412</v>
      </c>
      <c r="F1330" s="3">
        <f>(tblSalaries[[#This Row],[clean Salary (in local currency)]])*(VLOOKUP(tblSalaries[[#This Row],[Currency]],Sheet3!$A$2:$C$31,3,FALSE))*(VLOOKUP(tblSalaries[[#This Row],[Currency]],Sheet1!$N$4:$Q$186,4,FALSE))</f>
        <v>26048.56229178415</v>
      </c>
      <c r="G1330" s="4">
        <f>IF(Dashboard!$J$5=VLOOKUP(tblSalaries[[#This Row],[Currency]],Sheet3!$A$2:$B$31,2,FALSE),tblSalaries[[#This Row],[clean Salary (in local currency)]],(tblSalaries[[#This Row],[PPP Adjusted  USD]]/VLOOKUP(Dashboard!$J$5,Sheet3!$B$2:$C$31,2,FALSE)))</f>
        <v>26048.56229178415</v>
      </c>
      <c r="H1330" t="s">
        <v>3508</v>
      </c>
      <c r="I1330" t="s">
        <v>625</v>
      </c>
      <c r="J1330" t="s">
        <v>604</v>
      </c>
      <c r="K1330" t="s">
        <v>605</v>
      </c>
      <c r="L1330">
        <v>13</v>
      </c>
    </row>
    <row r="1331" spans="2:12" ht="15" customHeight="1">
      <c r="B1331" t="s">
        <v>2100</v>
      </c>
      <c r="C1331">
        <v>65000</v>
      </c>
      <c r="D1331" t="s">
        <v>480</v>
      </c>
      <c r="E1331">
        <v>18499.860539512854</v>
      </c>
      <c r="F1331" s="3">
        <f>(tblSalaries[[#This Row],[clean Salary (in local currency)]])*(VLOOKUP(tblSalaries[[#This Row],[Currency]],Sheet3!$A$2:$C$31,3,FALSE))*(VLOOKUP(tblSalaries[[#This Row],[Currency]],Sheet1!$N$4:$Q$186,4,FALSE))</f>
        <v>26042.577791667012</v>
      </c>
      <c r="G1331" s="4">
        <f>IF(Dashboard!$J$5=VLOOKUP(tblSalaries[[#This Row],[Currency]],Sheet3!$A$2:$B$31,2,FALSE),tblSalaries[[#This Row],[clean Salary (in local currency)]],(tblSalaries[[#This Row],[PPP Adjusted  USD]]/VLOOKUP(Dashboard!$J$5,Sheet3!$B$2:$C$31,2,FALSE)))</f>
        <v>26042.577791667012</v>
      </c>
      <c r="H1331" t="s">
        <v>2101</v>
      </c>
      <c r="I1331" t="s">
        <v>640</v>
      </c>
      <c r="J1331" t="s">
        <v>1385</v>
      </c>
      <c r="K1331" t="s">
        <v>605</v>
      </c>
      <c r="L1331">
        <v>6</v>
      </c>
    </row>
    <row r="1332" spans="2:12" ht="15" customHeight="1">
      <c r="B1332" t="s">
        <v>783</v>
      </c>
      <c r="C1332">
        <v>26000</v>
      </c>
      <c r="D1332" t="s">
        <v>252</v>
      </c>
      <c r="E1332">
        <v>26000</v>
      </c>
      <c r="F1332" s="3">
        <f>(tblSalaries[[#This Row],[clean Salary (in local currency)]])*(VLOOKUP(tblSalaries[[#This Row],[Currency]],Sheet3!$A$2:$C$31,3,FALSE))*(VLOOKUP(tblSalaries[[#This Row],[Currency]],Sheet1!$N$4:$Q$186,4,FALSE))</f>
        <v>26000</v>
      </c>
      <c r="G1332" s="4">
        <f>IF(Dashboard!$J$5=VLOOKUP(tblSalaries[[#This Row],[Currency]],Sheet3!$A$2:$B$31,2,FALSE),tblSalaries[[#This Row],[clean Salary (in local currency)]],(tblSalaries[[#This Row],[PPP Adjusted  USD]]/VLOOKUP(Dashboard!$J$5,Sheet3!$B$2:$C$31,2,FALSE)))</f>
        <v>26000</v>
      </c>
      <c r="H1332" t="s">
        <v>784</v>
      </c>
      <c r="I1332" t="s">
        <v>603</v>
      </c>
      <c r="J1332" t="s">
        <v>785</v>
      </c>
      <c r="K1332" t="s">
        <v>610</v>
      </c>
      <c r="L1332" t="s">
        <v>3847</v>
      </c>
    </row>
    <row r="1333" spans="2:12" ht="15" customHeight="1">
      <c r="B1333" t="s">
        <v>2367</v>
      </c>
      <c r="C1333">
        <v>545000</v>
      </c>
      <c r="D1333" t="s">
        <v>247</v>
      </c>
      <c r="E1333">
        <v>9705.3145946561999</v>
      </c>
      <c r="F1333" s="3">
        <f>(tblSalaries[[#This Row],[clean Salary (in local currency)]])*(VLOOKUP(tblSalaries[[#This Row],[Currency]],Sheet3!$A$2:$C$31,3,FALSE))*(VLOOKUP(tblSalaries[[#This Row],[Currency]],Sheet1!$N$4:$Q$186,4,FALSE))</f>
        <v>25811.757180040659</v>
      </c>
      <c r="G1333" s="4">
        <f>IF(Dashboard!$J$5=VLOOKUP(tblSalaries[[#This Row],[Currency]],Sheet3!$A$2:$B$31,2,FALSE),tblSalaries[[#This Row],[clean Salary (in local currency)]],(tblSalaries[[#This Row],[PPP Adjusted  USD]]/VLOOKUP(Dashboard!$J$5,Sheet3!$B$2:$C$31,2,FALSE)))</f>
        <v>25811.757180040659</v>
      </c>
      <c r="H1333" t="s">
        <v>2190</v>
      </c>
      <c r="I1333" t="s">
        <v>625</v>
      </c>
      <c r="J1333" t="s">
        <v>604</v>
      </c>
      <c r="K1333" t="s">
        <v>617</v>
      </c>
      <c r="L1333">
        <v>6</v>
      </c>
    </row>
    <row r="1334" spans="2:12" ht="15" customHeight="1">
      <c r="B1334" t="s">
        <v>1330</v>
      </c>
      <c r="C1334">
        <v>540000</v>
      </c>
      <c r="D1334" t="s">
        <v>247</v>
      </c>
      <c r="E1334">
        <v>9616.275011218986</v>
      </c>
      <c r="F1334" s="3">
        <f>(tblSalaries[[#This Row],[clean Salary (in local currency)]])*(VLOOKUP(tblSalaries[[#This Row],[Currency]],Sheet3!$A$2:$C$31,3,FALSE))*(VLOOKUP(tblSalaries[[#This Row],[Currency]],Sheet1!$N$4:$Q$186,4,FALSE))</f>
        <v>25574.952068297163</v>
      </c>
      <c r="G1334" s="4">
        <f>IF(Dashboard!$J$5=VLOOKUP(tblSalaries[[#This Row],[Currency]],Sheet3!$A$2:$B$31,2,FALSE),tblSalaries[[#This Row],[clean Salary (in local currency)]],(tblSalaries[[#This Row],[PPP Adjusted  USD]]/VLOOKUP(Dashboard!$J$5,Sheet3!$B$2:$C$31,2,FALSE)))</f>
        <v>25574.952068297163</v>
      </c>
      <c r="H1334" t="s">
        <v>1331</v>
      </c>
      <c r="I1334" t="s">
        <v>620</v>
      </c>
      <c r="J1334" t="s">
        <v>604</v>
      </c>
      <c r="K1334" t="s">
        <v>605</v>
      </c>
      <c r="L1334" t="s">
        <v>3847</v>
      </c>
    </row>
    <row r="1335" spans="2:12" ht="15" customHeight="1">
      <c r="B1335" t="s">
        <v>2140</v>
      </c>
      <c r="C1335">
        <v>540000</v>
      </c>
      <c r="D1335" t="s">
        <v>247</v>
      </c>
      <c r="E1335">
        <v>9616.275011218986</v>
      </c>
      <c r="F1335" s="3">
        <f>(tblSalaries[[#This Row],[clean Salary (in local currency)]])*(VLOOKUP(tblSalaries[[#This Row],[Currency]],Sheet3!$A$2:$C$31,3,FALSE))*(VLOOKUP(tblSalaries[[#This Row],[Currency]],Sheet1!$N$4:$Q$186,4,FALSE))</f>
        <v>25574.952068297163</v>
      </c>
      <c r="G1335" s="4">
        <f>IF(Dashboard!$J$5=VLOOKUP(tblSalaries[[#This Row],[Currency]],Sheet3!$A$2:$B$31,2,FALSE),tblSalaries[[#This Row],[clean Salary (in local currency)]],(tblSalaries[[#This Row],[PPP Adjusted  USD]]/VLOOKUP(Dashboard!$J$5,Sheet3!$B$2:$C$31,2,FALSE)))</f>
        <v>25574.952068297163</v>
      </c>
      <c r="H1335" t="s">
        <v>977</v>
      </c>
      <c r="I1335" t="s">
        <v>603</v>
      </c>
      <c r="J1335" t="s">
        <v>604</v>
      </c>
      <c r="K1335" t="s">
        <v>610</v>
      </c>
      <c r="L1335">
        <v>8</v>
      </c>
    </row>
    <row r="1336" spans="2:12" ht="15" customHeight="1">
      <c r="B1336" t="s">
        <v>2675</v>
      </c>
      <c r="C1336">
        <v>540000</v>
      </c>
      <c r="D1336" t="s">
        <v>247</v>
      </c>
      <c r="E1336">
        <v>9616.275011218986</v>
      </c>
      <c r="F1336" s="3">
        <f>(tblSalaries[[#This Row],[clean Salary (in local currency)]])*(VLOOKUP(tblSalaries[[#This Row],[Currency]],Sheet3!$A$2:$C$31,3,FALSE))*(VLOOKUP(tblSalaries[[#This Row],[Currency]],Sheet1!$N$4:$Q$186,4,FALSE))</f>
        <v>25574.952068297163</v>
      </c>
      <c r="G1336" s="4">
        <f>IF(Dashboard!$J$5=VLOOKUP(tblSalaries[[#This Row],[Currency]],Sheet3!$A$2:$B$31,2,FALSE),tblSalaries[[#This Row],[clean Salary (in local currency)]],(tblSalaries[[#This Row],[PPP Adjusted  USD]]/VLOOKUP(Dashboard!$J$5,Sheet3!$B$2:$C$31,2,FALSE)))</f>
        <v>25574.952068297163</v>
      </c>
      <c r="H1336" t="s">
        <v>2676</v>
      </c>
      <c r="I1336" t="s">
        <v>603</v>
      </c>
      <c r="J1336" t="s">
        <v>604</v>
      </c>
      <c r="K1336" t="s">
        <v>605</v>
      </c>
      <c r="L1336">
        <v>7.9</v>
      </c>
    </row>
    <row r="1337" spans="2:12" ht="15" customHeight="1">
      <c r="B1337" t="s">
        <v>2183</v>
      </c>
      <c r="C1337">
        <v>25560</v>
      </c>
      <c r="D1337" t="s">
        <v>252</v>
      </c>
      <c r="E1337">
        <v>25560</v>
      </c>
      <c r="F1337" s="3">
        <f>(tblSalaries[[#This Row],[clean Salary (in local currency)]])*(VLOOKUP(tblSalaries[[#This Row],[Currency]],Sheet3!$A$2:$C$31,3,FALSE))*(VLOOKUP(tblSalaries[[#This Row],[Currency]],Sheet1!$N$4:$Q$186,4,FALSE))</f>
        <v>25560</v>
      </c>
      <c r="G1337" s="4">
        <f>IF(Dashboard!$J$5=VLOOKUP(tblSalaries[[#This Row],[Currency]],Sheet3!$A$2:$B$31,2,FALSE),tblSalaries[[#This Row],[clean Salary (in local currency)]],(tblSalaries[[#This Row],[PPP Adjusted  USD]]/VLOOKUP(Dashboard!$J$5,Sheet3!$B$2:$C$31,2,FALSE)))</f>
        <v>25560</v>
      </c>
      <c r="H1337" t="s">
        <v>2184</v>
      </c>
      <c r="I1337" t="s">
        <v>625</v>
      </c>
      <c r="J1337" t="s">
        <v>780</v>
      </c>
      <c r="K1337" t="s">
        <v>605</v>
      </c>
      <c r="L1337">
        <v>3</v>
      </c>
    </row>
    <row r="1338" spans="2:12" ht="15" customHeight="1">
      <c r="B1338" t="s">
        <v>3191</v>
      </c>
      <c r="C1338">
        <v>536000</v>
      </c>
      <c r="D1338" t="s">
        <v>247</v>
      </c>
      <c r="E1338">
        <v>9545.0433444692171</v>
      </c>
      <c r="F1338" s="3">
        <f>(tblSalaries[[#This Row],[clean Salary (in local currency)]])*(VLOOKUP(tblSalaries[[#This Row],[Currency]],Sheet3!$A$2:$C$31,3,FALSE))*(VLOOKUP(tblSalaries[[#This Row],[Currency]],Sheet1!$N$4:$Q$186,4,FALSE))</f>
        <v>25385.507978902373</v>
      </c>
      <c r="G1338" s="4">
        <f>IF(Dashboard!$J$5=VLOOKUP(tblSalaries[[#This Row],[Currency]],Sheet3!$A$2:$B$31,2,FALSE),tblSalaries[[#This Row],[clean Salary (in local currency)]],(tblSalaries[[#This Row],[PPP Adjusted  USD]]/VLOOKUP(Dashboard!$J$5,Sheet3!$B$2:$C$31,2,FALSE)))</f>
        <v>25385.507978902373</v>
      </c>
      <c r="H1338" t="s">
        <v>715</v>
      </c>
      <c r="I1338" t="s">
        <v>625</v>
      </c>
      <c r="J1338" t="s">
        <v>604</v>
      </c>
      <c r="K1338" t="s">
        <v>605</v>
      </c>
      <c r="L1338">
        <v>4</v>
      </c>
    </row>
    <row r="1339" spans="2:12" ht="15" customHeight="1">
      <c r="B1339" t="s">
        <v>2629</v>
      </c>
      <c r="C1339">
        <v>600000</v>
      </c>
      <c r="D1339" t="s">
        <v>316</v>
      </c>
      <c r="E1339">
        <v>15404.364569961488</v>
      </c>
      <c r="F1339" s="3">
        <f>(tblSalaries[[#This Row],[clean Salary (in local currency)]])*(VLOOKUP(tblSalaries[[#This Row],[Currency]],Sheet3!$A$2:$C$31,3,FALSE))*(VLOOKUP(tblSalaries[[#This Row],[Currency]],Sheet1!$N$4:$Q$186,4,FALSE))</f>
        <v>25370.472251088424</v>
      </c>
      <c r="G1339" s="4">
        <f>IF(Dashboard!$J$5=VLOOKUP(tblSalaries[[#This Row],[Currency]],Sheet3!$A$2:$B$31,2,FALSE),tblSalaries[[#This Row],[clean Salary (in local currency)]],(tblSalaries[[#This Row],[PPP Adjusted  USD]]/VLOOKUP(Dashboard!$J$5,Sheet3!$B$2:$C$31,2,FALSE)))</f>
        <v>25370.472251088424</v>
      </c>
      <c r="H1339" t="s">
        <v>2630</v>
      </c>
      <c r="I1339" t="s">
        <v>603</v>
      </c>
      <c r="J1339" t="s">
        <v>2631</v>
      </c>
      <c r="K1339" t="s">
        <v>610</v>
      </c>
      <c r="L1339">
        <v>3</v>
      </c>
    </row>
    <row r="1340" spans="2:12" ht="15" customHeight="1">
      <c r="B1340" t="s">
        <v>2463</v>
      </c>
      <c r="C1340">
        <v>530000</v>
      </c>
      <c r="D1340" t="s">
        <v>247</v>
      </c>
      <c r="E1340">
        <v>9438.1958443445619</v>
      </c>
      <c r="F1340" s="3">
        <f>(tblSalaries[[#This Row],[clean Salary (in local currency)]])*(VLOOKUP(tblSalaries[[#This Row],[Currency]],Sheet3!$A$2:$C$31,3,FALSE))*(VLOOKUP(tblSalaries[[#This Row],[Currency]],Sheet1!$N$4:$Q$186,4,FALSE))</f>
        <v>25101.341844810184</v>
      </c>
      <c r="G1340" s="4">
        <f>IF(Dashboard!$J$5=VLOOKUP(tblSalaries[[#This Row],[Currency]],Sheet3!$A$2:$B$31,2,FALSE),tblSalaries[[#This Row],[clean Salary (in local currency)]],(tblSalaries[[#This Row],[PPP Adjusted  USD]]/VLOOKUP(Dashboard!$J$5,Sheet3!$B$2:$C$31,2,FALSE)))</f>
        <v>25101.341844810184</v>
      </c>
      <c r="H1340" t="s">
        <v>2464</v>
      </c>
      <c r="I1340" t="s">
        <v>603</v>
      </c>
      <c r="J1340" t="s">
        <v>604</v>
      </c>
      <c r="K1340" t="s">
        <v>617</v>
      </c>
      <c r="L1340">
        <v>7</v>
      </c>
    </row>
    <row r="1341" spans="2:12" ht="15" customHeight="1">
      <c r="B1341" t="s">
        <v>3117</v>
      </c>
      <c r="C1341">
        <v>17000</v>
      </c>
      <c r="D1341" t="s">
        <v>204</v>
      </c>
      <c r="E1341">
        <v>26795.030625143831</v>
      </c>
      <c r="F1341" s="3">
        <f>(tblSalaries[[#This Row],[clean Salary (in local currency)]])*(VLOOKUP(tblSalaries[[#This Row],[Currency]],Sheet3!$A$2:$C$31,3,FALSE))*(VLOOKUP(tblSalaries[[#This Row],[Currency]],Sheet1!$N$4:$Q$186,4,FALSE))</f>
        <v>25057.510484667266</v>
      </c>
      <c r="G1341" s="4">
        <f>IF(Dashboard!$J$5=VLOOKUP(tblSalaries[[#This Row],[Currency]],Sheet3!$A$2:$B$31,2,FALSE),tblSalaries[[#This Row],[clean Salary (in local currency)]],(tblSalaries[[#This Row],[PPP Adjusted  USD]]/VLOOKUP(Dashboard!$J$5,Sheet3!$B$2:$C$31,2,FALSE)))</f>
        <v>25057.510484667266</v>
      </c>
      <c r="H1341" t="s">
        <v>3118</v>
      </c>
      <c r="I1341" t="s">
        <v>603</v>
      </c>
      <c r="J1341" t="s">
        <v>687</v>
      </c>
      <c r="K1341" t="s">
        <v>617</v>
      </c>
      <c r="L1341">
        <v>5</v>
      </c>
    </row>
    <row r="1342" spans="2:12" ht="15" customHeight="1">
      <c r="B1342" t="s">
        <v>1103</v>
      </c>
      <c r="C1342">
        <v>25000</v>
      </c>
      <c r="D1342" t="s">
        <v>252</v>
      </c>
      <c r="E1342">
        <v>25000</v>
      </c>
      <c r="F1342" s="3">
        <f>(tblSalaries[[#This Row],[clean Salary (in local currency)]])*(VLOOKUP(tblSalaries[[#This Row],[Currency]],Sheet3!$A$2:$C$31,3,FALSE))*(VLOOKUP(tblSalaries[[#This Row],[Currency]],Sheet1!$N$4:$Q$186,4,FALSE))</f>
        <v>25000</v>
      </c>
      <c r="G1342" s="4">
        <f>IF(Dashboard!$J$5=VLOOKUP(tblSalaries[[#This Row],[Currency]],Sheet3!$A$2:$B$31,2,FALSE),tblSalaries[[#This Row],[clean Salary (in local currency)]],(tblSalaries[[#This Row],[PPP Adjusted  USD]]/VLOOKUP(Dashboard!$J$5,Sheet3!$B$2:$C$31,2,FALSE)))</f>
        <v>25000</v>
      </c>
      <c r="H1342" t="s">
        <v>715</v>
      </c>
      <c r="I1342" t="s">
        <v>625</v>
      </c>
      <c r="J1342" t="s">
        <v>604</v>
      </c>
      <c r="K1342" t="s">
        <v>627</v>
      </c>
      <c r="L1342" t="s">
        <v>3847</v>
      </c>
    </row>
    <row r="1343" spans="2:12" ht="15" customHeight="1">
      <c r="B1343" t="s">
        <v>1298</v>
      </c>
      <c r="C1343">
        <v>25000</v>
      </c>
      <c r="D1343" t="s">
        <v>252</v>
      </c>
      <c r="E1343">
        <v>25000</v>
      </c>
      <c r="F1343" s="3">
        <f>(tblSalaries[[#This Row],[clean Salary (in local currency)]])*(VLOOKUP(tblSalaries[[#This Row],[Currency]],Sheet3!$A$2:$C$31,3,FALSE))*(VLOOKUP(tblSalaries[[#This Row],[Currency]],Sheet1!$N$4:$Q$186,4,FALSE))</f>
        <v>25000</v>
      </c>
      <c r="G1343" s="4">
        <f>IF(Dashboard!$J$5=VLOOKUP(tblSalaries[[#This Row],[Currency]],Sheet3!$A$2:$B$31,2,FALSE),tblSalaries[[#This Row],[clean Salary (in local currency)]],(tblSalaries[[#This Row],[PPP Adjusted  USD]]/VLOOKUP(Dashboard!$J$5,Sheet3!$B$2:$C$31,2,FALSE)))</f>
        <v>25000</v>
      </c>
      <c r="H1343" t="s">
        <v>625</v>
      </c>
      <c r="I1343" t="s">
        <v>625</v>
      </c>
      <c r="J1343" t="s">
        <v>604</v>
      </c>
      <c r="K1343" t="s">
        <v>605</v>
      </c>
      <c r="L1343" t="s">
        <v>3847</v>
      </c>
    </row>
    <row r="1344" spans="2:12" ht="15" customHeight="1">
      <c r="B1344" t="s">
        <v>3072</v>
      </c>
      <c r="C1344">
        <v>25000</v>
      </c>
      <c r="D1344" t="s">
        <v>252</v>
      </c>
      <c r="E1344">
        <v>25000</v>
      </c>
      <c r="F1344" s="3">
        <f>(tblSalaries[[#This Row],[clean Salary (in local currency)]])*(VLOOKUP(tblSalaries[[#This Row],[Currency]],Sheet3!$A$2:$C$31,3,FALSE))*(VLOOKUP(tblSalaries[[#This Row],[Currency]],Sheet1!$N$4:$Q$186,4,FALSE))</f>
        <v>25000</v>
      </c>
      <c r="G1344" s="4">
        <f>IF(Dashboard!$J$5=VLOOKUP(tblSalaries[[#This Row],[Currency]],Sheet3!$A$2:$B$31,2,FALSE),tblSalaries[[#This Row],[clean Salary (in local currency)]],(tblSalaries[[#This Row],[PPP Adjusted  USD]]/VLOOKUP(Dashboard!$J$5,Sheet3!$B$2:$C$31,2,FALSE)))</f>
        <v>25000</v>
      </c>
      <c r="H1344" t="s">
        <v>637</v>
      </c>
      <c r="I1344" t="s">
        <v>637</v>
      </c>
      <c r="J1344" t="s">
        <v>604</v>
      </c>
      <c r="K1344" t="s">
        <v>617</v>
      </c>
      <c r="L1344">
        <v>8</v>
      </c>
    </row>
    <row r="1345" spans="2:12" ht="15" customHeight="1">
      <c r="B1345" t="s">
        <v>3150</v>
      </c>
      <c r="C1345">
        <v>25000</v>
      </c>
      <c r="D1345" t="s">
        <v>252</v>
      </c>
      <c r="E1345">
        <v>25000</v>
      </c>
      <c r="F1345" s="3">
        <f>(tblSalaries[[#This Row],[clean Salary (in local currency)]])*(VLOOKUP(tblSalaries[[#This Row],[Currency]],Sheet3!$A$2:$C$31,3,FALSE))*(VLOOKUP(tblSalaries[[#This Row],[Currency]],Sheet1!$N$4:$Q$186,4,FALSE))</f>
        <v>25000</v>
      </c>
      <c r="G1345" s="4">
        <f>IF(Dashboard!$J$5=VLOOKUP(tblSalaries[[#This Row],[Currency]],Sheet3!$A$2:$B$31,2,FALSE),tblSalaries[[#This Row],[clean Salary (in local currency)]],(tblSalaries[[#This Row],[PPP Adjusted  USD]]/VLOOKUP(Dashboard!$J$5,Sheet3!$B$2:$C$31,2,FALSE)))</f>
        <v>25000</v>
      </c>
      <c r="H1345" t="s">
        <v>910</v>
      </c>
      <c r="I1345" t="s">
        <v>603</v>
      </c>
      <c r="J1345" t="s">
        <v>604</v>
      </c>
      <c r="K1345" t="s">
        <v>610</v>
      </c>
      <c r="L1345">
        <v>4</v>
      </c>
    </row>
    <row r="1346" spans="2:12" ht="15" customHeight="1">
      <c r="B1346" t="s">
        <v>3518</v>
      </c>
      <c r="C1346">
        <v>25000</v>
      </c>
      <c r="D1346" t="s">
        <v>252</v>
      </c>
      <c r="E1346">
        <v>25000</v>
      </c>
      <c r="F1346" s="3">
        <f>(tblSalaries[[#This Row],[clean Salary (in local currency)]])*(VLOOKUP(tblSalaries[[#This Row],[Currency]],Sheet3!$A$2:$C$31,3,FALSE))*(VLOOKUP(tblSalaries[[#This Row],[Currency]],Sheet1!$N$4:$Q$186,4,FALSE))</f>
        <v>25000</v>
      </c>
      <c r="G1346" s="4">
        <f>IF(Dashboard!$J$5=VLOOKUP(tblSalaries[[#This Row],[Currency]],Sheet3!$A$2:$B$31,2,FALSE),tblSalaries[[#This Row],[clean Salary (in local currency)]],(tblSalaries[[#This Row],[PPP Adjusted  USD]]/VLOOKUP(Dashboard!$J$5,Sheet3!$B$2:$C$31,2,FALSE)))</f>
        <v>25000</v>
      </c>
      <c r="H1346" t="s">
        <v>3519</v>
      </c>
      <c r="I1346" t="s">
        <v>603</v>
      </c>
      <c r="J1346" t="s">
        <v>604</v>
      </c>
      <c r="K1346" t="s">
        <v>610</v>
      </c>
      <c r="L1346">
        <v>8</v>
      </c>
    </row>
    <row r="1347" spans="2:12" ht="15" customHeight="1">
      <c r="B1347" t="s">
        <v>3765</v>
      </c>
      <c r="C1347">
        <v>25000</v>
      </c>
      <c r="D1347" t="s">
        <v>252</v>
      </c>
      <c r="E1347">
        <v>25000</v>
      </c>
      <c r="F1347" s="3">
        <f>(tblSalaries[[#This Row],[clean Salary (in local currency)]])*(VLOOKUP(tblSalaries[[#This Row],[Currency]],Sheet3!$A$2:$C$31,3,FALSE))*(VLOOKUP(tblSalaries[[#This Row],[Currency]],Sheet1!$N$4:$Q$186,4,FALSE))</f>
        <v>25000</v>
      </c>
      <c r="G1347" s="4">
        <f>IF(Dashboard!$J$5=VLOOKUP(tblSalaries[[#This Row],[Currency]],Sheet3!$A$2:$B$31,2,FALSE),tblSalaries[[#This Row],[clean Salary (in local currency)]],(tblSalaries[[#This Row],[PPP Adjusted  USD]]/VLOOKUP(Dashboard!$J$5,Sheet3!$B$2:$C$31,2,FALSE)))</f>
        <v>25000</v>
      </c>
      <c r="H1347" t="s">
        <v>811</v>
      </c>
      <c r="I1347" t="s">
        <v>603</v>
      </c>
      <c r="J1347" t="s">
        <v>604</v>
      </c>
      <c r="K1347" t="s">
        <v>610</v>
      </c>
      <c r="L1347">
        <v>1.5</v>
      </c>
    </row>
    <row r="1348" spans="2:12" ht="15" customHeight="1">
      <c r="B1348" t="s">
        <v>3798</v>
      </c>
      <c r="C1348">
        <v>25000</v>
      </c>
      <c r="D1348" t="s">
        <v>252</v>
      </c>
      <c r="E1348">
        <v>25000</v>
      </c>
      <c r="F1348" s="3">
        <f>(tblSalaries[[#This Row],[clean Salary (in local currency)]])*(VLOOKUP(tblSalaries[[#This Row],[Currency]],Sheet3!$A$2:$C$31,3,FALSE))*(VLOOKUP(tblSalaries[[#This Row],[Currency]],Sheet1!$N$4:$Q$186,4,FALSE))</f>
        <v>25000</v>
      </c>
      <c r="G1348" s="4">
        <f>IF(Dashboard!$J$5=VLOOKUP(tblSalaries[[#This Row],[Currency]],Sheet3!$A$2:$B$31,2,FALSE),tblSalaries[[#This Row],[clean Salary (in local currency)]],(tblSalaries[[#This Row],[PPP Adjusted  USD]]/VLOOKUP(Dashboard!$J$5,Sheet3!$B$2:$C$31,2,FALSE)))</f>
        <v>25000</v>
      </c>
      <c r="H1348" t="s">
        <v>715</v>
      </c>
      <c r="I1348" t="s">
        <v>625</v>
      </c>
      <c r="J1348" t="s">
        <v>604</v>
      </c>
      <c r="K1348" t="s">
        <v>605</v>
      </c>
      <c r="L1348">
        <v>10</v>
      </c>
    </row>
    <row r="1349" spans="2:12" ht="15" customHeight="1">
      <c r="B1349" t="s">
        <v>3246</v>
      </c>
      <c r="C1349">
        <v>24864</v>
      </c>
      <c r="D1349" t="s">
        <v>252</v>
      </c>
      <c r="E1349">
        <v>24864</v>
      </c>
      <c r="F1349" s="3">
        <f>(tblSalaries[[#This Row],[clean Salary (in local currency)]])*(VLOOKUP(tblSalaries[[#This Row],[Currency]],Sheet3!$A$2:$C$31,3,FALSE))*(VLOOKUP(tblSalaries[[#This Row],[Currency]],Sheet1!$N$4:$Q$186,4,FALSE))</f>
        <v>24864</v>
      </c>
      <c r="G1349" s="4">
        <f>IF(Dashboard!$J$5=VLOOKUP(tblSalaries[[#This Row],[Currency]],Sheet3!$A$2:$B$31,2,FALSE),tblSalaries[[#This Row],[clean Salary (in local currency)]],(tblSalaries[[#This Row],[PPP Adjusted  USD]]/VLOOKUP(Dashboard!$J$5,Sheet3!$B$2:$C$31,2,FALSE)))</f>
        <v>24864</v>
      </c>
      <c r="H1349" t="s">
        <v>3247</v>
      </c>
      <c r="I1349" t="s">
        <v>625</v>
      </c>
      <c r="J1349" t="s">
        <v>3248</v>
      </c>
      <c r="K1349" t="s">
        <v>610</v>
      </c>
      <c r="L1349">
        <v>8</v>
      </c>
    </row>
    <row r="1350" spans="2:12" ht="15" customHeight="1">
      <c r="B1350" t="s">
        <v>2638</v>
      </c>
      <c r="C1350">
        <v>54000</v>
      </c>
      <c r="D1350" t="s">
        <v>258</v>
      </c>
      <c r="E1350">
        <v>26691.183012544854</v>
      </c>
      <c r="F1350" s="3">
        <f>(tblSalaries[[#This Row],[clean Salary (in local currency)]])*(VLOOKUP(tblSalaries[[#This Row],[Currency]],Sheet3!$A$2:$C$31,3,FALSE))*(VLOOKUP(tblSalaries[[#This Row],[Currency]],Sheet1!$N$4:$Q$186,4,FALSE))</f>
        <v>24561.013096495866</v>
      </c>
      <c r="G1350" s="4">
        <f>IF(Dashboard!$J$5=VLOOKUP(tblSalaries[[#This Row],[Currency]],Sheet3!$A$2:$B$31,2,FALSE),tblSalaries[[#This Row],[clean Salary (in local currency)]],(tblSalaries[[#This Row],[PPP Adjusted  USD]]/VLOOKUP(Dashboard!$J$5,Sheet3!$B$2:$C$31,2,FALSE)))</f>
        <v>24561.013096495866</v>
      </c>
      <c r="H1350" t="s">
        <v>2639</v>
      </c>
      <c r="I1350" t="s">
        <v>625</v>
      </c>
      <c r="J1350" t="s">
        <v>795</v>
      </c>
      <c r="K1350" t="s">
        <v>627</v>
      </c>
      <c r="L1350">
        <v>7</v>
      </c>
    </row>
    <row r="1351" spans="2:12" ht="15" customHeight="1">
      <c r="B1351" t="s">
        <v>2073</v>
      </c>
      <c r="C1351">
        <v>516000</v>
      </c>
      <c r="D1351" t="s">
        <v>247</v>
      </c>
      <c r="E1351">
        <v>9188.8850107203652</v>
      </c>
      <c r="F1351" s="3">
        <f>(tblSalaries[[#This Row],[clean Salary (in local currency)]])*(VLOOKUP(tblSalaries[[#This Row],[Currency]],Sheet3!$A$2:$C$31,3,FALSE))*(VLOOKUP(tblSalaries[[#This Row],[Currency]],Sheet1!$N$4:$Q$186,4,FALSE))</f>
        <v>24438.287531928403</v>
      </c>
      <c r="G1351" s="4">
        <f>IF(Dashboard!$J$5=VLOOKUP(tblSalaries[[#This Row],[Currency]],Sheet3!$A$2:$B$31,2,FALSE),tblSalaries[[#This Row],[clean Salary (in local currency)]],(tblSalaries[[#This Row],[PPP Adjusted  USD]]/VLOOKUP(Dashboard!$J$5,Sheet3!$B$2:$C$31,2,FALSE)))</f>
        <v>24438.287531928403</v>
      </c>
      <c r="H1351" t="s">
        <v>2074</v>
      </c>
      <c r="I1351" t="s">
        <v>625</v>
      </c>
      <c r="J1351" t="s">
        <v>604</v>
      </c>
      <c r="K1351" t="s">
        <v>605</v>
      </c>
      <c r="L1351">
        <v>0</v>
      </c>
    </row>
    <row r="1352" spans="2:12" ht="15" customHeight="1">
      <c r="B1352" t="s">
        <v>2364</v>
      </c>
      <c r="C1352">
        <v>48000</v>
      </c>
      <c r="D1352" t="s">
        <v>420</v>
      </c>
      <c r="E1352">
        <v>15206.427249917633</v>
      </c>
      <c r="F1352" s="3">
        <f>(tblSalaries[[#This Row],[clean Salary (in local currency)]])*(VLOOKUP(tblSalaries[[#This Row],[Currency]],Sheet3!$A$2:$C$31,3,FALSE))*(VLOOKUP(tblSalaries[[#This Row],[Currency]],Sheet1!$N$4:$Q$186,4,FALSE))</f>
        <v>24406.184777938528</v>
      </c>
      <c r="G1352" s="4">
        <f>IF(Dashboard!$J$5=VLOOKUP(tblSalaries[[#This Row],[Currency]],Sheet3!$A$2:$B$31,2,FALSE),tblSalaries[[#This Row],[clean Salary (in local currency)]],(tblSalaries[[#This Row],[PPP Adjusted  USD]]/VLOOKUP(Dashboard!$J$5,Sheet3!$B$2:$C$31,2,FALSE)))</f>
        <v>24406.184777938528</v>
      </c>
      <c r="H1352" t="s">
        <v>2365</v>
      </c>
      <c r="I1352" t="s">
        <v>625</v>
      </c>
      <c r="J1352" t="s">
        <v>2345</v>
      </c>
      <c r="K1352" t="s">
        <v>605</v>
      </c>
      <c r="L1352">
        <v>2</v>
      </c>
    </row>
    <row r="1353" spans="2:12" ht="15" customHeight="1">
      <c r="B1353" t="s">
        <v>1566</v>
      </c>
      <c r="C1353">
        <v>16400</v>
      </c>
      <c r="D1353" t="s">
        <v>204</v>
      </c>
      <c r="E1353">
        <v>25849.323661903458</v>
      </c>
      <c r="F1353" s="3">
        <f>(tblSalaries[[#This Row],[clean Salary (in local currency)]])*(VLOOKUP(tblSalaries[[#This Row],[Currency]],Sheet3!$A$2:$C$31,3,FALSE))*(VLOOKUP(tblSalaries[[#This Row],[Currency]],Sheet1!$N$4:$Q$186,4,FALSE))</f>
        <v>24173.127761679007</v>
      </c>
      <c r="G1353" s="4">
        <f>IF(Dashboard!$J$5=VLOOKUP(tblSalaries[[#This Row],[Currency]],Sheet3!$A$2:$B$31,2,FALSE),tblSalaries[[#This Row],[clean Salary (in local currency)]],(tblSalaries[[#This Row],[PPP Adjusted  USD]]/VLOOKUP(Dashboard!$J$5,Sheet3!$B$2:$C$31,2,FALSE)))</f>
        <v>24173.127761679007</v>
      </c>
      <c r="H1353" t="s">
        <v>1567</v>
      </c>
      <c r="I1353" t="s">
        <v>603</v>
      </c>
      <c r="J1353" t="s">
        <v>687</v>
      </c>
      <c r="K1353" t="s">
        <v>605</v>
      </c>
      <c r="L1353" t="s">
        <v>3847</v>
      </c>
    </row>
    <row r="1354" spans="2:12" ht="15" customHeight="1">
      <c r="B1354" t="s">
        <v>813</v>
      </c>
      <c r="C1354">
        <v>24000</v>
      </c>
      <c r="D1354" t="s">
        <v>252</v>
      </c>
      <c r="E1354">
        <v>24000</v>
      </c>
      <c r="F1354" s="3">
        <f>(tblSalaries[[#This Row],[clean Salary (in local currency)]])*(VLOOKUP(tblSalaries[[#This Row],[Currency]],Sheet3!$A$2:$C$31,3,FALSE))*(VLOOKUP(tblSalaries[[#This Row],[Currency]],Sheet1!$N$4:$Q$186,4,FALSE))</f>
        <v>24000</v>
      </c>
      <c r="G1354" s="4">
        <f>IF(Dashboard!$J$5=VLOOKUP(tblSalaries[[#This Row],[Currency]],Sheet3!$A$2:$B$31,2,FALSE),tblSalaries[[#This Row],[clean Salary (in local currency)]],(tblSalaries[[#This Row],[PPP Adjusted  USD]]/VLOOKUP(Dashboard!$J$5,Sheet3!$B$2:$C$31,2,FALSE)))</f>
        <v>24000</v>
      </c>
      <c r="H1354" t="s">
        <v>814</v>
      </c>
      <c r="I1354" t="s">
        <v>625</v>
      </c>
      <c r="J1354" t="s">
        <v>613</v>
      </c>
      <c r="K1354" t="s">
        <v>617</v>
      </c>
      <c r="L1354" t="s">
        <v>3847</v>
      </c>
    </row>
    <row r="1355" spans="2:12" ht="15" customHeight="1">
      <c r="B1355" t="s">
        <v>857</v>
      </c>
      <c r="C1355">
        <v>24000</v>
      </c>
      <c r="D1355" t="s">
        <v>252</v>
      </c>
      <c r="E1355">
        <v>24000</v>
      </c>
      <c r="F1355" s="3">
        <f>(tblSalaries[[#This Row],[clean Salary (in local currency)]])*(VLOOKUP(tblSalaries[[#This Row],[Currency]],Sheet3!$A$2:$C$31,3,FALSE))*(VLOOKUP(tblSalaries[[#This Row],[Currency]],Sheet1!$N$4:$Q$186,4,FALSE))</f>
        <v>24000</v>
      </c>
      <c r="G1355" s="4">
        <f>IF(Dashboard!$J$5=VLOOKUP(tblSalaries[[#This Row],[Currency]],Sheet3!$A$2:$B$31,2,FALSE),tblSalaries[[#This Row],[clean Salary (in local currency)]],(tblSalaries[[#This Row],[PPP Adjusted  USD]]/VLOOKUP(Dashboard!$J$5,Sheet3!$B$2:$C$31,2,FALSE)))</f>
        <v>24000</v>
      </c>
      <c r="H1355" t="s">
        <v>858</v>
      </c>
      <c r="I1355" t="s">
        <v>625</v>
      </c>
      <c r="J1355" t="s">
        <v>859</v>
      </c>
      <c r="K1355" t="s">
        <v>610</v>
      </c>
      <c r="L1355" t="s">
        <v>3847</v>
      </c>
    </row>
    <row r="1356" spans="2:12" ht="15" customHeight="1">
      <c r="B1356" t="s">
        <v>1421</v>
      </c>
      <c r="C1356">
        <v>24000</v>
      </c>
      <c r="D1356" t="s">
        <v>252</v>
      </c>
      <c r="E1356">
        <v>24000</v>
      </c>
      <c r="F1356" s="3">
        <f>(tblSalaries[[#This Row],[clean Salary (in local currency)]])*(VLOOKUP(tblSalaries[[#This Row],[Currency]],Sheet3!$A$2:$C$31,3,FALSE))*(VLOOKUP(tblSalaries[[#This Row],[Currency]],Sheet1!$N$4:$Q$186,4,FALSE))</f>
        <v>24000</v>
      </c>
      <c r="G1356" s="4">
        <f>IF(Dashboard!$J$5=VLOOKUP(tblSalaries[[#This Row],[Currency]],Sheet3!$A$2:$B$31,2,FALSE),tblSalaries[[#This Row],[clean Salary (in local currency)]],(tblSalaries[[#This Row],[PPP Adjusted  USD]]/VLOOKUP(Dashboard!$J$5,Sheet3!$B$2:$C$31,2,FALSE)))</f>
        <v>24000</v>
      </c>
      <c r="H1356" t="s">
        <v>1422</v>
      </c>
      <c r="I1356" t="s">
        <v>620</v>
      </c>
      <c r="J1356" t="s">
        <v>613</v>
      </c>
      <c r="K1356" t="s">
        <v>627</v>
      </c>
      <c r="L1356" t="s">
        <v>3847</v>
      </c>
    </row>
    <row r="1357" spans="2:12" ht="15" customHeight="1">
      <c r="B1357" t="s">
        <v>1509</v>
      </c>
      <c r="C1357">
        <v>24000</v>
      </c>
      <c r="D1357" t="s">
        <v>252</v>
      </c>
      <c r="E1357">
        <v>24000</v>
      </c>
      <c r="F1357" s="3">
        <f>(tblSalaries[[#This Row],[clean Salary (in local currency)]])*(VLOOKUP(tblSalaries[[#This Row],[Currency]],Sheet3!$A$2:$C$31,3,FALSE))*(VLOOKUP(tblSalaries[[#This Row],[Currency]],Sheet1!$N$4:$Q$186,4,FALSE))</f>
        <v>24000</v>
      </c>
      <c r="G1357" s="4">
        <f>IF(Dashboard!$J$5=VLOOKUP(tblSalaries[[#This Row],[Currency]],Sheet3!$A$2:$B$31,2,FALSE),tblSalaries[[#This Row],[clean Salary (in local currency)]],(tblSalaries[[#This Row],[PPP Adjusted  USD]]/VLOOKUP(Dashboard!$J$5,Sheet3!$B$2:$C$31,2,FALSE)))</f>
        <v>24000</v>
      </c>
      <c r="H1357" t="s">
        <v>1422</v>
      </c>
      <c r="I1357" t="s">
        <v>620</v>
      </c>
      <c r="J1357" t="s">
        <v>1510</v>
      </c>
      <c r="K1357" t="s">
        <v>617</v>
      </c>
      <c r="L1357" t="s">
        <v>3847</v>
      </c>
    </row>
    <row r="1358" spans="2:12" ht="15" customHeight="1">
      <c r="B1358" t="s">
        <v>1826</v>
      </c>
      <c r="C1358">
        <v>24000</v>
      </c>
      <c r="D1358" t="s">
        <v>252</v>
      </c>
      <c r="E1358">
        <v>24000</v>
      </c>
      <c r="F1358" s="3">
        <f>(tblSalaries[[#This Row],[clean Salary (in local currency)]])*(VLOOKUP(tblSalaries[[#This Row],[Currency]],Sheet3!$A$2:$C$31,3,FALSE))*(VLOOKUP(tblSalaries[[#This Row],[Currency]],Sheet1!$N$4:$Q$186,4,FALSE))</f>
        <v>24000</v>
      </c>
      <c r="G1358" s="4">
        <f>IF(Dashboard!$J$5=VLOOKUP(tblSalaries[[#This Row],[Currency]],Sheet3!$A$2:$B$31,2,FALSE),tblSalaries[[#This Row],[clean Salary (in local currency)]],(tblSalaries[[#This Row],[PPP Adjusted  USD]]/VLOOKUP(Dashboard!$J$5,Sheet3!$B$2:$C$31,2,FALSE)))</f>
        <v>24000</v>
      </c>
      <c r="H1358" t="s">
        <v>1827</v>
      </c>
      <c r="I1358" t="s">
        <v>625</v>
      </c>
      <c r="J1358" t="s">
        <v>780</v>
      </c>
      <c r="K1358" t="s">
        <v>605</v>
      </c>
      <c r="L1358">
        <v>12</v>
      </c>
    </row>
    <row r="1359" spans="2:12" ht="15" customHeight="1">
      <c r="B1359" t="s">
        <v>1828</v>
      </c>
      <c r="C1359">
        <v>24000</v>
      </c>
      <c r="D1359" t="s">
        <v>252</v>
      </c>
      <c r="E1359">
        <v>24000</v>
      </c>
      <c r="F1359" s="3">
        <f>(tblSalaries[[#This Row],[clean Salary (in local currency)]])*(VLOOKUP(tblSalaries[[#This Row],[Currency]],Sheet3!$A$2:$C$31,3,FALSE))*(VLOOKUP(tblSalaries[[#This Row],[Currency]],Sheet1!$N$4:$Q$186,4,FALSE))</f>
        <v>24000</v>
      </c>
      <c r="G1359" s="4">
        <f>IF(Dashboard!$J$5=VLOOKUP(tblSalaries[[#This Row],[Currency]],Sheet3!$A$2:$B$31,2,FALSE),tblSalaries[[#This Row],[clean Salary (in local currency)]],(tblSalaries[[#This Row],[PPP Adjusted  USD]]/VLOOKUP(Dashboard!$J$5,Sheet3!$B$2:$C$31,2,FALSE)))</f>
        <v>24000</v>
      </c>
      <c r="H1359" t="s">
        <v>637</v>
      </c>
      <c r="I1359" t="s">
        <v>637</v>
      </c>
      <c r="J1359" t="s">
        <v>770</v>
      </c>
      <c r="K1359" t="s">
        <v>617</v>
      </c>
      <c r="L1359">
        <v>15</v>
      </c>
    </row>
    <row r="1360" spans="2:12" ht="15" customHeight="1">
      <c r="B1360" t="s">
        <v>1980</v>
      </c>
      <c r="C1360">
        <v>24000</v>
      </c>
      <c r="D1360" t="s">
        <v>252</v>
      </c>
      <c r="E1360">
        <v>24000</v>
      </c>
      <c r="F1360" s="3">
        <f>(tblSalaries[[#This Row],[clean Salary (in local currency)]])*(VLOOKUP(tblSalaries[[#This Row],[Currency]],Sheet3!$A$2:$C$31,3,FALSE))*(VLOOKUP(tblSalaries[[#This Row],[Currency]],Sheet1!$N$4:$Q$186,4,FALSE))</f>
        <v>24000</v>
      </c>
      <c r="G1360" s="4">
        <f>IF(Dashboard!$J$5=VLOOKUP(tblSalaries[[#This Row],[Currency]],Sheet3!$A$2:$B$31,2,FALSE),tblSalaries[[#This Row],[clean Salary (in local currency)]],(tblSalaries[[#This Row],[PPP Adjusted  USD]]/VLOOKUP(Dashboard!$J$5,Sheet3!$B$2:$C$31,2,FALSE)))</f>
        <v>24000</v>
      </c>
      <c r="H1360" t="s">
        <v>1981</v>
      </c>
      <c r="I1360" t="s">
        <v>603</v>
      </c>
      <c r="J1360" t="s">
        <v>604</v>
      </c>
      <c r="K1360" t="s">
        <v>617</v>
      </c>
      <c r="L1360">
        <v>1</v>
      </c>
    </row>
    <row r="1361" spans="2:12" ht="15" customHeight="1">
      <c r="B1361" t="s">
        <v>2067</v>
      </c>
      <c r="C1361">
        <v>24000</v>
      </c>
      <c r="D1361" t="s">
        <v>252</v>
      </c>
      <c r="E1361">
        <v>24000</v>
      </c>
      <c r="F1361" s="3">
        <f>(tblSalaries[[#This Row],[clean Salary (in local currency)]])*(VLOOKUP(tblSalaries[[#This Row],[Currency]],Sheet3!$A$2:$C$31,3,FALSE))*(VLOOKUP(tblSalaries[[#This Row],[Currency]],Sheet1!$N$4:$Q$186,4,FALSE))</f>
        <v>24000</v>
      </c>
      <c r="G1361" s="4">
        <f>IF(Dashboard!$J$5=VLOOKUP(tblSalaries[[#This Row],[Currency]],Sheet3!$A$2:$B$31,2,FALSE),tblSalaries[[#This Row],[clean Salary (in local currency)]],(tblSalaries[[#This Row],[PPP Adjusted  USD]]/VLOOKUP(Dashboard!$J$5,Sheet3!$B$2:$C$31,2,FALSE)))</f>
        <v>24000</v>
      </c>
      <c r="H1361" t="s">
        <v>2068</v>
      </c>
      <c r="I1361" t="s">
        <v>625</v>
      </c>
      <c r="J1361" t="s">
        <v>609</v>
      </c>
      <c r="K1361" t="s">
        <v>617</v>
      </c>
      <c r="L1361">
        <v>5</v>
      </c>
    </row>
    <row r="1362" spans="2:12" ht="15" customHeight="1">
      <c r="B1362" t="s">
        <v>2262</v>
      </c>
      <c r="C1362">
        <v>24000</v>
      </c>
      <c r="D1362" t="s">
        <v>252</v>
      </c>
      <c r="E1362">
        <v>24000</v>
      </c>
      <c r="F1362" s="3">
        <f>(tblSalaries[[#This Row],[clean Salary (in local currency)]])*(VLOOKUP(tblSalaries[[#This Row],[Currency]],Sheet3!$A$2:$C$31,3,FALSE))*(VLOOKUP(tblSalaries[[#This Row],[Currency]],Sheet1!$N$4:$Q$186,4,FALSE))</f>
        <v>24000</v>
      </c>
      <c r="G1362" s="4">
        <f>IF(Dashboard!$J$5=VLOOKUP(tblSalaries[[#This Row],[Currency]],Sheet3!$A$2:$B$31,2,FALSE),tblSalaries[[#This Row],[clean Salary (in local currency)]],(tblSalaries[[#This Row],[PPP Adjusted  USD]]/VLOOKUP(Dashboard!$J$5,Sheet3!$B$2:$C$31,2,FALSE)))</f>
        <v>24000</v>
      </c>
      <c r="H1362" t="s">
        <v>648</v>
      </c>
      <c r="I1362" t="s">
        <v>603</v>
      </c>
      <c r="J1362" t="s">
        <v>604</v>
      </c>
      <c r="K1362" t="s">
        <v>605</v>
      </c>
      <c r="L1362">
        <v>3</v>
      </c>
    </row>
    <row r="1363" spans="2:12" ht="15" customHeight="1">
      <c r="B1363" t="s">
        <v>2281</v>
      </c>
      <c r="C1363">
        <v>24000</v>
      </c>
      <c r="D1363" t="s">
        <v>252</v>
      </c>
      <c r="E1363">
        <v>24000</v>
      </c>
      <c r="F1363" s="3">
        <f>(tblSalaries[[#This Row],[clean Salary (in local currency)]])*(VLOOKUP(tblSalaries[[#This Row],[Currency]],Sheet3!$A$2:$C$31,3,FALSE))*(VLOOKUP(tblSalaries[[#This Row],[Currency]],Sheet1!$N$4:$Q$186,4,FALSE))</f>
        <v>24000</v>
      </c>
      <c r="G1363" s="4">
        <f>IF(Dashboard!$J$5=VLOOKUP(tblSalaries[[#This Row],[Currency]],Sheet3!$A$2:$B$31,2,FALSE),tblSalaries[[#This Row],[clean Salary (in local currency)]],(tblSalaries[[#This Row],[PPP Adjusted  USD]]/VLOOKUP(Dashboard!$J$5,Sheet3!$B$2:$C$31,2,FALSE)))</f>
        <v>24000</v>
      </c>
      <c r="H1363" t="s">
        <v>2282</v>
      </c>
      <c r="I1363" t="s">
        <v>625</v>
      </c>
      <c r="J1363" t="s">
        <v>604</v>
      </c>
      <c r="K1363" t="s">
        <v>605</v>
      </c>
      <c r="L1363">
        <v>10</v>
      </c>
    </row>
    <row r="1364" spans="2:12" ht="15" customHeight="1">
      <c r="B1364" t="s">
        <v>2662</v>
      </c>
      <c r="C1364">
        <v>24000</v>
      </c>
      <c r="D1364" t="s">
        <v>252</v>
      </c>
      <c r="E1364">
        <v>24000</v>
      </c>
      <c r="F1364" s="3">
        <f>(tblSalaries[[#This Row],[clean Salary (in local currency)]])*(VLOOKUP(tblSalaries[[#This Row],[Currency]],Sheet3!$A$2:$C$31,3,FALSE))*(VLOOKUP(tblSalaries[[#This Row],[Currency]],Sheet1!$N$4:$Q$186,4,FALSE))</f>
        <v>24000</v>
      </c>
      <c r="G1364" s="4">
        <f>IF(Dashboard!$J$5=VLOOKUP(tblSalaries[[#This Row],[Currency]],Sheet3!$A$2:$B$31,2,FALSE),tblSalaries[[#This Row],[clean Salary (in local currency)]],(tblSalaries[[#This Row],[PPP Adjusted  USD]]/VLOOKUP(Dashboard!$J$5,Sheet3!$B$2:$C$31,2,FALSE)))</f>
        <v>24000</v>
      </c>
      <c r="H1364" t="s">
        <v>2663</v>
      </c>
      <c r="I1364" t="s">
        <v>625</v>
      </c>
      <c r="J1364" t="s">
        <v>2664</v>
      </c>
      <c r="K1364" t="s">
        <v>605</v>
      </c>
      <c r="L1364">
        <v>21</v>
      </c>
    </row>
    <row r="1365" spans="2:12" ht="15" customHeight="1">
      <c r="B1365" t="s">
        <v>2901</v>
      </c>
      <c r="C1365">
        <v>24000</v>
      </c>
      <c r="D1365" t="s">
        <v>252</v>
      </c>
      <c r="E1365">
        <v>24000</v>
      </c>
      <c r="F1365" s="3">
        <f>(tblSalaries[[#This Row],[clean Salary (in local currency)]])*(VLOOKUP(tblSalaries[[#This Row],[Currency]],Sheet3!$A$2:$C$31,3,FALSE))*(VLOOKUP(tblSalaries[[#This Row],[Currency]],Sheet1!$N$4:$Q$186,4,FALSE))</f>
        <v>24000</v>
      </c>
      <c r="G1365" s="4">
        <f>IF(Dashboard!$J$5=VLOOKUP(tblSalaries[[#This Row],[Currency]],Sheet3!$A$2:$B$31,2,FALSE),tblSalaries[[#This Row],[clean Salary (in local currency)]],(tblSalaries[[#This Row],[PPP Adjusted  USD]]/VLOOKUP(Dashboard!$J$5,Sheet3!$B$2:$C$31,2,FALSE)))</f>
        <v>24000</v>
      </c>
      <c r="H1365" t="s">
        <v>2902</v>
      </c>
      <c r="I1365" t="s">
        <v>625</v>
      </c>
      <c r="J1365" t="s">
        <v>780</v>
      </c>
      <c r="K1365" t="s">
        <v>605</v>
      </c>
      <c r="L1365">
        <v>5</v>
      </c>
    </row>
    <row r="1366" spans="2:12" ht="15" customHeight="1">
      <c r="B1366" t="s">
        <v>2969</v>
      </c>
      <c r="C1366">
        <v>24000</v>
      </c>
      <c r="D1366" t="s">
        <v>252</v>
      </c>
      <c r="E1366">
        <v>24000</v>
      </c>
      <c r="F1366" s="3">
        <f>(tblSalaries[[#This Row],[clean Salary (in local currency)]])*(VLOOKUP(tblSalaries[[#This Row],[Currency]],Sheet3!$A$2:$C$31,3,FALSE))*(VLOOKUP(tblSalaries[[#This Row],[Currency]],Sheet1!$N$4:$Q$186,4,FALSE))</f>
        <v>24000</v>
      </c>
      <c r="G1366" s="4">
        <f>IF(Dashboard!$J$5=VLOOKUP(tblSalaries[[#This Row],[Currency]],Sheet3!$A$2:$B$31,2,FALSE),tblSalaries[[#This Row],[clean Salary (in local currency)]],(tblSalaries[[#This Row],[PPP Adjusted  USD]]/VLOOKUP(Dashboard!$J$5,Sheet3!$B$2:$C$31,2,FALSE)))</f>
        <v>24000</v>
      </c>
      <c r="H1366" t="s">
        <v>2970</v>
      </c>
      <c r="I1366" t="s">
        <v>603</v>
      </c>
      <c r="J1366" t="s">
        <v>613</v>
      </c>
      <c r="K1366" t="s">
        <v>627</v>
      </c>
      <c r="L1366">
        <v>33</v>
      </c>
    </row>
    <row r="1367" spans="2:12" ht="15" customHeight="1">
      <c r="B1367" t="s">
        <v>3073</v>
      </c>
      <c r="C1367">
        <v>24000</v>
      </c>
      <c r="D1367" t="s">
        <v>252</v>
      </c>
      <c r="E1367">
        <v>24000</v>
      </c>
      <c r="F1367" s="3">
        <f>(tblSalaries[[#This Row],[clean Salary (in local currency)]])*(VLOOKUP(tblSalaries[[#This Row],[Currency]],Sheet3!$A$2:$C$31,3,FALSE))*(VLOOKUP(tblSalaries[[#This Row],[Currency]],Sheet1!$N$4:$Q$186,4,FALSE))</f>
        <v>24000</v>
      </c>
      <c r="G1367" s="4">
        <f>IF(Dashboard!$J$5=VLOOKUP(tblSalaries[[#This Row],[Currency]],Sheet3!$A$2:$B$31,2,FALSE),tblSalaries[[#This Row],[clean Salary (in local currency)]],(tblSalaries[[#This Row],[PPP Adjusted  USD]]/VLOOKUP(Dashboard!$J$5,Sheet3!$B$2:$C$31,2,FALSE)))</f>
        <v>24000</v>
      </c>
      <c r="H1367" t="s">
        <v>3074</v>
      </c>
      <c r="I1367" t="s">
        <v>608</v>
      </c>
      <c r="J1367" t="s">
        <v>613</v>
      </c>
      <c r="K1367" t="s">
        <v>627</v>
      </c>
      <c r="L1367">
        <v>2</v>
      </c>
    </row>
    <row r="1368" spans="2:12" ht="15" customHeight="1">
      <c r="B1368" t="s">
        <v>3708</v>
      </c>
      <c r="C1368">
        <v>24000</v>
      </c>
      <c r="D1368" t="s">
        <v>252</v>
      </c>
      <c r="E1368">
        <v>24000</v>
      </c>
      <c r="F1368" s="3">
        <f>(tblSalaries[[#This Row],[clean Salary (in local currency)]])*(VLOOKUP(tblSalaries[[#This Row],[Currency]],Sheet3!$A$2:$C$31,3,FALSE))*(VLOOKUP(tblSalaries[[#This Row],[Currency]],Sheet1!$N$4:$Q$186,4,FALSE))</f>
        <v>24000</v>
      </c>
      <c r="G1368" s="4">
        <f>IF(Dashboard!$J$5=VLOOKUP(tblSalaries[[#This Row],[Currency]],Sheet3!$A$2:$B$31,2,FALSE),tblSalaries[[#This Row],[clean Salary (in local currency)]],(tblSalaries[[#This Row],[PPP Adjusted  USD]]/VLOOKUP(Dashboard!$J$5,Sheet3!$B$2:$C$31,2,FALSE)))</f>
        <v>24000</v>
      </c>
      <c r="H1368" t="s">
        <v>1201</v>
      </c>
      <c r="I1368" t="s">
        <v>608</v>
      </c>
      <c r="J1368" t="s">
        <v>683</v>
      </c>
      <c r="K1368" t="s">
        <v>610</v>
      </c>
      <c r="L1368">
        <v>23</v>
      </c>
    </row>
    <row r="1369" spans="2:12" ht="15" customHeight="1">
      <c r="B1369" t="s">
        <v>2075</v>
      </c>
      <c r="C1369">
        <v>504000</v>
      </c>
      <c r="D1369" t="s">
        <v>247</v>
      </c>
      <c r="E1369">
        <v>8975.1900104710548</v>
      </c>
      <c r="F1369" s="3">
        <f>(tblSalaries[[#This Row],[clean Salary (in local currency)]])*(VLOOKUP(tblSalaries[[#This Row],[Currency]],Sheet3!$A$2:$C$31,3,FALSE))*(VLOOKUP(tblSalaries[[#This Row],[Currency]],Sheet1!$N$4:$Q$186,4,FALSE))</f>
        <v>23869.955263744021</v>
      </c>
      <c r="G1369" s="4">
        <f>IF(Dashboard!$J$5=VLOOKUP(tblSalaries[[#This Row],[Currency]],Sheet3!$A$2:$B$31,2,FALSE),tblSalaries[[#This Row],[clean Salary (in local currency)]],(tblSalaries[[#This Row],[PPP Adjusted  USD]]/VLOOKUP(Dashboard!$J$5,Sheet3!$B$2:$C$31,2,FALSE)))</f>
        <v>23869.955263744021</v>
      </c>
      <c r="H1369" t="s">
        <v>2076</v>
      </c>
      <c r="I1369" t="s">
        <v>625</v>
      </c>
      <c r="J1369" t="s">
        <v>604</v>
      </c>
      <c r="K1369" t="s">
        <v>610</v>
      </c>
      <c r="L1369">
        <v>3</v>
      </c>
    </row>
    <row r="1370" spans="2:12" ht="15" customHeight="1">
      <c r="B1370" t="s">
        <v>690</v>
      </c>
      <c r="C1370">
        <v>500000</v>
      </c>
      <c r="D1370" t="s">
        <v>247</v>
      </c>
      <c r="E1370">
        <v>8903.9583437212841</v>
      </c>
      <c r="F1370" s="3">
        <f>(tblSalaries[[#This Row],[clean Salary (in local currency)]])*(VLOOKUP(tblSalaries[[#This Row],[Currency]],Sheet3!$A$2:$C$31,3,FALSE))*(VLOOKUP(tblSalaries[[#This Row],[Currency]],Sheet1!$N$4:$Q$186,4,FALSE))</f>
        <v>23680.511174349227</v>
      </c>
      <c r="G1370" s="4">
        <f>IF(Dashboard!$J$5=VLOOKUP(tblSalaries[[#This Row],[Currency]],Sheet3!$A$2:$B$31,2,FALSE),tblSalaries[[#This Row],[clean Salary (in local currency)]],(tblSalaries[[#This Row],[PPP Adjusted  USD]]/VLOOKUP(Dashboard!$J$5,Sheet3!$B$2:$C$31,2,FALSE)))</f>
        <v>23680.511174349227</v>
      </c>
      <c r="H1370" t="s">
        <v>691</v>
      </c>
      <c r="I1370" t="s">
        <v>692</v>
      </c>
      <c r="J1370" t="s">
        <v>604</v>
      </c>
      <c r="K1370" t="s">
        <v>610</v>
      </c>
      <c r="L1370" t="s">
        <v>3847</v>
      </c>
    </row>
    <row r="1371" spans="2:12" ht="15" customHeight="1">
      <c r="B1371" t="s">
        <v>792</v>
      </c>
      <c r="C1371">
        <v>500000</v>
      </c>
      <c r="D1371" t="s">
        <v>247</v>
      </c>
      <c r="E1371">
        <v>8903.9583437212841</v>
      </c>
      <c r="F1371" s="3">
        <f>(tblSalaries[[#This Row],[clean Salary (in local currency)]])*(VLOOKUP(tblSalaries[[#This Row],[Currency]],Sheet3!$A$2:$C$31,3,FALSE))*(VLOOKUP(tblSalaries[[#This Row],[Currency]],Sheet1!$N$4:$Q$186,4,FALSE))</f>
        <v>23680.511174349227</v>
      </c>
      <c r="G1371" s="4">
        <f>IF(Dashboard!$J$5=VLOOKUP(tblSalaries[[#This Row],[Currency]],Sheet3!$A$2:$B$31,2,FALSE),tblSalaries[[#This Row],[clean Salary (in local currency)]],(tblSalaries[[#This Row],[PPP Adjusted  USD]]/VLOOKUP(Dashboard!$J$5,Sheet3!$B$2:$C$31,2,FALSE)))</f>
        <v>23680.511174349227</v>
      </c>
      <c r="H1371" t="s">
        <v>691</v>
      </c>
      <c r="I1371" t="s">
        <v>692</v>
      </c>
      <c r="J1371" t="s">
        <v>604</v>
      </c>
      <c r="K1371" t="s">
        <v>610</v>
      </c>
      <c r="L1371" t="s">
        <v>3847</v>
      </c>
    </row>
    <row r="1372" spans="2:12" ht="15" customHeight="1">
      <c r="B1372" t="s">
        <v>957</v>
      </c>
      <c r="C1372">
        <v>500000</v>
      </c>
      <c r="D1372" t="s">
        <v>247</v>
      </c>
      <c r="E1372">
        <v>8903.9583437212841</v>
      </c>
      <c r="F1372" s="3">
        <f>(tblSalaries[[#This Row],[clean Salary (in local currency)]])*(VLOOKUP(tblSalaries[[#This Row],[Currency]],Sheet3!$A$2:$C$31,3,FALSE))*(VLOOKUP(tblSalaries[[#This Row],[Currency]],Sheet1!$N$4:$Q$186,4,FALSE))</f>
        <v>23680.511174349227</v>
      </c>
      <c r="G1372" s="4">
        <f>IF(Dashboard!$J$5=VLOOKUP(tblSalaries[[#This Row],[Currency]],Sheet3!$A$2:$B$31,2,FALSE),tblSalaries[[#This Row],[clean Salary (in local currency)]],(tblSalaries[[#This Row],[PPP Adjusted  USD]]/VLOOKUP(Dashboard!$J$5,Sheet3!$B$2:$C$31,2,FALSE)))</f>
        <v>23680.511174349227</v>
      </c>
      <c r="H1372" t="s">
        <v>958</v>
      </c>
      <c r="I1372" t="s">
        <v>603</v>
      </c>
      <c r="J1372" t="s">
        <v>604</v>
      </c>
      <c r="K1372" t="s">
        <v>617</v>
      </c>
      <c r="L1372" t="s">
        <v>3847</v>
      </c>
    </row>
    <row r="1373" spans="2:12" ht="15" customHeight="1">
      <c r="B1373" t="s">
        <v>1049</v>
      </c>
      <c r="C1373">
        <v>500000</v>
      </c>
      <c r="D1373" t="s">
        <v>247</v>
      </c>
      <c r="E1373">
        <v>8903.9583437212841</v>
      </c>
      <c r="F1373" s="3">
        <f>(tblSalaries[[#This Row],[clean Salary (in local currency)]])*(VLOOKUP(tblSalaries[[#This Row],[Currency]],Sheet3!$A$2:$C$31,3,FALSE))*(VLOOKUP(tblSalaries[[#This Row],[Currency]],Sheet1!$N$4:$Q$186,4,FALSE))</f>
        <v>23680.511174349227</v>
      </c>
      <c r="G1373" s="4">
        <f>IF(Dashboard!$J$5=VLOOKUP(tblSalaries[[#This Row],[Currency]],Sheet3!$A$2:$B$31,2,FALSE),tblSalaries[[#This Row],[clean Salary (in local currency)]],(tblSalaries[[#This Row],[PPP Adjusted  USD]]/VLOOKUP(Dashboard!$J$5,Sheet3!$B$2:$C$31,2,FALSE)))</f>
        <v>23680.511174349227</v>
      </c>
      <c r="H1373" t="s">
        <v>889</v>
      </c>
      <c r="I1373" t="s">
        <v>625</v>
      </c>
      <c r="J1373" t="s">
        <v>604</v>
      </c>
      <c r="K1373" t="s">
        <v>605</v>
      </c>
      <c r="L1373" t="s">
        <v>3847</v>
      </c>
    </row>
    <row r="1374" spans="2:12" ht="15" customHeight="1">
      <c r="B1374" t="s">
        <v>1321</v>
      </c>
      <c r="C1374">
        <v>500000</v>
      </c>
      <c r="D1374" t="s">
        <v>247</v>
      </c>
      <c r="E1374">
        <v>8903.9583437212841</v>
      </c>
      <c r="F1374" s="3">
        <f>(tblSalaries[[#This Row],[clean Salary (in local currency)]])*(VLOOKUP(tblSalaries[[#This Row],[Currency]],Sheet3!$A$2:$C$31,3,FALSE))*(VLOOKUP(tblSalaries[[#This Row],[Currency]],Sheet1!$N$4:$Q$186,4,FALSE))</f>
        <v>23680.511174349227</v>
      </c>
      <c r="G1374" s="4">
        <f>IF(Dashboard!$J$5=VLOOKUP(tblSalaries[[#This Row],[Currency]],Sheet3!$A$2:$B$31,2,FALSE),tblSalaries[[#This Row],[clean Salary (in local currency)]],(tblSalaries[[#This Row],[PPP Adjusted  USD]]/VLOOKUP(Dashboard!$J$5,Sheet3!$B$2:$C$31,2,FALSE)))</f>
        <v>23680.511174349227</v>
      </c>
      <c r="H1374" t="s">
        <v>1322</v>
      </c>
      <c r="I1374" t="s">
        <v>625</v>
      </c>
      <c r="J1374" t="s">
        <v>604</v>
      </c>
      <c r="K1374" t="s">
        <v>617</v>
      </c>
      <c r="L1374" t="s">
        <v>3847</v>
      </c>
    </row>
    <row r="1375" spans="2:12" ht="15" customHeight="1">
      <c r="B1375" t="s">
        <v>1460</v>
      </c>
      <c r="C1375">
        <v>500000</v>
      </c>
      <c r="D1375" t="s">
        <v>247</v>
      </c>
      <c r="E1375">
        <v>8903.9583437212841</v>
      </c>
      <c r="F1375" s="3">
        <f>(tblSalaries[[#This Row],[clean Salary (in local currency)]])*(VLOOKUP(tblSalaries[[#This Row],[Currency]],Sheet3!$A$2:$C$31,3,FALSE))*(VLOOKUP(tblSalaries[[#This Row],[Currency]],Sheet1!$N$4:$Q$186,4,FALSE))</f>
        <v>23680.511174349227</v>
      </c>
      <c r="G1375" s="4">
        <f>IF(Dashboard!$J$5=VLOOKUP(tblSalaries[[#This Row],[Currency]],Sheet3!$A$2:$B$31,2,FALSE),tblSalaries[[#This Row],[clean Salary (in local currency)]],(tblSalaries[[#This Row],[PPP Adjusted  USD]]/VLOOKUP(Dashboard!$J$5,Sheet3!$B$2:$C$31,2,FALSE)))</f>
        <v>23680.511174349227</v>
      </c>
      <c r="H1375" t="s">
        <v>899</v>
      </c>
      <c r="I1375" t="s">
        <v>603</v>
      </c>
      <c r="J1375" t="s">
        <v>604</v>
      </c>
      <c r="K1375" t="s">
        <v>605</v>
      </c>
      <c r="L1375" t="s">
        <v>3847</v>
      </c>
    </row>
    <row r="1376" spans="2:12" ht="15" customHeight="1">
      <c r="B1376" t="s">
        <v>1561</v>
      </c>
      <c r="C1376">
        <v>500000</v>
      </c>
      <c r="D1376" t="s">
        <v>247</v>
      </c>
      <c r="E1376">
        <v>8903.9583437212841</v>
      </c>
      <c r="F1376" s="3">
        <f>(tblSalaries[[#This Row],[clean Salary (in local currency)]])*(VLOOKUP(tblSalaries[[#This Row],[Currency]],Sheet3!$A$2:$C$31,3,FALSE))*(VLOOKUP(tblSalaries[[#This Row],[Currency]],Sheet1!$N$4:$Q$186,4,FALSE))</f>
        <v>23680.511174349227</v>
      </c>
      <c r="G1376" s="4">
        <f>IF(Dashboard!$J$5=VLOOKUP(tblSalaries[[#This Row],[Currency]],Sheet3!$A$2:$B$31,2,FALSE),tblSalaries[[#This Row],[clean Salary (in local currency)]],(tblSalaries[[#This Row],[PPP Adjusted  USD]]/VLOOKUP(Dashboard!$J$5,Sheet3!$B$2:$C$31,2,FALSE)))</f>
        <v>23680.511174349227</v>
      </c>
      <c r="H1376" t="s">
        <v>1562</v>
      </c>
      <c r="I1376" t="s">
        <v>625</v>
      </c>
      <c r="J1376" t="s">
        <v>604</v>
      </c>
      <c r="K1376" t="s">
        <v>617</v>
      </c>
      <c r="L1376" t="s">
        <v>3847</v>
      </c>
    </row>
    <row r="1377" spans="2:12" ht="15" customHeight="1">
      <c r="B1377" t="s">
        <v>1625</v>
      </c>
      <c r="C1377">
        <v>500000</v>
      </c>
      <c r="D1377" t="s">
        <v>247</v>
      </c>
      <c r="E1377">
        <v>8903.9583437212841</v>
      </c>
      <c r="F1377" s="3">
        <f>(tblSalaries[[#This Row],[clean Salary (in local currency)]])*(VLOOKUP(tblSalaries[[#This Row],[Currency]],Sheet3!$A$2:$C$31,3,FALSE))*(VLOOKUP(tblSalaries[[#This Row],[Currency]],Sheet1!$N$4:$Q$186,4,FALSE))</f>
        <v>23680.511174349227</v>
      </c>
      <c r="G1377" s="4">
        <f>IF(Dashboard!$J$5=VLOOKUP(tblSalaries[[#This Row],[Currency]],Sheet3!$A$2:$B$31,2,FALSE),tblSalaries[[#This Row],[clean Salary (in local currency)]],(tblSalaries[[#This Row],[PPP Adjusted  USD]]/VLOOKUP(Dashboard!$J$5,Sheet3!$B$2:$C$31,2,FALSE)))</f>
        <v>23680.511174349227</v>
      </c>
      <c r="H1377" t="s">
        <v>1626</v>
      </c>
      <c r="I1377" t="s">
        <v>603</v>
      </c>
      <c r="J1377" t="s">
        <v>604</v>
      </c>
      <c r="K1377" t="s">
        <v>610</v>
      </c>
      <c r="L1377" t="s">
        <v>3847</v>
      </c>
    </row>
    <row r="1378" spans="2:12" ht="15" customHeight="1">
      <c r="B1378" t="s">
        <v>1900</v>
      </c>
      <c r="C1378">
        <v>500000</v>
      </c>
      <c r="D1378" t="s">
        <v>247</v>
      </c>
      <c r="E1378">
        <v>8903.9583437212841</v>
      </c>
      <c r="F1378" s="3">
        <f>(tblSalaries[[#This Row],[clean Salary (in local currency)]])*(VLOOKUP(tblSalaries[[#This Row],[Currency]],Sheet3!$A$2:$C$31,3,FALSE))*(VLOOKUP(tblSalaries[[#This Row],[Currency]],Sheet1!$N$4:$Q$186,4,FALSE))</f>
        <v>23680.511174349227</v>
      </c>
      <c r="G1378" s="4">
        <f>IF(Dashboard!$J$5=VLOOKUP(tblSalaries[[#This Row],[Currency]],Sheet3!$A$2:$B$31,2,FALSE),tblSalaries[[#This Row],[clean Salary (in local currency)]],(tblSalaries[[#This Row],[PPP Adjusted  USD]]/VLOOKUP(Dashboard!$J$5,Sheet3!$B$2:$C$31,2,FALSE)))</f>
        <v>23680.511174349227</v>
      </c>
      <c r="H1378" t="s">
        <v>1901</v>
      </c>
      <c r="I1378" t="s">
        <v>658</v>
      </c>
      <c r="J1378" t="s">
        <v>604</v>
      </c>
      <c r="K1378" t="s">
        <v>617</v>
      </c>
      <c r="L1378">
        <v>1</v>
      </c>
    </row>
    <row r="1379" spans="2:12" ht="15" customHeight="1">
      <c r="B1379" t="s">
        <v>1902</v>
      </c>
      <c r="C1379">
        <v>500000</v>
      </c>
      <c r="D1379" t="s">
        <v>247</v>
      </c>
      <c r="E1379">
        <v>8903.9583437212841</v>
      </c>
      <c r="F1379" s="3">
        <f>(tblSalaries[[#This Row],[clean Salary (in local currency)]])*(VLOOKUP(tblSalaries[[#This Row],[Currency]],Sheet3!$A$2:$C$31,3,FALSE))*(VLOOKUP(tblSalaries[[#This Row],[Currency]],Sheet1!$N$4:$Q$186,4,FALSE))</f>
        <v>23680.511174349227</v>
      </c>
      <c r="G1379" s="4">
        <f>IF(Dashboard!$J$5=VLOOKUP(tblSalaries[[#This Row],[Currency]],Sheet3!$A$2:$B$31,2,FALSE),tblSalaries[[#This Row],[clean Salary (in local currency)]],(tblSalaries[[#This Row],[PPP Adjusted  USD]]/VLOOKUP(Dashboard!$J$5,Sheet3!$B$2:$C$31,2,FALSE)))</f>
        <v>23680.511174349227</v>
      </c>
      <c r="H1379" t="s">
        <v>620</v>
      </c>
      <c r="I1379" t="s">
        <v>620</v>
      </c>
      <c r="J1379" t="s">
        <v>604</v>
      </c>
      <c r="K1379" t="s">
        <v>610</v>
      </c>
      <c r="L1379">
        <v>2</v>
      </c>
    </row>
    <row r="1380" spans="2:12" ht="15" customHeight="1">
      <c r="B1380" t="s">
        <v>2198</v>
      </c>
      <c r="C1380">
        <v>500000</v>
      </c>
      <c r="D1380" t="s">
        <v>247</v>
      </c>
      <c r="E1380">
        <v>8903.9583437212841</v>
      </c>
      <c r="F1380" s="3">
        <f>(tblSalaries[[#This Row],[clean Salary (in local currency)]])*(VLOOKUP(tblSalaries[[#This Row],[Currency]],Sheet3!$A$2:$C$31,3,FALSE))*(VLOOKUP(tblSalaries[[#This Row],[Currency]],Sheet1!$N$4:$Q$186,4,FALSE))</f>
        <v>23680.511174349227</v>
      </c>
      <c r="G1380" s="4">
        <f>IF(Dashboard!$J$5=VLOOKUP(tblSalaries[[#This Row],[Currency]],Sheet3!$A$2:$B$31,2,FALSE),tblSalaries[[#This Row],[clean Salary (in local currency)]],(tblSalaries[[#This Row],[PPP Adjusted  USD]]/VLOOKUP(Dashboard!$J$5,Sheet3!$B$2:$C$31,2,FALSE)))</f>
        <v>23680.511174349227</v>
      </c>
      <c r="H1380" t="s">
        <v>2199</v>
      </c>
      <c r="I1380" t="s">
        <v>625</v>
      </c>
      <c r="J1380" t="s">
        <v>604</v>
      </c>
      <c r="K1380" t="s">
        <v>627</v>
      </c>
      <c r="L1380">
        <v>5</v>
      </c>
    </row>
    <row r="1381" spans="2:12" ht="15" customHeight="1">
      <c r="B1381" t="s">
        <v>2210</v>
      </c>
      <c r="C1381">
        <v>500000</v>
      </c>
      <c r="D1381" t="s">
        <v>247</v>
      </c>
      <c r="E1381">
        <v>8903.9583437212841</v>
      </c>
      <c r="F1381" s="3">
        <f>(tblSalaries[[#This Row],[clean Salary (in local currency)]])*(VLOOKUP(tblSalaries[[#This Row],[Currency]],Sheet3!$A$2:$C$31,3,FALSE))*(VLOOKUP(tblSalaries[[#This Row],[Currency]],Sheet1!$N$4:$Q$186,4,FALSE))</f>
        <v>23680.511174349227</v>
      </c>
      <c r="G1381" s="4">
        <f>IF(Dashboard!$J$5=VLOOKUP(tblSalaries[[#This Row],[Currency]],Sheet3!$A$2:$B$31,2,FALSE),tblSalaries[[#This Row],[clean Salary (in local currency)]],(tblSalaries[[#This Row],[PPP Adjusted  USD]]/VLOOKUP(Dashboard!$J$5,Sheet3!$B$2:$C$31,2,FALSE)))</f>
        <v>23680.511174349227</v>
      </c>
      <c r="H1381" t="s">
        <v>1776</v>
      </c>
      <c r="I1381" t="s">
        <v>620</v>
      </c>
      <c r="J1381" t="s">
        <v>604</v>
      </c>
      <c r="K1381" t="s">
        <v>617</v>
      </c>
      <c r="L1381">
        <v>3</v>
      </c>
    </row>
    <row r="1382" spans="2:12" ht="15" customHeight="1">
      <c r="B1382" t="s">
        <v>2363</v>
      </c>
      <c r="C1382">
        <v>500000</v>
      </c>
      <c r="D1382" t="s">
        <v>247</v>
      </c>
      <c r="E1382">
        <v>8903.9583437212841</v>
      </c>
      <c r="F1382" s="3">
        <f>(tblSalaries[[#This Row],[clean Salary (in local currency)]])*(VLOOKUP(tblSalaries[[#This Row],[Currency]],Sheet3!$A$2:$C$31,3,FALSE))*(VLOOKUP(tblSalaries[[#This Row],[Currency]],Sheet1!$N$4:$Q$186,4,FALSE))</f>
        <v>23680.511174349227</v>
      </c>
      <c r="G1382" s="4">
        <f>IF(Dashboard!$J$5=VLOOKUP(tblSalaries[[#This Row],[Currency]],Sheet3!$A$2:$B$31,2,FALSE),tblSalaries[[#This Row],[clean Salary (in local currency)]],(tblSalaries[[#This Row],[PPP Adjusted  USD]]/VLOOKUP(Dashboard!$J$5,Sheet3!$B$2:$C$31,2,FALSE)))</f>
        <v>23680.511174349227</v>
      </c>
      <c r="H1382" t="s">
        <v>899</v>
      </c>
      <c r="I1382" t="s">
        <v>603</v>
      </c>
      <c r="J1382" t="s">
        <v>604</v>
      </c>
      <c r="K1382" t="s">
        <v>605</v>
      </c>
      <c r="L1382">
        <v>7</v>
      </c>
    </row>
    <row r="1383" spans="2:12" ht="15" customHeight="1">
      <c r="B1383" t="s">
        <v>2511</v>
      </c>
      <c r="C1383">
        <v>500000</v>
      </c>
      <c r="D1383" t="s">
        <v>247</v>
      </c>
      <c r="E1383">
        <v>8903.9583437212841</v>
      </c>
      <c r="F1383" s="3">
        <f>(tblSalaries[[#This Row],[clean Salary (in local currency)]])*(VLOOKUP(tblSalaries[[#This Row],[Currency]],Sheet3!$A$2:$C$31,3,FALSE))*(VLOOKUP(tblSalaries[[#This Row],[Currency]],Sheet1!$N$4:$Q$186,4,FALSE))</f>
        <v>23680.511174349227</v>
      </c>
      <c r="G1383" s="4">
        <f>IF(Dashboard!$J$5=VLOOKUP(tblSalaries[[#This Row],[Currency]],Sheet3!$A$2:$B$31,2,FALSE),tblSalaries[[#This Row],[clean Salary (in local currency)]],(tblSalaries[[#This Row],[PPP Adjusted  USD]]/VLOOKUP(Dashboard!$J$5,Sheet3!$B$2:$C$31,2,FALSE)))</f>
        <v>23680.511174349227</v>
      </c>
      <c r="H1383" t="s">
        <v>1792</v>
      </c>
      <c r="I1383" t="s">
        <v>603</v>
      </c>
      <c r="J1383" t="s">
        <v>604</v>
      </c>
      <c r="K1383" t="s">
        <v>617</v>
      </c>
      <c r="L1383">
        <v>23</v>
      </c>
    </row>
    <row r="1384" spans="2:12" ht="15" customHeight="1">
      <c r="B1384" t="s">
        <v>2622</v>
      </c>
      <c r="C1384">
        <v>500000</v>
      </c>
      <c r="D1384" t="s">
        <v>247</v>
      </c>
      <c r="E1384">
        <v>8903.9583437212841</v>
      </c>
      <c r="F1384" s="3">
        <f>(tblSalaries[[#This Row],[clean Salary (in local currency)]])*(VLOOKUP(tblSalaries[[#This Row],[Currency]],Sheet3!$A$2:$C$31,3,FALSE))*(VLOOKUP(tblSalaries[[#This Row],[Currency]],Sheet1!$N$4:$Q$186,4,FALSE))</f>
        <v>23680.511174349227</v>
      </c>
      <c r="G1384" s="4">
        <f>IF(Dashboard!$J$5=VLOOKUP(tblSalaries[[#This Row],[Currency]],Sheet3!$A$2:$B$31,2,FALSE),tblSalaries[[#This Row],[clean Salary (in local currency)]],(tblSalaries[[#This Row],[PPP Adjusted  USD]]/VLOOKUP(Dashboard!$J$5,Sheet3!$B$2:$C$31,2,FALSE)))</f>
        <v>23680.511174349227</v>
      </c>
      <c r="H1384" t="s">
        <v>2071</v>
      </c>
      <c r="I1384" t="s">
        <v>625</v>
      </c>
      <c r="J1384" t="s">
        <v>604</v>
      </c>
      <c r="K1384" t="s">
        <v>627</v>
      </c>
      <c r="L1384">
        <v>25</v>
      </c>
    </row>
    <row r="1385" spans="2:12" ht="15" customHeight="1">
      <c r="B1385" t="s">
        <v>2640</v>
      </c>
      <c r="C1385">
        <v>500000</v>
      </c>
      <c r="D1385" t="s">
        <v>247</v>
      </c>
      <c r="E1385">
        <v>8903.9583437212841</v>
      </c>
      <c r="F1385" s="3">
        <f>(tblSalaries[[#This Row],[clean Salary (in local currency)]])*(VLOOKUP(tblSalaries[[#This Row],[Currency]],Sheet3!$A$2:$C$31,3,FALSE))*(VLOOKUP(tblSalaries[[#This Row],[Currency]],Sheet1!$N$4:$Q$186,4,FALSE))</f>
        <v>23680.511174349227</v>
      </c>
      <c r="G1385" s="4">
        <f>IF(Dashboard!$J$5=VLOOKUP(tblSalaries[[#This Row],[Currency]],Sheet3!$A$2:$B$31,2,FALSE),tblSalaries[[#This Row],[clean Salary (in local currency)]],(tblSalaries[[#This Row],[PPP Adjusted  USD]]/VLOOKUP(Dashboard!$J$5,Sheet3!$B$2:$C$31,2,FALSE)))</f>
        <v>23680.511174349227</v>
      </c>
      <c r="H1385" t="s">
        <v>899</v>
      </c>
      <c r="I1385" t="s">
        <v>603</v>
      </c>
      <c r="J1385" t="s">
        <v>604</v>
      </c>
      <c r="K1385" t="s">
        <v>605</v>
      </c>
      <c r="L1385">
        <v>0.8</v>
      </c>
    </row>
    <row r="1386" spans="2:12" ht="15" customHeight="1">
      <c r="B1386" t="s">
        <v>2710</v>
      </c>
      <c r="C1386">
        <v>500000</v>
      </c>
      <c r="D1386" t="s">
        <v>247</v>
      </c>
      <c r="E1386">
        <v>8903.9583437212841</v>
      </c>
      <c r="F1386" s="3">
        <f>(tblSalaries[[#This Row],[clean Salary (in local currency)]])*(VLOOKUP(tblSalaries[[#This Row],[Currency]],Sheet3!$A$2:$C$31,3,FALSE))*(VLOOKUP(tblSalaries[[#This Row],[Currency]],Sheet1!$N$4:$Q$186,4,FALSE))</f>
        <v>23680.511174349227</v>
      </c>
      <c r="G1386" s="4">
        <f>IF(Dashboard!$J$5=VLOOKUP(tblSalaries[[#This Row],[Currency]],Sheet3!$A$2:$B$31,2,FALSE),tblSalaries[[#This Row],[clean Salary (in local currency)]],(tblSalaries[[#This Row],[PPP Adjusted  USD]]/VLOOKUP(Dashboard!$J$5,Sheet3!$B$2:$C$31,2,FALSE)))</f>
        <v>23680.511174349227</v>
      </c>
      <c r="H1386" t="s">
        <v>692</v>
      </c>
      <c r="I1386" t="s">
        <v>692</v>
      </c>
      <c r="J1386" t="s">
        <v>604</v>
      </c>
      <c r="K1386" t="s">
        <v>617</v>
      </c>
      <c r="L1386">
        <v>3</v>
      </c>
    </row>
    <row r="1387" spans="2:12" ht="15" customHeight="1">
      <c r="B1387" t="s">
        <v>2813</v>
      </c>
      <c r="C1387">
        <v>500000</v>
      </c>
      <c r="D1387" t="s">
        <v>247</v>
      </c>
      <c r="E1387">
        <v>8903.9583437212841</v>
      </c>
      <c r="F1387" s="3">
        <f>(tblSalaries[[#This Row],[clean Salary (in local currency)]])*(VLOOKUP(tblSalaries[[#This Row],[Currency]],Sheet3!$A$2:$C$31,3,FALSE))*(VLOOKUP(tblSalaries[[#This Row],[Currency]],Sheet1!$N$4:$Q$186,4,FALSE))</f>
        <v>23680.511174349227</v>
      </c>
      <c r="G1387" s="4">
        <f>IF(Dashboard!$J$5=VLOOKUP(tblSalaries[[#This Row],[Currency]],Sheet3!$A$2:$B$31,2,FALSE),tblSalaries[[#This Row],[clean Salary (in local currency)]],(tblSalaries[[#This Row],[PPP Adjusted  USD]]/VLOOKUP(Dashboard!$J$5,Sheet3!$B$2:$C$31,2,FALSE)))</f>
        <v>23680.511174349227</v>
      </c>
      <c r="H1387" t="s">
        <v>2814</v>
      </c>
      <c r="I1387" t="s">
        <v>625</v>
      </c>
      <c r="J1387" t="s">
        <v>604</v>
      </c>
      <c r="K1387" t="s">
        <v>617</v>
      </c>
      <c r="L1387">
        <v>29</v>
      </c>
    </row>
    <row r="1388" spans="2:12" ht="15" customHeight="1">
      <c r="B1388" t="s">
        <v>2862</v>
      </c>
      <c r="C1388">
        <v>500000</v>
      </c>
      <c r="D1388" t="s">
        <v>247</v>
      </c>
      <c r="E1388">
        <v>8903.9583437212841</v>
      </c>
      <c r="F1388" s="3">
        <f>(tblSalaries[[#This Row],[clean Salary (in local currency)]])*(VLOOKUP(tblSalaries[[#This Row],[Currency]],Sheet3!$A$2:$C$31,3,FALSE))*(VLOOKUP(tblSalaries[[#This Row],[Currency]],Sheet1!$N$4:$Q$186,4,FALSE))</f>
        <v>23680.511174349227</v>
      </c>
      <c r="G1388" s="4">
        <f>IF(Dashboard!$J$5=VLOOKUP(tblSalaries[[#This Row],[Currency]],Sheet3!$A$2:$B$31,2,FALSE),tblSalaries[[#This Row],[clean Salary (in local currency)]],(tblSalaries[[#This Row],[PPP Adjusted  USD]]/VLOOKUP(Dashboard!$J$5,Sheet3!$B$2:$C$31,2,FALSE)))</f>
        <v>23680.511174349227</v>
      </c>
      <c r="H1388" t="s">
        <v>2863</v>
      </c>
      <c r="I1388" t="s">
        <v>620</v>
      </c>
      <c r="J1388" t="s">
        <v>604</v>
      </c>
      <c r="K1388" t="s">
        <v>605</v>
      </c>
      <c r="L1388">
        <v>2</v>
      </c>
    </row>
    <row r="1389" spans="2:12" ht="15" customHeight="1">
      <c r="B1389" t="s">
        <v>2907</v>
      </c>
      <c r="C1389">
        <v>500000</v>
      </c>
      <c r="D1389" t="s">
        <v>247</v>
      </c>
      <c r="E1389">
        <v>8903.9583437212841</v>
      </c>
      <c r="F1389" s="3">
        <f>(tblSalaries[[#This Row],[clean Salary (in local currency)]])*(VLOOKUP(tblSalaries[[#This Row],[Currency]],Sheet3!$A$2:$C$31,3,FALSE))*(VLOOKUP(tblSalaries[[#This Row],[Currency]],Sheet1!$N$4:$Q$186,4,FALSE))</f>
        <v>23680.511174349227</v>
      </c>
      <c r="G1389" s="4">
        <f>IF(Dashboard!$J$5=VLOOKUP(tblSalaries[[#This Row],[Currency]],Sheet3!$A$2:$B$31,2,FALSE),tblSalaries[[#This Row],[clean Salary (in local currency)]],(tblSalaries[[#This Row],[PPP Adjusted  USD]]/VLOOKUP(Dashboard!$J$5,Sheet3!$B$2:$C$31,2,FALSE)))</f>
        <v>23680.511174349227</v>
      </c>
      <c r="H1389" t="s">
        <v>2908</v>
      </c>
      <c r="I1389" t="s">
        <v>625</v>
      </c>
      <c r="J1389" t="s">
        <v>604</v>
      </c>
      <c r="K1389" t="s">
        <v>617</v>
      </c>
      <c r="L1389">
        <v>5</v>
      </c>
    </row>
    <row r="1390" spans="2:12" ht="15" customHeight="1">
      <c r="B1390" t="s">
        <v>3095</v>
      </c>
      <c r="C1390">
        <v>500000</v>
      </c>
      <c r="D1390" t="s">
        <v>247</v>
      </c>
      <c r="E1390">
        <v>8903.9583437212841</v>
      </c>
      <c r="F1390" s="3">
        <f>(tblSalaries[[#This Row],[clean Salary (in local currency)]])*(VLOOKUP(tblSalaries[[#This Row],[Currency]],Sheet3!$A$2:$C$31,3,FALSE))*(VLOOKUP(tblSalaries[[#This Row],[Currency]],Sheet1!$N$4:$Q$186,4,FALSE))</f>
        <v>23680.511174349227</v>
      </c>
      <c r="G1390" s="4">
        <f>IF(Dashboard!$J$5=VLOOKUP(tblSalaries[[#This Row],[Currency]],Sheet3!$A$2:$B$31,2,FALSE),tblSalaries[[#This Row],[clean Salary (in local currency)]],(tblSalaries[[#This Row],[PPP Adjusted  USD]]/VLOOKUP(Dashboard!$J$5,Sheet3!$B$2:$C$31,2,FALSE)))</f>
        <v>23680.511174349227</v>
      </c>
      <c r="H1390" t="s">
        <v>3096</v>
      </c>
      <c r="I1390" t="s">
        <v>625</v>
      </c>
      <c r="J1390" t="s">
        <v>604</v>
      </c>
      <c r="K1390" t="s">
        <v>617</v>
      </c>
      <c r="L1390">
        <v>0</v>
      </c>
    </row>
    <row r="1391" spans="2:12" ht="15" customHeight="1">
      <c r="B1391" t="s">
        <v>3214</v>
      </c>
      <c r="C1391">
        <v>500000</v>
      </c>
      <c r="D1391" t="s">
        <v>247</v>
      </c>
      <c r="E1391">
        <v>8903.9583437212841</v>
      </c>
      <c r="F1391" s="3">
        <f>(tblSalaries[[#This Row],[clean Salary (in local currency)]])*(VLOOKUP(tblSalaries[[#This Row],[Currency]],Sheet3!$A$2:$C$31,3,FALSE))*(VLOOKUP(tblSalaries[[#This Row],[Currency]],Sheet1!$N$4:$Q$186,4,FALSE))</f>
        <v>23680.511174349227</v>
      </c>
      <c r="G1391" s="4">
        <f>IF(Dashboard!$J$5=VLOOKUP(tblSalaries[[#This Row],[Currency]],Sheet3!$A$2:$B$31,2,FALSE),tblSalaries[[#This Row],[clean Salary (in local currency)]],(tblSalaries[[#This Row],[PPP Adjusted  USD]]/VLOOKUP(Dashboard!$J$5,Sheet3!$B$2:$C$31,2,FALSE)))</f>
        <v>23680.511174349227</v>
      </c>
      <c r="H1391" t="s">
        <v>2547</v>
      </c>
      <c r="I1391" t="s">
        <v>603</v>
      </c>
      <c r="J1391" t="s">
        <v>604</v>
      </c>
      <c r="K1391" t="s">
        <v>605</v>
      </c>
      <c r="L1391">
        <v>8</v>
      </c>
    </row>
    <row r="1392" spans="2:12" ht="15" customHeight="1">
      <c r="B1392" t="s">
        <v>3284</v>
      </c>
      <c r="C1392">
        <v>500000</v>
      </c>
      <c r="D1392" t="s">
        <v>247</v>
      </c>
      <c r="E1392">
        <v>8903.9583437212841</v>
      </c>
      <c r="F1392" s="3">
        <f>(tblSalaries[[#This Row],[clean Salary (in local currency)]])*(VLOOKUP(tblSalaries[[#This Row],[Currency]],Sheet3!$A$2:$C$31,3,FALSE))*(VLOOKUP(tblSalaries[[#This Row],[Currency]],Sheet1!$N$4:$Q$186,4,FALSE))</f>
        <v>23680.511174349227</v>
      </c>
      <c r="G1392" s="4">
        <f>IF(Dashboard!$J$5=VLOOKUP(tblSalaries[[#This Row],[Currency]],Sheet3!$A$2:$B$31,2,FALSE),tblSalaries[[#This Row],[clean Salary (in local currency)]],(tblSalaries[[#This Row],[PPP Adjusted  USD]]/VLOOKUP(Dashboard!$J$5,Sheet3!$B$2:$C$31,2,FALSE)))</f>
        <v>23680.511174349227</v>
      </c>
      <c r="H1392" t="s">
        <v>962</v>
      </c>
      <c r="I1392" t="s">
        <v>603</v>
      </c>
      <c r="J1392" t="s">
        <v>604</v>
      </c>
      <c r="K1392" t="s">
        <v>605</v>
      </c>
      <c r="L1392">
        <v>9</v>
      </c>
    </row>
    <row r="1393" spans="2:12" ht="15" customHeight="1">
      <c r="B1393" t="s">
        <v>3420</v>
      </c>
      <c r="C1393">
        <v>500000</v>
      </c>
      <c r="D1393" t="s">
        <v>247</v>
      </c>
      <c r="E1393">
        <v>8903.9583437212841</v>
      </c>
      <c r="F1393" s="3">
        <f>(tblSalaries[[#This Row],[clean Salary (in local currency)]])*(VLOOKUP(tblSalaries[[#This Row],[Currency]],Sheet3!$A$2:$C$31,3,FALSE))*(VLOOKUP(tblSalaries[[#This Row],[Currency]],Sheet1!$N$4:$Q$186,4,FALSE))</f>
        <v>23680.511174349227</v>
      </c>
      <c r="G1393" s="4">
        <f>IF(Dashboard!$J$5=VLOOKUP(tblSalaries[[#This Row],[Currency]],Sheet3!$A$2:$B$31,2,FALSE),tblSalaries[[#This Row],[clean Salary (in local currency)]],(tblSalaries[[#This Row],[PPP Adjusted  USD]]/VLOOKUP(Dashboard!$J$5,Sheet3!$B$2:$C$31,2,FALSE)))</f>
        <v>23680.511174349227</v>
      </c>
      <c r="H1393" t="s">
        <v>1851</v>
      </c>
      <c r="I1393" t="s">
        <v>625</v>
      </c>
      <c r="J1393" t="s">
        <v>604</v>
      </c>
      <c r="K1393" t="s">
        <v>610</v>
      </c>
      <c r="L1393">
        <v>20</v>
      </c>
    </row>
    <row r="1394" spans="2:12" ht="15" customHeight="1">
      <c r="B1394" t="s">
        <v>3502</v>
      </c>
      <c r="C1394">
        <v>500000</v>
      </c>
      <c r="D1394" t="s">
        <v>247</v>
      </c>
      <c r="E1394">
        <v>8903.9583437212841</v>
      </c>
      <c r="F1394" s="3">
        <f>(tblSalaries[[#This Row],[clean Salary (in local currency)]])*(VLOOKUP(tblSalaries[[#This Row],[Currency]],Sheet3!$A$2:$C$31,3,FALSE))*(VLOOKUP(tblSalaries[[#This Row],[Currency]],Sheet1!$N$4:$Q$186,4,FALSE))</f>
        <v>23680.511174349227</v>
      </c>
      <c r="G1394" s="4">
        <f>IF(Dashboard!$J$5=VLOOKUP(tblSalaries[[#This Row],[Currency]],Sheet3!$A$2:$B$31,2,FALSE),tblSalaries[[#This Row],[clean Salary (in local currency)]],(tblSalaries[[#This Row],[PPP Adjusted  USD]]/VLOOKUP(Dashboard!$J$5,Sheet3!$B$2:$C$31,2,FALSE)))</f>
        <v>23680.511174349227</v>
      </c>
      <c r="H1394" t="s">
        <v>962</v>
      </c>
      <c r="I1394" t="s">
        <v>603</v>
      </c>
      <c r="J1394" t="s">
        <v>604</v>
      </c>
      <c r="K1394" t="s">
        <v>605</v>
      </c>
      <c r="L1394">
        <v>4</v>
      </c>
    </row>
    <row r="1395" spans="2:12" ht="15" customHeight="1">
      <c r="B1395" t="s">
        <v>3520</v>
      </c>
      <c r="C1395">
        <v>500000</v>
      </c>
      <c r="D1395" t="s">
        <v>247</v>
      </c>
      <c r="E1395">
        <v>8903.9583437212841</v>
      </c>
      <c r="F1395" s="3">
        <f>(tblSalaries[[#This Row],[clean Salary (in local currency)]])*(VLOOKUP(tblSalaries[[#This Row],[Currency]],Sheet3!$A$2:$C$31,3,FALSE))*(VLOOKUP(tblSalaries[[#This Row],[Currency]],Sheet1!$N$4:$Q$186,4,FALSE))</f>
        <v>23680.511174349227</v>
      </c>
      <c r="G1395" s="4">
        <f>IF(Dashboard!$J$5=VLOOKUP(tblSalaries[[#This Row],[Currency]],Sheet3!$A$2:$B$31,2,FALSE),tblSalaries[[#This Row],[clean Salary (in local currency)]],(tblSalaries[[#This Row],[PPP Adjusted  USD]]/VLOOKUP(Dashboard!$J$5,Sheet3!$B$2:$C$31,2,FALSE)))</f>
        <v>23680.511174349227</v>
      </c>
      <c r="H1395" t="s">
        <v>899</v>
      </c>
      <c r="I1395" t="s">
        <v>603</v>
      </c>
      <c r="J1395" t="s">
        <v>604</v>
      </c>
      <c r="K1395" t="s">
        <v>605</v>
      </c>
      <c r="L1395">
        <v>2</v>
      </c>
    </row>
    <row r="1396" spans="2:12" ht="15" customHeight="1">
      <c r="B1396" t="s">
        <v>3595</v>
      </c>
      <c r="C1396">
        <v>500000</v>
      </c>
      <c r="D1396" t="s">
        <v>247</v>
      </c>
      <c r="E1396">
        <v>8903.9583437212841</v>
      </c>
      <c r="F1396" s="3">
        <f>(tblSalaries[[#This Row],[clean Salary (in local currency)]])*(VLOOKUP(tblSalaries[[#This Row],[Currency]],Sheet3!$A$2:$C$31,3,FALSE))*(VLOOKUP(tblSalaries[[#This Row],[Currency]],Sheet1!$N$4:$Q$186,4,FALSE))</f>
        <v>23680.511174349227</v>
      </c>
      <c r="G1396" s="4">
        <f>IF(Dashboard!$J$5=VLOOKUP(tblSalaries[[#This Row],[Currency]],Sheet3!$A$2:$B$31,2,FALSE),tblSalaries[[#This Row],[clean Salary (in local currency)]],(tblSalaries[[#This Row],[PPP Adjusted  USD]]/VLOOKUP(Dashboard!$J$5,Sheet3!$B$2:$C$31,2,FALSE)))</f>
        <v>23680.511174349227</v>
      </c>
      <c r="H1396" t="s">
        <v>3596</v>
      </c>
      <c r="I1396" t="s">
        <v>603</v>
      </c>
      <c r="J1396" t="s">
        <v>604</v>
      </c>
      <c r="K1396" t="s">
        <v>610</v>
      </c>
      <c r="L1396">
        <v>0</v>
      </c>
    </row>
    <row r="1397" spans="2:12" ht="15" customHeight="1">
      <c r="B1397" t="s">
        <v>2561</v>
      </c>
      <c r="C1397">
        <v>120000</v>
      </c>
      <c r="D1397" t="s">
        <v>553</v>
      </c>
      <c r="E1397">
        <v>32666.305522511171</v>
      </c>
      <c r="F1397" s="3">
        <f>(tblSalaries[[#This Row],[clean Salary (in local currency)]])*(VLOOKUP(tblSalaries[[#This Row],[Currency]],Sheet3!$A$2:$C$31,3,FALSE))*(VLOOKUP(tblSalaries[[#This Row],[Currency]],Sheet1!$N$4:$Q$186,4,FALSE))</f>
        <v>23476.843544838488</v>
      </c>
      <c r="G1397" s="4">
        <f>IF(Dashboard!$J$5=VLOOKUP(tblSalaries[[#This Row],[Currency]],Sheet3!$A$2:$B$31,2,FALSE),tblSalaries[[#This Row],[clean Salary (in local currency)]],(tblSalaries[[#This Row],[PPP Adjusted  USD]]/VLOOKUP(Dashboard!$J$5,Sheet3!$B$2:$C$31,2,FALSE)))</f>
        <v>23476.843544838488</v>
      </c>
      <c r="H1397" t="s">
        <v>1611</v>
      </c>
      <c r="I1397" t="s">
        <v>625</v>
      </c>
      <c r="J1397" t="s">
        <v>770</v>
      </c>
      <c r="K1397" t="s">
        <v>617</v>
      </c>
      <c r="L1397">
        <v>12</v>
      </c>
    </row>
    <row r="1398" spans="2:12" ht="15" customHeight="1">
      <c r="B1398" t="s">
        <v>3326</v>
      </c>
      <c r="C1398">
        <v>21000</v>
      </c>
      <c r="D1398" t="s">
        <v>200</v>
      </c>
      <c r="E1398">
        <v>26678.388218823762</v>
      </c>
      <c r="F1398" s="3">
        <f>(tblSalaries[[#This Row],[clean Salary (in local currency)]])*(VLOOKUP(tblSalaries[[#This Row],[Currency]],Sheet3!$A$2:$C$31,3,FALSE))*(VLOOKUP(tblSalaries[[#This Row],[Currency]],Sheet1!$N$4:$Q$186,4,FALSE))</f>
        <v>23113.710605581095</v>
      </c>
      <c r="G1398" s="4">
        <f>IF(Dashboard!$J$5=VLOOKUP(tblSalaries[[#This Row],[Currency]],Sheet3!$A$2:$B$31,2,FALSE),tblSalaries[[#This Row],[clean Salary (in local currency)]],(tblSalaries[[#This Row],[PPP Adjusted  USD]]/VLOOKUP(Dashboard!$J$5,Sheet3!$B$2:$C$31,2,FALSE)))</f>
        <v>23113.710605581095</v>
      </c>
      <c r="H1398" t="s">
        <v>3327</v>
      </c>
      <c r="I1398" t="s">
        <v>625</v>
      </c>
      <c r="J1398" t="s">
        <v>634</v>
      </c>
      <c r="K1398" t="s">
        <v>605</v>
      </c>
      <c r="L1398">
        <v>10</v>
      </c>
    </row>
    <row r="1399" spans="2:12" ht="15" customHeight="1">
      <c r="B1399" t="s">
        <v>3465</v>
      </c>
      <c r="C1399">
        <v>21000</v>
      </c>
      <c r="D1399" t="s">
        <v>200</v>
      </c>
      <c r="E1399">
        <v>26678.388218823762</v>
      </c>
      <c r="F1399" s="3">
        <f>(tblSalaries[[#This Row],[clean Salary (in local currency)]])*(VLOOKUP(tblSalaries[[#This Row],[Currency]],Sheet3!$A$2:$C$31,3,FALSE))*(VLOOKUP(tblSalaries[[#This Row],[Currency]],Sheet1!$N$4:$Q$186,4,FALSE))</f>
        <v>23113.710605581095</v>
      </c>
      <c r="G1399" s="4">
        <f>IF(Dashboard!$J$5=VLOOKUP(tblSalaries[[#This Row],[Currency]],Sheet3!$A$2:$B$31,2,FALSE),tblSalaries[[#This Row],[clean Salary (in local currency)]],(tblSalaries[[#This Row],[PPP Adjusted  USD]]/VLOOKUP(Dashboard!$J$5,Sheet3!$B$2:$C$31,2,FALSE)))</f>
        <v>23113.710605581095</v>
      </c>
      <c r="H1399" t="s">
        <v>2574</v>
      </c>
      <c r="I1399" t="s">
        <v>603</v>
      </c>
      <c r="J1399" t="s">
        <v>634</v>
      </c>
      <c r="K1399" t="s">
        <v>605</v>
      </c>
      <c r="L1399">
        <v>5</v>
      </c>
    </row>
    <row r="1400" spans="2:12" ht="15" customHeight="1">
      <c r="B1400" t="s">
        <v>2236</v>
      </c>
      <c r="C1400">
        <v>486000</v>
      </c>
      <c r="D1400" t="s">
        <v>247</v>
      </c>
      <c r="E1400">
        <v>8654.6475100970874</v>
      </c>
      <c r="F1400" s="3">
        <f>(tblSalaries[[#This Row],[clean Salary (in local currency)]])*(VLOOKUP(tblSalaries[[#This Row],[Currency]],Sheet3!$A$2:$C$31,3,FALSE))*(VLOOKUP(tblSalaries[[#This Row],[Currency]],Sheet1!$N$4:$Q$186,4,FALSE))</f>
        <v>23017.456861467446</v>
      </c>
      <c r="G1400" s="4">
        <f>IF(Dashboard!$J$5=VLOOKUP(tblSalaries[[#This Row],[Currency]],Sheet3!$A$2:$B$31,2,FALSE),tblSalaries[[#This Row],[clean Salary (in local currency)]],(tblSalaries[[#This Row],[PPP Adjusted  USD]]/VLOOKUP(Dashboard!$J$5,Sheet3!$B$2:$C$31,2,FALSE)))</f>
        <v>23017.456861467446</v>
      </c>
      <c r="H1400" t="s">
        <v>2237</v>
      </c>
      <c r="I1400" t="s">
        <v>625</v>
      </c>
      <c r="J1400" t="s">
        <v>604</v>
      </c>
      <c r="K1400" t="s">
        <v>610</v>
      </c>
      <c r="L1400">
        <v>6</v>
      </c>
    </row>
    <row r="1401" spans="2:12" ht="15" customHeight="1">
      <c r="B1401" t="s">
        <v>1547</v>
      </c>
      <c r="C1401">
        <v>23000</v>
      </c>
      <c r="D1401" t="s">
        <v>252</v>
      </c>
      <c r="E1401">
        <v>23000</v>
      </c>
      <c r="F1401" s="3">
        <f>(tblSalaries[[#This Row],[clean Salary (in local currency)]])*(VLOOKUP(tblSalaries[[#This Row],[Currency]],Sheet3!$A$2:$C$31,3,FALSE))*(VLOOKUP(tblSalaries[[#This Row],[Currency]],Sheet1!$N$4:$Q$186,4,FALSE))</f>
        <v>23000</v>
      </c>
      <c r="G1401" s="4">
        <f>IF(Dashboard!$J$5=VLOOKUP(tblSalaries[[#This Row],[Currency]],Sheet3!$A$2:$B$31,2,FALSE),tblSalaries[[#This Row],[clean Salary (in local currency)]],(tblSalaries[[#This Row],[PPP Adjusted  USD]]/VLOOKUP(Dashboard!$J$5,Sheet3!$B$2:$C$31,2,FALSE)))</f>
        <v>23000</v>
      </c>
      <c r="H1401" t="s">
        <v>1548</v>
      </c>
      <c r="I1401" t="s">
        <v>625</v>
      </c>
      <c r="J1401" t="s">
        <v>644</v>
      </c>
      <c r="K1401" t="s">
        <v>605</v>
      </c>
      <c r="L1401" t="s">
        <v>3847</v>
      </c>
    </row>
    <row r="1402" spans="2:12" ht="15" customHeight="1">
      <c r="B1402" t="s">
        <v>2701</v>
      </c>
      <c r="C1402">
        <v>23000</v>
      </c>
      <c r="D1402" t="s">
        <v>252</v>
      </c>
      <c r="E1402">
        <v>23000</v>
      </c>
      <c r="F1402" s="3">
        <f>(tblSalaries[[#This Row],[clean Salary (in local currency)]])*(VLOOKUP(tblSalaries[[#This Row],[Currency]],Sheet3!$A$2:$C$31,3,FALSE))*(VLOOKUP(tblSalaries[[#This Row],[Currency]],Sheet1!$N$4:$Q$186,4,FALSE))</f>
        <v>23000</v>
      </c>
      <c r="G1402" s="4">
        <f>IF(Dashboard!$J$5=VLOOKUP(tblSalaries[[#This Row],[Currency]],Sheet3!$A$2:$B$31,2,FALSE),tblSalaries[[#This Row],[clean Salary (in local currency)]],(tblSalaries[[#This Row],[PPP Adjusted  USD]]/VLOOKUP(Dashboard!$J$5,Sheet3!$B$2:$C$31,2,FALSE)))</f>
        <v>23000</v>
      </c>
      <c r="H1402" t="s">
        <v>2702</v>
      </c>
      <c r="I1402" t="s">
        <v>637</v>
      </c>
      <c r="J1402" t="s">
        <v>780</v>
      </c>
      <c r="K1402" t="s">
        <v>610</v>
      </c>
      <c r="L1402">
        <v>14</v>
      </c>
    </row>
    <row r="1403" spans="2:12" ht="15" customHeight="1">
      <c r="B1403" t="s">
        <v>2476</v>
      </c>
      <c r="C1403">
        <v>15600</v>
      </c>
      <c r="D1403" t="s">
        <v>204</v>
      </c>
      <c r="E1403">
        <v>24588.381044249632</v>
      </c>
      <c r="F1403" s="3">
        <f>(tblSalaries[[#This Row],[clean Salary (in local currency)]])*(VLOOKUP(tblSalaries[[#This Row],[Currency]],Sheet3!$A$2:$C$31,3,FALSE))*(VLOOKUP(tblSalaries[[#This Row],[Currency]],Sheet1!$N$4:$Q$186,4,FALSE))</f>
        <v>22993.95079769467</v>
      </c>
      <c r="G1403" s="4">
        <f>IF(Dashboard!$J$5=VLOOKUP(tblSalaries[[#This Row],[Currency]],Sheet3!$A$2:$B$31,2,FALSE),tblSalaries[[#This Row],[clean Salary (in local currency)]],(tblSalaries[[#This Row],[PPP Adjusted  USD]]/VLOOKUP(Dashboard!$J$5,Sheet3!$B$2:$C$31,2,FALSE)))</f>
        <v>22993.95079769467</v>
      </c>
      <c r="H1403" t="s">
        <v>2477</v>
      </c>
      <c r="I1403" t="s">
        <v>603</v>
      </c>
      <c r="J1403" t="s">
        <v>687</v>
      </c>
      <c r="K1403" t="s">
        <v>610</v>
      </c>
      <c r="L1403">
        <v>0</v>
      </c>
    </row>
    <row r="1404" spans="2:12" ht="15" customHeight="1">
      <c r="B1404" t="s">
        <v>953</v>
      </c>
      <c r="C1404">
        <v>22880</v>
      </c>
      <c r="D1404" t="s">
        <v>252</v>
      </c>
      <c r="E1404">
        <v>22880</v>
      </c>
      <c r="F1404" s="3">
        <f>(tblSalaries[[#This Row],[clean Salary (in local currency)]])*(VLOOKUP(tblSalaries[[#This Row],[Currency]],Sheet3!$A$2:$C$31,3,FALSE))*(VLOOKUP(tblSalaries[[#This Row],[Currency]],Sheet1!$N$4:$Q$186,4,FALSE))</f>
        <v>22880</v>
      </c>
      <c r="G1404" s="4">
        <f>IF(Dashboard!$J$5=VLOOKUP(tblSalaries[[#This Row],[Currency]],Sheet3!$A$2:$B$31,2,FALSE),tblSalaries[[#This Row],[clean Salary (in local currency)]],(tblSalaries[[#This Row],[PPP Adjusted  USD]]/VLOOKUP(Dashboard!$J$5,Sheet3!$B$2:$C$31,2,FALSE)))</f>
        <v>22880</v>
      </c>
      <c r="H1404" t="s">
        <v>954</v>
      </c>
      <c r="I1404" t="s">
        <v>637</v>
      </c>
      <c r="J1404" t="s">
        <v>613</v>
      </c>
      <c r="K1404" t="s">
        <v>605</v>
      </c>
      <c r="L1404" t="s">
        <v>3847</v>
      </c>
    </row>
    <row r="1405" spans="2:12" ht="15" customHeight="1">
      <c r="B1405" t="s">
        <v>1057</v>
      </c>
      <c r="C1405">
        <v>480000</v>
      </c>
      <c r="D1405" t="s">
        <v>247</v>
      </c>
      <c r="E1405">
        <v>8547.8000099724322</v>
      </c>
      <c r="F1405" s="3">
        <f>(tblSalaries[[#This Row],[clean Salary (in local currency)]])*(VLOOKUP(tblSalaries[[#This Row],[Currency]],Sheet3!$A$2:$C$31,3,FALSE))*(VLOOKUP(tblSalaries[[#This Row],[Currency]],Sheet1!$N$4:$Q$186,4,FALSE))</f>
        <v>22733.290727375257</v>
      </c>
      <c r="G1405" s="4">
        <f>IF(Dashboard!$J$5=VLOOKUP(tblSalaries[[#This Row],[Currency]],Sheet3!$A$2:$B$31,2,FALSE),tblSalaries[[#This Row],[clean Salary (in local currency)]],(tblSalaries[[#This Row],[PPP Adjusted  USD]]/VLOOKUP(Dashboard!$J$5,Sheet3!$B$2:$C$31,2,FALSE)))</f>
        <v>22733.290727375257</v>
      </c>
      <c r="H1405" t="s">
        <v>1058</v>
      </c>
      <c r="I1405" t="s">
        <v>625</v>
      </c>
      <c r="J1405" t="s">
        <v>604</v>
      </c>
      <c r="K1405" t="s">
        <v>605</v>
      </c>
      <c r="L1405" t="s">
        <v>3847</v>
      </c>
    </row>
    <row r="1406" spans="2:12" ht="15" customHeight="1">
      <c r="B1406" t="s">
        <v>1314</v>
      </c>
      <c r="C1406">
        <v>480000</v>
      </c>
      <c r="D1406" t="s">
        <v>247</v>
      </c>
      <c r="E1406">
        <v>8547.8000099724322</v>
      </c>
      <c r="F1406" s="3">
        <f>(tblSalaries[[#This Row],[clean Salary (in local currency)]])*(VLOOKUP(tblSalaries[[#This Row],[Currency]],Sheet3!$A$2:$C$31,3,FALSE))*(VLOOKUP(tblSalaries[[#This Row],[Currency]],Sheet1!$N$4:$Q$186,4,FALSE))</f>
        <v>22733.290727375257</v>
      </c>
      <c r="G1406" s="4">
        <f>IF(Dashboard!$J$5=VLOOKUP(tblSalaries[[#This Row],[Currency]],Sheet3!$A$2:$B$31,2,FALSE),tblSalaries[[#This Row],[clean Salary (in local currency)]],(tblSalaries[[#This Row],[PPP Adjusted  USD]]/VLOOKUP(Dashboard!$J$5,Sheet3!$B$2:$C$31,2,FALSE)))</f>
        <v>22733.290727375257</v>
      </c>
      <c r="H1406" t="s">
        <v>1315</v>
      </c>
      <c r="I1406" t="s">
        <v>625</v>
      </c>
      <c r="J1406" t="s">
        <v>604</v>
      </c>
      <c r="K1406" t="s">
        <v>627</v>
      </c>
      <c r="L1406" t="s">
        <v>3847</v>
      </c>
    </row>
    <row r="1407" spans="2:12" ht="15" customHeight="1">
      <c r="B1407" t="s">
        <v>1794</v>
      </c>
      <c r="C1407">
        <v>480000</v>
      </c>
      <c r="D1407" t="s">
        <v>247</v>
      </c>
      <c r="E1407">
        <v>8547.8000099724322</v>
      </c>
      <c r="F1407" s="3">
        <f>(tblSalaries[[#This Row],[clean Salary (in local currency)]])*(VLOOKUP(tblSalaries[[#This Row],[Currency]],Sheet3!$A$2:$C$31,3,FALSE))*(VLOOKUP(tblSalaries[[#This Row],[Currency]],Sheet1!$N$4:$Q$186,4,FALSE))</f>
        <v>22733.290727375257</v>
      </c>
      <c r="G1407" s="4">
        <f>IF(Dashboard!$J$5=VLOOKUP(tblSalaries[[#This Row],[Currency]],Sheet3!$A$2:$B$31,2,FALSE),tblSalaries[[#This Row],[clean Salary (in local currency)]],(tblSalaries[[#This Row],[PPP Adjusted  USD]]/VLOOKUP(Dashboard!$J$5,Sheet3!$B$2:$C$31,2,FALSE)))</f>
        <v>22733.290727375257</v>
      </c>
      <c r="H1407" t="s">
        <v>1795</v>
      </c>
      <c r="I1407" t="s">
        <v>658</v>
      </c>
      <c r="J1407" t="s">
        <v>604</v>
      </c>
      <c r="K1407" t="s">
        <v>627</v>
      </c>
      <c r="L1407">
        <v>3</v>
      </c>
    </row>
    <row r="1408" spans="2:12" ht="15" customHeight="1">
      <c r="B1408" t="s">
        <v>1819</v>
      </c>
      <c r="C1408">
        <v>480000</v>
      </c>
      <c r="D1408" t="s">
        <v>247</v>
      </c>
      <c r="E1408">
        <v>8547.8000099724322</v>
      </c>
      <c r="F1408" s="3">
        <f>(tblSalaries[[#This Row],[clean Salary (in local currency)]])*(VLOOKUP(tblSalaries[[#This Row],[Currency]],Sheet3!$A$2:$C$31,3,FALSE))*(VLOOKUP(tblSalaries[[#This Row],[Currency]],Sheet1!$N$4:$Q$186,4,FALSE))</f>
        <v>22733.290727375257</v>
      </c>
      <c r="G1408" s="4">
        <f>IF(Dashboard!$J$5=VLOOKUP(tblSalaries[[#This Row],[Currency]],Sheet3!$A$2:$B$31,2,FALSE),tblSalaries[[#This Row],[clean Salary (in local currency)]],(tblSalaries[[#This Row],[PPP Adjusted  USD]]/VLOOKUP(Dashboard!$J$5,Sheet3!$B$2:$C$31,2,FALSE)))</f>
        <v>22733.290727375257</v>
      </c>
      <c r="H1408" t="s">
        <v>1820</v>
      </c>
      <c r="I1408" t="s">
        <v>625</v>
      </c>
      <c r="J1408" t="s">
        <v>604</v>
      </c>
      <c r="K1408" t="s">
        <v>617</v>
      </c>
      <c r="L1408">
        <v>8</v>
      </c>
    </row>
    <row r="1409" spans="2:12" ht="15" customHeight="1">
      <c r="B1409" t="s">
        <v>1889</v>
      </c>
      <c r="C1409">
        <v>480000</v>
      </c>
      <c r="D1409" t="s">
        <v>247</v>
      </c>
      <c r="E1409">
        <v>8547.8000099724322</v>
      </c>
      <c r="F1409" s="3">
        <f>(tblSalaries[[#This Row],[clean Salary (in local currency)]])*(VLOOKUP(tblSalaries[[#This Row],[Currency]],Sheet3!$A$2:$C$31,3,FALSE))*(VLOOKUP(tblSalaries[[#This Row],[Currency]],Sheet1!$N$4:$Q$186,4,FALSE))</f>
        <v>22733.290727375257</v>
      </c>
      <c r="G1409" s="4">
        <f>IF(Dashboard!$J$5=VLOOKUP(tblSalaries[[#This Row],[Currency]],Sheet3!$A$2:$B$31,2,FALSE),tblSalaries[[#This Row],[clean Salary (in local currency)]],(tblSalaries[[#This Row],[PPP Adjusted  USD]]/VLOOKUP(Dashboard!$J$5,Sheet3!$B$2:$C$31,2,FALSE)))</f>
        <v>22733.290727375257</v>
      </c>
      <c r="H1409" t="s">
        <v>899</v>
      </c>
      <c r="I1409" t="s">
        <v>603</v>
      </c>
      <c r="J1409" t="s">
        <v>604</v>
      </c>
      <c r="K1409" t="s">
        <v>605</v>
      </c>
      <c r="L1409">
        <v>4</v>
      </c>
    </row>
    <row r="1410" spans="2:12" ht="15" customHeight="1">
      <c r="B1410" t="s">
        <v>1923</v>
      </c>
      <c r="C1410">
        <v>480000</v>
      </c>
      <c r="D1410" t="s">
        <v>247</v>
      </c>
      <c r="E1410">
        <v>8547.8000099724322</v>
      </c>
      <c r="F1410" s="3">
        <f>(tblSalaries[[#This Row],[clean Salary (in local currency)]])*(VLOOKUP(tblSalaries[[#This Row],[Currency]],Sheet3!$A$2:$C$31,3,FALSE))*(VLOOKUP(tblSalaries[[#This Row],[Currency]],Sheet1!$N$4:$Q$186,4,FALSE))</f>
        <v>22733.290727375257</v>
      </c>
      <c r="G1410" s="4">
        <f>IF(Dashboard!$J$5=VLOOKUP(tblSalaries[[#This Row],[Currency]],Sheet3!$A$2:$B$31,2,FALSE),tblSalaries[[#This Row],[clean Salary (in local currency)]],(tblSalaries[[#This Row],[PPP Adjusted  USD]]/VLOOKUP(Dashboard!$J$5,Sheet3!$B$2:$C$31,2,FALSE)))</f>
        <v>22733.290727375257</v>
      </c>
      <c r="H1410" t="s">
        <v>1924</v>
      </c>
      <c r="I1410" t="s">
        <v>603</v>
      </c>
      <c r="J1410" t="s">
        <v>604</v>
      </c>
      <c r="K1410" t="s">
        <v>617</v>
      </c>
      <c r="L1410">
        <v>3.5</v>
      </c>
    </row>
    <row r="1411" spans="2:12" ht="15" customHeight="1">
      <c r="B1411" t="s">
        <v>2011</v>
      </c>
      <c r="C1411">
        <v>480000</v>
      </c>
      <c r="D1411" t="s">
        <v>247</v>
      </c>
      <c r="E1411">
        <v>8547.8000099724322</v>
      </c>
      <c r="F1411" s="3">
        <f>(tblSalaries[[#This Row],[clean Salary (in local currency)]])*(VLOOKUP(tblSalaries[[#This Row],[Currency]],Sheet3!$A$2:$C$31,3,FALSE))*(VLOOKUP(tblSalaries[[#This Row],[Currency]],Sheet1!$N$4:$Q$186,4,FALSE))</f>
        <v>22733.290727375257</v>
      </c>
      <c r="G1411" s="4">
        <f>IF(Dashboard!$J$5=VLOOKUP(tblSalaries[[#This Row],[Currency]],Sheet3!$A$2:$B$31,2,FALSE),tblSalaries[[#This Row],[clean Salary (in local currency)]],(tblSalaries[[#This Row],[PPP Adjusted  USD]]/VLOOKUP(Dashboard!$J$5,Sheet3!$B$2:$C$31,2,FALSE)))</f>
        <v>22733.290727375257</v>
      </c>
      <c r="H1411" t="s">
        <v>2012</v>
      </c>
      <c r="I1411" t="s">
        <v>625</v>
      </c>
      <c r="J1411" t="s">
        <v>604</v>
      </c>
      <c r="K1411" t="s">
        <v>605</v>
      </c>
      <c r="L1411">
        <v>11</v>
      </c>
    </row>
    <row r="1412" spans="2:12" ht="15" customHeight="1">
      <c r="B1412" t="s">
        <v>2286</v>
      </c>
      <c r="C1412">
        <v>480000</v>
      </c>
      <c r="D1412" t="s">
        <v>247</v>
      </c>
      <c r="E1412">
        <v>8547.8000099724322</v>
      </c>
      <c r="F1412" s="3">
        <f>(tblSalaries[[#This Row],[clean Salary (in local currency)]])*(VLOOKUP(tblSalaries[[#This Row],[Currency]],Sheet3!$A$2:$C$31,3,FALSE))*(VLOOKUP(tblSalaries[[#This Row],[Currency]],Sheet1!$N$4:$Q$186,4,FALSE))</f>
        <v>22733.290727375257</v>
      </c>
      <c r="G1412" s="4">
        <f>IF(Dashboard!$J$5=VLOOKUP(tblSalaries[[#This Row],[Currency]],Sheet3!$A$2:$B$31,2,FALSE),tblSalaries[[#This Row],[clean Salary (in local currency)]],(tblSalaries[[#This Row],[PPP Adjusted  USD]]/VLOOKUP(Dashboard!$J$5,Sheet3!$B$2:$C$31,2,FALSE)))</f>
        <v>22733.290727375257</v>
      </c>
      <c r="H1412" t="s">
        <v>625</v>
      </c>
      <c r="I1412" t="s">
        <v>625</v>
      </c>
      <c r="J1412" t="s">
        <v>604</v>
      </c>
      <c r="K1412" t="s">
        <v>617</v>
      </c>
      <c r="L1412">
        <v>2</v>
      </c>
    </row>
    <row r="1413" spans="2:12" ht="15" customHeight="1">
      <c r="B1413" t="s">
        <v>2689</v>
      </c>
      <c r="C1413">
        <v>480000</v>
      </c>
      <c r="D1413" t="s">
        <v>247</v>
      </c>
      <c r="E1413">
        <v>8547.8000099724322</v>
      </c>
      <c r="F1413" s="3">
        <f>(tblSalaries[[#This Row],[clean Salary (in local currency)]])*(VLOOKUP(tblSalaries[[#This Row],[Currency]],Sheet3!$A$2:$C$31,3,FALSE))*(VLOOKUP(tblSalaries[[#This Row],[Currency]],Sheet1!$N$4:$Q$186,4,FALSE))</f>
        <v>22733.290727375257</v>
      </c>
      <c r="G1413" s="4">
        <f>IF(Dashboard!$J$5=VLOOKUP(tblSalaries[[#This Row],[Currency]],Sheet3!$A$2:$B$31,2,FALSE),tblSalaries[[#This Row],[clean Salary (in local currency)]],(tblSalaries[[#This Row],[PPP Adjusted  USD]]/VLOOKUP(Dashboard!$J$5,Sheet3!$B$2:$C$31,2,FALSE)))</f>
        <v>22733.290727375257</v>
      </c>
      <c r="H1413" t="s">
        <v>2690</v>
      </c>
      <c r="I1413" t="s">
        <v>692</v>
      </c>
      <c r="J1413" t="s">
        <v>604</v>
      </c>
      <c r="K1413" t="s">
        <v>610</v>
      </c>
      <c r="L1413">
        <v>15</v>
      </c>
    </row>
    <row r="1414" spans="2:12" ht="15" customHeight="1">
      <c r="B1414" t="s">
        <v>3090</v>
      </c>
      <c r="C1414">
        <v>480000</v>
      </c>
      <c r="D1414" t="s">
        <v>247</v>
      </c>
      <c r="E1414">
        <v>8547.8000099724322</v>
      </c>
      <c r="F1414" s="3">
        <f>(tblSalaries[[#This Row],[clean Salary (in local currency)]])*(VLOOKUP(tblSalaries[[#This Row],[Currency]],Sheet3!$A$2:$C$31,3,FALSE))*(VLOOKUP(tblSalaries[[#This Row],[Currency]],Sheet1!$N$4:$Q$186,4,FALSE))</f>
        <v>22733.290727375257</v>
      </c>
      <c r="G1414" s="4">
        <f>IF(Dashboard!$J$5=VLOOKUP(tblSalaries[[#This Row],[Currency]],Sheet3!$A$2:$B$31,2,FALSE),tblSalaries[[#This Row],[clean Salary (in local currency)]],(tblSalaries[[#This Row],[PPP Adjusted  USD]]/VLOOKUP(Dashboard!$J$5,Sheet3!$B$2:$C$31,2,FALSE)))</f>
        <v>22733.290727375257</v>
      </c>
      <c r="H1414" t="s">
        <v>2654</v>
      </c>
      <c r="I1414" t="s">
        <v>603</v>
      </c>
      <c r="J1414" t="s">
        <v>604</v>
      </c>
      <c r="K1414" t="s">
        <v>605</v>
      </c>
      <c r="L1414">
        <v>7</v>
      </c>
    </row>
    <row r="1415" spans="2:12" ht="15" customHeight="1">
      <c r="B1415" t="s">
        <v>3617</v>
      </c>
      <c r="C1415">
        <v>480000</v>
      </c>
      <c r="D1415" t="s">
        <v>247</v>
      </c>
      <c r="E1415">
        <v>8547.8000099724322</v>
      </c>
      <c r="F1415" s="3">
        <f>(tblSalaries[[#This Row],[clean Salary (in local currency)]])*(VLOOKUP(tblSalaries[[#This Row],[Currency]],Sheet3!$A$2:$C$31,3,FALSE))*(VLOOKUP(tblSalaries[[#This Row],[Currency]],Sheet1!$N$4:$Q$186,4,FALSE))</f>
        <v>22733.290727375257</v>
      </c>
      <c r="G1415" s="4">
        <f>IF(Dashboard!$J$5=VLOOKUP(tblSalaries[[#This Row],[Currency]],Sheet3!$A$2:$B$31,2,FALSE),tblSalaries[[#This Row],[clean Salary (in local currency)]],(tblSalaries[[#This Row],[PPP Adjusted  USD]]/VLOOKUP(Dashboard!$J$5,Sheet3!$B$2:$C$31,2,FALSE)))</f>
        <v>22733.290727375257</v>
      </c>
      <c r="H1415" t="s">
        <v>3618</v>
      </c>
      <c r="I1415" t="s">
        <v>603</v>
      </c>
      <c r="J1415" t="s">
        <v>604</v>
      </c>
      <c r="K1415" t="s">
        <v>605</v>
      </c>
      <c r="L1415">
        <v>1</v>
      </c>
    </row>
    <row r="1416" spans="2:12" ht="15" customHeight="1">
      <c r="B1416" t="s">
        <v>2246</v>
      </c>
      <c r="C1416">
        <v>20500</v>
      </c>
      <c r="D1416" t="s">
        <v>200</v>
      </c>
      <c r="E1416">
        <v>26043.18849932796</v>
      </c>
      <c r="F1416" s="3">
        <f>(tblSalaries[[#This Row],[clean Salary (in local currency)]])*(VLOOKUP(tblSalaries[[#This Row],[Currency]],Sheet3!$A$2:$C$31,3,FALSE))*(VLOOKUP(tblSalaries[[#This Row],[Currency]],Sheet1!$N$4:$Q$186,4,FALSE))</f>
        <v>22563.384162591068</v>
      </c>
      <c r="G1416" s="4">
        <f>IF(Dashboard!$J$5=VLOOKUP(tblSalaries[[#This Row],[Currency]],Sheet3!$A$2:$B$31,2,FALSE),tblSalaries[[#This Row],[clean Salary (in local currency)]],(tblSalaries[[#This Row],[PPP Adjusted  USD]]/VLOOKUP(Dashboard!$J$5,Sheet3!$B$2:$C$31,2,FALSE)))</f>
        <v>22563.384162591068</v>
      </c>
      <c r="H1416" t="s">
        <v>2247</v>
      </c>
      <c r="I1416" t="s">
        <v>625</v>
      </c>
      <c r="J1416" t="s">
        <v>689</v>
      </c>
      <c r="K1416" t="s">
        <v>605</v>
      </c>
      <c r="L1416">
        <v>8</v>
      </c>
    </row>
    <row r="1417" spans="2:12" ht="15" customHeight="1">
      <c r="B1417" t="s">
        <v>2434</v>
      </c>
      <c r="C1417">
        <v>476000</v>
      </c>
      <c r="D1417" t="s">
        <v>247</v>
      </c>
      <c r="E1417">
        <v>8476.5683432226633</v>
      </c>
      <c r="F1417" s="3">
        <f>(tblSalaries[[#This Row],[clean Salary (in local currency)]])*(VLOOKUP(tblSalaries[[#This Row],[Currency]],Sheet3!$A$2:$C$31,3,FALSE))*(VLOOKUP(tblSalaries[[#This Row],[Currency]],Sheet1!$N$4:$Q$186,4,FALSE))</f>
        <v>22543.846637980467</v>
      </c>
      <c r="G1417" s="4">
        <f>IF(Dashboard!$J$5=VLOOKUP(tblSalaries[[#This Row],[Currency]],Sheet3!$A$2:$B$31,2,FALSE),tblSalaries[[#This Row],[clean Salary (in local currency)]],(tblSalaries[[#This Row],[PPP Adjusted  USD]]/VLOOKUP(Dashboard!$J$5,Sheet3!$B$2:$C$31,2,FALSE)))</f>
        <v>22543.846637980467</v>
      </c>
      <c r="H1417" t="s">
        <v>2435</v>
      </c>
      <c r="I1417" t="s">
        <v>658</v>
      </c>
      <c r="J1417" t="s">
        <v>604</v>
      </c>
      <c r="K1417" t="s">
        <v>605</v>
      </c>
      <c r="L1417">
        <v>8</v>
      </c>
    </row>
    <row r="1418" spans="2:12" ht="15" customHeight="1">
      <c r="B1418" t="s">
        <v>3297</v>
      </c>
      <c r="C1418">
        <v>120000</v>
      </c>
      <c r="D1418" t="s">
        <v>438</v>
      </c>
      <c r="E1418">
        <v>13745.704467353951</v>
      </c>
      <c r="F1418" s="3">
        <f>(tblSalaries[[#This Row],[clean Salary (in local currency)]])*(VLOOKUP(tblSalaries[[#This Row],[Currency]],Sheet3!$A$2:$C$31,3,FALSE))*(VLOOKUP(tblSalaries[[#This Row],[Currency]],Sheet1!$N$4:$Q$186,4,FALSE))</f>
        <v>22523.807935910536</v>
      </c>
      <c r="G1418" s="4">
        <f>IF(Dashboard!$J$5=VLOOKUP(tblSalaries[[#This Row],[Currency]],Sheet3!$A$2:$B$31,2,FALSE),tblSalaries[[#This Row],[clean Salary (in local currency)]],(tblSalaries[[#This Row],[PPP Adjusted  USD]]/VLOOKUP(Dashboard!$J$5,Sheet3!$B$2:$C$31,2,FALSE)))</f>
        <v>22523.807935910536</v>
      </c>
      <c r="H1418" t="s">
        <v>3298</v>
      </c>
      <c r="I1418" t="s">
        <v>608</v>
      </c>
      <c r="J1418" t="s">
        <v>3299</v>
      </c>
      <c r="K1418" t="s">
        <v>610</v>
      </c>
      <c r="L1418">
        <v>8</v>
      </c>
    </row>
    <row r="1419" spans="2:12" ht="15" customHeight="1">
      <c r="B1419" t="s">
        <v>1112</v>
      </c>
      <c r="C1419">
        <v>470000</v>
      </c>
      <c r="D1419" t="s">
        <v>247</v>
      </c>
      <c r="E1419">
        <v>8369.7208430980063</v>
      </c>
      <c r="F1419" s="3">
        <f>(tblSalaries[[#This Row],[clean Salary (in local currency)]])*(VLOOKUP(tblSalaries[[#This Row],[Currency]],Sheet3!$A$2:$C$31,3,FALSE))*(VLOOKUP(tblSalaries[[#This Row],[Currency]],Sheet1!$N$4:$Q$186,4,FALSE))</f>
        <v>22259.68050388827</v>
      </c>
      <c r="G1419" s="4">
        <f>IF(Dashboard!$J$5=VLOOKUP(tblSalaries[[#This Row],[Currency]],Sheet3!$A$2:$B$31,2,FALSE),tblSalaries[[#This Row],[clean Salary (in local currency)]],(tblSalaries[[#This Row],[PPP Adjusted  USD]]/VLOOKUP(Dashboard!$J$5,Sheet3!$B$2:$C$31,2,FALSE)))</f>
        <v>22259.68050388827</v>
      </c>
      <c r="H1419" t="s">
        <v>1113</v>
      </c>
      <c r="I1419" t="s">
        <v>603</v>
      </c>
      <c r="J1419" t="s">
        <v>604</v>
      </c>
      <c r="K1419" t="s">
        <v>610</v>
      </c>
      <c r="L1419" t="s">
        <v>3847</v>
      </c>
    </row>
    <row r="1420" spans="2:12" ht="15" customHeight="1">
      <c r="B1420" t="s">
        <v>1839</v>
      </c>
      <c r="C1420">
        <v>470000</v>
      </c>
      <c r="D1420" t="s">
        <v>247</v>
      </c>
      <c r="E1420">
        <v>8369.7208430980063</v>
      </c>
      <c r="F1420" s="3">
        <f>(tblSalaries[[#This Row],[clean Salary (in local currency)]])*(VLOOKUP(tblSalaries[[#This Row],[Currency]],Sheet3!$A$2:$C$31,3,FALSE))*(VLOOKUP(tblSalaries[[#This Row],[Currency]],Sheet1!$N$4:$Q$186,4,FALSE))</f>
        <v>22259.68050388827</v>
      </c>
      <c r="G1420" s="4">
        <f>IF(Dashboard!$J$5=VLOOKUP(tblSalaries[[#This Row],[Currency]],Sheet3!$A$2:$B$31,2,FALSE),tblSalaries[[#This Row],[clean Salary (in local currency)]],(tblSalaries[[#This Row],[PPP Adjusted  USD]]/VLOOKUP(Dashboard!$J$5,Sheet3!$B$2:$C$31,2,FALSE)))</f>
        <v>22259.68050388827</v>
      </c>
      <c r="H1420" t="s">
        <v>692</v>
      </c>
      <c r="I1420" t="s">
        <v>692</v>
      </c>
      <c r="J1420" t="s">
        <v>604</v>
      </c>
      <c r="K1420" t="s">
        <v>610</v>
      </c>
      <c r="L1420">
        <v>4</v>
      </c>
    </row>
    <row r="1421" spans="2:12" ht="15" customHeight="1">
      <c r="B1421" t="s">
        <v>2148</v>
      </c>
      <c r="C1421">
        <v>134000</v>
      </c>
      <c r="D1421" t="s">
        <v>400</v>
      </c>
      <c r="E1421">
        <v>16337.518501630093</v>
      </c>
      <c r="F1421" s="3">
        <f>(tblSalaries[[#This Row],[clean Salary (in local currency)]])*(VLOOKUP(tblSalaries[[#This Row],[Currency]],Sheet3!$A$2:$C$31,3,FALSE))*(VLOOKUP(tblSalaries[[#This Row],[Currency]],Sheet1!$N$4:$Q$186,4,FALSE))</f>
        <v>22225.165033508434</v>
      </c>
      <c r="G1421" s="4">
        <f>IF(Dashboard!$J$5=VLOOKUP(tblSalaries[[#This Row],[Currency]],Sheet3!$A$2:$B$31,2,FALSE),tblSalaries[[#This Row],[clean Salary (in local currency)]],(tblSalaries[[#This Row],[PPP Adjusted  USD]]/VLOOKUP(Dashboard!$J$5,Sheet3!$B$2:$C$31,2,FALSE)))</f>
        <v>22225.165033508434</v>
      </c>
      <c r="H1421" t="s">
        <v>811</v>
      </c>
      <c r="I1421" t="s">
        <v>603</v>
      </c>
      <c r="J1421" t="s">
        <v>659</v>
      </c>
      <c r="K1421" t="s">
        <v>605</v>
      </c>
      <c r="L1421">
        <v>2</v>
      </c>
    </row>
    <row r="1422" spans="2:12" ht="15" customHeight="1">
      <c r="B1422" t="s">
        <v>2572</v>
      </c>
      <c r="C1422">
        <v>15000</v>
      </c>
      <c r="D1422" t="s">
        <v>204</v>
      </c>
      <c r="E1422">
        <v>23642.674081009263</v>
      </c>
      <c r="F1422" s="3">
        <f>(tblSalaries[[#This Row],[clean Salary (in local currency)]])*(VLOOKUP(tblSalaries[[#This Row],[Currency]],Sheet3!$A$2:$C$31,3,FALSE))*(VLOOKUP(tblSalaries[[#This Row],[Currency]],Sheet1!$N$4:$Q$186,4,FALSE))</f>
        <v>22109.568074706414</v>
      </c>
      <c r="G1422" s="4">
        <f>IF(Dashboard!$J$5=VLOOKUP(tblSalaries[[#This Row],[Currency]],Sheet3!$A$2:$B$31,2,FALSE),tblSalaries[[#This Row],[clean Salary (in local currency)]],(tblSalaries[[#This Row],[PPP Adjusted  USD]]/VLOOKUP(Dashboard!$J$5,Sheet3!$B$2:$C$31,2,FALSE)))</f>
        <v>22109.568074706414</v>
      </c>
      <c r="H1422" t="s">
        <v>2563</v>
      </c>
      <c r="I1422" t="s">
        <v>658</v>
      </c>
      <c r="J1422" t="s">
        <v>687</v>
      </c>
      <c r="K1422" t="s">
        <v>610</v>
      </c>
      <c r="L1422">
        <v>2</v>
      </c>
    </row>
    <row r="1423" spans="2:12" ht="15" customHeight="1">
      <c r="B1423" t="s">
        <v>2699</v>
      </c>
      <c r="C1423">
        <v>20000</v>
      </c>
      <c r="D1423" t="s">
        <v>200</v>
      </c>
      <c r="E1423">
        <v>25407.988779832154</v>
      </c>
      <c r="F1423" s="3">
        <f>(tblSalaries[[#This Row],[clean Salary (in local currency)]])*(VLOOKUP(tblSalaries[[#This Row],[Currency]],Sheet3!$A$2:$C$31,3,FALSE))*(VLOOKUP(tblSalaries[[#This Row],[Currency]],Sheet1!$N$4:$Q$186,4,FALSE))</f>
        <v>22013.057719601042</v>
      </c>
      <c r="G1423" s="4">
        <f>IF(Dashboard!$J$5=VLOOKUP(tblSalaries[[#This Row],[Currency]],Sheet3!$A$2:$B$31,2,FALSE),tblSalaries[[#This Row],[clean Salary (in local currency)]],(tblSalaries[[#This Row],[PPP Adjusted  USD]]/VLOOKUP(Dashboard!$J$5,Sheet3!$B$2:$C$31,2,FALSE)))</f>
        <v>22013.057719601042</v>
      </c>
      <c r="H1423" t="s">
        <v>2700</v>
      </c>
      <c r="I1423" t="s">
        <v>625</v>
      </c>
      <c r="J1423" t="s">
        <v>840</v>
      </c>
      <c r="K1423" t="s">
        <v>627</v>
      </c>
      <c r="L1423">
        <v>12</v>
      </c>
    </row>
    <row r="1424" spans="2:12" ht="15" customHeight="1">
      <c r="B1424" t="s">
        <v>1165</v>
      </c>
      <c r="C1424">
        <v>22000</v>
      </c>
      <c r="D1424" t="s">
        <v>252</v>
      </c>
      <c r="E1424">
        <v>22000</v>
      </c>
      <c r="F1424" s="3">
        <f>(tblSalaries[[#This Row],[clean Salary (in local currency)]])*(VLOOKUP(tblSalaries[[#This Row],[Currency]],Sheet3!$A$2:$C$31,3,FALSE))*(VLOOKUP(tblSalaries[[#This Row],[Currency]],Sheet1!$N$4:$Q$186,4,FALSE))</f>
        <v>22000</v>
      </c>
      <c r="G1424" s="4">
        <f>IF(Dashboard!$J$5=VLOOKUP(tblSalaries[[#This Row],[Currency]],Sheet3!$A$2:$B$31,2,FALSE),tblSalaries[[#This Row],[clean Salary (in local currency)]],(tblSalaries[[#This Row],[PPP Adjusted  USD]]/VLOOKUP(Dashboard!$J$5,Sheet3!$B$2:$C$31,2,FALSE)))</f>
        <v>22000</v>
      </c>
      <c r="H1424" t="s">
        <v>1166</v>
      </c>
      <c r="I1424" t="s">
        <v>658</v>
      </c>
      <c r="J1424" t="s">
        <v>604</v>
      </c>
      <c r="K1424" t="s">
        <v>610</v>
      </c>
      <c r="L1424" t="s">
        <v>3847</v>
      </c>
    </row>
    <row r="1425" spans="2:12" ht="15" customHeight="1">
      <c r="B1425" t="s">
        <v>1240</v>
      </c>
      <c r="C1425">
        <v>22000</v>
      </c>
      <c r="D1425" t="s">
        <v>252</v>
      </c>
      <c r="E1425">
        <v>22000</v>
      </c>
      <c r="F1425" s="3">
        <f>(tblSalaries[[#This Row],[clean Salary (in local currency)]])*(VLOOKUP(tblSalaries[[#This Row],[Currency]],Sheet3!$A$2:$C$31,3,FALSE))*(VLOOKUP(tblSalaries[[#This Row],[Currency]],Sheet1!$N$4:$Q$186,4,FALSE))</f>
        <v>22000</v>
      </c>
      <c r="G1425" s="4">
        <f>IF(Dashboard!$J$5=VLOOKUP(tblSalaries[[#This Row],[Currency]],Sheet3!$A$2:$B$31,2,FALSE),tblSalaries[[#This Row],[clean Salary (in local currency)]],(tblSalaries[[#This Row],[PPP Adjusted  USD]]/VLOOKUP(Dashboard!$J$5,Sheet3!$B$2:$C$31,2,FALSE)))</f>
        <v>22000</v>
      </c>
      <c r="H1425" t="s">
        <v>1241</v>
      </c>
      <c r="I1425" t="s">
        <v>625</v>
      </c>
      <c r="J1425" t="s">
        <v>833</v>
      </c>
      <c r="K1425" t="s">
        <v>605</v>
      </c>
      <c r="L1425" t="s">
        <v>3847</v>
      </c>
    </row>
    <row r="1426" spans="2:12" ht="15" customHeight="1">
      <c r="B1426" t="s">
        <v>3207</v>
      </c>
      <c r="C1426">
        <v>22000</v>
      </c>
      <c r="D1426" t="s">
        <v>252</v>
      </c>
      <c r="E1426">
        <v>22000</v>
      </c>
      <c r="F1426" s="3">
        <f>(tblSalaries[[#This Row],[clean Salary (in local currency)]])*(VLOOKUP(tblSalaries[[#This Row],[Currency]],Sheet3!$A$2:$C$31,3,FALSE))*(VLOOKUP(tblSalaries[[#This Row],[Currency]],Sheet1!$N$4:$Q$186,4,FALSE))</f>
        <v>22000</v>
      </c>
      <c r="G1426" s="4">
        <f>IF(Dashboard!$J$5=VLOOKUP(tblSalaries[[#This Row],[Currency]],Sheet3!$A$2:$B$31,2,FALSE),tblSalaries[[#This Row],[clean Salary (in local currency)]],(tblSalaries[[#This Row],[PPP Adjusted  USD]]/VLOOKUP(Dashboard!$J$5,Sheet3!$B$2:$C$31,2,FALSE)))</f>
        <v>22000</v>
      </c>
      <c r="H1426" t="s">
        <v>3208</v>
      </c>
      <c r="I1426" t="s">
        <v>625</v>
      </c>
      <c r="J1426" t="s">
        <v>613</v>
      </c>
      <c r="K1426" t="s">
        <v>605</v>
      </c>
      <c r="L1426">
        <v>3</v>
      </c>
    </row>
    <row r="1427" spans="2:12" ht="15" customHeight="1">
      <c r="B1427" t="s">
        <v>3511</v>
      </c>
      <c r="C1427">
        <v>22000</v>
      </c>
      <c r="D1427" t="s">
        <v>252</v>
      </c>
      <c r="E1427">
        <v>22000</v>
      </c>
      <c r="F1427" s="3">
        <f>(tblSalaries[[#This Row],[clean Salary (in local currency)]])*(VLOOKUP(tblSalaries[[#This Row],[Currency]],Sheet3!$A$2:$C$31,3,FALSE))*(VLOOKUP(tblSalaries[[#This Row],[Currency]],Sheet1!$N$4:$Q$186,4,FALSE))</f>
        <v>22000</v>
      </c>
      <c r="G1427" s="4">
        <f>IF(Dashboard!$J$5=VLOOKUP(tblSalaries[[#This Row],[Currency]],Sheet3!$A$2:$B$31,2,FALSE),tblSalaries[[#This Row],[clean Salary (in local currency)]],(tblSalaries[[#This Row],[PPP Adjusted  USD]]/VLOOKUP(Dashboard!$J$5,Sheet3!$B$2:$C$31,2,FALSE)))</f>
        <v>22000</v>
      </c>
      <c r="H1427" t="s">
        <v>3512</v>
      </c>
      <c r="I1427" t="s">
        <v>625</v>
      </c>
      <c r="J1427" t="s">
        <v>604</v>
      </c>
      <c r="K1427" t="s">
        <v>610</v>
      </c>
      <c r="L1427">
        <v>6</v>
      </c>
    </row>
    <row r="1428" spans="2:12" ht="15" customHeight="1">
      <c r="B1428" t="s">
        <v>1803</v>
      </c>
      <c r="C1428">
        <v>21500</v>
      </c>
      <c r="D1428" t="s">
        <v>252</v>
      </c>
      <c r="E1428">
        <v>21500</v>
      </c>
      <c r="F1428" s="3">
        <f>(tblSalaries[[#This Row],[clean Salary (in local currency)]])*(VLOOKUP(tblSalaries[[#This Row],[Currency]],Sheet3!$A$2:$C$31,3,FALSE))*(VLOOKUP(tblSalaries[[#This Row],[Currency]],Sheet1!$N$4:$Q$186,4,FALSE))</f>
        <v>21500</v>
      </c>
      <c r="G1428" s="4">
        <f>IF(Dashboard!$J$5=VLOOKUP(tblSalaries[[#This Row],[Currency]],Sheet3!$A$2:$B$31,2,FALSE),tblSalaries[[#This Row],[clean Salary (in local currency)]],(tblSalaries[[#This Row],[PPP Adjusted  USD]]/VLOOKUP(Dashboard!$J$5,Sheet3!$B$2:$C$31,2,FALSE)))</f>
        <v>21500</v>
      </c>
      <c r="H1428" t="s">
        <v>1804</v>
      </c>
      <c r="I1428" t="s">
        <v>603</v>
      </c>
      <c r="J1428" t="s">
        <v>604</v>
      </c>
      <c r="K1428" t="s">
        <v>605</v>
      </c>
      <c r="L1428">
        <v>9</v>
      </c>
    </row>
    <row r="1429" spans="2:12" ht="15" customHeight="1">
      <c r="B1429" t="s">
        <v>1176</v>
      </c>
      <c r="C1429">
        <v>450000</v>
      </c>
      <c r="D1429" t="s">
        <v>247</v>
      </c>
      <c r="E1429">
        <v>8013.5625093491553</v>
      </c>
      <c r="F1429" s="3">
        <f>(tblSalaries[[#This Row],[clean Salary (in local currency)]])*(VLOOKUP(tblSalaries[[#This Row],[Currency]],Sheet3!$A$2:$C$31,3,FALSE))*(VLOOKUP(tblSalaries[[#This Row],[Currency]],Sheet1!$N$4:$Q$186,4,FALSE))</f>
        <v>21312.460056914304</v>
      </c>
      <c r="G1429" s="4">
        <f>IF(Dashboard!$J$5=VLOOKUP(tblSalaries[[#This Row],[Currency]],Sheet3!$A$2:$B$31,2,FALSE),tblSalaries[[#This Row],[clean Salary (in local currency)]],(tblSalaries[[#This Row],[PPP Adjusted  USD]]/VLOOKUP(Dashboard!$J$5,Sheet3!$B$2:$C$31,2,FALSE)))</f>
        <v>21312.460056914304</v>
      </c>
      <c r="H1429" t="s">
        <v>899</v>
      </c>
      <c r="I1429" t="s">
        <v>603</v>
      </c>
      <c r="J1429" t="s">
        <v>604</v>
      </c>
      <c r="K1429" t="s">
        <v>605</v>
      </c>
      <c r="L1429" t="s">
        <v>3847</v>
      </c>
    </row>
    <row r="1430" spans="2:12" ht="15" customHeight="1">
      <c r="B1430" t="s">
        <v>1620</v>
      </c>
      <c r="C1430">
        <v>450000</v>
      </c>
      <c r="D1430" t="s">
        <v>247</v>
      </c>
      <c r="E1430">
        <v>8013.5625093491553</v>
      </c>
      <c r="F1430" s="3">
        <f>(tblSalaries[[#This Row],[clean Salary (in local currency)]])*(VLOOKUP(tblSalaries[[#This Row],[Currency]],Sheet3!$A$2:$C$31,3,FALSE))*(VLOOKUP(tblSalaries[[#This Row],[Currency]],Sheet1!$N$4:$Q$186,4,FALSE))</f>
        <v>21312.460056914304</v>
      </c>
      <c r="G1430" s="4">
        <f>IF(Dashboard!$J$5=VLOOKUP(tblSalaries[[#This Row],[Currency]],Sheet3!$A$2:$B$31,2,FALSE),tblSalaries[[#This Row],[clean Salary (in local currency)]],(tblSalaries[[#This Row],[PPP Adjusted  USD]]/VLOOKUP(Dashboard!$J$5,Sheet3!$B$2:$C$31,2,FALSE)))</f>
        <v>21312.460056914304</v>
      </c>
      <c r="H1430" t="s">
        <v>1621</v>
      </c>
      <c r="I1430" t="s">
        <v>625</v>
      </c>
      <c r="J1430" t="s">
        <v>604</v>
      </c>
      <c r="K1430" t="s">
        <v>610</v>
      </c>
      <c r="L1430" t="s">
        <v>3847</v>
      </c>
    </row>
    <row r="1431" spans="2:12" ht="15" customHeight="1">
      <c r="B1431" t="s">
        <v>1890</v>
      </c>
      <c r="C1431">
        <v>450000</v>
      </c>
      <c r="D1431" t="s">
        <v>247</v>
      </c>
      <c r="E1431">
        <v>8013.5625093491553</v>
      </c>
      <c r="F1431" s="3">
        <f>(tblSalaries[[#This Row],[clean Salary (in local currency)]])*(VLOOKUP(tblSalaries[[#This Row],[Currency]],Sheet3!$A$2:$C$31,3,FALSE))*(VLOOKUP(tblSalaries[[#This Row],[Currency]],Sheet1!$N$4:$Q$186,4,FALSE))</f>
        <v>21312.460056914304</v>
      </c>
      <c r="G1431" s="4">
        <f>IF(Dashboard!$J$5=VLOOKUP(tblSalaries[[#This Row],[Currency]],Sheet3!$A$2:$B$31,2,FALSE),tblSalaries[[#This Row],[clean Salary (in local currency)]],(tblSalaries[[#This Row],[PPP Adjusted  USD]]/VLOOKUP(Dashboard!$J$5,Sheet3!$B$2:$C$31,2,FALSE)))</f>
        <v>21312.460056914304</v>
      </c>
      <c r="H1431" t="s">
        <v>811</v>
      </c>
      <c r="I1431" t="s">
        <v>603</v>
      </c>
      <c r="J1431" t="s">
        <v>604</v>
      </c>
      <c r="K1431" t="s">
        <v>610</v>
      </c>
      <c r="L1431">
        <v>8</v>
      </c>
    </row>
    <row r="1432" spans="2:12" ht="15" customHeight="1">
      <c r="B1432" t="s">
        <v>2032</v>
      </c>
      <c r="C1432">
        <v>450000</v>
      </c>
      <c r="D1432" t="s">
        <v>247</v>
      </c>
      <c r="E1432">
        <v>8013.5625093491553</v>
      </c>
      <c r="F1432" s="3">
        <f>(tblSalaries[[#This Row],[clean Salary (in local currency)]])*(VLOOKUP(tblSalaries[[#This Row],[Currency]],Sheet3!$A$2:$C$31,3,FALSE))*(VLOOKUP(tblSalaries[[#This Row],[Currency]],Sheet1!$N$4:$Q$186,4,FALSE))</f>
        <v>21312.460056914304</v>
      </c>
      <c r="G1432" s="4">
        <f>IF(Dashboard!$J$5=VLOOKUP(tblSalaries[[#This Row],[Currency]],Sheet3!$A$2:$B$31,2,FALSE),tblSalaries[[#This Row],[clean Salary (in local currency)]],(tblSalaries[[#This Row],[PPP Adjusted  USD]]/VLOOKUP(Dashboard!$J$5,Sheet3!$B$2:$C$31,2,FALSE)))</f>
        <v>21312.460056914304</v>
      </c>
      <c r="H1432" t="s">
        <v>2033</v>
      </c>
      <c r="I1432" t="s">
        <v>625</v>
      </c>
      <c r="J1432" t="s">
        <v>604</v>
      </c>
      <c r="K1432" t="s">
        <v>610</v>
      </c>
      <c r="L1432">
        <v>1.5</v>
      </c>
    </row>
    <row r="1433" spans="2:12" ht="15" customHeight="1">
      <c r="B1433" t="s">
        <v>2058</v>
      </c>
      <c r="C1433">
        <v>450000</v>
      </c>
      <c r="D1433" t="s">
        <v>247</v>
      </c>
      <c r="E1433">
        <v>8013.5625093491553</v>
      </c>
      <c r="F1433" s="3">
        <f>(tblSalaries[[#This Row],[clean Salary (in local currency)]])*(VLOOKUP(tblSalaries[[#This Row],[Currency]],Sheet3!$A$2:$C$31,3,FALSE))*(VLOOKUP(tblSalaries[[#This Row],[Currency]],Sheet1!$N$4:$Q$186,4,FALSE))</f>
        <v>21312.460056914304</v>
      </c>
      <c r="G1433" s="4">
        <f>IF(Dashboard!$J$5=VLOOKUP(tblSalaries[[#This Row],[Currency]],Sheet3!$A$2:$B$31,2,FALSE),tblSalaries[[#This Row],[clean Salary (in local currency)]],(tblSalaries[[#This Row],[PPP Adjusted  USD]]/VLOOKUP(Dashboard!$J$5,Sheet3!$B$2:$C$31,2,FALSE)))</f>
        <v>21312.460056914304</v>
      </c>
      <c r="H1433" t="s">
        <v>2059</v>
      </c>
      <c r="I1433" t="s">
        <v>625</v>
      </c>
      <c r="J1433" t="s">
        <v>604</v>
      </c>
      <c r="K1433" t="s">
        <v>605</v>
      </c>
      <c r="L1433">
        <v>6</v>
      </c>
    </row>
    <row r="1434" spans="2:12" ht="15" customHeight="1">
      <c r="B1434" t="s">
        <v>2401</v>
      </c>
      <c r="C1434">
        <v>450000</v>
      </c>
      <c r="D1434" t="s">
        <v>247</v>
      </c>
      <c r="E1434">
        <v>8013.5625093491553</v>
      </c>
      <c r="F1434" s="3">
        <f>(tblSalaries[[#This Row],[clean Salary (in local currency)]])*(VLOOKUP(tblSalaries[[#This Row],[Currency]],Sheet3!$A$2:$C$31,3,FALSE))*(VLOOKUP(tblSalaries[[#This Row],[Currency]],Sheet1!$N$4:$Q$186,4,FALSE))</f>
        <v>21312.460056914304</v>
      </c>
      <c r="G1434" s="4">
        <f>IF(Dashboard!$J$5=VLOOKUP(tblSalaries[[#This Row],[Currency]],Sheet3!$A$2:$B$31,2,FALSE),tblSalaries[[#This Row],[clean Salary (in local currency)]],(tblSalaries[[#This Row],[PPP Adjusted  USD]]/VLOOKUP(Dashboard!$J$5,Sheet3!$B$2:$C$31,2,FALSE)))</f>
        <v>21312.460056914304</v>
      </c>
      <c r="H1434" t="s">
        <v>1874</v>
      </c>
      <c r="I1434" t="s">
        <v>625</v>
      </c>
      <c r="J1434" t="s">
        <v>604</v>
      </c>
      <c r="K1434" t="s">
        <v>610</v>
      </c>
      <c r="L1434">
        <v>15</v>
      </c>
    </row>
    <row r="1435" spans="2:12" ht="15" customHeight="1">
      <c r="B1435" t="s">
        <v>2648</v>
      </c>
      <c r="C1435">
        <v>450000</v>
      </c>
      <c r="D1435" t="s">
        <v>247</v>
      </c>
      <c r="E1435">
        <v>8013.5625093491553</v>
      </c>
      <c r="F1435" s="3">
        <f>(tblSalaries[[#This Row],[clean Salary (in local currency)]])*(VLOOKUP(tblSalaries[[#This Row],[Currency]],Sheet3!$A$2:$C$31,3,FALSE))*(VLOOKUP(tblSalaries[[#This Row],[Currency]],Sheet1!$N$4:$Q$186,4,FALSE))</f>
        <v>21312.460056914304</v>
      </c>
      <c r="G1435" s="4">
        <f>IF(Dashboard!$J$5=VLOOKUP(tblSalaries[[#This Row],[Currency]],Sheet3!$A$2:$B$31,2,FALSE),tblSalaries[[#This Row],[clean Salary (in local currency)]],(tblSalaries[[#This Row],[PPP Adjusted  USD]]/VLOOKUP(Dashboard!$J$5,Sheet3!$B$2:$C$31,2,FALSE)))</f>
        <v>21312.460056914304</v>
      </c>
      <c r="H1435" t="s">
        <v>1592</v>
      </c>
      <c r="I1435" t="s">
        <v>625</v>
      </c>
      <c r="J1435" t="s">
        <v>604</v>
      </c>
      <c r="K1435" t="s">
        <v>605</v>
      </c>
      <c r="L1435">
        <v>21</v>
      </c>
    </row>
    <row r="1436" spans="2:12" ht="15" customHeight="1">
      <c r="B1436" t="s">
        <v>2725</v>
      </c>
      <c r="C1436">
        <v>450000</v>
      </c>
      <c r="D1436" t="s">
        <v>247</v>
      </c>
      <c r="E1436">
        <v>8013.5625093491553</v>
      </c>
      <c r="F1436" s="3">
        <f>(tblSalaries[[#This Row],[clean Salary (in local currency)]])*(VLOOKUP(tblSalaries[[#This Row],[Currency]],Sheet3!$A$2:$C$31,3,FALSE))*(VLOOKUP(tblSalaries[[#This Row],[Currency]],Sheet1!$N$4:$Q$186,4,FALSE))</f>
        <v>21312.460056914304</v>
      </c>
      <c r="G1436" s="4">
        <f>IF(Dashboard!$J$5=VLOOKUP(tblSalaries[[#This Row],[Currency]],Sheet3!$A$2:$B$31,2,FALSE),tblSalaries[[#This Row],[clean Salary (in local currency)]],(tblSalaries[[#This Row],[PPP Adjusted  USD]]/VLOOKUP(Dashboard!$J$5,Sheet3!$B$2:$C$31,2,FALSE)))</f>
        <v>21312.460056914304</v>
      </c>
      <c r="H1436" t="s">
        <v>2726</v>
      </c>
      <c r="I1436" t="s">
        <v>625</v>
      </c>
      <c r="J1436" t="s">
        <v>604</v>
      </c>
      <c r="K1436" t="s">
        <v>610</v>
      </c>
      <c r="L1436">
        <v>2</v>
      </c>
    </row>
    <row r="1437" spans="2:12" ht="15" customHeight="1">
      <c r="B1437" t="s">
        <v>2948</v>
      </c>
      <c r="C1437">
        <v>450000</v>
      </c>
      <c r="D1437" t="s">
        <v>247</v>
      </c>
      <c r="E1437">
        <v>8013.5625093491553</v>
      </c>
      <c r="F1437" s="3">
        <f>(tblSalaries[[#This Row],[clean Salary (in local currency)]])*(VLOOKUP(tblSalaries[[#This Row],[Currency]],Sheet3!$A$2:$C$31,3,FALSE))*(VLOOKUP(tblSalaries[[#This Row],[Currency]],Sheet1!$N$4:$Q$186,4,FALSE))</f>
        <v>21312.460056914304</v>
      </c>
      <c r="G1437" s="4">
        <f>IF(Dashboard!$J$5=VLOOKUP(tblSalaries[[#This Row],[Currency]],Sheet3!$A$2:$B$31,2,FALSE),tblSalaries[[#This Row],[clean Salary (in local currency)]],(tblSalaries[[#This Row],[PPP Adjusted  USD]]/VLOOKUP(Dashboard!$J$5,Sheet3!$B$2:$C$31,2,FALSE)))</f>
        <v>21312.460056914304</v>
      </c>
      <c r="H1437" t="s">
        <v>2949</v>
      </c>
      <c r="I1437" t="s">
        <v>620</v>
      </c>
      <c r="J1437" t="s">
        <v>604</v>
      </c>
      <c r="K1437" t="s">
        <v>627</v>
      </c>
      <c r="L1437">
        <v>7</v>
      </c>
    </row>
    <row r="1438" spans="2:12" ht="15" customHeight="1">
      <c r="B1438" t="s">
        <v>3461</v>
      </c>
      <c r="C1438">
        <v>450000</v>
      </c>
      <c r="D1438" t="s">
        <v>247</v>
      </c>
      <c r="E1438">
        <v>8013.5625093491553</v>
      </c>
      <c r="F1438" s="3">
        <f>(tblSalaries[[#This Row],[clean Salary (in local currency)]])*(VLOOKUP(tblSalaries[[#This Row],[Currency]],Sheet3!$A$2:$C$31,3,FALSE))*(VLOOKUP(tblSalaries[[#This Row],[Currency]],Sheet1!$N$4:$Q$186,4,FALSE))</f>
        <v>21312.460056914304</v>
      </c>
      <c r="G1438" s="4">
        <f>IF(Dashboard!$J$5=VLOOKUP(tblSalaries[[#This Row],[Currency]],Sheet3!$A$2:$B$31,2,FALSE),tblSalaries[[#This Row],[clean Salary (in local currency)]],(tblSalaries[[#This Row],[PPP Adjusted  USD]]/VLOOKUP(Dashboard!$J$5,Sheet3!$B$2:$C$31,2,FALSE)))</f>
        <v>21312.460056914304</v>
      </c>
      <c r="H1438" t="s">
        <v>3462</v>
      </c>
      <c r="I1438" t="s">
        <v>658</v>
      </c>
      <c r="J1438" t="s">
        <v>604</v>
      </c>
      <c r="K1438" t="s">
        <v>610</v>
      </c>
      <c r="L1438">
        <v>4</v>
      </c>
    </row>
    <row r="1439" spans="2:12" ht="15" customHeight="1">
      <c r="B1439" t="s">
        <v>3660</v>
      </c>
      <c r="C1439">
        <v>450000</v>
      </c>
      <c r="D1439" t="s">
        <v>247</v>
      </c>
      <c r="E1439">
        <v>8013.5625093491553</v>
      </c>
      <c r="F1439" s="3">
        <f>(tblSalaries[[#This Row],[clean Salary (in local currency)]])*(VLOOKUP(tblSalaries[[#This Row],[Currency]],Sheet3!$A$2:$C$31,3,FALSE))*(VLOOKUP(tblSalaries[[#This Row],[Currency]],Sheet1!$N$4:$Q$186,4,FALSE))</f>
        <v>21312.460056914304</v>
      </c>
      <c r="G1439" s="4">
        <f>IF(Dashboard!$J$5=VLOOKUP(tblSalaries[[#This Row],[Currency]],Sheet3!$A$2:$B$31,2,FALSE),tblSalaries[[#This Row],[clean Salary (in local currency)]],(tblSalaries[[#This Row],[PPP Adjusted  USD]]/VLOOKUP(Dashboard!$J$5,Sheet3!$B$2:$C$31,2,FALSE)))</f>
        <v>21312.460056914304</v>
      </c>
      <c r="H1439" t="s">
        <v>1747</v>
      </c>
      <c r="I1439" t="s">
        <v>658</v>
      </c>
      <c r="J1439" t="s">
        <v>604</v>
      </c>
      <c r="K1439" t="s">
        <v>605</v>
      </c>
      <c r="L1439">
        <v>4</v>
      </c>
    </row>
    <row r="1440" spans="2:12" ht="15" customHeight="1">
      <c r="B1440" t="s">
        <v>3676</v>
      </c>
      <c r="C1440">
        <v>19200</v>
      </c>
      <c r="D1440" t="s">
        <v>200</v>
      </c>
      <c r="E1440">
        <v>24391.669228638868</v>
      </c>
      <c r="F1440" s="3">
        <f>(tblSalaries[[#This Row],[clean Salary (in local currency)]])*(VLOOKUP(tblSalaries[[#This Row],[Currency]],Sheet3!$A$2:$C$31,3,FALSE))*(VLOOKUP(tblSalaries[[#This Row],[Currency]],Sheet1!$N$4:$Q$186,4,FALSE))</f>
        <v>21132.535410817</v>
      </c>
      <c r="G1440" s="4">
        <f>IF(Dashboard!$J$5=VLOOKUP(tblSalaries[[#This Row],[Currency]],Sheet3!$A$2:$B$31,2,FALSE),tblSalaries[[#This Row],[clean Salary (in local currency)]],(tblSalaries[[#This Row],[PPP Adjusted  USD]]/VLOOKUP(Dashboard!$J$5,Sheet3!$B$2:$C$31,2,FALSE)))</f>
        <v>21132.535410817</v>
      </c>
      <c r="H1440" t="s">
        <v>3677</v>
      </c>
      <c r="I1440" t="s">
        <v>603</v>
      </c>
      <c r="J1440" t="s">
        <v>2010</v>
      </c>
      <c r="K1440" t="s">
        <v>605</v>
      </c>
      <c r="L1440">
        <v>10</v>
      </c>
    </row>
    <row r="1441" spans="2:12" ht="15" customHeight="1">
      <c r="B1441" t="s">
        <v>826</v>
      </c>
      <c r="C1441">
        <v>21000</v>
      </c>
      <c r="D1441" t="s">
        <v>252</v>
      </c>
      <c r="E1441">
        <v>21000</v>
      </c>
      <c r="F1441" s="3">
        <f>(tblSalaries[[#This Row],[clean Salary (in local currency)]])*(VLOOKUP(tblSalaries[[#This Row],[Currency]],Sheet3!$A$2:$C$31,3,FALSE))*(VLOOKUP(tblSalaries[[#This Row],[Currency]],Sheet1!$N$4:$Q$186,4,FALSE))</f>
        <v>21000</v>
      </c>
      <c r="G1441" s="4">
        <f>IF(Dashboard!$J$5=VLOOKUP(tblSalaries[[#This Row],[Currency]],Sheet3!$A$2:$B$31,2,FALSE),tblSalaries[[#This Row],[clean Salary (in local currency)]],(tblSalaries[[#This Row],[PPP Adjusted  USD]]/VLOOKUP(Dashboard!$J$5,Sheet3!$B$2:$C$31,2,FALSE)))</f>
        <v>21000</v>
      </c>
      <c r="H1441" t="s">
        <v>827</v>
      </c>
      <c r="I1441" t="s">
        <v>603</v>
      </c>
      <c r="J1441" t="s">
        <v>828</v>
      </c>
      <c r="K1441" t="s">
        <v>627</v>
      </c>
      <c r="L1441" t="s">
        <v>3847</v>
      </c>
    </row>
    <row r="1442" spans="2:12" ht="15" customHeight="1">
      <c r="B1442" t="s">
        <v>1744</v>
      </c>
      <c r="C1442">
        <v>21000</v>
      </c>
      <c r="D1442" t="s">
        <v>252</v>
      </c>
      <c r="E1442">
        <v>21000</v>
      </c>
      <c r="F1442" s="3">
        <f>(tblSalaries[[#This Row],[clean Salary (in local currency)]])*(VLOOKUP(tblSalaries[[#This Row],[Currency]],Sheet3!$A$2:$C$31,3,FALSE))*(VLOOKUP(tblSalaries[[#This Row],[Currency]],Sheet1!$N$4:$Q$186,4,FALSE))</f>
        <v>21000</v>
      </c>
      <c r="G1442" s="4">
        <f>IF(Dashboard!$J$5=VLOOKUP(tblSalaries[[#This Row],[Currency]],Sheet3!$A$2:$B$31,2,FALSE),tblSalaries[[#This Row],[clean Salary (in local currency)]],(tblSalaries[[#This Row],[PPP Adjusted  USD]]/VLOOKUP(Dashboard!$J$5,Sheet3!$B$2:$C$31,2,FALSE)))</f>
        <v>21000</v>
      </c>
      <c r="H1442" t="s">
        <v>625</v>
      </c>
      <c r="I1442" t="s">
        <v>625</v>
      </c>
      <c r="J1442" t="s">
        <v>604</v>
      </c>
      <c r="K1442" t="s">
        <v>610</v>
      </c>
      <c r="L1442">
        <v>23</v>
      </c>
    </row>
    <row r="1443" spans="2:12" ht="15" customHeight="1">
      <c r="B1443" t="s">
        <v>3827</v>
      </c>
      <c r="C1443">
        <v>21000</v>
      </c>
      <c r="D1443" t="s">
        <v>252</v>
      </c>
      <c r="E1443">
        <v>21000</v>
      </c>
      <c r="F1443" s="3">
        <f>(tblSalaries[[#This Row],[clean Salary (in local currency)]])*(VLOOKUP(tblSalaries[[#This Row],[Currency]],Sheet3!$A$2:$C$31,3,FALSE))*(VLOOKUP(tblSalaries[[#This Row],[Currency]],Sheet1!$N$4:$Q$186,4,FALSE))</f>
        <v>21000</v>
      </c>
      <c r="G1443" s="4">
        <f>IF(Dashboard!$J$5=VLOOKUP(tblSalaries[[#This Row],[Currency]],Sheet3!$A$2:$B$31,2,FALSE),tblSalaries[[#This Row],[clean Salary (in local currency)]],(tblSalaries[[#This Row],[PPP Adjusted  USD]]/VLOOKUP(Dashboard!$J$5,Sheet3!$B$2:$C$31,2,FALSE)))</f>
        <v>21000</v>
      </c>
      <c r="H1443" t="s">
        <v>3828</v>
      </c>
      <c r="I1443" t="s">
        <v>713</v>
      </c>
      <c r="J1443" t="s">
        <v>604</v>
      </c>
      <c r="K1443" t="s">
        <v>610</v>
      </c>
      <c r="L1443">
        <v>5</v>
      </c>
    </row>
    <row r="1444" spans="2:12" ht="15" customHeight="1">
      <c r="B1444" t="s">
        <v>2479</v>
      </c>
      <c r="C1444">
        <v>438000</v>
      </c>
      <c r="D1444" t="s">
        <v>247</v>
      </c>
      <c r="E1444">
        <v>7799.8675090998449</v>
      </c>
      <c r="F1444" s="3">
        <f>(tblSalaries[[#This Row],[clean Salary (in local currency)]])*(VLOOKUP(tblSalaries[[#This Row],[Currency]],Sheet3!$A$2:$C$31,3,FALSE))*(VLOOKUP(tblSalaries[[#This Row],[Currency]],Sheet1!$N$4:$Q$186,4,FALSE))</f>
        <v>20744.127788729922</v>
      </c>
      <c r="G1444" s="4">
        <f>IF(Dashboard!$J$5=VLOOKUP(tblSalaries[[#This Row],[Currency]],Sheet3!$A$2:$B$31,2,FALSE),tblSalaries[[#This Row],[clean Salary (in local currency)]],(tblSalaries[[#This Row],[PPP Adjusted  USD]]/VLOOKUP(Dashboard!$J$5,Sheet3!$B$2:$C$31,2,FALSE)))</f>
        <v>20744.127788729922</v>
      </c>
      <c r="H1444" t="s">
        <v>2480</v>
      </c>
      <c r="I1444" t="s">
        <v>603</v>
      </c>
      <c r="J1444" t="s">
        <v>604</v>
      </c>
      <c r="K1444" t="s">
        <v>627</v>
      </c>
      <c r="L1444">
        <v>10</v>
      </c>
    </row>
    <row r="1445" spans="2:12" ht="15" customHeight="1">
      <c r="B1445" t="s">
        <v>3704</v>
      </c>
      <c r="C1445">
        <v>20640</v>
      </c>
      <c r="D1445" t="s">
        <v>252</v>
      </c>
      <c r="E1445">
        <v>20640</v>
      </c>
      <c r="F1445" s="3">
        <f>(tblSalaries[[#This Row],[clean Salary (in local currency)]])*(VLOOKUP(tblSalaries[[#This Row],[Currency]],Sheet3!$A$2:$C$31,3,FALSE))*(VLOOKUP(tblSalaries[[#This Row],[Currency]],Sheet1!$N$4:$Q$186,4,FALSE))</f>
        <v>20640</v>
      </c>
      <c r="G1445" s="4">
        <f>IF(Dashboard!$J$5=VLOOKUP(tblSalaries[[#This Row],[Currency]],Sheet3!$A$2:$B$31,2,FALSE),tblSalaries[[#This Row],[clean Salary (in local currency)]],(tblSalaries[[#This Row],[PPP Adjusted  USD]]/VLOOKUP(Dashboard!$J$5,Sheet3!$B$2:$C$31,2,FALSE)))</f>
        <v>20640</v>
      </c>
      <c r="H1445" t="s">
        <v>3705</v>
      </c>
      <c r="I1445" t="s">
        <v>625</v>
      </c>
      <c r="J1445" t="s">
        <v>1035</v>
      </c>
      <c r="K1445" t="s">
        <v>605</v>
      </c>
      <c r="L1445">
        <v>3</v>
      </c>
    </row>
    <row r="1446" spans="2:12" ht="15" customHeight="1">
      <c r="B1446" t="s">
        <v>2273</v>
      </c>
      <c r="C1446">
        <v>20571</v>
      </c>
      <c r="D1446" t="s">
        <v>252</v>
      </c>
      <c r="E1446">
        <v>20571</v>
      </c>
      <c r="F1446" s="3">
        <f>(tblSalaries[[#This Row],[clean Salary (in local currency)]])*(VLOOKUP(tblSalaries[[#This Row],[Currency]],Sheet3!$A$2:$C$31,3,FALSE))*(VLOOKUP(tblSalaries[[#This Row],[Currency]],Sheet1!$N$4:$Q$186,4,FALSE))</f>
        <v>20571</v>
      </c>
      <c r="G1446" s="4">
        <f>IF(Dashboard!$J$5=VLOOKUP(tblSalaries[[#This Row],[Currency]],Sheet3!$A$2:$B$31,2,FALSE),tblSalaries[[#This Row],[clean Salary (in local currency)]],(tblSalaries[[#This Row],[PPP Adjusted  USD]]/VLOOKUP(Dashboard!$J$5,Sheet3!$B$2:$C$31,2,FALSE)))</f>
        <v>20571</v>
      </c>
      <c r="H1446" t="s">
        <v>632</v>
      </c>
      <c r="I1446" t="s">
        <v>633</v>
      </c>
      <c r="J1446" t="s">
        <v>2274</v>
      </c>
      <c r="K1446" t="s">
        <v>605</v>
      </c>
      <c r="L1446">
        <v>8</v>
      </c>
    </row>
    <row r="1447" spans="2:12" ht="15" customHeight="1">
      <c r="B1447" t="s">
        <v>1796</v>
      </c>
      <c r="C1447">
        <v>432000</v>
      </c>
      <c r="D1447" t="s">
        <v>247</v>
      </c>
      <c r="E1447">
        <v>7693.0200089751897</v>
      </c>
      <c r="F1447" s="3">
        <f>(tblSalaries[[#This Row],[clean Salary (in local currency)]])*(VLOOKUP(tblSalaries[[#This Row],[Currency]],Sheet3!$A$2:$C$31,3,FALSE))*(VLOOKUP(tblSalaries[[#This Row],[Currency]],Sheet1!$N$4:$Q$186,4,FALSE))</f>
        <v>20459.961654637733</v>
      </c>
      <c r="G1447" s="4">
        <f>IF(Dashboard!$J$5=VLOOKUP(tblSalaries[[#This Row],[Currency]],Sheet3!$A$2:$B$31,2,FALSE),tblSalaries[[#This Row],[clean Salary (in local currency)]],(tblSalaries[[#This Row],[PPP Adjusted  USD]]/VLOOKUP(Dashboard!$J$5,Sheet3!$B$2:$C$31,2,FALSE)))</f>
        <v>20459.961654637733</v>
      </c>
      <c r="H1447" t="s">
        <v>1797</v>
      </c>
      <c r="I1447" t="s">
        <v>625</v>
      </c>
      <c r="J1447" t="s">
        <v>604</v>
      </c>
      <c r="K1447" t="s">
        <v>617</v>
      </c>
      <c r="L1447">
        <v>5</v>
      </c>
    </row>
    <row r="1448" spans="2:12" ht="15" customHeight="1">
      <c r="B1448" t="s">
        <v>3119</v>
      </c>
      <c r="C1448">
        <v>20400</v>
      </c>
      <c r="D1448" t="s">
        <v>252</v>
      </c>
      <c r="E1448">
        <v>20400</v>
      </c>
      <c r="F1448" s="3">
        <f>(tblSalaries[[#This Row],[clean Salary (in local currency)]])*(VLOOKUP(tblSalaries[[#This Row],[Currency]],Sheet3!$A$2:$C$31,3,FALSE))*(VLOOKUP(tblSalaries[[#This Row],[Currency]],Sheet1!$N$4:$Q$186,4,FALSE))</f>
        <v>20400</v>
      </c>
      <c r="G1448" s="4">
        <f>IF(Dashboard!$J$5=VLOOKUP(tblSalaries[[#This Row],[Currency]],Sheet3!$A$2:$B$31,2,FALSE),tblSalaries[[#This Row],[clean Salary (in local currency)]],(tblSalaries[[#This Row],[PPP Adjusted  USD]]/VLOOKUP(Dashboard!$J$5,Sheet3!$B$2:$C$31,2,FALSE)))</f>
        <v>20400</v>
      </c>
      <c r="H1448" t="s">
        <v>3120</v>
      </c>
      <c r="I1448" t="s">
        <v>625</v>
      </c>
      <c r="J1448" t="s">
        <v>2836</v>
      </c>
      <c r="K1448" t="s">
        <v>627</v>
      </c>
      <c r="L1448">
        <v>10</v>
      </c>
    </row>
    <row r="1449" spans="2:12" ht="15" customHeight="1">
      <c r="B1449" t="s">
        <v>2245</v>
      </c>
      <c r="C1449">
        <v>104000</v>
      </c>
      <c r="D1449" t="s">
        <v>553</v>
      </c>
      <c r="E1449">
        <v>28310.79811950968</v>
      </c>
      <c r="F1449" s="3">
        <f>(tblSalaries[[#This Row],[clean Salary (in local currency)]])*(VLOOKUP(tblSalaries[[#This Row],[Currency]],Sheet3!$A$2:$C$31,3,FALSE))*(VLOOKUP(tblSalaries[[#This Row],[Currency]],Sheet1!$N$4:$Q$186,4,FALSE))</f>
        <v>20346.597738860022</v>
      </c>
      <c r="G1449" s="4">
        <f>IF(Dashboard!$J$5=VLOOKUP(tblSalaries[[#This Row],[Currency]],Sheet3!$A$2:$B$31,2,FALSE),tblSalaries[[#This Row],[clean Salary (in local currency)]],(tblSalaries[[#This Row],[PPP Adjusted  USD]]/VLOOKUP(Dashboard!$J$5,Sheet3!$B$2:$C$31,2,FALSE)))</f>
        <v>20346.597738860022</v>
      </c>
      <c r="H1449" t="s">
        <v>612</v>
      </c>
      <c r="I1449" t="s">
        <v>603</v>
      </c>
      <c r="J1449" t="s">
        <v>770</v>
      </c>
      <c r="K1449" t="s">
        <v>605</v>
      </c>
      <c r="L1449">
        <v>11</v>
      </c>
    </row>
    <row r="1450" spans="2:12" ht="15" customHeight="1">
      <c r="B1450" t="s">
        <v>3692</v>
      </c>
      <c r="C1450">
        <v>425000</v>
      </c>
      <c r="D1450" t="s">
        <v>247</v>
      </c>
      <c r="E1450">
        <v>7568.3645921630914</v>
      </c>
      <c r="F1450" s="3">
        <f>(tblSalaries[[#This Row],[clean Salary (in local currency)]])*(VLOOKUP(tblSalaries[[#This Row],[Currency]],Sheet3!$A$2:$C$31,3,FALSE))*(VLOOKUP(tblSalaries[[#This Row],[Currency]],Sheet1!$N$4:$Q$186,4,FALSE))</f>
        <v>20128.434498196842</v>
      </c>
      <c r="G1450" s="4">
        <f>IF(Dashboard!$J$5=VLOOKUP(tblSalaries[[#This Row],[Currency]],Sheet3!$A$2:$B$31,2,FALSE),tblSalaries[[#This Row],[clean Salary (in local currency)]],(tblSalaries[[#This Row],[PPP Adjusted  USD]]/VLOOKUP(Dashboard!$J$5,Sheet3!$B$2:$C$31,2,FALSE)))</f>
        <v>20128.434498196842</v>
      </c>
      <c r="H1450" t="s">
        <v>2065</v>
      </c>
      <c r="I1450" t="s">
        <v>637</v>
      </c>
      <c r="J1450" t="s">
        <v>604</v>
      </c>
      <c r="K1450" t="s">
        <v>617</v>
      </c>
      <c r="L1450">
        <v>6</v>
      </c>
    </row>
    <row r="1451" spans="2:12" ht="15" customHeight="1">
      <c r="B1451" t="s">
        <v>1099</v>
      </c>
      <c r="C1451">
        <v>20000</v>
      </c>
      <c r="D1451" t="s">
        <v>252</v>
      </c>
      <c r="E1451">
        <v>20000</v>
      </c>
      <c r="F1451" s="3">
        <f>(tblSalaries[[#This Row],[clean Salary (in local currency)]])*(VLOOKUP(tblSalaries[[#This Row],[Currency]],Sheet3!$A$2:$C$31,3,FALSE))*(VLOOKUP(tblSalaries[[#This Row],[Currency]],Sheet1!$N$4:$Q$186,4,FALSE))</f>
        <v>20000</v>
      </c>
      <c r="G1451" s="4">
        <f>IF(Dashboard!$J$5=VLOOKUP(tblSalaries[[#This Row],[Currency]],Sheet3!$A$2:$B$31,2,FALSE),tblSalaries[[#This Row],[clean Salary (in local currency)]],(tblSalaries[[#This Row],[PPP Adjusted  USD]]/VLOOKUP(Dashboard!$J$5,Sheet3!$B$2:$C$31,2,FALSE)))</f>
        <v>20000</v>
      </c>
      <c r="H1451" t="s">
        <v>1100</v>
      </c>
      <c r="I1451" t="s">
        <v>625</v>
      </c>
      <c r="J1451" t="s">
        <v>604</v>
      </c>
      <c r="K1451" t="s">
        <v>605</v>
      </c>
      <c r="L1451" t="s">
        <v>3847</v>
      </c>
    </row>
    <row r="1452" spans="2:12" ht="15" customHeight="1">
      <c r="B1452" t="s">
        <v>1150</v>
      </c>
      <c r="C1452">
        <v>20000</v>
      </c>
      <c r="D1452" t="s">
        <v>252</v>
      </c>
      <c r="E1452">
        <v>20000</v>
      </c>
      <c r="F1452" s="3">
        <f>(tblSalaries[[#This Row],[clean Salary (in local currency)]])*(VLOOKUP(tblSalaries[[#This Row],[Currency]],Sheet3!$A$2:$C$31,3,FALSE))*(VLOOKUP(tblSalaries[[#This Row],[Currency]],Sheet1!$N$4:$Q$186,4,FALSE))</f>
        <v>20000</v>
      </c>
      <c r="G1452" s="4">
        <f>IF(Dashboard!$J$5=VLOOKUP(tblSalaries[[#This Row],[Currency]],Sheet3!$A$2:$B$31,2,FALSE),tblSalaries[[#This Row],[clean Salary (in local currency)]],(tblSalaries[[#This Row],[PPP Adjusted  USD]]/VLOOKUP(Dashboard!$J$5,Sheet3!$B$2:$C$31,2,FALSE)))</f>
        <v>20000</v>
      </c>
      <c r="H1452" t="s">
        <v>603</v>
      </c>
      <c r="I1452" t="s">
        <v>603</v>
      </c>
      <c r="J1452" t="s">
        <v>604</v>
      </c>
      <c r="K1452" t="s">
        <v>610</v>
      </c>
      <c r="L1452" t="s">
        <v>3847</v>
      </c>
    </row>
    <row r="1453" spans="2:12" ht="15" customHeight="1">
      <c r="B1453" t="s">
        <v>1501</v>
      </c>
      <c r="C1453">
        <v>20000</v>
      </c>
      <c r="D1453" t="s">
        <v>252</v>
      </c>
      <c r="E1453">
        <v>20000</v>
      </c>
      <c r="F1453" s="3">
        <f>(tblSalaries[[#This Row],[clean Salary (in local currency)]])*(VLOOKUP(tblSalaries[[#This Row],[Currency]],Sheet3!$A$2:$C$31,3,FALSE))*(VLOOKUP(tblSalaries[[#This Row],[Currency]],Sheet1!$N$4:$Q$186,4,FALSE))</f>
        <v>20000</v>
      </c>
      <c r="G1453" s="4">
        <f>IF(Dashboard!$J$5=VLOOKUP(tblSalaries[[#This Row],[Currency]],Sheet3!$A$2:$B$31,2,FALSE),tblSalaries[[#This Row],[clean Salary (in local currency)]],(tblSalaries[[#This Row],[PPP Adjusted  USD]]/VLOOKUP(Dashboard!$J$5,Sheet3!$B$2:$C$31,2,FALSE)))</f>
        <v>20000</v>
      </c>
      <c r="H1453" t="s">
        <v>640</v>
      </c>
      <c r="I1453" t="s">
        <v>640</v>
      </c>
      <c r="J1453" t="s">
        <v>604</v>
      </c>
      <c r="K1453" t="s">
        <v>605</v>
      </c>
      <c r="L1453" t="s">
        <v>3847</v>
      </c>
    </row>
    <row r="1454" spans="2:12" ht="15" customHeight="1">
      <c r="B1454" t="s">
        <v>1530</v>
      </c>
      <c r="C1454">
        <v>20000</v>
      </c>
      <c r="D1454" t="s">
        <v>252</v>
      </c>
      <c r="E1454">
        <v>20000</v>
      </c>
      <c r="F1454" s="3">
        <f>(tblSalaries[[#This Row],[clean Salary (in local currency)]])*(VLOOKUP(tblSalaries[[#This Row],[Currency]],Sheet3!$A$2:$C$31,3,FALSE))*(VLOOKUP(tblSalaries[[#This Row],[Currency]],Sheet1!$N$4:$Q$186,4,FALSE))</f>
        <v>20000</v>
      </c>
      <c r="G1454" s="4">
        <f>IF(Dashboard!$J$5=VLOOKUP(tblSalaries[[#This Row],[Currency]],Sheet3!$A$2:$B$31,2,FALSE),tblSalaries[[#This Row],[clean Salary (in local currency)]],(tblSalaries[[#This Row],[PPP Adjusted  USD]]/VLOOKUP(Dashboard!$J$5,Sheet3!$B$2:$C$31,2,FALSE)))</f>
        <v>20000</v>
      </c>
      <c r="H1454" t="s">
        <v>692</v>
      </c>
      <c r="I1454" t="s">
        <v>692</v>
      </c>
      <c r="J1454" t="s">
        <v>604</v>
      </c>
      <c r="K1454" t="s">
        <v>617</v>
      </c>
      <c r="L1454" t="s">
        <v>3847</v>
      </c>
    </row>
    <row r="1455" spans="2:12" ht="15" customHeight="1">
      <c r="B1455" t="s">
        <v>1963</v>
      </c>
      <c r="C1455">
        <v>20000</v>
      </c>
      <c r="D1455" t="s">
        <v>252</v>
      </c>
      <c r="E1455">
        <v>20000</v>
      </c>
      <c r="F1455" s="3">
        <f>(tblSalaries[[#This Row],[clean Salary (in local currency)]])*(VLOOKUP(tblSalaries[[#This Row],[Currency]],Sheet3!$A$2:$C$31,3,FALSE))*(VLOOKUP(tblSalaries[[#This Row],[Currency]],Sheet1!$N$4:$Q$186,4,FALSE))</f>
        <v>20000</v>
      </c>
      <c r="G1455" s="4">
        <f>IF(Dashboard!$J$5=VLOOKUP(tblSalaries[[#This Row],[Currency]],Sheet3!$A$2:$B$31,2,FALSE),tblSalaries[[#This Row],[clean Salary (in local currency)]],(tblSalaries[[#This Row],[PPP Adjusted  USD]]/VLOOKUP(Dashboard!$J$5,Sheet3!$B$2:$C$31,2,FALSE)))</f>
        <v>20000</v>
      </c>
      <c r="H1455" t="s">
        <v>1422</v>
      </c>
      <c r="I1455" t="s">
        <v>620</v>
      </c>
      <c r="J1455" t="s">
        <v>604</v>
      </c>
      <c r="K1455" t="s">
        <v>627</v>
      </c>
      <c r="L1455">
        <v>7</v>
      </c>
    </row>
    <row r="1456" spans="2:12" ht="15" customHeight="1">
      <c r="B1456" t="s">
        <v>1982</v>
      </c>
      <c r="C1456">
        <v>20000</v>
      </c>
      <c r="D1456" t="s">
        <v>252</v>
      </c>
      <c r="E1456">
        <v>20000</v>
      </c>
      <c r="F1456" s="3">
        <f>(tblSalaries[[#This Row],[clean Salary (in local currency)]])*(VLOOKUP(tblSalaries[[#This Row],[Currency]],Sheet3!$A$2:$C$31,3,FALSE))*(VLOOKUP(tblSalaries[[#This Row],[Currency]],Sheet1!$N$4:$Q$186,4,FALSE))</f>
        <v>20000</v>
      </c>
      <c r="G1456" s="4">
        <f>IF(Dashboard!$J$5=VLOOKUP(tblSalaries[[#This Row],[Currency]],Sheet3!$A$2:$B$31,2,FALSE),tblSalaries[[#This Row],[clean Salary (in local currency)]],(tblSalaries[[#This Row],[PPP Adjusted  USD]]/VLOOKUP(Dashboard!$J$5,Sheet3!$B$2:$C$31,2,FALSE)))</f>
        <v>20000</v>
      </c>
      <c r="H1456" t="s">
        <v>1983</v>
      </c>
      <c r="I1456" t="s">
        <v>692</v>
      </c>
      <c r="J1456" t="s">
        <v>1984</v>
      </c>
      <c r="K1456" t="s">
        <v>617</v>
      </c>
      <c r="L1456">
        <v>15</v>
      </c>
    </row>
    <row r="1457" spans="2:12" ht="15" customHeight="1">
      <c r="B1457" t="s">
        <v>2290</v>
      </c>
      <c r="C1457">
        <v>20000</v>
      </c>
      <c r="D1457" t="s">
        <v>252</v>
      </c>
      <c r="E1457">
        <v>20000</v>
      </c>
      <c r="F1457" s="3">
        <f>(tblSalaries[[#This Row],[clean Salary (in local currency)]])*(VLOOKUP(tblSalaries[[#This Row],[Currency]],Sheet3!$A$2:$C$31,3,FALSE))*(VLOOKUP(tblSalaries[[#This Row],[Currency]],Sheet1!$N$4:$Q$186,4,FALSE))</f>
        <v>20000</v>
      </c>
      <c r="G1457" s="4">
        <f>IF(Dashboard!$J$5=VLOOKUP(tblSalaries[[#This Row],[Currency]],Sheet3!$A$2:$B$31,2,FALSE),tblSalaries[[#This Row],[clean Salary (in local currency)]],(tblSalaries[[#This Row],[PPP Adjusted  USD]]/VLOOKUP(Dashboard!$J$5,Sheet3!$B$2:$C$31,2,FALSE)))</f>
        <v>20000</v>
      </c>
      <c r="H1457" t="s">
        <v>2225</v>
      </c>
      <c r="I1457" t="s">
        <v>637</v>
      </c>
      <c r="J1457" t="s">
        <v>2291</v>
      </c>
      <c r="K1457" t="s">
        <v>610</v>
      </c>
      <c r="L1457">
        <v>2</v>
      </c>
    </row>
    <row r="1458" spans="2:12" ht="15" customHeight="1">
      <c r="B1458" t="s">
        <v>2329</v>
      </c>
      <c r="C1458">
        <v>20000</v>
      </c>
      <c r="D1458" t="s">
        <v>252</v>
      </c>
      <c r="E1458">
        <v>20000</v>
      </c>
      <c r="F1458" s="3">
        <f>(tblSalaries[[#This Row],[clean Salary (in local currency)]])*(VLOOKUP(tblSalaries[[#This Row],[Currency]],Sheet3!$A$2:$C$31,3,FALSE))*(VLOOKUP(tblSalaries[[#This Row],[Currency]],Sheet1!$N$4:$Q$186,4,FALSE))</f>
        <v>20000</v>
      </c>
      <c r="G1458" s="4">
        <f>IF(Dashboard!$J$5=VLOOKUP(tblSalaries[[#This Row],[Currency]],Sheet3!$A$2:$B$31,2,FALSE),tblSalaries[[#This Row],[clean Salary (in local currency)]],(tblSalaries[[#This Row],[PPP Adjusted  USD]]/VLOOKUP(Dashboard!$J$5,Sheet3!$B$2:$C$31,2,FALSE)))</f>
        <v>20000</v>
      </c>
      <c r="H1458" t="s">
        <v>910</v>
      </c>
      <c r="I1458" t="s">
        <v>603</v>
      </c>
      <c r="J1458" t="s">
        <v>703</v>
      </c>
      <c r="K1458" t="s">
        <v>617</v>
      </c>
      <c r="L1458">
        <v>2</v>
      </c>
    </row>
    <row r="1459" spans="2:12" ht="15" customHeight="1">
      <c r="B1459" t="s">
        <v>2395</v>
      </c>
      <c r="C1459">
        <v>20000</v>
      </c>
      <c r="D1459" t="s">
        <v>252</v>
      </c>
      <c r="E1459">
        <v>20000</v>
      </c>
      <c r="F1459" s="3">
        <f>(tblSalaries[[#This Row],[clean Salary (in local currency)]])*(VLOOKUP(tblSalaries[[#This Row],[Currency]],Sheet3!$A$2:$C$31,3,FALSE))*(VLOOKUP(tblSalaries[[#This Row],[Currency]],Sheet1!$N$4:$Q$186,4,FALSE))</f>
        <v>20000</v>
      </c>
      <c r="G1459" s="4">
        <f>IF(Dashboard!$J$5=VLOOKUP(tblSalaries[[#This Row],[Currency]],Sheet3!$A$2:$B$31,2,FALSE),tblSalaries[[#This Row],[clean Salary (in local currency)]],(tblSalaries[[#This Row],[PPP Adjusted  USD]]/VLOOKUP(Dashboard!$J$5,Sheet3!$B$2:$C$31,2,FALSE)))</f>
        <v>20000</v>
      </c>
      <c r="H1459" t="s">
        <v>2396</v>
      </c>
      <c r="I1459" t="s">
        <v>658</v>
      </c>
      <c r="J1459" t="s">
        <v>2397</v>
      </c>
      <c r="K1459" t="s">
        <v>610</v>
      </c>
      <c r="L1459">
        <v>6</v>
      </c>
    </row>
    <row r="1460" spans="2:12" ht="15" customHeight="1">
      <c r="B1460" t="s">
        <v>3007</v>
      </c>
      <c r="C1460">
        <v>20000</v>
      </c>
      <c r="D1460" t="s">
        <v>252</v>
      </c>
      <c r="E1460">
        <v>20000</v>
      </c>
      <c r="F1460" s="3">
        <f>(tblSalaries[[#This Row],[clean Salary (in local currency)]])*(VLOOKUP(tblSalaries[[#This Row],[Currency]],Sheet3!$A$2:$C$31,3,FALSE))*(VLOOKUP(tblSalaries[[#This Row],[Currency]],Sheet1!$N$4:$Q$186,4,FALSE))</f>
        <v>20000</v>
      </c>
      <c r="G1460" s="4">
        <f>IF(Dashboard!$J$5=VLOOKUP(tblSalaries[[#This Row],[Currency]],Sheet3!$A$2:$B$31,2,FALSE),tblSalaries[[#This Row],[clean Salary (in local currency)]],(tblSalaries[[#This Row],[PPP Adjusted  USD]]/VLOOKUP(Dashboard!$J$5,Sheet3!$B$2:$C$31,2,FALSE)))</f>
        <v>20000</v>
      </c>
      <c r="H1460" t="s">
        <v>3008</v>
      </c>
      <c r="I1460" t="s">
        <v>640</v>
      </c>
      <c r="J1460" t="s">
        <v>604</v>
      </c>
      <c r="K1460" t="s">
        <v>605</v>
      </c>
      <c r="L1460">
        <v>6</v>
      </c>
    </row>
    <row r="1461" spans="2:12" ht="15" customHeight="1">
      <c r="B1461" t="s">
        <v>3097</v>
      </c>
      <c r="C1461">
        <v>20000</v>
      </c>
      <c r="D1461" t="s">
        <v>252</v>
      </c>
      <c r="E1461">
        <v>20000</v>
      </c>
      <c r="F1461" s="3">
        <f>(tblSalaries[[#This Row],[clean Salary (in local currency)]])*(VLOOKUP(tblSalaries[[#This Row],[Currency]],Sheet3!$A$2:$C$31,3,FALSE))*(VLOOKUP(tblSalaries[[#This Row],[Currency]],Sheet1!$N$4:$Q$186,4,FALSE))</f>
        <v>20000</v>
      </c>
      <c r="G1461" s="4">
        <f>IF(Dashboard!$J$5=VLOOKUP(tblSalaries[[#This Row],[Currency]],Sheet3!$A$2:$B$31,2,FALSE),tblSalaries[[#This Row],[clean Salary (in local currency)]],(tblSalaries[[#This Row],[PPP Adjusted  USD]]/VLOOKUP(Dashboard!$J$5,Sheet3!$B$2:$C$31,2,FALSE)))</f>
        <v>20000</v>
      </c>
      <c r="H1461" t="s">
        <v>1603</v>
      </c>
      <c r="I1461" t="s">
        <v>625</v>
      </c>
      <c r="J1461" t="s">
        <v>604</v>
      </c>
      <c r="K1461" t="s">
        <v>862</v>
      </c>
      <c r="L1461">
        <v>10</v>
      </c>
    </row>
    <row r="1462" spans="2:12" ht="15" customHeight="1">
      <c r="B1462" t="s">
        <v>3337</v>
      </c>
      <c r="C1462">
        <v>20000</v>
      </c>
      <c r="D1462" t="s">
        <v>252</v>
      </c>
      <c r="E1462">
        <v>20000</v>
      </c>
      <c r="F1462" s="3">
        <f>(tblSalaries[[#This Row],[clean Salary (in local currency)]])*(VLOOKUP(tblSalaries[[#This Row],[Currency]],Sheet3!$A$2:$C$31,3,FALSE))*(VLOOKUP(tblSalaries[[#This Row],[Currency]],Sheet1!$N$4:$Q$186,4,FALSE))</f>
        <v>20000</v>
      </c>
      <c r="G1462" s="4">
        <f>IF(Dashboard!$J$5=VLOOKUP(tblSalaries[[#This Row],[Currency]],Sheet3!$A$2:$B$31,2,FALSE),tblSalaries[[#This Row],[clean Salary (in local currency)]],(tblSalaries[[#This Row],[PPP Adjusted  USD]]/VLOOKUP(Dashboard!$J$5,Sheet3!$B$2:$C$31,2,FALSE)))</f>
        <v>20000</v>
      </c>
      <c r="H1462" t="s">
        <v>625</v>
      </c>
      <c r="I1462" t="s">
        <v>625</v>
      </c>
      <c r="J1462" t="s">
        <v>604</v>
      </c>
      <c r="K1462" t="s">
        <v>605</v>
      </c>
      <c r="L1462">
        <v>1</v>
      </c>
    </row>
    <row r="1463" spans="2:12" ht="15" customHeight="1">
      <c r="B1463" t="s">
        <v>3665</v>
      </c>
      <c r="C1463">
        <v>20000</v>
      </c>
      <c r="D1463" t="s">
        <v>252</v>
      </c>
      <c r="E1463">
        <v>20000</v>
      </c>
      <c r="F1463" s="3">
        <f>(tblSalaries[[#This Row],[clean Salary (in local currency)]])*(VLOOKUP(tblSalaries[[#This Row],[Currency]],Sheet3!$A$2:$C$31,3,FALSE))*(VLOOKUP(tblSalaries[[#This Row],[Currency]],Sheet1!$N$4:$Q$186,4,FALSE))</f>
        <v>20000</v>
      </c>
      <c r="G1463" s="4">
        <f>IF(Dashboard!$J$5=VLOOKUP(tblSalaries[[#This Row],[Currency]],Sheet3!$A$2:$B$31,2,FALSE),tblSalaries[[#This Row],[clean Salary (in local currency)]],(tblSalaries[[#This Row],[PPP Adjusted  USD]]/VLOOKUP(Dashboard!$J$5,Sheet3!$B$2:$C$31,2,FALSE)))</f>
        <v>20000</v>
      </c>
      <c r="H1463" t="s">
        <v>3666</v>
      </c>
      <c r="I1463" t="s">
        <v>603</v>
      </c>
      <c r="J1463" t="s">
        <v>708</v>
      </c>
      <c r="K1463" t="s">
        <v>617</v>
      </c>
      <c r="L1463">
        <v>2</v>
      </c>
    </row>
    <row r="1464" spans="2:12" ht="15" customHeight="1">
      <c r="B1464" t="s">
        <v>3680</v>
      </c>
      <c r="C1464">
        <v>20000</v>
      </c>
      <c r="D1464" t="s">
        <v>252</v>
      </c>
      <c r="E1464">
        <v>20000</v>
      </c>
      <c r="F1464" s="3">
        <f>(tblSalaries[[#This Row],[clean Salary (in local currency)]])*(VLOOKUP(tblSalaries[[#This Row],[Currency]],Sheet3!$A$2:$C$31,3,FALSE))*(VLOOKUP(tblSalaries[[#This Row],[Currency]],Sheet1!$N$4:$Q$186,4,FALSE))</f>
        <v>20000</v>
      </c>
      <c r="G1464" s="4">
        <f>IF(Dashboard!$J$5=VLOOKUP(tblSalaries[[#This Row],[Currency]],Sheet3!$A$2:$B$31,2,FALSE),tblSalaries[[#This Row],[clean Salary (in local currency)]],(tblSalaries[[#This Row],[PPP Adjusted  USD]]/VLOOKUP(Dashboard!$J$5,Sheet3!$B$2:$C$31,2,FALSE)))</f>
        <v>20000</v>
      </c>
      <c r="H1464" t="s">
        <v>3681</v>
      </c>
      <c r="I1464" t="s">
        <v>603</v>
      </c>
      <c r="J1464" t="s">
        <v>3682</v>
      </c>
      <c r="K1464" t="s">
        <v>627</v>
      </c>
      <c r="L1464">
        <v>1</v>
      </c>
    </row>
    <row r="1465" spans="2:12" ht="15" customHeight="1">
      <c r="B1465" t="s">
        <v>3811</v>
      </c>
      <c r="C1465">
        <v>20000</v>
      </c>
      <c r="D1465" t="s">
        <v>252</v>
      </c>
      <c r="E1465">
        <v>20000</v>
      </c>
      <c r="F1465" s="3">
        <f>(tblSalaries[[#This Row],[clean Salary (in local currency)]])*(VLOOKUP(tblSalaries[[#This Row],[Currency]],Sheet3!$A$2:$C$31,3,FALSE))*(VLOOKUP(tblSalaries[[#This Row],[Currency]],Sheet1!$N$4:$Q$186,4,FALSE))</f>
        <v>20000</v>
      </c>
      <c r="G1465" s="4">
        <f>IF(Dashboard!$J$5=VLOOKUP(tblSalaries[[#This Row],[Currency]],Sheet3!$A$2:$B$31,2,FALSE),tblSalaries[[#This Row],[clean Salary (in local currency)]],(tblSalaries[[#This Row],[PPP Adjusted  USD]]/VLOOKUP(Dashboard!$J$5,Sheet3!$B$2:$C$31,2,FALSE)))</f>
        <v>20000</v>
      </c>
      <c r="H1465" t="s">
        <v>3812</v>
      </c>
      <c r="I1465" t="s">
        <v>625</v>
      </c>
      <c r="J1465" t="s">
        <v>604</v>
      </c>
      <c r="K1465" t="s">
        <v>617</v>
      </c>
      <c r="L1465">
        <v>5</v>
      </c>
    </row>
    <row r="1466" spans="2:12" ht="15" customHeight="1">
      <c r="B1466" t="s">
        <v>3530</v>
      </c>
      <c r="C1466">
        <v>421000</v>
      </c>
      <c r="D1466" t="s">
        <v>247</v>
      </c>
      <c r="E1466">
        <v>7497.1329254133216</v>
      </c>
      <c r="F1466" s="3">
        <f>(tblSalaries[[#This Row],[clean Salary (in local currency)]])*(VLOOKUP(tblSalaries[[#This Row],[Currency]],Sheet3!$A$2:$C$31,3,FALSE))*(VLOOKUP(tblSalaries[[#This Row],[Currency]],Sheet1!$N$4:$Q$186,4,FALSE))</f>
        <v>19938.990408802052</v>
      </c>
      <c r="G1466" s="4">
        <f>IF(Dashboard!$J$5=VLOOKUP(tblSalaries[[#This Row],[Currency]],Sheet3!$A$2:$B$31,2,FALSE),tblSalaries[[#This Row],[clean Salary (in local currency)]],(tblSalaries[[#This Row],[PPP Adjusted  USD]]/VLOOKUP(Dashboard!$J$5,Sheet3!$B$2:$C$31,2,FALSE)))</f>
        <v>19938.990408802052</v>
      </c>
      <c r="H1466" t="s">
        <v>3531</v>
      </c>
      <c r="I1466" t="s">
        <v>603</v>
      </c>
      <c r="J1466" t="s">
        <v>604</v>
      </c>
      <c r="K1466" t="s">
        <v>605</v>
      </c>
      <c r="L1466">
        <v>4</v>
      </c>
    </row>
    <row r="1467" spans="2:12" ht="15" customHeight="1">
      <c r="B1467" t="s">
        <v>2459</v>
      </c>
      <c r="C1467">
        <v>120000</v>
      </c>
      <c r="D1467" t="s">
        <v>400</v>
      </c>
      <c r="E1467">
        <v>14630.613583549337</v>
      </c>
      <c r="F1467" s="3">
        <f>(tblSalaries[[#This Row],[clean Salary (in local currency)]])*(VLOOKUP(tblSalaries[[#This Row],[Currency]],Sheet3!$A$2:$C$31,3,FALSE))*(VLOOKUP(tblSalaries[[#This Row],[Currency]],Sheet1!$N$4:$Q$186,4,FALSE))</f>
        <v>19903.132865828447</v>
      </c>
      <c r="G1467" s="4">
        <f>IF(Dashboard!$J$5=VLOOKUP(tblSalaries[[#This Row],[Currency]],Sheet3!$A$2:$B$31,2,FALSE),tblSalaries[[#This Row],[clean Salary (in local currency)]],(tblSalaries[[#This Row],[PPP Adjusted  USD]]/VLOOKUP(Dashboard!$J$5,Sheet3!$B$2:$C$31,2,FALSE)))</f>
        <v>19903.132865828447</v>
      </c>
      <c r="H1467" t="s">
        <v>1141</v>
      </c>
      <c r="I1467" t="s">
        <v>633</v>
      </c>
      <c r="J1467" t="s">
        <v>659</v>
      </c>
      <c r="K1467" t="s">
        <v>605</v>
      </c>
      <c r="L1467">
        <v>10</v>
      </c>
    </row>
    <row r="1468" spans="2:12" ht="15" customHeight="1">
      <c r="B1468" t="s">
        <v>938</v>
      </c>
      <c r="C1468">
        <v>420000</v>
      </c>
      <c r="D1468" t="s">
        <v>247</v>
      </c>
      <c r="E1468">
        <v>7479.3250087258784</v>
      </c>
      <c r="F1468" s="3">
        <f>(tblSalaries[[#This Row],[clean Salary (in local currency)]])*(VLOOKUP(tblSalaries[[#This Row],[Currency]],Sheet3!$A$2:$C$31,3,FALSE))*(VLOOKUP(tblSalaries[[#This Row],[Currency]],Sheet1!$N$4:$Q$186,4,FALSE))</f>
        <v>19891.629386453351</v>
      </c>
      <c r="G1468" s="4">
        <f>IF(Dashboard!$J$5=VLOOKUP(tblSalaries[[#This Row],[Currency]],Sheet3!$A$2:$B$31,2,FALSE),tblSalaries[[#This Row],[clean Salary (in local currency)]],(tblSalaries[[#This Row],[PPP Adjusted  USD]]/VLOOKUP(Dashboard!$J$5,Sheet3!$B$2:$C$31,2,FALSE)))</f>
        <v>19891.629386453351</v>
      </c>
      <c r="H1468" t="s">
        <v>939</v>
      </c>
      <c r="I1468" t="s">
        <v>625</v>
      </c>
      <c r="J1468" t="s">
        <v>604</v>
      </c>
      <c r="K1468" t="s">
        <v>627</v>
      </c>
      <c r="L1468" t="s">
        <v>3847</v>
      </c>
    </row>
    <row r="1469" spans="2:12" ht="15" customHeight="1">
      <c r="B1469" t="s">
        <v>1732</v>
      </c>
      <c r="C1469">
        <v>420000</v>
      </c>
      <c r="D1469" t="s">
        <v>247</v>
      </c>
      <c r="E1469">
        <v>7479.3250087258784</v>
      </c>
      <c r="F1469" s="3">
        <f>(tblSalaries[[#This Row],[clean Salary (in local currency)]])*(VLOOKUP(tblSalaries[[#This Row],[Currency]],Sheet3!$A$2:$C$31,3,FALSE))*(VLOOKUP(tblSalaries[[#This Row],[Currency]],Sheet1!$N$4:$Q$186,4,FALSE))</f>
        <v>19891.629386453351</v>
      </c>
      <c r="G1469" s="4">
        <f>IF(Dashboard!$J$5=VLOOKUP(tblSalaries[[#This Row],[Currency]],Sheet3!$A$2:$B$31,2,FALSE),tblSalaries[[#This Row],[clean Salary (in local currency)]],(tblSalaries[[#This Row],[PPP Adjusted  USD]]/VLOOKUP(Dashboard!$J$5,Sheet3!$B$2:$C$31,2,FALSE)))</f>
        <v>19891.629386453351</v>
      </c>
      <c r="H1469" t="s">
        <v>1733</v>
      </c>
      <c r="I1469" t="s">
        <v>603</v>
      </c>
      <c r="J1469" t="s">
        <v>604</v>
      </c>
      <c r="K1469" t="s">
        <v>605</v>
      </c>
      <c r="L1469">
        <v>3</v>
      </c>
    </row>
    <row r="1470" spans="2:12" ht="15" customHeight="1">
      <c r="B1470" t="s">
        <v>2420</v>
      </c>
      <c r="C1470">
        <v>420000</v>
      </c>
      <c r="D1470" t="s">
        <v>247</v>
      </c>
      <c r="E1470">
        <v>7479.3250087258784</v>
      </c>
      <c r="F1470" s="3">
        <f>(tblSalaries[[#This Row],[clean Salary (in local currency)]])*(VLOOKUP(tblSalaries[[#This Row],[Currency]],Sheet3!$A$2:$C$31,3,FALSE))*(VLOOKUP(tblSalaries[[#This Row],[Currency]],Sheet1!$N$4:$Q$186,4,FALSE))</f>
        <v>19891.629386453351</v>
      </c>
      <c r="G1470" s="4">
        <f>IF(Dashboard!$J$5=VLOOKUP(tblSalaries[[#This Row],[Currency]],Sheet3!$A$2:$B$31,2,FALSE),tblSalaries[[#This Row],[clean Salary (in local currency)]],(tblSalaries[[#This Row],[PPP Adjusted  USD]]/VLOOKUP(Dashboard!$J$5,Sheet3!$B$2:$C$31,2,FALSE)))</f>
        <v>19891.629386453351</v>
      </c>
      <c r="H1470" t="s">
        <v>603</v>
      </c>
      <c r="I1470" t="s">
        <v>603</v>
      </c>
      <c r="J1470" t="s">
        <v>604</v>
      </c>
      <c r="K1470" t="s">
        <v>617</v>
      </c>
      <c r="L1470">
        <v>10</v>
      </c>
    </row>
    <row r="1471" spans="2:12" ht="15" customHeight="1">
      <c r="B1471" t="s">
        <v>3799</v>
      </c>
      <c r="C1471">
        <v>420000</v>
      </c>
      <c r="D1471" t="s">
        <v>247</v>
      </c>
      <c r="E1471">
        <v>7479.3250087258784</v>
      </c>
      <c r="F1471" s="3">
        <f>(tblSalaries[[#This Row],[clean Salary (in local currency)]])*(VLOOKUP(tblSalaries[[#This Row],[Currency]],Sheet3!$A$2:$C$31,3,FALSE))*(VLOOKUP(tblSalaries[[#This Row],[Currency]],Sheet1!$N$4:$Q$186,4,FALSE))</f>
        <v>19891.629386453351</v>
      </c>
      <c r="G1471" s="4">
        <f>IF(Dashboard!$J$5=VLOOKUP(tblSalaries[[#This Row],[Currency]],Sheet3!$A$2:$B$31,2,FALSE),tblSalaries[[#This Row],[clean Salary (in local currency)]],(tblSalaries[[#This Row],[PPP Adjusted  USD]]/VLOOKUP(Dashboard!$J$5,Sheet3!$B$2:$C$31,2,FALSE)))</f>
        <v>19891.629386453351</v>
      </c>
      <c r="H1471" t="s">
        <v>603</v>
      </c>
      <c r="I1471" t="s">
        <v>603</v>
      </c>
      <c r="J1471" t="s">
        <v>604</v>
      </c>
      <c r="K1471" t="s">
        <v>605</v>
      </c>
      <c r="L1471">
        <v>2</v>
      </c>
    </row>
    <row r="1472" spans="2:12" ht="15" customHeight="1">
      <c r="B1472" t="s">
        <v>1325</v>
      </c>
      <c r="C1472">
        <v>18000</v>
      </c>
      <c r="D1472" t="s">
        <v>200</v>
      </c>
      <c r="E1472">
        <v>22867.189901848938</v>
      </c>
      <c r="F1472" s="3">
        <f>(tblSalaries[[#This Row],[clean Salary (in local currency)]])*(VLOOKUP(tblSalaries[[#This Row],[Currency]],Sheet3!$A$2:$C$31,3,FALSE))*(VLOOKUP(tblSalaries[[#This Row],[Currency]],Sheet1!$N$4:$Q$186,4,FALSE))</f>
        <v>19811.751947640936</v>
      </c>
      <c r="G1472" s="4">
        <f>IF(Dashboard!$J$5=VLOOKUP(tblSalaries[[#This Row],[Currency]],Sheet3!$A$2:$B$31,2,FALSE),tblSalaries[[#This Row],[clean Salary (in local currency)]],(tblSalaries[[#This Row],[PPP Adjusted  USD]]/VLOOKUP(Dashboard!$J$5,Sheet3!$B$2:$C$31,2,FALSE)))</f>
        <v>19811.751947640936</v>
      </c>
      <c r="H1472" t="s">
        <v>1326</v>
      </c>
      <c r="I1472" t="s">
        <v>625</v>
      </c>
      <c r="J1472" t="s">
        <v>634</v>
      </c>
      <c r="K1472" t="s">
        <v>617</v>
      </c>
      <c r="L1472" t="s">
        <v>3847</v>
      </c>
    </row>
    <row r="1473" spans="2:12" ht="15" customHeight="1">
      <c r="B1473" t="s">
        <v>1236</v>
      </c>
      <c r="C1473">
        <v>456000</v>
      </c>
      <c r="D1473" t="s">
        <v>473</v>
      </c>
      <c r="E1473">
        <v>10809.503829551191</v>
      </c>
      <c r="F1473" s="3">
        <f>(tblSalaries[[#This Row],[clean Salary (in local currency)]])*(VLOOKUP(tblSalaries[[#This Row],[Currency]],Sheet3!$A$2:$C$31,3,FALSE))*(VLOOKUP(tblSalaries[[#This Row],[Currency]],Sheet1!$N$4:$Q$186,4,FALSE))</f>
        <v>19800.762782574973</v>
      </c>
      <c r="G1473" s="4">
        <f>IF(Dashboard!$J$5=VLOOKUP(tblSalaries[[#This Row],[Currency]],Sheet3!$A$2:$B$31,2,FALSE),tblSalaries[[#This Row],[clean Salary (in local currency)]],(tblSalaries[[#This Row],[PPP Adjusted  USD]]/VLOOKUP(Dashboard!$J$5,Sheet3!$B$2:$C$31,2,FALSE)))</f>
        <v>19800.762782574973</v>
      </c>
      <c r="H1473" t="s">
        <v>1237</v>
      </c>
      <c r="I1473" t="s">
        <v>658</v>
      </c>
      <c r="J1473" t="s">
        <v>1146</v>
      </c>
      <c r="K1473" t="s">
        <v>605</v>
      </c>
      <c r="L1473" t="s">
        <v>3847</v>
      </c>
    </row>
    <row r="1474" spans="2:12" ht="15" customHeight="1">
      <c r="B1474" t="s">
        <v>1163</v>
      </c>
      <c r="C1474">
        <v>100000</v>
      </c>
      <c r="D1474" t="s">
        <v>553</v>
      </c>
      <c r="E1474">
        <v>27221.92126875931</v>
      </c>
      <c r="F1474" s="3">
        <f>(tblSalaries[[#This Row],[clean Salary (in local currency)]])*(VLOOKUP(tblSalaries[[#This Row],[Currency]],Sheet3!$A$2:$C$31,3,FALSE))*(VLOOKUP(tblSalaries[[#This Row],[Currency]],Sheet1!$N$4:$Q$186,4,FALSE))</f>
        <v>19564.036287365405</v>
      </c>
      <c r="G1474" s="4">
        <f>IF(Dashboard!$J$5=VLOOKUP(tblSalaries[[#This Row],[Currency]],Sheet3!$A$2:$B$31,2,FALSE),tblSalaries[[#This Row],[clean Salary (in local currency)]],(tblSalaries[[#This Row],[PPP Adjusted  USD]]/VLOOKUP(Dashboard!$J$5,Sheet3!$B$2:$C$31,2,FALSE)))</f>
        <v>19564.036287365405</v>
      </c>
      <c r="H1474" t="s">
        <v>637</v>
      </c>
      <c r="I1474" t="s">
        <v>637</v>
      </c>
      <c r="J1474" t="s">
        <v>1164</v>
      </c>
      <c r="K1474" t="s">
        <v>605</v>
      </c>
      <c r="L1474" t="s">
        <v>3847</v>
      </c>
    </row>
    <row r="1475" spans="2:12" ht="15" customHeight="1">
      <c r="B1475" t="s">
        <v>1937</v>
      </c>
      <c r="C1475">
        <v>410000</v>
      </c>
      <c r="D1475" t="s">
        <v>247</v>
      </c>
      <c r="E1475">
        <v>7301.2458418514525</v>
      </c>
      <c r="F1475" s="3">
        <f>(tblSalaries[[#This Row],[clean Salary (in local currency)]])*(VLOOKUP(tblSalaries[[#This Row],[Currency]],Sheet3!$A$2:$C$31,3,FALSE))*(VLOOKUP(tblSalaries[[#This Row],[Currency]],Sheet1!$N$4:$Q$186,4,FALSE))</f>
        <v>19418.019162966364</v>
      </c>
      <c r="G1475" s="4">
        <f>IF(Dashboard!$J$5=VLOOKUP(tblSalaries[[#This Row],[Currency]],Sheet3!$A$2:$B$31,2,FALSE),tblSalaries[[#This Row],[clean Salary (in local currency)]],(tblSalaries[[#This Row],[PPP Adjusted  USD]]/VLOOKUP(Dashboard!$J$5,Sheet3!$B$2:$C$31,2,FALSE)))</f>
        <v>19418.019162966364</v>
      </c>
      <c r="H1475" t="s">
        <v>602</v>
      </c>
      <c r="I1475" t="s">
        <v>603</v>
      </c>
      <c r="J1475" t="s">
        <v>604</v>
      </c>
      <c r="K1475" t="s">
        <v>610</v>
      </c>
      <c r="L1475">
        <v>5</v>
      </c>
    </row>
    <row r="1476" spans="2:12" ht="15" customHeight="1">
      <c r="B1476" t="s">
        <v>2460</v>
      </c>
      <c r="C1476">
        <v>408000</v>
      </c>
      <c r="D1476" t="s">
        <v>247</v>
      </c>
      <c r="E1476">
        <v>7265.630008476568</v>
      </c>
      <c r="F1476" s="3">
        <f>(tblSalaries[[#This Row],[clean Salary (in local currency)]])*(VLOOKUP(tblSalaries[[#This Row],[Currency]],Sheet3!$A$2:$C$31,3,FALSE))*(VLOOKUP(tblSalaries[[#This Row],[Currency]],Sheet1!$N$4:$Q$186,4,FALSE))</f>
        <v>19323.297118268969</v>
      </c>
      <c r="G1476" s="4">
        <f>IF(Dashboard!$J$5=VLOOKUP(tblSalaries[[#This Row],[Currency]],Sheet3!$A$2:$B$31,2,FALSE),tblSalaries[[#This Row],[clean Salary (in local currency)]],(tblSalaries[[#This Row],[PPP Adjusted  USD]]/VLOOKUP(Dashboard!$J$5,Sheet3!$B$2:$C$31,2,FALSE)))</f>
        <v>19323.297118268969</v>
      </c>
      <c r="H1476" t="s">
        <v>2461</v>
      </c>
      <c r="I1476" t="s">
        <v>637</v>
      </c>
      <c r="J1476" t="s">
        <v>604</v>
      </c>
      <c r="K1476" t="s">
        <v>610</v>
      </c>
      <c r="L1476">
        <v>5</v>
      </c>
    </row>
    <row r="1477" spans="2:12" ht="15" customHeight="1">
      <c r="B1477" t="s">
        <v>688</v>
      </c>
      <c r="C1477">
        <v>19200</v>
      </c>
      <c r="D1477" t="s">
        <v>252</v>
      </c>
      <c r="E1477">
        <v>19200</v>
      </c>
      <c r="F1477" s="3">
        <f>(tblSalaries[[#This Row],[clean Salary (in local currency)]])*(VLOOKUP(tblSalaries[[#This Row],[Currency]],Sheet3!$A$2:$C$31,3,FALSE))*(VLOOKUP(tblSalaries[[#This Row],[Currency]],Sheet1!$N$4:$Q$186,4,FALSE))</f>
        <v>19200</v>
      </c>
      <c r="G1477" s="4">
        <f>IF(Dashboard!$J$5=VLOOKUP(tblSalaries[[#This Row],[Currency]],Sheet3!$A$2:$B$31,2,FALSE),tblSalaries[[#This Row],[clean Salary (in local currency)]],(tblSalaries[[#This Row],[PPP Adjusted  USD]]/VLOOKUP(Dashboard!$J$5,Sheet3!$B$2:$C$31,2,FALSE)))</f>
        <v>19200</v>
      </c>
      <c r="H1477" t="s">
        <v>603</v>
      </c>
      <c r="I1477" t="s">
        <v>603</v>
      </c>
      <c r="J1477" t="s">
        <v>689</v>
      </c>
      <c r="K1477" t="s">
        <v>617</v>
      </c>
      <c r="L1477" t="s">
        <v>3847</v>
      </c>
    </row>
    <row r="1478" spans="2:12" ht="15" customHeight="1">
      <c r="B1478" t="s">
        <v>831</v>
      </c>
      <c r="C1478">
        <v>19200</v>
      </c>
      <c r="D1478" t="s">
        <v>252</v>
      </c>
      <c r="E1478">
        <v>19200</v>
      </c>
      <c r="F1478" s="3">
        <f>(tblSalaries[[#This Row],[clean Salary (in local currency)]])*(VLOOKUP(tblSalaries[[#This Row],[Currency]],Sheet3!$A$2:$C$31,3,FALSE))*(VLOOKUP(tblSalaries[[#This Row],[Currency]],Sheet1!$N$4:$Q$186,4,FALSE))</f>
        <v>19200</v>
      </c>
      <c r="G1478" s="4">
        <f>IF(Dashboard!$J$5=VLOOKUP(tblSalaries[[#This Row],[Currency]],Sheet3!$A$2:$B$31,2,FALSE),tblSalaries[[#This Row],[clean Salary (in local currency)]],(tblSalaries[[#This Row],[PPP Adjusted  USD]]/VLOOKUP(Dashboard!$J$5,Sheet3!$B$2:$C$31,2,FALSE)))</f>
        <v>19200</v>
      </c>
      <c r="H1478" t="s">
        <v>832</v>
      </c>
      <c r="I1478" t="s">
        <v>603</v>
      </c>
      <c r="J1478" t="s">
        <v>833</v>
      </c>
      <c r="K1478" t="s">
        <v>605</v>
      </c>
      <c r="L1478" t="s">
        <v>3847</v>
      </c>
    </row>
    <row r="1479" spans="2:12" ht="15" customHeight="1">
      <c r="B1479" t="s">
        <v>1383</v>
      </c>
      <c r="C1479">
        <v>19200</v>
      </c>
      <c r="D1479" t="s">
        <v>252</v>
      </c>
      <c r="E1479">
        <v>19200</v>
      </c>
      <c r="F1479" s="3">
        <f>(tblSalaries[[#This Row],[clean Salary (in local currency)]])*(VLOOKUP(tblSalaries[[#This Row],[Currency]],Sheet3!$A$2:$C$31,3,FALSE))*(VLOOKUP(tblSalaries[[#This Row],[Currency]],Sheet1!$N$4:$Q$186,4,FALSE))</f>
        <v>19200</v>
      </c>
      <c r="G1479" s="4">
        <f>IF(Dashboard!$J$5=VLOOKUP(tblSalaries[[#This Row],[Currency]],Sheet3!$A$2:$B$31,2,FALSE),tblSalaries[[#This Row],[clean Salary (in local currency)]],(tblSalaries[[#This Row],[PPP Adjusted  USD]]/VLOOKUP(Dashboard!$J$5,Sheet3!$B$2:$C$31,2,FALSE)))</f>
        <v>19200</v>
      </c>
      <c r="H1479" t="s">
        <v>1384</v>
      </c>
      <c r="I1479" t="s">
        <v>625</v>
      </c>
      <c r="J1479" t="s">
        <v>1385</v>
      </c>
      <c r="K1479" t="s">
        <v>610</v>
      </c>
      <c r="L1479" t="s">
        <v>3847</v>
      </c>
    </row>
    <row r="1480" spans="2:12" ht="15" customHeight="1">
      <c r="B1480" t="s">
        <v>2000</v>
      </c>
      <c r="C1480">
        <v>19068</v>
      </c>
      <c r="D1480" t="s">
        <v>252</v>
      </c>
      <c r="E1480">
        <v>19068</v>
      </c>
      <c r="F1480" s="3">
        <f>(tblSalaries[[#This Row],[clean Salary (in local currency)]])*(VLOOKUP(tblSalaries[[#This Row],[Currency]],Sheet3!$A$2:$C$31,3,FALSE))*(VLOOKUP(tblSalaries[[#This Row],[Currency]],Sheet1!$N$4:$Q$186,4,FALSE))</f>
        <v>19068</v>
      </c>
      <c r="G1480" s="4">
        <f>IF(Dashboard!$J$5=VLOOKUP(tblSalaries[[#This Row],[Currency]],Sheet3!$A$2:$B$31,2,FALSE),tblSalaries[[#This Row],[clean Salary (in local currency)]],(tblSalaries[[#This Row],[PPP Adjusted  USD]]/VLOOKUP(Dashboard!$J$5,Sheet3!$B$2:$C$31,2,FALSE)))</f>
        <v>19068</v>
      </c>
      <c r="H1480" t="s">
        <v>2001</v>
      </c>
      <c r="I1480" t="s">
        <v>637</v>
      </c>
      <c r="J1480" t="s">
        <v>1146</v>
      </c>
      <c r="K1480" t="s">
        <v>610</v>
      </c>
      <c r="L1480">
        <v>20</v>
      </c>
    </row>
    <row r="1481" spans="2:12" ht="15" customHeight="1">
      <c r="B1481" t="s">
        <v>2351</v>
      </c>
      <c r="C1481">
        <v>19000</v>
      </c>
      <c r="D1481" t="s">
        <v>252</v>
      </c>
      <c r="E1481">
        <v>19000</v>
      </c>
      <c r="F1481" s="3">
        <f>(tblSalaries[[#This Row],[clean Salary (in local currency)]])*(VLOOKUP(tblSalaries[[#This Row],[Currency]],Sheet3!$A$2:$C$31,3,FALSE))*(VLOOKUP(tblSalaries[[#This Row],[Currency]],Sheet1!$N$4:$Q$186,4,FALSE))</f>
        <v>19000</v>
      </c>
      <c r="G1481" s="4">
        <f>IF(Dashboard!$J$5=VLOOKUP(tblSalaries[[#This Row],[Currency]],Sheet3!$A$2:$B$31,2,FALSE),tblSalaries[[#This Row],[clean Salary (in local currency)]],(tblSalaries[[#This Row],[PPP Adjusted  USD]]/VLOOKUP(Dashboard!$J$5,Sheet3!$B$2:$C$31,2,FALSE)))</f>
        <v>19000</v>
      </c>
      <c r="H1481" t="s">
        <v>2352</v>
      </c>
      <c r="I1481" t="s">
        <v>603</v>
      </c>
      <c r="J1481" t="s">
        <v>1699</v>
      </c>
      <c r="K1481" t="s">
        <v>605</v>
      </c>
      <c r="L1481">
        <v>6</v>
      </c>
    </row>
    <row r="1482" spans="2:12" ht="15" customHeight="1">
      <c r="B1482" t="s">
        <v>2562</v>
      </c>
      <c r="C1482">
        <v>19000</v>
      </c>
      <c r="D1482" t="s">
        <v>252</v>
      </c>
      <c r="E1482">
        <v>19000</v>
      </c>
      <c r="F1482" s="3">
        <f>(tblSalaries[[#This Row],[clean Salary (in local currency)]])*(VLOOKUP(tblSalaries[[#This Row],[Currency]],Sheet3!$A$2:$C$31,3,FALSE))*(VLOOKUP(tblSalaries[[#This Row],[Currency]],Sheet1!$N$4:$Q$186,4,FALSE))</f>
        <v>19000</v>
      </c>
      <c r="G1482" s="4">
        <f>IF(Dashboard!$J$5=VLOOKUP(tblSalaries[[#This Row],[Currency]],Sheet3!$A$2:$B$31,2,FALSE),tblSalaries[[#This Row],[clean Salary (in local currency)]],(tblSalaries[[#This Row],[PPP Adjusted  USD]]/VLOOKUP(Dashboard!$J$5,Sheet3!$B$2:$C$31,2,FALSE)))</f>
        <v>19000</v>
      </c>
      <c r="H1482" t="s">
        <v>2563</v>
      </c>
      <c r="I1482" t="s">
        <v>658</v>
      </c>
      <c r="J1482" t="s">
        <v>687</v>
      </c>
      <c r="K1482" t="s">
        <v>610</v>
      </c>
      <c r="L1482">
        <v>8</v>
      </c>
    </row>
    <row r="1483" spans="2:12" ht="15" customHeight="1">
      <c r="B1483" t="s">
        <v>2686</v>
      </c>
      <c r="C1483">
        <v>19000</v>
      </c>
      <c r="D1483" t="s">
        <v>252</v>
      </c>
      <c r="E1483">
        <v>19000</v>
      </c>
      <c r="F1483" s="3">
        <f>(tblSalaries[[#This Row],[clean Salary (in local currency)]])*(VLOOKUP(tblSalaries[[#This Row],[Currency]],Sheet3!$A$2:$C$31,3,FALSE))*(VLOOKUP(tblSalaries[[#This Row],[Currency]],Sheet1!$N$4:$Q$186,4,FALSE))</f>
        <v>19000</v>
      </c>
      <c r="G1483" s="4">
        <f>IF(Dashboard!$J$5=VLOOKUP(tblSalaries[[#This Row],[Currency]],Sheet3!$A$2:$B$31,2,FALSE),tblSalaries[[#This Row],[clean Salary (in local currency)]],(tblSalaries[[#This Row],[PPP Adjusted  USD]]/VLOOKUP(Dashboard!$J$5,Sheet3!$B$2:$C$31,2,FALSE)))</f>
        <v>19000</v>
      </c>
      <c r="H1483" t="s">
        <v>637</v>
      </c>
      <c r="I1483" t="s">
        <v>637</v>
      </c>
      <c r="J1483" t="s">
        <v>687</v>
      </c>
      <c r="K1483" t="s">
        <v>605</v>
      </c>
      <c r="L1483">
        <v>20</v>
      </c>
    </row>
    <row r="1484" spans="2:12" ht="15" customHeight="1">
      <c r="B1484" t="s">
        <v>2548</v>
      </c>
      <c r="C1484">
        <v>18987</v>
      </c>
      <c r="D1484" t="s">
        <v>252</v>
      </c>
      <c r="E1484">
        <v>18987</v>
      </c>
      <c r="F1484" s="3">
        <f>(tblSalaries[[#This Row],[clean Salary (in local currency)]])*(VLOOKUP(tblSalaries[[#This Row],[Currency]],Sheet3!$A$2:$C$31,3,FALSE))*(VLOOKUP(tblSalaries[[#This Row],[Currency]],Sheet1!$N$4:$Q$186,4,FALSE))</f>
        <v>18987</v>
      </c>
      <c r="G1484" s="4">
        <f>IF(Dashboard!$J$5=VLOOKUP(tblSalaries[[#This Row],[Currency]],Sheet3!$A$2:$B$31,2,FALSE),tblSalaries[[#This Row],[clean Salary (in local currency)]],(tblSalaries[[#This Row],[PPP Adjusted  USD]]/VLOOKUP(Dashboard!$J$5,Sheet3!$B$2:$C$31,2,FALSE)))</f>
        <v>18987</v>
      </c>
      <c r="H1484" t="s">
        <v>899</v>
      </c>
      <c r="I1484" t="s">
        <v>603</v>
      </c>
      <c r="J1484" t="s">
        <v>1975</v>
      </c>
      <c r="K1484" t="s">
        <v>610</v>
      </c>
      <c r="L1484">
        <v>7</v>
      </c>
    </row>
    <row r="1485" spans="2:12" ht="15" customHeight="1">
      <c r="B1485" t="s">
        <v>699</v>
      </c>
      <c r="C1485">
        <v>400000</v>
      </c>
      <c r="D1485" t="s">
        <v>247</v>
      </c>
      <c r="E1485">
        <v>7123.1666749770275</v>
      </c>
      <c r="F1485" s="3">
        <f>(tblSalaries[[#This Row],[clean Salary (in local currency)]])*(VLOOKUP(tblSalaries[[#This Row],[Currency]],Sheet3!$A$2:$C$31,3,FALSE))*(VLOOKUP(tblSalaries[[#This Row],[Currency]],Sheet1!$N$4:$Q$186,4,FALSE))</f>
        <v>18944.408939479381</v>
      </c>
      <c r="G1485" s="4">
        <f>IF(Dashboard!$J$5=VLOOKUP(tblSalaries[[#This Row],[Currency]],Sheet3!$A$2:$B$31,2,FALSE),tblSalaries[[#This Row],[clean Salary (in local currency)]],(tblSalaries[[#This Row],[PPP Adjusted  USD]]/VLOOKUP(Dashboard!$J$5,Sheet3!$B$2:$C$31,2,FALSE)))</f>
        <v>18944.408939479381</v>
      </c>
      <c r="H1485" t="s">
        <v>700</v>
      </c>
      <c r="I1485" t="s">
        <v>625</v>
      </c>
      <c r="J1485" t="s">
        <v>604</v>
      </c>
      <c r="K1485" t="s">
        <v>605</v>
      </c>
      <c r="L1485" t="s">
        <v>3847</v>
      </c>
    </row>
    <row r="1486" spans="2:12" ht="15" customHeight="1">
      <c r="B1486" t="s">
        <v>1251</v>
      </c>
      <c r="C1486">
        <v>400000</v>
      </c>
      <c r="D1486" t="s">
        <v>247</v>
      </c>
      <c r="E1486">
        <v>7123.1666749770275</v>
      </c>
      <c r="F1486" s="3">
        <f>(tblSalaries[[#This Row],[clean Salary (in local currency)]])*(VLOOKUP(tblSalaries[[#This Row],[Currency]],Sheet3!$A$2:$C$31,3,FALSE))*(VLOOKUP(tblSalaries[[#This Row],[Currency]],Sheet1!$N$4:$Q$186,4,FALSE))</f>
        <v>18944.408939479381</v>
      </c>
      <c r="G1486" s="4">
        <f>IF(Dashboard!$J$5=VLOOKUP(tblSalaries[[#This Row],[Currency]],Sheet3!$A$2:$B$31,2,FALSE),tblSalaries[[#This Row],[clean Salary (in local currency)]],(tblSalaries[[#This Row],[PPP Adjusted  USD]]/VLOOKUP(Dashboard!$J$5,Sheet3!$B$2:$C$31,2,FALSE)))</f>
        <v>18944.408939479381</v>
      </c>
      <c r="H1486" t="s">
        <v>1252</v>
      </c>
      <c r="I1486" t="s">
        <v>603</v>
      </c>
      <c r="J1486" t="s">
        <v>604</v>
      </c>
      <c r="K1486" t="s">
        <v>605</v>
      </c>
      <c r="L1486" t="s">
        <v>3847</v>
      </c>
    </row>
    <row r="1487" spans="2:12" ht="15" customHeight="1">
      <c r="B1487" t="s">
        <v>1376</v>
      </c>
      <c r="C1487">
        <v>400000</v>
      </c>
      <c r="D1487" t="s">
        <v>247</v>
      </c>
      <c r="E1487">
        <v>7123.1666749770275</v>
      </c>
      <c r="F1487" s="3">
        <f>(tblSalaries[[#This Row],[clean Salary (in local currency)]])*(VLOOKUP(tblSalaries[[#This Row],[Currency]],Sheet3!$A$2:$C$31,3,FALSE))*(VLOOKUP(tblSalaries[[#This Row],[Currency]],Sheet1!$N$4:$Q$186,4,FALSE))</f>
        <v>18944.408939479381</v>
      </c>
      <c r="G1487" s="4">
        <f>IF(Dashboard!$J$5=VLOOKUP(tblSalaries[[#This Row],[Currency]],Sheet3!$A$2:$B$31,2,FALSE),tblSalaries[[#This Row],[clean Salary (in local currency)]],(tblSalaries[[#This Row],[PPP Adjusted  USD]]/VLOOKUP(Dashboard!$J$5,Sheet3!$B$2:$C$31,2,FALSE)))</f>
        <v>18944.408939479381</v>
      </c>
      <c r="H1487" t="s">
        <v>603</v>
      </c>
      <c r="I1487" t="s">
        <v>603</v>
      </c>
      <c r="J1487" t="s">
        <v>604</v>
      </c>
      <c r="K1487" t="s">
        <v>605</v>
      </c>
      <c r="L1487" t="s">
        <v>3847</v>
      </c>
    </row>
    <row r="1488" spans="2:12" ht="15" customHeight="1">
      <c r="B1488" t="s">
        <v>1706</v>
      </c>
      <c r="C1488">
        <v>400000</v>
      </c>
      <c r="D1488" t="s">
        <v>247</v>
      </c>
      <c r="E1488">
        <v>7123.1666749770275</v>
      </c>
      <c r="F1488" s="3">
        <f>(tblSalaries[[#This Row],[clean Salary (in local currency)]])*(VLOOKUP(tblSalaries[[#This Row],[Currency]],Sheet3!$A$2:$C$31,3,FALSE))*(VLOOKUP(tblSalaries[[#This Row],[Currency]],Sheet1!$N$4:$Q$186,4,FALSE))</f>
        <v>18944.408939479381</v>
      </c>
      <c r="G1488" s="4">
        <f>IF(Dashboard!$J$5=VLOOKUP(tblSalaries[[#This Row],[Currency]],Sheet3!$A$2:$B$31,2,FALSE),tblSalaries[[#This Row],[clean Salary (in local currency)]],(tblSalaries[[#This Row],[PPP Adjusted  USD]]/VLOOKUP(Dashboard!$J$5,Sheet3!$B$2:$C$31,2,FALSE)))</f>
        <v>18944.408939479381</v>
      </c>
      <c r="H1488" t="s">
        <v>1707</v>
      </c>
      <c r="I1488" t="s">
        <v>625</v>
      </c>
      <c r="J1488" t="s">
        <v>604</v>
      </c>
      <c r="K1488" t="s">
        <v>627</v>
      </c>
      <c r="L1488">
        <v>3</v>
      </c>
    </row>
    <row r="1489" spans="2:12" ht="15" customHeight="1">
      <c r="B1489" t="s">
        <v>1784</v>
      </c>
      <c r="C1489">
        <v>400000</v>
      </c>
      <c r="D1489" t="s">
        <v>247</v>
      </c>
      <c r="E1489">
        <v>7123.1666749770275</v>
      </c>
      <c r="F1489" s="3">
        <f>(tblSalaries[[#This Row],[clean Salary (in local currency)]])*(VLOOKUP(tblSalaries[[#This Row],[Currency]],Sheet3!$A$2:$C$31,3,FALSE))*(VLOOKUP(tblSalaries[[#This Row],[Currency]],Sheet1!$N$4:$Q$186,4,FALSE))</f>
        <v>18944.408939479381</v>
      </c>
      <c r="G1489" s="4">
        <f>IF(Dashboard!$J$5=VLOOKUP(tblSalaries[[#This Row],[Currency]],Sheet3!$A$2:$B$31,2,FALSE),tblSalaries[[#This Row],[clean Salary (in local currency)]],(tblSalaries[[#This Row],[PPP Adjusted  USD]]/VLOOKUP(Dashboard!$J$5,Sheet3!$B$2:$C$31,2,FALSE)))</f>
        <v>18944.408939479381</v>
      </c>
      <c r="H1489" t="s">
        <v>1785</v>
      </c>
      <c r="I1489" t="s">
        <v>625</v>
      </c>
      <c r="J1489" t="s">
        <v>604</v>
      </c>
      <c r="K1489" t="s">
        <v>627</v>
      </c>
      <c r="L1489">
        <v>5</v>
      </c>
    </row>
    <row r="1490" spans="2:12" ht="15" customHeight="1">
      <c r="B1490" t="s">
        <v>1891</v>
      </c>
      <c r="C1490">
        <v>400000</v>
      </c>
      <c r="D1490" t="s">
        <v>247</v>
      </c>
      <c r="E1490">
        <v>7123.1666749770275</v>
      </c>
      <c r="F1490" s="3">
        <f>(tblSalaries[[#This Row],[clean Salary (in local currency)]])*(VLOOKUP(tblSalaries[[#This Row],[Currency]],Sheet3!$A$2:$C$31,3,FALSE))*(VLOOKUP(tblSalaries[[#This Row],[Currency]],Sheet1!$N$4:$Q$186,4,FALSE))</f>
        <v>18944.408939479381</v>
      </c>
      <c r="G1490" s="4">
        <f>IF(Dashboard!$J$5=VLOOKUP(tblSalaries[[#This Row],[Currency]],Sheet3!$A$2:$B$31,2,FALSE),tblSalaries[[#This Row],[clean Salary (in local currency)]],(tblSalaries[[#This Row],[PPP Adjusted  USD]]/VLOOKUP(Dashboard!$J$5,Sheet3!$B$2:$C$31,2,FALSE)))</f>
        <v>18944.408939479381</v>
      </c>
      <c r="H1490" t="s">
        <v>692</v>
      </c>
      <c r="I1490" t="s">
        <v>692</v>
      </c>
      <c r="J1490" t="s">
        <v>604</v>
      </c>
      <c r="K1490" t="s">
        <v>605</v>
      </c>
      <c r="L1490">
        <v>0</v>
      </c>
    </row>
    <row r="1491" spans="2:12" ht="15" customHeight="1">
      <c r="B1491" t="s">
        <v>1914</v>
      </c>
      <c r="C1491">
        <v>400000</v>
      </c>
      <c r="D1491" t="s">
        <v>247</v>
      </c>
      <c r="E1491">
        <v>7123.1666749770275</v>
      </c>
      <c r="F1491" s="3">
        <f>(tblSalaries[[#This Row],[clean Salary (in local currency)]])*(VLOOKUP(tblSalaries[[#This Row],[Currency]],Sheet3!$A$2:$C$31,3,FALSE))*(VLOOKUP(tblSalaries[[#This Row],[Currency]],Sheet1!$N$4:$Q$186,4,FALSE))</f>
        <v>18944.408939479381</v>
      </c>
      <c r="G1491" s="4">
        <f>IF(Dashboard!$J$5=VLOOKUP(tblSalaries[[#This Row],[Currency]],Sheet3!$A$2:$B$31,2,FALSE),tblSalaries[[#This Row],[clean Salary (in local currency)]],(tblSalaries[[#This Row],[PPP Adjusted  USD]]/VLOOKUP(Dashboard!$J$5,Sheet3!$B$2:$C$31,2,FALSE)))</f>
        <v>18944.408939479381</v>
      </c>
      <c r="H1491" t="s">
        <v>1915</v>
      </c>
      <c r="I1491" t="s">
        <v>658</v>
      </c>
      <c r="J1491" t="s">
        <v>604</v>
      </c>
      <c r="K1491" t="s">
        <v>610</v>
      </c>
      <c r="L1491">
        <v>4</v>
      </c>
    </row>
    <row r="1492" spans="2:12" ht="15" customHeight="1">
      <c r="B1492" t="s">
        <v>2025</v>
      </c>
      <c r="C1492">
        <v>400000</v>
      </c>
      <c r="D1492" t="s">
        <v>247</v>
      </c>
      <c r="E1492">
        <v>7123.1666749770275</v>
      </c>
      <c r="F1492" s="3">
        <f>(tblSalaries[[#This Row],[clean Salary (in local currency)]])*(VLOOKUP(tblSalaries[[#This Row],[Currency]],Sheet3!$A$2:$C$31,3,FALSE))*(VLOOKUP(tblSalaries[[#This Row],[Currency]],Sheet1!$N$4:$Q$186,4,FALSE))</f>
        <v>18944.408939479381</v>
      </c>
      <c r="G1492" s="4">
        <f>IF(Dashboard!$J$5=VLOOKUP(tblSalaries[[#This Row],[Currency]],Sheet3!$A$2:$B$31,2,FALSE),tblSalaries[[#This Row],[clean Salary (in local currency)]],(tblSalaries[[#This Row],[PPP Adjusted  USD]]/VLOOKUP(Dashboard!$J$5,Sheet3!$B$2:$C$31,2,FALSE)))</f>
        <v>18944.408939479381</v>
      </c>
      <c r="H1492" t="s">
        <v>1579</v>
      </c>
      <c r="I1492" t="s">
        <v>625</v>
      </c>
      <c r="J1492" t="s">
        <v>604</v>
      </c>
      <c r="K1492" t="s">
        <v>605</v>
      </c>
      <c r="L1492">
        <v>7</v>
      </c>
    </row>
    <row r="1493" spans="2:12" ht="15" customHeight="1">
      <c r="B1493" t="s">
        <v>2194</v>
      </c>
      <c r="C1493">
        <v>400000</v>
      </c>
      <c r="D1493" t="s">
        <v>247</v>
      </c>
      <c r="E1493">
        <v>7123.1666749770275</v>
      </c>
      <c r="F1493" s="3">
        <f>(tblSalaries[[#This Row],[clean Salary (in local currency)]])*(VLOOKUP(tblSalaries[[#This Row],[Currency]],Sheet3!$A$2:$C$31,3,FALSE))*(VLOOKUP(tblSalaries[[#This Row],[Currency]],Sheet1!$N$4:$Q$186,4,FALSE))</f>
        <v>18944.408939479381</v>
      </c>
      <c r="G1493" s="4">
        <f>IF(Dashboard!$J$5=VLOOKUP(tblSalaries[[#This Row],[Currency]],Sheet3!$A$2:$B$31,2,FALSE),tblSalaries[[#This Row],[clean Salary (in local currency)]],(tblSalaries[[#This Row],[PPP Adjusted  USD]]/VLOOKUP(Dashboard!$J$5,Sheet3!$B$2:$C$31,2,FALSE)))</f>
        <v>18944.408939479381</v>
      </c>
      <c r="H1493" t="s">
        <v>1422</v>
      </c>
      <c r="I1493" t="s">
        <v>620</v>
      </c>
      <c r="J1493" t="s">
        <v>604</v>
      </c>
      <c r="K1493" t="s">
        <v>617</v>
      </c>
      <c r="L1493">
        <v>6</v>
      </c>
    </row>
    <row r="1494" spans="2:12" ht="15" customHeight="1">
      <c r="B1494" t="s">
        <v>2202</v>
      </c>
      <c r="C1494">
        <v>400000</v>
      </c>
      <c r="D1494" t="s">
        <v>247</v>
      </c>
      <c r="E1494">
        <v>7123.1666749770275</v>
      </c>
      <c r="F1494" s="3">
        <f>(tblSalaries[[#This Row],[clean Salary (in local currency)]])*(VLOOKUP(tblSalaries[[#This Row],[Currency]],Sheet3!$A$2:$C$31,3,FALSE))*(VLOOKUP(tblSalaries[[#This Row],[Currency]],Sheet1!$N$4:$Q$186,4,FALSE))</f>
        <v>18944.408939479381</v>
      </c>
      <c r="G1494" s="4">
        <f>IF(Dashboard!$J$5=VLOOKUP(tblSalaries[[#This Row],[Currency]],Sheet3!$A$2:$B$31,2,FALSE),tblSalaries[[#This Row],[clean Salary (in local currency)]],(tblSalaries[[#This Row],[PPP Adjusted  USD]]/VLOOKUP(Dashboard!$J$5,Sheet3!$B$2:$C$31,2,FALSE)))</f>
        <v>18944.408939479381</v>
      </c>
      <c r="H1494" t="s">
        <v>2203</v>
      </c>
      <c r="I1494" t="s">
        <v>637</v>
      </c>
      <c r="J1494" t="s">
        <v>604</v>
      </c>
      <c r="K1494" t="s">
        <v>617</v>
      </c>
      <c r="L1494">
        <v>8</v>
      </c>
    </row>
    <row r="1495" spans="2:12" ht="15" customHeight="1">
      <c r="B1495" t="s">
        <v>2413</v>
      </c>
      <c r="C1495">
        <v>400000</v>
      </c>
      <c r="D1495" t="s">
        <v>247</v>
      </c>
      <c r="E1495">
        <v>7123.1666749770275</v>
      </c>
      <c r="F1495" s="3">
        <f>(tblSalaries[[#This Row],[clean Salary (in local currency)]])*(VLOOKUP(tblSalaries[[#This Row],[Currency]],Sheet3!$A$2:$C$31,3,FALSE))*(VLOOKUP(tblSalaries[[#This Row],[Currency]],Sheet1!$N$4:$Q$186,4,FALSE))</f>
        <v>18944.408939479381</v>
      </c>
      <c r="G1495" s="4">
        <f>IF(Dashboard!$J$5=VLOOKUP(tblSalaries[[#This Row],[Currency]],Sheet3!$A$2:$B$31,2,FALSE),tblSalaries[[#This Row],[clean Salary (in local currency)]],(tblSalaries[[#This Row],[PPP Adjusted  USD]]/VLOOKUP(Dashboard!$J$5,Sheet3!$B$2:$C$31,2,FALSE)))</f>
        <v>18944.408939479381</v>
      </c>
      <c r="H1495" t="s">
        <v>2059</v>
      </c>
      <c r="I1495" t="s">
        <v>625</v>
      </c>
      <c r="J1495" t="s">
        <v>604</v>
      </c>
      <c r="K1495" t="s">
        <v>617</v>
      </c>
      <c r="L1495">
        <v>5</v>
      </c>
    </row>
    <row r="1496" spans="2:12" ht="15" customHeight="1">
      <c r="B1496" t="s">
        <v>2568</v>
      </c>
      <c r="C1496">
        <v>400000</v>
      </c>
      <c r="D1496" t="s">
        <v>247</v>
      </c>
      <c r="E1496">
        <v>7123.1666749770275</v>
      </c>
      <c r="F1496" s="3">
        <f>(tblSalaries[[#This Row],[clean Salary (in local currency)]])*(VLOOKUP(tblSalaries[[#This Row],[Currency]],Sheet3!$A$2:$C$31,3,FALSE))*(VLOOKUP(tblSalaries[[#This Row],[Currency]],Sheet1!$N$4:$Q$186,4,FALSE))</f>
        <v>18944.408939479381</v>
      </c>
      <c r="G1496" s="4">
        <f>IF(Dashboard!$J$5=VLOOKUP(tblSalaries[[#This Row],[Currency]],Sheet3!$A$2:$B$31,2,FALSE),tblSalaries[[#This Row],[clean Salary (in local currency)]],(tblSalaries[[#This Row],[PPP Adjusted  USD]]/VLOOKUP(Dashboard!$J$5,Sheet3!$B$2:$C$31,2,FALSE)))</f>
        <v>18944.408939479381</v>
      </c>
      <c r="H1496" t="s">
        <v>2569</v>
      </c>
      <c r="I1496" t="s">
        <v>658</v>
      </c>
      <c r="J1496" t="s">
        <v>604</v>
      </c>
      <c r="K1496" t="s">
        <v>605</v>
      </c>
      <c r="L1496">
        <v>9</v>
      </c>
    </row>
    <row r="1497" spans="2:12" ht="15" customHeight="1">
      <c r="B1497" t="s">
        <v>2581</v>
      </c>
      <c r="C1497">
        <v>400000</v>
      </c>
      <c r="D1497" t="s">
        <v>247</v>
      </c>
      <c r="E1497">
        <v>7123.1666749770275</v>
      </c>
      <c r="F1497" s="3">
        <f>(tblSalaries[[#This Row],[clean Salary (in local currency)]])*(VLOOKUP(tblSalaries[[#This Row],[Currency]],Sheet3!$A$2:$C$31,3,FALSE))*(VLOOKUP(tblSalaries[[#This Row],[Currency]],Sheet1!$N$4:$Q$186,4,FALSE))</f>
        <v>18944.408939479381</v>
      </c>
      <c r="G1497" s="4">
        <f>IF(Dashboard!$J$5=VLOOKUP(tblSalaries[[#This Row],[Currency]],Sheet3!$A$2:$B$31,2,FALSE),tblSalaries[[#This Row],[clean Salary (in local currency)]],(tblSalaries[[#This Row],[PPP Adjusted  USD]]/VLOOKUP(Dashboard!$J$5,Sheet3!$B$2:$C$31,2,FALSE)))</f>
        <v>18944.408939479381</v>
      </c>
      <c r="H1497" t="s">
        <v>2582</v>
      </c>
      <c r="I1497" t="s">
        <v>620</v>
      </c>
      <c r="J1497" t="s">
        <v>604</v>
      </c>
      <c r="K1497" t="s">
        <v>627</v>
      </c>
      <c r="L1497">
        <v>2</v>
      </c>
    </row>
    <row r="1498" spans="2:12" ht="15" customHeight="1">
      <c r="B1498" t="s">
        <v>2742</v>
      </c>
      <c r="C1498">
        <v>400000</v>
      </c>
      <c r="D1498" t="s">
        <v>247</v>
      </c>
      <c r="E1498">
        <v>7123.1666749770275</v>
      </c>
      <c r="F1498" s="3">
        <f>(tblSalaries[[#This Row],[clean Salary (in local currency)]])*(VLOOKUP(tblSalaries[[#This Row],[Currency]],Sheet3!$A$2:$C$31,3,FALSE))*(VLOOKUP(tblSalaries[[#This Row],[Currency]],Sheet1!$N$4:$Q$186,4,FALSE))</f>
        <v>18944.408939479381</v>
      </c>
      <c r="G1498" s="4">
        <f>IF(Dashboard!$J$5=VLOOKUP(tblSalaries[[#This Row],[Currency]],Sheet3!$A$2:$B$31,2,FALSE),tblSalaries[[#This Row],[clean Salary (in local currency)]],(tblSalaries[[#This Row],[PPP Adjusted  USD]]/VLOOKUP(Dashboard!$J$5,Sheet3!$B$2:$C$31,2,FALSE)))</f>
        <v>18944.408939479381</v>
      </c>
      <c r="H1498" t="s">
        <v>2743</v>
      </c>
      <c r="I1498" t="s">
        <v>625</v>
      </c>
      <c r="J1498" t="s">
        <v>604</v>
      </c>
      <c r="K1498" t="s">
        <v>605</v>
      </c>
      <c r="L1498">
        <v>1</v>
      </c>
    </row>
    <row r="1499" spans="2:12" ht="15" customHeight="1">
      <c r="B1499" t="s">
        <v>2833</v>
      </c>
      <c r="C1499">
        <v>400000</v>
      </c>
      <c r="D1499" t="s">
        <v>247</v>
      </c>
      <c r="E1499">
        <v>7123.1666749770275</v>
      </c>
      <c r="F1499" s="3">
        <f>(tblSalaries[[#This Row],[clean Salary (in local currency)]])*(VLOOKUP(tblSalaries[[#This Row],[Currency]],Sheet3!$A$2:$C$31,3,FALSE))*(VLOOKUP(tblSalaries[[#This Row],[Currency]],Sheet1!$N$4:$Q$186,4,FALSE))</f>
        <v>18944.408939479381</v>
      </c>
      <c r="G1499" s="4">
        <f>IF(Dashboard!$J$5=VLOOKUP(tblSalaries[[#This Row],[Currency]],Sheet3!$A$2:$B$31,2,FALSE),tblSalaries[[#This Row],[clean Salary (in local currency)]],(tblSalaries[[#This Row],[PPP Adjusted  USD]]/VLOOKUP(Dashboard!$J$5,Sheet3!$B$2:$C$31,2,FALSE)))</f>
        <v>18944.408939479381</v>
      </c>
      <c r="H1499" t="s">
        <v>1820</v>
      </c>
      <c r="I1499" t="s">
        <v>625</v>
      </c>
      <c r="J1499" t="s">
        <v>604</v>
      </c>
      <c r="K1499" t="s">
        <v>610</v>
      </c>
      <c r="L1499">
        <v>3</v>
      </c>
    </row>
    <row r="1500" spans="2:12" ht="15" customHeight="1">
      <c r="B1500" t="s">
        <v>3108</v>
      </c>
      <c r="C1500">
        <v>400000</v>
      </c>
      <c r="D1500" t="s">
        <v>247</v>
      </c>
      <c r="E1500">
        <v>7123.1666749770275</v>
      </c>
      <c r="F1500" s="3">
        <f>(tblSalaries[[#This Row],[clean Salary (in local currency)]])*(VLOOKUP(tblSalaries[[#This Row],[Currency]],Sheet3!$A$2:$C$31,3,FALSE))*(VLOOKUP(tblSalaries[[#This Row],[Currency]],Sheet1!$N$4:$Q$186,4,FALSE))</f>
        <v>18944.408939479381</v>
      </c>
      <c r="G1500" s="4">
        <f>IF(Dashboard!$J$5=VLOOKUP(tblSalaries[[#This Row],[Currency]],Sheet3!$A$2:$B$31,2,FALSE),tblSalaries[[#This Row],[clean Salary (in local currency)]],(tblSalaries[[#This Row],[PPP Adjusted  USD]]/VLOOKUP(Dashboard!$J$5,Sheet3!$B$2:$C$31,2,FALSE)))</f>
        <v>18944.408939479381</v>
      </c>
      <c r="H1500" t="s">
        <v>2134</v>
      </c>
      <c r="I1500" t="s">
        <v>625</v>
      </c>
      <c r="J1500" t="s">
        <v>604</v>
      </c>
      <c r="K1500" t="s">
        <v>605</v>
      </c>
      <c r="L1500">
        <v>6</v>
      </c>
    </row>
    <row r="1501" spans="2:12" ht="15" customHeight="1">
      <c r="B1501" t="s">
        <v>3363</v>
      </c>
      <c r="C1501">
        <v>400000</v>
      </c>
      <c r="D1501" t="s">
        <v>247</v>
      </c>
      <c r="E1501">
        <v>7123.1666749770275</v>
      </c>
      <c r="F1501" s="3">
        <f>(tblSalaries[[#This Row],[clean Salary (in local currency)]])*(VLOOKUP(tblSalaries[[#This Row],[Currency]],Sheet3!$A$2:$C$31,3,FALSE))*(VLOOKUP(tblSalaries[[#This Row],[Currency]],Sheet1!$N$4:$Q$186,4,FALSE))</f>
        <v>18944.408939479381</v>
      </c>
      <c r="G1501" s="4">
        <f>IF(Dashboard!$J$5=VLOOKUP(tblSalaries[[#This Row],[Currency]],Sheet3!$A$2:$B$31,2,FALSE),tblSalaries[[#This Row],[clean Salary (in local currency)]],(tblSalaries[[#This Row],[PPP Adjusted  USD]]/VLOOKUP(Dashboard!$J$5,Sheet3!$B$2:$C$31,2,FALSE)))</f>
        <v>18944.408939479381</v>
      </c>
      <c r="H1501" t="s">
        <v>3364</v>
      </c>
      <c r="I1501" t="s">
        <v>603</v>
      </c>
      <c r="J1501" t="s">
        <v>604</v>
      </c>
      <c r="K1501" t="s">
        <v>627</v>
      </c>
      <c r="L1501">
        <v>2.5</v>
      </c>
    </row>
    <row r="1502" spans="2:12" ht="15" customHeight="1">
      <c r="B1502" t="s">
        <v>3483</v>
      </c>
      <c r="C1502">
        <v>400000</v>
      </c>
      <c r="D1502" t="s">
        <v>247</v>
      </c>
      <c r="E1502">
        <v>7123.1666749770275</v>
      </c>
      <c r="F1502" s="3">
        <f>(tblSalaries[[#This Row],[clean Salary (in local currency)]])*(VLOOKUP(tblSalaries[[#This Row],[Currency]],Sheet3!$A$2:$C$31,3,FALSE))*(VLOOKUP(tblSalaries[[#This Row],[Currency]],Sheet1!$N$4:$Q$186,4,FALSE))</f>
        <v>18944.408939479381</v>
      </c>
      <c r="G1502" s="4">
        <f>IF(Dashboard!$J$5=VLOOKUP(tblSalaries[[#This Row],[Currency]],Sheet3!$A$2:$B$31,2,FALSE),tblSalaries[[#This Row],[clean Salary (in local currency)]],(tblSalaries[[#This Row],[PPP Adjusted  USD]]/VLOOKUP(Dashboard!$J$5,Sheet3!$B$2:$C$31,2,FALSE)))</f>
        <v>18944.408939479381</v>
      </c>
      <c r="H1502" t="s">
        <v>603</v>
      </c>
      <c r="I1502" t="s">
        <v>603</v>
      </c>
      <c r="J1502" t="s">
        <v>604</v>
      </c>
      <c r="K1502" t="s">
        <v>605</v>
      </c>
      <c r="L1502">
        <v>4</v>
      </c>
    </row>
    <row r="1503" spans="2:12" ht="15" customHeight="1">
      <c r="B1503" t="s">
        <v>3632</v>
      </c>
      <c r="C1503">
        <v>400000</v>
      </c>
      <c r="D1503" t="s">
        <v>247</v>
      </c>
      <c r="E1503">
        <v>7123.1666749770275</v>
      </c>
      <c r="F1503" s="3">
        <f>(tblSalaries[[#This Row],[clean Salary (in local currency)]])*(VLOOKUP(tblSalaries[[#This Row],[Currency]],Sheet3!$A$2:$C$31,3,FALSE))*(VLOOKUP(tblSalaries[[#This Row],[Currency]],Sheet1!$N$4:$Q$186,4,FALSE))</f>
        <v>18944.408939479381</v>
      </c>
      <c r="G1503" s="4">
        <f>IF(Dashboard!$J$5=VLOOKUP(tblSalaries[[#This Row],[Currency]],Sheet3!$A$2:$B$31,2,FALSE),tblSalaries[[#This Row],[clean Salary (in local currency)]],(tblSalaries[[#This Row],[PPP Adjusted  USD]]/VLOOKUP(Dashboard!$J$5,Sheet3!$B$2:$C$31,2,FALSE)))</f>
        <v>18944.408939479381</v>
      </c>
      <c r="H1503" t="s">
        <v>648</v>
      </c>
      <c r="I1503" t="s">
        <v>603</v>
      </c>
      <c r="J1503" t="s">
        <v>604</v>
      </c>
      <c r="K1503" t="s">
        <v>617</v>
      </c>
      <c r="L1503">
        <v>3</v>
      </c>
    </row>
    <row r="1504" spans="2:12" ht="15" customHeight="1">
      <c r="B1504" t="s">
        <v>3760</v>
      </c>
      <c r="C1504">
        <v>400000</v>
      </c>
      <c r="D1504" t="s">
        <v>247</v>
      </c>
      <c r="E1504">
        <v>7123.1666749770275</v>
      </c>
      <c r="F1504" s="3">
        <f>(tblSalaries[[#This Row],[clean Salary (in local currency)]])*(VLOOKUP(tblSalaries[[#This Row],[Currency]],Sheet3!$A$2:$C$31,3,FALSE))*(VLOOKUP(tblSalaries[[#This Row],[Currency]],Sheet1!$N$4:$Q$186,4,FALSE))</f>
        <v>18944.408939479381</v>
      </c>
      <c r="G1504" s="4">
        <f>IF(Dashboard!$J$5=VLOOKUP(tblSalaries[[#This Row],[Currency]],Sheet3!$A$2:$B$31,2,FALSE),tblSalaries[[#This Row],[clean Salary (in local currency)]],(tblSalaries[[#This Row],[PPP Adjusted  USD]]/VLOOKUP(Dashboard!$J$5,Sheet3!$B$2:$C$31,2,FALSE)))</f>
        <v>18944.408939479381</v>
      </c>
      <c r="H1504" t="s">
        <v>3761</v>
      </c>
      <c r="I1504" t="s">
        <v>603</v>
      </c>
      <c r="J1504" t="s">
        <v>604</v>
      </c>
      <c r="K1504" t="s">
        <v>627</v>
      </c>
      <c r="L1504">
        <v>2</v>
      </c>
    </row>
    <row r="1505" spans="2:12" ht="15" customHeight="1">
      <c r="B1505" t="s">
        <v>3590</v>
      </c>
      <c r="C1505">
        <v>16800</v>
      </c>
      <c r="D1505" t="s">
        <v>200</v>
      </c>
      <c r="E1505">
        <v>21342.710575059013</v>
      </c>
      <c r="F1505" s="3">
        <f>(tblSalaries[[#This Row],[clean Salary (in local currency)]])*(VLOOKUP(tblSalaries[[#This Row],[Currency]],Sheet3!$A$2:$C$31,3,FALSE))*(VLOOKUP(tblSalaries[[#This Row],[Currency]],Sheet1!$N$4:$Q$186,4,FALSE))</f>
        <v>18490.968484464876</v>
      </c>
      <c r="G1505" s="4">
        <f>IF(Dashboard!$J$5=VLOOKUP(tblSalaries[[#This Row],[Currency]],Sheet3!$A$2:$B$31,2,FALSE),tblSalaries[[#This Row],[clean Salary (in local currency)]],(tblSalaries[[#This Row],[PPP Adjusted  USD]]/VLOOKUP(Dashboard!$J$5,Sheet3!$B$2:$C$31,2,FALSE)))</f>
        <v>18490.968484464876</v>
      </c>
      <c r="H1505" t="s">
        <v>3591</v>
      </c>
      <c r="I1505" t="s">
        <v>637</v>
      </c>
      <c r="J1505" t="s">
        <v>634</v>
      </c>
      <c r="K1505" t="s">
        <v>605</v>
      </c>
      <c r="L1505">
        <v>15</v>
      </c>
    </row>
    <row r="1506" spans="2:12" ht="15" customHeight="1">
      <c r="B1506" t="s">
        <v>1920</v>
      </c>
      <c r="C1506">
        <v>390000</v>
      </c>
      <c r="D1506" t="s">
        <v>247</v>
      </c>
      <c r="E1506">
        <v>6945.0875081026015</v>
      </c>
      <c r="F1506" s="3">
        <f>(tblSalaries[[#This Row],[clean Salary (in local currency)]])*(VLOOKUP(tblSalaries[[#This Row],[Currency]],Sheet3!$A$2:$C$31,3,FALSE))*(VLOOKUP(tblSalaries[[#This Row],[Currency]],Sheet1!$N$4:$Q$186,4,FALSE))</f>
        <v>18470.798715992398</v>
      </c>
      <c r="G1506" s="4">
        <f>IF(Dashboard!$J$5=VLOOKUP(tblSalaries[[#This Row],[Currency]],Sheet3!$A$2:$B$31,2,FALSE),tblSalaries[[#This Row],[clean Salary (in local currency)]],(tblSalaries[[#This Row],[PPP Adjusted  USD]]/VLOOKUP(Dashboard!$J$5,Sheet3!$B$2:$C$31,2,FALSE)))</f>
        <v>18470.798715992398</v>
      </c>
      <c r="H1506" t="s">
        <v>899</v>
      </c>
      <c r="I1506" t="s">
        <v>603</v>
      </c>
      <c r="J1506" t="s">
        <v>604</v>
      </c>
      <c r="K1506" t="s">
        <v>605</v>
      </c>
      <c r="L1506">
        <v>1</v>
      </c>
    </row>
    <row r="1507" spans="2:12" ht="15" customHeight="1">
      <c r="B1507" t="s">
        <v>2787</v>
      </c>
      <c r="C1507">
        <v>36000</v>
      </c>
      <c r="D1507" t="s">
        <v>420</v>
      </c>
      <c r="E1507">
        <v>11404.820437438224</v>
      </c>
      <c r="F1507" s="3">
        <f>(tblSalaries[[#This Row],[clean Salary (in local currency)]])*(VLOOKUP(tblSalaries[[#This Row],[Currency]],Sheet3!$A$2:$C$31,3,FALSE))*(VLOOKUP(tblSalaries[[#This Row],[Currency]],Sheet1!$N$4:$Q$186,4,FALSE))</f>
        <v>18304.638583453896</v>
      </c>
      <c r="G1507" s="4">
        <f>IF(Dashboard!$J$5=VLOOKUP(tblSalaries[[#This Row],[Currency]],Sheet3!$A$2:$B$31,2,FALSE),tblSalaries[[#This Row],[clean Salary (in local currency)]],(tblSalaries[[#This Row],[PPP Adjusted  USD]]/VLOOKUP(Dashboard!$J$5,Sheet3!$B$2:$C$31,2,FALSE)))</f>
        <v>18304.638583453896</v>
      </c>
      <c r="H1507" t="s">
        <v>2788</v>
      </c>
      <c r="I1507" t="s">
        <v>620</v>
      </c>
      <c r="J1507" t="s">
        <v>2345</v>
      </c>
      <c r="K1507" t="s">
        <v>605</v>
      </c>
      <c r="L1507">
        <v>2</v>
      </c>
    </row>
    <row r="1508" spans="2:12" ht="15" customHeight="1">
      <c r="B1508" t="s">
        <v>1144</v>
      </c>
      <c r="C1508">
        <v>420000</v>
      </c>
      <c r="D1508" t="s">
        <v>473</v>
      </c>
      <c r="E1508">
        <v>9956.1219482708348</v>
      </c>
      <c r="F1508" s="3">
        <f>(tblSalaries[[#This Row],[clean Salary (in local currency)]])*(VLOOKUP(tblSalaries[[#This Row],[Currency]],Sheet3!$A$2:$C$31,3,FALSE))*(VLOOKUP(tblSalaries[[#This Row],[Currency]],Sheet1!$N$4:$Q$186,4,FALSE))</f>
        <v>18237.544668161161</v>
      </c>
      <c r="G1508" s="4">
        <f>IF(Dashboard!$J$5=VLOOKUP(tblSalaries[[#This Row],[Currency]],Sheet3!$A$2:$B$31,2,FALSE),tblSalaries[[#This Row],[clean Salary (in local currency)]],(tblSalaries[[#This Row],[PPP Adjusted  USD]]/VLOOKUP(Dashboard!$J$5,Sheet3!$B$2:$C$31,2,FALSE)))</f>
        <v>18237.544668161161</v>
      </c>
      <c r="H1508" t="s">
        <v>1145</v>
      </c>
      <c r="I1508" t="s">
        <v>625</v>
      </c>
      <c r="J1508" t="s">
        <v>1146</v>
      </c>
      <c r="K1508" t="s">
        <v>605</v>
      </c>
      <c r="L1508" t="s">
        <v>3847</v>
      </c>
    </row>
    <row r="1509" spans="2:12" ht="15" customHeight="1">
      <c r="B1509" t="s">
        <v>2277</v>
      </c>
      <c r="C1509">
        <v>18060</v>
      </c>
      <c r="D1509" t="s">
        <v>252</v>
      </c>
      <c r="E1509">
        <v>18060</v>
      </c>
      <c r="F1509" s="3">
        <f>(tblSalaries[[#This Row],[clean Salary (in local currency)]])*(VLOOKUP(tblSalaries[[#This Row],[Currency]],Sheet3!$A$2:$C$31,3,FALSE))*(VLOOKUP(tblSalaries[[#This Row],[Currency]],Sheet1!$N$4:$Q$186,4,FALSE))</f>
        <v>18060</v>
      </c>
      <c r="G1509" s="4">
        <f>IF(Dashboard!$J$5=VLOOKUP(tblSalaries[[#This Row],[Currency]],Sheet3!$A$2:$B$31,2,FALSE),tblSalaries[[#This Row],[clean Salary (in local currency)]],(tblSalaries[[#This Row],[PPP Adjusted  USD]]/VLOOKUP(Dashboard!$J$5,Sheet3!$B$2:$C$31,2,FALSE)))</f>
        <v>18060</v>
      </c>
      <c r="H1509" t="s">
        <v>2278</v>
      </c>
      <c r="I1509" t="s">
        <v>658</v>
      </c>
      <c r="J1509" t="s">
        <v>1146</v>
      </c>
      <c r="K1509" t="s">
        <v>605</v>
      </c>
      <c r="L1509">
        <v>12</v>
      </c>
    </row>
    <row r="1510" spans="2:12" ht="15" customHeight="1">
      <c r="B1510" t="s">
        <v>778</v>
      </c>
      <c r="C1510">
        <v>18000</v>
      </c>
      <c r="D1510" t="s">
        <v>252</v>
      </c>
      <c r="E1510">
        <v>18000</v>
      </c>
      <c r="F1510" s="3">
        <f>(tblSalaries[[#This Row],[clean Salary (in local currency)]])*(VLOOKUP(tblSalaries[[#This Row],[Currency]],Sheet3!$A$2:$C$31,3,FALSE))*(VLOOKUP(tblSalaries[[#This Row],[Currency]],Sheet1!$N$4:$Q$186,4,FALSE))</f>
        <v>18000</v>
      </c>
      <c r="G1510" s="4">
        <f>IF(Dashboard!$J$5=VLOOKUP(tblSalaries[[#This Row],[Currency]],Sheet3!$A$2:$B$31,2,FALSE),tblSalaries[[#This Row],[clean Salary (in local currency)]],(tblSalaries[[#This Row],[PPP Adjusted  USD]]/VLOOKUP(Dashboard!$J$5,Sheet3!$B$2:$C$31,2,FALSE)))</f>
        <v>18000</v>
      </c>
      <c r="H1510" t="s">
        <v>779</v>
      </c>
      <c r="I1510" t="s">
        <v>603</v>
      </c>
      <c r="J1510" t="s">
        <v>780</v>
      </c>
      <c r="K1510" t="s">
        <v>610</v>
      </c>
      <c r="L1510" t="s">
        <v>3847</v>
      </c>
    </row>
    <row r="1511" spans="2:12" ht="15" customHeight="1">
      <c r="B1511" t="s">
        <v>1312</v>
      </c>
      <c r="C1511">
        <v>18000</v>
      </c>
      <c r="D1511" t="s">
        <v>252</v>
      </c>
      <c r="E1511">
        <v>18000</v>
      </c>
      <c r="F1511" s="3">
        <f>(tblSalaries[[#This Row],[clean Salary (in local currency)]])*(VLOOKUP(tblSalaries[[#This Row],[Currency]],Sheet3!$A$2:$C$31,3,FALSE))*(VLOOKUP(tblSalaries[[#This Row],[Currency]],Sheet1!$N$4:$Q$186,4,FALSE))</f>
        <v>18000</v>
      </c>
      <c r="G1511" s="4">
        <f>IF(Dashboard!$J$5=VLOOKUP(tblSalaries[[#This Row],[Currency]],Sheet3!$A$2:$B$31,2,FALSE),tblSalaries[[#This Row],[clean Salary (in local currency)]],(tblSalaries[[#This Row],[PPP Adjusted  USD]]/VLOOKUP(Dashboard!$J$5,Sheet3!$B$2:$C$31,2,FALSE)))</f>
        <v>18000</v>
      </c>
      <c r="H1511" t="s">
        <v>1313</v>
      </c>
      <c r="I1511" t="s">
        <v>633</v>
      </c>
      <c r="J1511" t="s">
        <v>604</v>
      </c>
      <c r="K1511" t="s">
        <v>617</v>
      </c>
      <c r="L1511" t="s">
        <v>3847</v>
      </c>
    </row>
    <row r="1512" spans="2:12" ht="15" customHeight="1">
      <c r="B1512" t="s">
        <v>1623</v>
      </c>
      <c r="C1512">
        <v>18000</v>
      </c>
      <c r="D1512" t="s">
        <v>252</v>
      </c>
      <c r="E1512">
        <v>18000</v>
      </c>
      <c r="F1512" s="3">
        <f>(tblSalaries[[#This Row],[clean Salary (in local currency)]])*(VLOOKUP(tblSalaries[[#This Row],[Currency]],Sheet3!$A$2:$C$31,3,FALSE))*(VLOOKUP(tblSalaries[[#This Row],[Currency]],Sheet1!$N$4:$Q$186,4,FALSE))</f>
        <v>18000</v>
      </c>
      <c r="G1512" s="4">
        <f>IF(Dashboard!$J$5=VLOOKUP(tblSalaries[[#This Row],[Currency]],Sheet3!$A$2:$B$31,2,FALSE),tblSalaries[[#This Row],[clean Salary (in local currency)]],(tblSalaries[[#This Row],[PPP Adjusted  USD]]/VLOOKUP(Dashboard!$J$5,Sheet3!$B$2:$C$31,2,FALSE)))</f>
        <v>18000</v>
      </c>
      <c r="H1512" t="s">
        <v>620</v>
      </c>
      <c r="I1512" t="s">
        <v>620</v>
      </c>
      <c r="J1512" t="s">
        <v>795</v>
      </c>
      <c r="K1512" t="s">
        <v>605</v>
      </c>
      <c r="L1512" t="s">
        <v>3847</v>
      </c>
    </row>
    <row r="1513" spans="2:12" ht="15" customHeight="1">
      <c r="B1513" t="s">
        <v>2382</v>
      </c>
      <c r="C1513">
        <v>18000</v>
      </c>
      <c r="D1513" t="s">
        <v>252</v>
      </c>
      <c r="E1513">
        <v>18000</v>
      </c>
      <c r="F1513" s="3">
        <f>(tblSalaries[[#This Row],[clean Salary (in local currency)]])*(VLOOKUP(tblSalaries[[#This Row],[Currency]],Sheet3!$A$2:$C$31,3,FALSE))*(VLOOKUP(tblSalaries[[#This Row],[Currency]],Sheet1!$N$4:$Q$186,4,FALSE))</f>
        <v>18000</v>
      </c>
      <c r="G1513" s="4">
        <f>IF(Dashboard!$J$5=VLOOKUP(tblSalaries[[#This Row],[Currency]],Sheet3!$A$2:$B$31,2,FALSE),tblSalaries[[#This Row],[clean Salary (in local currency)]],(tblSalaries[[#This Row],[PPP Adjusted  USD]]/VLOOKUP(Dashboard!$J$5,Sheet3!$B$2:$C$31,2,FALSE)))</f>
        <v>18000</v>
      </c>
      <c r="H1513" t="s">
        <v>2383</v>
      </c>
      <c r="I1513" t="s">
        <v>640</v>
      </c>
      <c r="J1513" t="s">
        <v>604</v>
      </c>
      <c r="K1513" t="s">
        <v>610</v>
      </c>
      <c r="L1513">
        <v>8</v>
      </c>
    </row>
    <row r="1514" spans="2:12" ht="15" customHeight="1">
      <c r="B1514" t="s">
        <v>2416</v>
      </c>
      <c r="C1514">
        <v>18000</v>
      </c>
      <c r="D1514" t="s">
        <v>252</v>
      </c>
      <c r="E1514">
        <v>18000</v>
      </c>
      <c r="F1514" s="3">
        <f>(tblSalaries[[#This Row],[clean Salary (in local currency)]])*(VLOOKUP(tblSalaries[[#This Row],[Currency]],Sheet3!$A$2:$C$31,3,FALSE))*(VLOOKUP(tblSalaries[[#This Row],[Currency]],Sheet1!$N$4:$Q$186,4,FALSE))</f>
        <v>18000</v>
      </c>
      <c r="G1514" s="4">
        <f>IF(Dashboard!$J$5=VLOOKUP(tblSalaries[[#This Row],[Currency]],Sheet3!$A$2:$B$31,2,FALSE),tblSalaries[[#This Row],[clean Salary (in local currency)]],(tblSalaries[[#This Row],[PPP Adjusted  USD]]/VLOOKUP(Dashboard!$J$5,Sheet3!$B$2:$C$31,2,FALSE)))</f>
        <v>18000</v>
      </c>
      <c r="H1514" t="s">
        <v>2417</v>
      </c>
      <c r="I1514" t="s">
        <v>625</v>
      </c>
      <c r="J1514" t="s">
        <v>604</v>
      </c>
      <c r="K1514" t="s">
        <v>617</v>
      </c>
      <c r="L1514">
        <v>4.5999999999999996</v>
      </c>
    </row>
    <row r="1515" spans="2:12" ht="15" customHeight="1">
      <c r="B1515" t="s">
        <v>2465</v>
      </c>
      <c r="C1515">
        <v>18000</v>
      </c>
      <c r="D1515" t="s">
        <v>252</v>
      </c>
      <c r="E1515">
        <v>18000</v>
      </c>
      <c r="F1515" s="3">
        <f>(tblSalaries[[#This Row],[clean Salary (in local currency)]])*(VLOOKUP(tblSalaries[[#This Row],[Currency]],Sheet3!$A$2:$C$31,3,FALSE))*(VLOOKUP(tblSalaries[[#This Row],[Currency]],Sheet1!$N$4:$Q$186,4,FALSE))</f>
        <v>18000</v>
      </c>
      <c r="G1515" s="4">
        <f>IF(Dashboard!$J$5=VLOOKUP(tblSalaries[[#This Row],[Currency]],Sheet3!$A$2:$B$31,2,FALSE),tblSalaries[[#This Row],[clean Salary (in local currency)]],(tblSalaries[[#This Row],[PPP Adjusted  USD]]/VLOOKUP(Dashboard!$J$5,Sheet3!$B$2:$C$31,2,FALSE)))</f>
        <v>18000</v>
      </c>
      <c r="H1515" t="s">
        <v>603</v>
      </c>
      <c r="I1515" t="s">
        <v>603</v>
      </c>
      <c r="J1515" t="s">
        <v>689</v>
      </c>
      <c r="K1515" t="s">
        <v>605</v>
      </c>
      <c r="L1515">
        <v>7</v>
      </c>
    </row>
    <row r="1516" spans="2:12" ht="15" customHeight="1">
      <c r="B1516" t="s">
        <v>2830</v>
      </c>
      <c r="C1516">
        <v>18000</v>
      </c>
      <c r="D1516" t="s">
        <v>252</v>
      </c>
      <c r="E1516">
        <v>18000</v>
      </c>
      <c r="F1516" s="3">
        <f>(tblSalaries[[#This Row],[clean Salary (in local currency)]])*(VLOOKUP(tblSalaries[[#This Row],[Currency]],Sheet3!$A$2:$C$31,3,FALSE))*(VLOOKUP(tblSalaries[[#This Row],[Currency]],Sheet1!$N$4:$Q$186,4,FALSE))</f>
        <v>18000</v>
      </c>
      <c r="G1516" s="4">
        <f>IF(Dashboard!$J$5=VLOOKUP(tblSalaries[[#This Row],[Currency]],Sheet3!$A$2:$B$31,2,FALSE),tblSalaries[[#This Row],[clean Salary (in local currency)]],(tblSalaries[[#This Row],[PPP Adjusted  USD]]/VLOOKUP(Dashboard!$J$5,Sheet3!$B$2:$C$31,2,FALSE)))</f>
        <v>18000</v>
      </c>
      <c r="H1516" t="s">
        <v>625</v>
      </c>
      <c r="I1516" t="s">
        <v>625</v>
      </c>
      <c r="J1516" t="s">
        <v>604</v>
      </c>
      <c r="K1516" t="s">
        <v>605</v>
      </c>
      <c r="L1516">
        <v>12</v>
      </c>
    </row>
    <row r="1517" spans="2:12" ht="15" customHeight="1">
      <c r="B1517" t="s">
        <v>2913</v>
      </c>
      <c r="C1517">
        <v>18000</v>
      </c>
      <c r="D1517" t="s">
        <v>252</v>
      </c>
      <c r="E1517">
        <v>18000</v>
      </c>
      <c r="F1517" s="3">
        <f>(tblSalaries[[#This Row],[clean Salary (in local currency)]])*(VLOOKUP(tblSalaries[[#This Row],[Currency]],Sheet3!$A$2:$C$31,3,FALSE))*(VLOOKUP(tblSalaries[[#This Row],[Currency]],Sheet1!$N$4:$Q$186,4,FALSE))</f>
        <v>18000</v>
      </c>
      <c r="G1517" s="4">
        <f>IF(Dashboard!$J$5=VLOOKUP(tblSalaries[[#This Row],[Currency]],Sheet3!$A$2:$B$31,2,FALSE),tblSalaries[[#This Row],[clean Salary (in local currency)]],(tblSalaries[[#This Row],[PPP Adjusted  USD]]/VLOOKUP(Dashboard!$J$5,Sheet3!$B$2:$C$31,2,FALSE)))</f>
        <v>18000</v>
      </c>
      <c r="H1517" t="s">
        <v>2914</v>
      </c>
      <c r="I1517" t="s">
        <v>625</v>
      </c>
      <c r="J1517" t="s">
        <v>2915</v>
      </c>
      <c r="K1517" t="s">
        <v>605</v>
      </c>
      <c r="L1517">
        <v>12</v>
      </c>
    </row>
    <row r="1518" spans="2:12" ht="15" customHeight="1">
      <c r="B1518" t="s">
        <v>3178</v>
      </c>
      <c r="C1518">
        <v>18000</v>
      </c>
      <c r="D1518" t="s">
        <v>252</v>
      </c>
      <c r="E1518">
        <v>18000</v>
      </c>
      <c r="F1518" s="3">
        <f>(tblSalaries[[#This Row],[clean Salary (in local currency)]])*(VLOOKUP(tblSalaries[[#This Row],[Currency]],Sheet3!$A$2:$C$31,3,FALSE))*(VLOOKUP(tblSalaries[[#This Row],[Currency]],Sheet1!$N$4:$Q$186,4,FALSE))</f>
        <v>18000</v>
      </c>
      <c r="G1518" s="4">
        <f>IF(Dashboard!$J$5=VLOOKUP(tblSalaries[[#This Row],[Currency]],Sheet3!$A$2:$B$31,2,FALSE),tblSalaries[[#This Row],[clean Salary (in local currency)]],(tblSalaries[[#This Row],[PPP Adjusted  USD]]/VLOOKUP(Dashboard!$J$5,Sheet3!$B$2:$C$31,2,FALSE)))</f>
        <v>18000</v>
      </c>
      <c r="H1518" t="s">
        <v>3179</v>
      </c>
      <c r="I1518" t="s">
        <v>603</v>
      </c>
      <c r="J1518" t="s">
        <v>604</v>
      </c>
      <c r="K1518" t="s">
        <v>610</v>
      </c>
      <c r="L1518">
        <v>6</v>
      </c>
    </row>
    <row r="1519" spans="2:12" ht="15" customHeight="1">
      <c r="B1519" t="s">
        <v>3587</v>
      </c>
      <c r="C1519">
        <v>18000</v>
      </c>
      <c r="D1519" t="s">
        <v>252</v>
      </c>
      <c r="E1519">
        <v>18000</v>
      </c>
      <c r="F1519" s="3">
        <f>(tblSalaries[[#This Row],[clean Salary (in local currency)]])*(VLOOKUP(tblSalaries[[#This Row],[Currency]],Sheet3!$A$2:$C$31,3,FALSE))*(VLOOKUP(tblSalaries[[#This Row],[Currency]],Sheet1!$N$4:$Q$186,4,FALSE))</f>
        <v>18000</v>
      </c>
      <c r="G1519" s="4">
        <f>IF(Dashboard!$J$5=VLOOKUP(tblSalaries[[#This Row],[Currency]],Sheet3!$A$2:$B$31,2,FALSE),tblSalaries[[#This Row],[clean Salary (in local currency)]],(tblSalaries[[#This Row],[PPP Adjusted  USD]]/VLOOKUP(Dashboard!$J$5,Sheet3!$B$2:$C$31,2,FALSE)))</f>
        <v>18000</v>
      </c>
      <c r="H1519" t="s">
        <v>2065</v>
      </c>
      <c r="I1519" t="s">
        <v>637</v>
      </c>
      <c r="J1519" t="s">
        <v>770</v>
      </c>
      <c r="K1519" t="s">
        <v>610</v>
      </c>
      <c r="L1519">
        <v>3</v>
      </c>
    </row>
    <row r="1520" spans="2:12" ht="15" customHeight="1">
      <c r="B1520" t="s">
        <v>1728</v>
      </c>
      <c r="C1520">
        <v>380000</v>
      </c>
      <c r="D1520" t="s">
        <v>247</v>
      </c>
      <c r="E1520">
        <v>6767.0083412281756</v>
      </c>
      <c r="F1520" s="3">
        <f>(tblSalaries[[#This Row],[clean Salary (in local currency)]])*(VLOOKUP(tblSalaries[[#This Row],[Currency]],Sheet3!$A$2:$C$31,3,FALSE))*(VLOOKUP(tblSalaries[[#This Row],[Currency]],Sheet1!$N$4:$Q$186,4,FALSE))</f>
        <v>17997.188492505411</v>
      </c>
      <c r="G1520" s="4">
        <f>IF(Dashboard!$J$5=VLOOKUP(tblSalaries[[#This Row],[Currency]],Sheet3!$A$2:$B$31,2,FALSE),tblSalaries[[#This Row],[clean Salary (in local currency)]],(tblSalaries[[#This Row],[PPP Adjusted  USD]]/VLOOKUP(Dashboard!$J$5,Sheet3!$B$2:$C$31,2,FALSE)))</f>
        <v>17997.188492505411</v>
      </c>
      <c r="H1520" t="s">
        <v>1729</v>
      </c>
      <c r="I1520" t="s">
        <v>625</v>
      </c>
      <c r="J1520" t="s">
        <v>604</v>
      </c>
      <c r="K1520" t="s">
        <v>605</v>
      </c>
      <c r="L1520">
        <v>10</v>
      </c>
    </row>
    <row r="1521" spans="2:12" ht="15" customHeight="1">
      <c r="B1521" t="s">
        <v>1864</v>
      </c>
      <c r="C1521">
        <v>380000</v>
      </c>
      <c r="D1521" t="s">
        <v>247</v>
      </c>
      <c r="E1521">
        <v>6767.0083412281756</v>
      </c>
      <c r="F1521" s="3">
        <f>(tblSalaries[[#This Row],[clean Salary (in local currency)]])*(VLOOKUP(tblSalaries[[#This Row],[Currency]],Sheet3!$A$2:$C$31,3,FALSE))*(VLOOKUP(tblSalaries[[#This Row],[Currency]],Sheet1!$N$4:$Q$186,4,FALSE))</f>
        <v>17997.188492505411</v>
      </c>
      <c r="G1521" s="4">
        <f>IF(Dashboard!$J$5=VLOOKUP(tblSalaries[[#This Row],[Currency]],Sheet3!$A$2:$B$31,2,FALSE),tblSalaries[[#This Row],[clean Salary (in local currency)]],(tblSalaries[[#This Row],[PPP Adjusted  USD]]/VLOOKUP(Dashboard!$J$5,Sheet3!$B$2:$C$31,2,FALSE)))</f>
        <v>17997.188492505411</v>
      </c>
      <c r="H1521" t="s">
        <v>1865</v>
      </c>
      <c r="I1521" t="s">
        <v>658</v>
      </c>
      <c r="J1521" t="s">
        <v>604</v>
      </c>
      <c r="K1521" t="s">
        <v>617</v>
      </c>
      <c r="L1521">
        <v>6</v>
      </c>
    </row>
    <row r="1522" spans="2:12" ht="15" customHeight="1">
      <c r="B1522" t="s">
        <v>3228</v>
      </c>
      <c r="C1522">
        <v>380000</v>
      </c>
      <c r="D1522" t="s">
        <v>247</v>
      </c>
      <c r="E1522">
        <v>6767.0083412281756</v>
      </c>
      <c r="F1522" s="3">
        <f>(tblSalaries[[#This Row],[clean Salary (in local currency)]])*(VLOOKUP(tblSalaries[[#This Row],[Currency]],Sheet3!$A$2:$C$31,3,FALSE))*(VLOOKUP(tblSalaries[[#This Row],[Currency]],Sheet1!$N$4:$Q$186,4,FALSE))</f>
        <v>17997.188492505411</v>
      </c>
      <c r="G1522" s="4">
        <f>IF(Dashboard!$J$5=VLOOKUP(tblSalaries[[#This Row],[Currency]],Sheet3!$A$2:$B$31,2,FALSE),tblSalaries[[#This Row],[clean Salary (in local currency)]],(tblSalaries[[#This Row],[PPP Adjusted  USD]]/VLOOKUP(Dashboard!$J$5,Sheet3!$B$2:$C$31,2,FALSE)))</f>
        <v>17997.188492505411</v>
      </c>
      <c r="H1522" t="s">
        <v>3229</v>
      </c>
      <c r="I1522" t="s">
        <v>603</v>
      </c>
      <c r="J1522" t="s">
        <v>604</v>
      </c>
      <c r="K1522" t="s">
        <v>617</v>
      </c>
      <c r="L1522">
        <v>6</v>
      </c>
    </row>
    <row r="1523" spans="2:12" ht="15" customHeight="1">
      <c r="B1523" t="s">
        <v>2045</v>
      </c>
      <c r="C1523">
        <v>377000</v>
      </c>
      <c r="D1523" t="s">
        <v>247</v>
      </c>
      <c r="E1523">
        <v>6713.584591165848</v>
      </c>
      <c r="F1523" s="3">
        <f>(tblSalaries[[#This Row],[clean Salary (in local currency)]])*(VLOOKUP(tblSalaries[[#This Row],[Currency]],Sheet3!$A$2:$C$31,3,FALSE))*(VLOOKUP(tblSalaries[[#This Row],[Currency]],Sheet1!$N$4:$Q$186,4,FALSE))</f>
        <v>17855.105425459318</v>
      </c>
      <c r="G1523" s="4">
        <f>IF(Dashboard!$J$5=VLOOKUP(tblSalaries[[#This Row],[Currency]],Sheet3!$A$2:$B$31,2,FALSE),tblSalaries[[#This Row],[clean Salary (in local currency)]],(tblSalaries[[#This Row],[PPP Adjusted  USD]]/VLOOKUP(Dashboard!$J$5,Sheet3!$B$2:$C$31,2,FALSE)))</f>
        <v>17855.105425459318</v>
      </c>
      <c r="H1523" t="s">
        <v>2046</v>
      </c>
      <c r="I1523" t="s">
        <v>603</v>
      </c>
      <c r="J1523" t="s">
        <v>604</v>
      </c>
      <c r="K1523" t="s">
        <v>627</v>
      </c>
      <c r="L1523">
        <v>7</v>
      </c>
    </row>
    <row r="1524" spans="2:12" ht="15" customHeight="1">
      <c r="B1524" t="s">
        <v>1907</v>
      </c>
      <c r="C1524">
        <v>375000</v>
      </c>
      <c r="D1524" t="s">
        <v>247</v>
      </c>
      <c r="E1524">
        <v>6677.9687577909626</v>
      </c>
      <c r="F1524" s="3">
        <f>(tblSalaries[[#This Row],[clean Salary (in local currency)]])*(VLOOKUP(tblSalaries[[#This Row],[Currency]],Sheet3!$A$2:$C$31,3,FALSE))*(VLOOKUP(tblSalaries[[#This Row],[Currency]],Sheet1!$N$4:$Q$186,4,FALSE))</f>
        <v>17760.383380761919</v>
      </c>
      <c r="G1524" s="4">
        <f>IF(Dashboard!$J$5=VLOOKUP(tblSalaries[[#This Row],[Currency]],Sheet3!$A$2:$B$31,2,FALSE),tblSalaries[[#This Row],[clean Salary (in local currency)]],(tblSalaries[[#This Row],[PPP Adjusted  USD]]/VLOOKUP(Dashboard!$J$5,Sheet3!$B$2:$C$31,2,FALSE)))</f>
        <v>17760.383380761919</v>
      </c>
      <c r="H1524" t="s">
        <v>715</v>
      </c>
      <c r="I1524" t="s">
        <v>625</v>
      </c>
      <c r="J1524" t="s">
        <v>604</v>
      </c>
      <c r="K1524" t="s">
        <v>617</v>
      </c>
      <c r="L1524">
        <v>6</v>
      </c>
    </row>
    <row r="1525" spans="2:12" ht="15" customHeight="1">
      <c r="B1525" t="s">
        <v>3296</v>
      </c>
      <c r="C1525">
        <v>17728</v>
      </c>
      <c r="D1525" t="s">
        <v>252</v>
      </c>
      <c r="E1525">
        <v>17728</v>
      </c>
      <c r="F1525" s="3">
        <f>(tblSalaries[[#This Row],[clean Salary (in local currency)]])*(VLOOKUP(tblSalaries[[#This Row],[Currency]],Sheet3!$A$2:$C$31,3,FALSE))*(VLOOKUP(tblSalaries[[#This Row],[Currency]],Sheet1!$N$4:$Q$186,4,FALSE))</f>
        <v>17728</v>
      </c>
      <c r="G1525" s="4">
        <f>IF(Dashboard!$J$5=VLOOKUP(tblSalaries[[#This Row],[Currency]],Sheet3!$A$2:$B$31,2,FALSE),tblSalaries[[#This Row],[clean Salary (in local currency)]],(tblSalaries[[#This Row],[PPP Adjusted  USD]]/VLOOKUP(Dashboard!$J$5,Sheet3!$B$2:$C$31,2,FALSE)))</f>
        <v>17728</v>
      </c>
      <c r="H1525" t="s">
        <v>1335</v>
      </c>
      <c r="I1525" t="s">
        <v>603</v>
      </c>
      <c r="J1525" t="s">
        <v>833</v>
      </c>
      <c r="K1525" t="s">
        <v>605</v>
      </c>
      <c r="L1525">
        <v>3</v>
      </c>
    </row>
    <row r="1526" spans="2:12" ht="15" customHeight="1">
      <c r="B1526" t="s">
        <v>2454</v>
      </c>
      <c r="C1526">
        <v>16000</v>
      </c>
      <c r="D1526" t="s">
        <v>200</v>
      </c>
      <c r="E1526">
        <v>20326.391023865726</v>
      </c>
      <c r="F1526" s="3">
        <f>(tblSalaries[[#This Row],[clean Salary (in local currency)]])*(VLOOKUP(tblSalaries[[#This Row],[Currency]],Sheet3!$A$2:$C$31,3,FALSE))*(VLOOKUP(tblSalaries[[#This Row],[Currency]],Sheet1!$N$4:$Q$186,4,FALSE))</f>
        <v>17610.446175680838</v>
      </c>
      <c r="G1526" s="4">
        <f>IF(Dashboard!$J$5=VLOOKUP(tblSalaries[[#This Row],[Currency]],Sheet3!$A$2:$B$31,2,FALSE),tblSalaries[[#This Row],[clean Salary (in local currency)]],(tblSalaries[[#This Row],[PPP Adjusted  USD]]/VLOOKUP(Dashboard!$J$5,Sheet3!$B$2:$C$31,2,FALSE)))</f>
        <v>17610.446175680838</v>
      </c>
      <c r="H1526" t="s">
        <v>2455</v>
      </c>
      <c r="I1526" t="s">
        <v>625</v>
      </c>
      <c r="J1526" t="s">
        <v>840</v>
      </c>
      <c r="K1526" t="s">
        <v>610</v>
      </c>
      <c r="L1526">
        <v>16</v>
      </c>
    </row>
    <row r="1527" spans="2:12" ht="15" customHeight="1">
      <c r="B1527" t="s">
        <v>1281</v>
      </c>
      <c r="C1527">
        <v>370000</v>
      </c>
      <c r="D1527" t="s">
        <v>247</v>
      </c>
      <c r="E1527">
        <v>6588.9291743537506</v>
      </c>
      <c r="F1527" s="3">
        <f>(tblSalaries[[#This Row],[clean Salary (in local currency)]])*(VLOOKUP(tblSalaries[[#This Row],[Currency]],Sheet3!$A$2:$C$31,3,FALSE))*(VLOOKUP(tblSalaries[[#This Row],[Currency]],Sheet1!$N$4:$Q$186,4,FALSE))</f>
        <v>17523.578269018428</v>
      </c>
      <c r="G1527" s="4">
        <f>IF(Dashboard!$J$5=VLOOKUP(tblSalaries[[#This Row],[Currency]],Sheet3!$A$2:$B$31,2,FALSE),tblSalaries[[#This Row],[clean Salary (in local currency)]],(tblSalaries[[#This Row],[PPP Adjusted  USD]]/VLOOKUP(Dashboard!$J$5,Sheet3!$B$2:$C$31,2,FALSE)))</f>
        <v>17523.578269018428</v>
      </c>
      <c r="H1527" t="s">
        <v>1282</v>
      </c>
      <c r="I1527" t="s">
        <v>603</v>
      </c>
      <c r="J1527" t="s">
        <v>604</v>
      </c>
      <c r="K1527" t="s">
        <v>610</v>
      </c>
      <c r="L1527" t="s">
        <v>3847</v>
      </c>
    </row>
    <row r="1528" spans="2:12" ht="15" customHeight="1">
      <c r="B1528" t="s">
        <v>1879</v>
      </c>
      <c r="C1528">
        <v>370000</v>
      </c>
      <c r="D1528" t="s">
        <v>247</v>
      </c>
      <c r="E1528">
        <v>6588.9291743537506</v>
      </c>
      <c r="F1528" s="3">
        <f>(tblSalaries[[#This Row],[clean Salary (in local currency)]])*(VLOOKUP(tblSalaries[[#This Row],[Currency]],Sheet3!$A$2:$C$31,3,FALSE))*(VLOOKUP(tblSalaries[[#This Row],[Currency]],Sheet1!$N$4:$Q$186,4,FALSE))</f>
        <v>17523.578269018428</v>
      </c>
      <c r="G1528" s="4">
        <f>IF(Dashboard!$J$5=VLOOKUP(tblSalaries[[#This Row],[Currency]],Sheet3!$A$2:$B$31,2,FALSE),tblSalaries[[#This Row],[clean Salary (in local currency)]],(tblSalaries[[#This Row],[PPP Adjusted  USD]]/VLOOKUP(Dashboard!$J$5,Sheet3!$B$2:$C$31,2,FALSE)))</f>
        <v>17523.578269018428</v>
      </c>
      <c r="H1528" t="s">
        <v>1209</v>
      </c>
      <c r="I1528" t="s">
        <v>603</v>
      </c>
      <c r="J1528" t="s">
        <v>604</v>
      </c>
      <c r="K1528" t="s">
        <v>610</v>
      </c>
      <c r="L1528">
        <v>2</v>
      </c>
    </row>
    <row r="1529" spans="2:12" ht="15" customHeight="1">
      <c r="B1529" t="s">
        <v>1880</v>
      </c>
      <c r="C1529">
        <v>370000</v>
      </c>
      <c r="D1529" t="s">
        <v>247</v>
      </c>
      <c r="E1529">
        <v>6588.9291743537506</v>
      </c>
      <c r="F1529" s="3">
        <f>(tblSalaries[[#This Row],[clean Salary (in local currency)]])*(VLOOKUP(tblSalaries[[#This Row],[Currency]],Sheet3!$A$2:$C$31,3,FALSE))*(VLOOKUP(tblSalaries[[#This Row],[Currency]],Sheet1!$N$4:$Q$186,4,FALSE))</f>
        <v>17523.578269018428</v>
      </c>
      <c r="G1529" s="4">
        <f>IF(Dashboard!$J$5=VLOOKUP(tblSalaries[[#This Row],[Currency]],Sheet3!$A$2:$B$31,2,FALSE),tblSalaries[[#This Row],[clean Salary (in local currency)]],(tblSalaries[[#This Row],[PPP Adjusted  USD]]/VLOOKUP(Dashboard!$J$5,Sheet3!$B$2:$C$31,2,FALSE)))</f>
        <v>17523.578269018428</v>
      </c>
      <c r="H1529" t="s">
        <v>1209</v>
      </c>
      <c r="I1529" t="s">
        <v>603</v>
      </c>
      <c r="J1529" t="s">
        <v>604</v>
      </c>
      <c r="K1529" t="s">
        <v>610</v>
      </c>
      <c r="L1529">
        <v>2</v>
      </c>
    </row>
    <row r="1530" spans="2:12" ht="15" customHeight="1">
      <c r="B1530" t="s">
        <v>2393</v>
      </c>
      <c r="C1530">
        <v>365000</v>
      </c>
      <c r="D1530" t="s">
        <v>247</v>
      </c>
      <c r="E1530">
        <v>6499.8895909165376</v>
      </c>
      <c r="F1530" s="3">
        <f>(tblSalaries[[#This Row],[clean Salary (in local currency)]])*(VLOOKUP(tblSalaries[[#This Row],[Currency]],Sheet3!$A$2:$C$31,3,FALSE))*(VLOOKUP(tblSalaries[[#This Row],[Currency]],Sheet1!$N$4:$Q$186,4,FALSE))</f>
        <v>17286.773157274936</v>
      </c>
      <c r="G1530" s="4">
        <f>IF(Dashboard!$J$5=VLOOKUP(tblSalaries[[#This Row],[Currency]],Sheet3!$A$2:$B$31,2,FALSE),tblSalaries[[#This Row],[clean Salary (in local currency)]],(tblSalaries[[#This Row],[PPP Adjusted  USD]]/VLOOKUP(Dashboard!$J$5,Sheet3!$B$2:$C$31,2,FALSE)))</f>
        <v>17286.773157274936</v>
      </c>
      <c r="H1530" t="s">
        <v>2394</v>
      </c>
      <c r="I1530" t="s">
        <v>603</v>
      </c>
      <c r="J1530" t="s">
        <v>604</v>
      </c>
      <c r="K1530" t="s">
        <v>605</v>
      </c>
      <c r="L1530">
        <v>3</v>
      </c>
    </row>
    <row r="1531" spans="2:12" ht="15" customHeight="1">
      <c r="B1531" t="s">
        <v>2102</v>
      </c>
      <c r="C1531">
        <v>15600</v>
      </c>
      <c r="D1531" t="s">
        <v>200</v>
      </c>
      <c r="E1531">
        <v>19818.231248269083</v>
      </c>
      <c r="F1531" s="3">
        <f>(tblSalaries[[#This Row],[clean Salary (in local currency)]])*(VLOOKUP(tblSalaries[[#This Row],[Currency]],Sheet3!$A$2:$C$31,3,FALSE))*(VLOOKUP(tblSalaries[[#This Row],[Currency]],Sheet1!$N$4:$Q$186,4,FALSE))</f>
        <v>17170.185021288817</v>
      </c>
      <c r="G1531" s="4">
        <f>IF(Dashboard!$J$5=VLOOKUP(tblSalaries[[#This Row],[Currency]],Sheet3!$A$2:$B$31,2,FALSE),tblSalaries[[#This Row],[clean Salary (in local currency)]],(tblSalaries[[#This Row],[PPP Adjusted  USD]]/VLOOKUP(Dashboard!$J$5,Sheet3!$B$2:$C$31,2,FALSE)))</f>
        <v>17170.185021288817</v>
      </c>
      <c r="H1531" t="s">
        <v>2103</v>
      </c>
      <c r="I1531" t="s">
        <v>608</v>
      </c>
      <c r="J1531" t="s">
        <v>634</v>
      </c>
      <c r="K1531" t="s">
        <v>605</v>
      </c>
      <c r="L1531">
        <v>5</v>
      </c>
    </row>
    <row r="1532" spans="2:12" ht="15" customHeight="1">
      <c r="B1532" t="s">
        <v>684</v>
      </c>
      <c r="C1532">
        <v>360000</v>
      </c>
      <c r="D1532" t="s">
        <v>247</v>
      </c>
      <c r="E1532">
        <v>6410.8500074793246</v>
      </c>
      <c r="F1532" s="3">
        <f>(tblSalaries[[#This Row],[clean Salary (in local currency)]])*(VLOOKUP(tblSalaries[[#This Row],[Currency]],Sheet3!$A$2:$C$31,3,FALSE))*(VLOOKUP(tblSalaries[[#This Row],[Currency]],Sheet1!$N$4:$Q$186,4,FALSE))</f>
        <v>17049.968045531445</v>
      </c>
      <c r="G1532" s="4">
        <f>IF(Dashboard!$J$5=VLOOKUP(tblSalaries[[#This Row],[Currency]],Sheet3!$A$2:$B$31,2,FALSE),tblSalaries[[#This Row],[clean Salary (in local currency)]],(tblSalaries[[#This Row],[PPP Adjusted  USD]]/VLOOKUP(Dashboard!$J$5,Sheet3!$B$2:$C$31,2,FALSE)))</f>
        <v>17049.968045531445</v>
      </c>
      <c r="H1532" t="s">
        <v>640</v>
      </c>
      <c r="I1532" t="s">
        <v>640</v>
      </c>
      <c r="J1532" t="s">
        <v>604</v>
      </c>
      <c r="K1532" t="s">
        <v>605</v>
      </c>
      <c r="L1532" t="s">
        <v>3847</v>
      </c>
    </row>
    <row r="1533" spans="2:12" ht="15" customHeight="1">
      <c r="B1533" t="s">
        <v>1260</v>
      </c>
      <c r="C1533">
        <v>360000</v>
      </c>
      <c r="D1533" t="s">
        <v>247</v>
      </c>
      <c r="E1533">
        <v>6410.8500074793246</v>
      </c>
      <c r="F1533" s="3">
        <f>(tblSalaries[[#This Row],[clean Salary (in local currency)]])*(VLOOKUP(tblSalaries[[#This Row],[Currency]],Sheet3!$A$2:$C$31,3,FALSE))*(VLOOKUP(tblSalaries[[#This Row],[Currency]],Sheet1!$N$4:$Q$186,4,FALSE))</f>
        <v>17049.968045531445</v>
      </c>
      <c r="G1533" s="4">
        <f>IF(Dashboard!$J$5=VLOOKUP(tblSalaries[[#This Row],[Currency]],Sheet3!$A$2:$B$31,2,FALSE),tblSalaries[[#This Row],[clean Salary (in local currency)]],(tblSalaries[[#This Row],[PPP Adjusted  USD]]/VLOOKUP(Dashboard!$J$5,Sheet3!$B$2:$C$31,2,FALSE)))</f>
        <v>17049.968045531445</v>
      </c>
      <c r="H1533" t="s">
        <v>1261</v>
      </c>
      <c r="I1533" t="s">
        <v>603</v>
      </c>
      <c r="J1533" t="s">
        <v>604</v>
      </c>
      <c r="K1533" t="s">
        <v>617</v>
      </c>
      <c r="L1533" t="s">
        <v>3847</v>
      </c>
    </row>
    <row r="1534" spans="2:12" ht="15" customHeight="1">
      <c r="B1534" t="s">
        <v>1960</v>
      </c>
      <c r="C1534">
        <v>360000</v>
      </c>
      <c r="D1534" t="s">
        <v>247</v>
      </c>
      <c r="E1534">
        <v>6410.8500074793246</v>
      </c>
      <c r="F1534" s="3">
        <f>(tblSalaries[[#This Row],[clean Salary (in local currency)]])*(VLOOKUP(tblSalaries[[#This Row],[Currency]],Sheet3!$A$2:$C$31,3,FALSE))*(VLOOKUP(tblSalaries[[#This Row],[Currency]],Sheet1!$N$4:$Q$186,4,FALSE))</f>
        <v>17049.968045531445</v>
      </c>
      <c r="G1534" s="4">
        <f>IF(Dashboard!$J$5=VLOOKUP(tblSalaries[[#This Row],[Currency]],Sheet3!$A$2:$B$31,2,FALSE),tblSalaries[[#This Row],[clean Salary (in local currency)]],(tblSalaries[[#This Row],[PPP Adjusted  USD]]/VLOOKUP(Dashboard!$J$5,Sheet3!$B$2:$C$31,2,FALSE)))</f>
        <v>17049.968045531445</v>
      </c>
      <c r="H1534" t="s">
        <v>1961</v>
      </c>
      <c r="I1534" t="s">
        <v>625</v>
      </c>
      <c r="J1534" t="s">
        <v>604</v>
      </c>
      <c r="K1534" t="s">
        <v>610</v>
      </c>
      <c r="L1534">
        <v>6</v>
      </c>
    </row>
    <row r="1535" spans="2:12" ht="15" customHeight="1">
      <c r="B1535" t="s">
        <v>2093</v>
      </c>
      <c r="C1535">
        <v>360000</v>
      </c>
      <c r="D1535" t="s">
        <v>247</v>
      </c>
      <c r="E1535">
        <v>6410.8500074793246</v>
      </c>
      <c r="F1535" s="3">
        <f>(tblSalaries[[#This Row],[clean Salary (in local currency)]])*(VLOOKUP(tblSalaries[[#This Row],[Currency]],Sheet3!$A$2:$C$31,3,FALSE))*(VLOOKUP(tblSalaries[[#This Row],[Currency]],Sheet1!$N$4:$Q$186,4,FALSE))</f>
        <v>17049.968045531445</v>
      </c>
      <c r="G1535" s="4">
        <f>IF(Dashboard!$J$5=VLOOKUP(tblSalaries[[#This Row],[Currency]],Sheet3!$A$2:$B$31,2,FALSE),tblSalaries[[#This Row],[clean Salary (in local currency)]],(tblSalaries[[#This Row],[PPP Adjusted  USD]]/VLOOKUP(Dashboard!$J$5,Sheet3!$B$2:$C$31,2,FALSE)))</f>
        <v>17049.968045531445</v>
      </c>
      <c r="H1535" t="s">
        <v>2094</v>
      </c>
      <c r="I1535" t="s">
        <v>603</v>
      </c>
      <c r="J1535" t="s">
        <v>604</v>
      </c>
      <c r="K1535" t="s">
        <v>610</v>
      </c>
      <c r="L1535">
        <v>4</v>
      </c>
    </row>
    <row r="1536" spans="2:12" ht="15" customHeight="1">
      <c r="B1536" t="s">
        <v>2818</v>
      </c>
      <c r="C1536">
        <v>360000</v>
      </c>
      <c r="D1536" t="s">
        <v>247</v>
      </c>
      <c r="E1536">
        <v>6410.8500074793246</v>
      </c>
      <c r="F1536" s="3">
        <f>(tblSalaries[[#This Row],[clean Salary (in local currency)]])*(VLOOKUP(tblSalaries[[#This Row],[Currency]],Sheet3!$A$2:$C$31,3,FALSE))*(VLOOKUP(tblSalaries[[#This Row],[Currency]],Sheet1!$N$4:$Q$186,4,FALSE))</f>
        <v>17049.968045531445</v>
      </c>
      <c r="G1536" s="4">
        <f>IF(Dashboard!$J$5=VLOOKUP(tblSalaries[[#This Row],[Currency]],Sheet3!$A$2:$B$31,2,FALSE),tblSalaries[[#This Row],[clean Salary (in local currency)]],(tblSalaries[[#This Row],[PPP Adjusted  USD]]/VLOOKUP(Dashboard!$J$5,Sheet3!$B$2:$C$31,2,FALSE)))</f>
        <v>17049.968045531445</v>
      </c>
      <c r="H1536" t="s">
        <v>2819</v>
      </c>
      <c r="I1536" t="s">
        <v>625</v>
      </c>
      <c r="J1536" t="s">
        <v>604</v>
      </c>
      <c r="K1536" t="s">
        <v>610</v>
      </c>
      <c r="L1536">
        <v>6</v>
      </c>
    </row>
    <row r="1537" spans="2:12" ht="15" customHeight="1">
      <c r="B1537" t="s">
        <v>2870</v>
      </c>
      <c r="C1537">
        <v>360000</v>
      </c>
      <c r="D1537" t="s">
        <v>247</v>
      </c>
      <c r="E1537">
        <v>6410.8500074793246</v>
      </c>
      <c r="F1537" s="3">
        <f>(tblSalaries[[#This Row],[clean Salary (in local currency)]])*(VLOOKUP(tblSalaries[[#This Row],[Currency]],Sheet3!$A$2:$C$31,3,FALSE))*(VLOOKUP(tblSalaries[[#This Row],[Currency]],Sheet1!$N$4:$Q$186,4,FALSE))</f>
        <v>17049.968045531445</v>
      </c>
      <c r="G1537" s="4">
        <f>IF(Dashboard!$J$5=VLOOKUP(tblSalaries[[#This Row],[Currency]],Sheet3!$A$2:$B$31,2,FALSE),tblSalaries[[#This Row],[clean Salary (in local currency)]],(tblSalaries[[#This Row],[PPP Adjusted  USD]]/VLOOKUP(Dashboard!$J$5,Sheet3!$B$2:$C$31,2,FALSE)))</f>
        <v>17049.968045531445</v>
      </c>
      <c r="H1537" t="s">
        <v>2871</v>
      </c>
      <c r="I1537" t="s">
        <v>603</v>
      </c>
      <c r="J1537" t="s">
        <v>604</v>
      </c>
      <c r="K1537" t="s">
        <v>610</v>
      </c>
      <c r="L1537">
        <v>6</v>
      </c>
    </row>
    <row r="1538" spans="2:12" ht="15" customHeight="1">
      <c r="B1538" t="s">
        <v>3111</v>
      </c>
      <c r="C1538">
        <v>360000</v>
      </c>
      <c r="D1538" t="s">
        <v>247</v>
      </c>
      <c r="E1538">
        <v>6410.8500074793246</v>
      </c>
      <c r="F1538" s="3">
        <f>(tblSalaries[[#This Row],[clean Salary (in local currency)]])*(VLOOKUP(tblSalaries[[#This Row],[Currency]],Sheet3!$A$2:$C$31,3,FALSE))*(VLOOKUP(tblSalaries[[#This Row],[Currency]],Sheet1!$N$4:$Q$186,4,FALSE))</f>
        <v>17049.968045531445</v>
      </c>
      <c r="G1538" s="4">
        <f>IF(Dashboard!$J$5=VLOOKUP(tblSalaries[[#This Row],[Currency]],Sheet3!$A$2:$B$31,2,FALSE),tblSalaries[[#This Row],[clean Salary (in local currency)]],(tblSalaries[[#This Row],[PPP Adjusted  USD]]/VLOOKUP(Dashboard!$J$5,Sheet3!$B$2:$C$31,2,FALSE)))</f>
        <v>17049.968045531445</v>
      </c>
      <c r="H1538" t="s">
        <v>987</v>
      </c>
      <c r="I1538" t="s">
        <v>603</v>
      </c>
      <c r="J1538" t="s">
        <v>604</v>
      </c>
      <c r="K1538" t="s">
        <v>617</v>
      </c>
      <c r="L1538">
        <v>6</v>
      </c>
    </row>
    <row r="1539" spans="2:12" ht="15" customHeight="1">
      <c r="B1539" t="s">
        <v>3310</v>
      </c>
      <c r="C1539">
        <v>360000</v>
      </c>
      <c r="D1539" t="s">
        <v>247</v>
      </c>
      <c r="E1539">
        <v>6410.8500074793246</v>
      </c>
      <c r="F1539" s="3">
        <f>(tblSalaries[[#This Row],[clean Salary (in local currency)]])*(VLOOKUP(tblSalaries[[#This Row],[Currency]],Sheet3!$A$2:$C$31,3,FALSE))*(VLOOKUP(tblSalaries[[#This Row],[Currency]],Sheet1!$N$4:$Q$186,4,FALSE))</f>
        <v>17049.968045531445</v>
      </c>
      <c r="G1539" s="4">
        <f>IF(Dashboard!$J$5=VLOOKUP(tblSalaries[[#This Row],[Currency]],Sheet3!$A$2:$B$31,2,FALSE),tblSalaries[[#This Row],[clean Salary (in local currency)]],(tblSalaries[[#This Row],[PPP Adjusted  USD]]/VLOOKUP(Dashboard!$J$5,Sheet3!$B$2:$C$31,2,FALSE)))</f>
        <v>17049.968045531445</v>
      </c>
      <c r="H1539" t="s">
        <v>3311</v>
      </c>
      <c r="I1539" t="s">
        <v>625</v>
      </c>
      <c r="J1539" t="s">
        <v>604</v>
      </c>
      <c r="K1539" t="s">
        <v>617</v>
      </c>
      <c r="L1539">
        <v>8</v>
      </c>
    </row>
    <row r="1540" spans="2:12" ht="15" customHeight="1">
      <c r="B1540" t="s">
        <v>3534</v>
      </c>
      <c r="C1540">
        <v>360000</v>
      </c>
      <c r="D1540" t="s">
        <v>247</v>
      </c>
      <c r="E1540">
        <v>6410.8500074793246</v>
      </c>
      <c r="F1540" s="3">
        <f>(tblSalaries[[#This Row],[clean Salary (in local currency)]])*(VLOOKUP(tblSalaries[[#This Row],[Currency]],Sheet3!$A$2:$C$31,3,FALSE))*(VLOOKUP(tblSalaries[[#This Row],[Currency]],Sheet1!$N$4:$Q$186,4,FALSE))</f>
        <v>17049.968045531445</v>
      </c>
      <c r="G1540" s="4">
        <f>IF(Dashboard!$J$5=VLOOKUP(tblSalaries[[#This Row],[Currency]],Sheet3!$A$2:$B$31,2,FALSE),tblSalaries[[#This Row],[clean Salary (in local currency)]],(tblSalaries[[#This Row],[PPP Adjusted  USD]]/VLOOKUP(Dashboard!$J$5,Sheet3!$B$2:$C$31,2,FALSE)))</f>
        <v>17049.968045531445</v>
      </c>
      <c r="H1540" t="s">
        <v>3535</v>
      </c>
      <c r="I1540" t="s">
        <v>692</v>
      </c>
      <c r="J1540" t="s">
        <v>604</v>
      </c>
      <c r="K1540" t="s">
        <v>627</v>
      </c>
      <c r="L1540">
        <v>2</v>
      </c>
    </row>
    <row r="1541" spans="2:12" ht="15" customHeight="1">
      <c r="B1541" t="s">
        <v>3750</v>
      </c>
      <c r="C1541">
        <v>360000</v>
      </c>
      <c r="D1541" t="s">
        <v>247</v>
      </c>
      <c r="E1541">
        <v>6410.8500074793246</v>
      </c>
      <c r="F1541" s="3">
        <f>(tblSalaries[[#This Row],[clean Salary (in local currency)]])*(VLOOKUP(tblSalaries[[#This Row],[Currency]],Sheet3!$A$2:$C$31,3,FALSE))*(VLOOKUP(tblSalaries[[#This Row],[Currency]],Sheet1!$N$4:$Q$186,4,FALSE))</f>
        <v>17049.968045531445</v>
      </c>
      <c r="G1541" s="4">
        <f>IF(Dashboard!$J$5=VLOOKUP(tblSalaries[[#This Row],[Currency]],Sheet3!$A$2:$B$31,2,FALSE),tblSalaries[[#This Row],[clean Salary (in local currency)]],(tblSalaries[[#This Row],[PPP Adjusted  USD]]/VLOOKUP(Dashboard!$J$5,Sheet3!$B$2:$C$31,2,FALSE)))</f>
        <v>17049.968045531445</v>
      </c>
      <c r="H1541" t="s">
        <v>603</v>
      </c>
      <c r="I1541" t="s">
        <v>603</v>
      </c>
      <c r="J1541" t="s">
        <v>604</v>
      </c>
      <c r="K1541" t="s">
        <v>610</v>
      </c>
      <c r="L1541">
        <v>2</v>
      </c>
    </row>
    <row r="1542" spans="2:12" ht="15" customHeight="1">
      <c r="B1542" t="s">
        <v>1812</v>
      </c>
      <c r="C1542">
        <v>16800</v>
      </c>
      <c r="D1542" t="s">
        <v>252</v>
      </c>
      <c r="E1542">
        <v>16800</v>
      </c>
      <c r="F1542" s="3">
        <f>(tblSalaries[[#This Row],[clean Salary (in local currency)]])*(VLOOKUP(tblSalaries[[#This Row],[Currency]],Sheet3!$A$2:$C$31,3,FALSE))*(VLOOKUP(tblSalaries[[#This Row],[Currency]],Sheet1!$N$4:$Q$186,4,FALSE))</f>
        <v>16800</v>
      </c>
      <c r="G1542" s="4">
        <f>IF(Dashboard!$J$5=VLOOKUP(tblSalaries[[#This Row],[Currency]],Sheet3!$A$2:$B$31,2,FALSE),tblSalaries[[#This Row],[clean Salary (in local currency)]],(tblSalaries[[#This Row],[PPP Adjusted  USD]]/VLOOKUP(Dashboard!$J$5,Sheet3!$B$2:$C$31,2,FALSE)))</f>
        <v>16800</v>
      </c>
      <c r="H1542" t="s">
        <v>1671</v>
      </c>
      <c r="I1542" t="s">
        <v>603</v>
      </c>
      <c r="J1542" t="s">
        <v>616</v>
      </c>
      <c r="K1542" t="s">
        <v>605</v>
      </c>
      <c r="L1542">
        <v>12</v>
      </c>
    </row>
    <row r="1543" spans="2:12" ht="15" customHeight="1">
      <c r="B1543" t="s">
        <v>2542</v>
      </c>
      <c r="C1543">
        <v>100000</v>
      </c>
      <c r="D1543" t="s">
        <v>400</v>
      </c>
      <c r="E1543">
        <v>12192.177986291113</v>
      </c>
      <c r="F1543" s="3">
        <f>(tblSalaries[[#This Row],[clean Salary (in local currency)]])*(VLOOKUP(tblSalaries[[#This Row],[Currency]],Sheet3!$A$2:$C$31,3,FALSE))*(VLOOKUP(tblSalaries[[#This Row],[Currency]],Sheet1!$N$4:$Q$186,4,FALSE))</f>
        <v>16585.944054857038</v>
      </c>
      <c r="G1543" s="4">
        <f>IF(Dashboard!$J$5=VLOOKUP(tblSalaries[[#This Row],[Currency]],Sheet3!$A$2:$B$31,2,FALSE),tblSalaries[[#This Row],[clean Salary (in local currency)]],(tblSalaries[[#This Row],[PPP Adjusted  USD]]/VLOOKUP(Dashboard!$J$5,Sheet3!$B$2:$C$31,2,FALSE)))</f>
        <v>16585.944054857038</v>
      </c>
      <c r="H1543" t="s">
        <v>2543</v>
      </c>
      <c r="I1543" t="s">
        <v>625</v>
      </c>
      <c r="J1543" t="s">
        <v>659</v>
      </c>
      <c r="K1543" t="s">
        <v>610</v>
      </c>
      <c r="L1543">
        <v>15</v>
      </c>
    </row>
    <row r="1544" spans="2:12" ht="15" customHeight="1">
      <c r="B1544" t="s">
        <v>1050</v>
      </c>
      <c r="C1544">
        <v>350000</v>
      </c>
      <c r="D1544" t="s">
        <v>247</v>
      </c>
      <c r="E1544">
        <v>6232.7708406048987</v>
      </c>
      <c r="F1544" s="3">
        <f>(tblSalaries[[#This Row],[clean Salary (in local currency)]])*(VLOOKUP(tblSalaries[[#This Row],[Currency]],Sheet3!$A$2:$C$31,3,FALSE))*(VLOOKUP(tblSalaries[[#This Row],[Currency]],Sheet1!$N$4:$Q$186,4,FALSE))</f>
        <v>16576.357822044458</v>
      </c>
      <c r="G1544" s="4">
        <f>IF(Dashboard!$J$5=VLOOKUP(tblSalaries[[#This Row],[Currency]],Sheet3!$A$2:$B$31,2,FALSE),tblSalaries[[#This Row],[clean Salary (in local currency)]],(tblSalaries[[#This Row],[PPP Adjusted  USD]]/VLOOKUP(Dashboard!$J$5,Sheet3!$B$2:$C$31,2,FALSE)))</f>
        <v>16576.357822044458</v>
      </c>
      <c r="H1544" t="s">
        <v>1051</v>
      </c>
      <c r="I1544" t="s">
        <v>637</v>
      </c>
      <c r="J1544" t="s">
        <v>604</v>
      </c>
      <c r="K1544" t="s">
        <v>605</v>
      </c>
      <c r="L1544" t="s">
        <v>3847</v>
      </c>
    </row>
    <row r="1545" spans="2:12" ht="15" customHeight="1">
      <c r="B1545" t="s">
        <v>2385</v>
      </c>
      <c r="C1545">
        <v>350000</v>
      </c>
      <c r="D1545" t="s">
        <v>247</v>
      </c>
      <c r="E1545">
        <v>6232.7708406048987</v>
      </c>
      <c r="F1545" s="3">
        <f>(tblSalaries[[#This Row],[clean Salary (in local currency)]])*(VLOOKUP(tblSalaries[[#This Row],[Currency]],Sheet3!$A$2:$C$31,3,FALSE))*(VLOOKUP(tblSalaries[[#This Row],[Currency]],Sheet1!$N$4:$Q$186,4,FALSE))</f>
        <v>16576.357822044458</v>
      </c>
      <c r="G1545" s="4">
        <f>IF(Dashboard!$J$5=VLOOKUP(tblSalaries[[#This Row],[Currency]],Sheet3!$A$2:$B$31,2,FALSE),tblSalaries[[#This Row],[clean Salary (in local currency)]],(tblSalaries[[#This Row],[PPP Adjusted  USD]]/VLOOKUP(Dashboard!$J$5,Sheet3!$B$2:$C$31,2,FALSE)))</f>
        <v>16576.357822044458</v>
      </c>
      <c r="H1545" t="s">
        <v>811</v>
      </c>
      <c r="I1545" t="s">
        <v>603</v>
      </c>
      <c r="J1545" t="s">
        <v>604</v>
      </c>
      <c r="K1545" t="s">
        <v>605</v>
      </c>
      <c r="L1545">
        <v>2.5</v>
      </c>
    </row>
    <row r="1546" spans="2:12" ht="15" customHeight="1">
      <c r="B1546" t="s">
        <v>2657</v>
      </c>
      <c r="C1546">
        <v>350000</v>
      </c>
      <c r="D1546" t="s">
        <v>247</v>
      </c>
      <c r="E1546">
        <v>6232.7708406048987</v>
      </c>
      <c r="F1546" s="3">
        <f>(tblSalaries[[#This Row],[clean Salary (in local currency)]])*(VLOOKUP(tblSalaries[[#This Row],[Currency]],Sheet3!$A$2:$C$31,3,FALSE))*(VLOOKUP(tblSalaries[[#This Row],[Currency]],Sheet1!$N$4:$Q$186,4,FALSE))</f>
        <v>16576.357822044458</v>
      </c>
      <c r="G1546" s="4">
        <f>IF(Dashboard!$J$5=VLOOKUP(tblSalaries[[#This Row],[Currency]],Sheet3!$A$2:$B$31,2,FALSE),tblSalaries[[#This Row],[clean Salary (in local currency)]],(tblSalaries[[#This Row],[PPP Adjusted  USD]]/VLOOKUP(Dashboard!$J$5,Sheet3!$B$2:$C$31,2,FALSE)))</f>
        <v>16576.357822044458</v>
      </c>
      <c r="H1546" t="s">
        <v>2658</v>
      </c>
      <c r="I1546" t="s">
        <v>637</v>
      </c>
      <c r="J1546" t="s">
        <v>604</v>
      </c>
      <c r="K1546" t="s">
        <v>617</v>
      </c>
      <c r="L1546">
        <v>1.5</v>
      </c>
    </row>
    <row r="1547" spans="2:12" ht="15" customHeight="1">
      <c r="B1547" t="s">
        <v>2848</v>
      </c>
      <c r="C1547">
        <v>350000</v>
      </c>
      <c r="D1547" t="s">
        <v>247</v>
      </c>
      <c r="E1547">
        <v>6232.7708406048987</v>
      </c>
      <c r="F1547" s="3">
        <f>(tblSalaries[[#This Row],[clean Salary (in local currency)]])*(VLOOKUP(tblSalaries[[#This Row],[Currency]],Sheet3!$A$2:$C$31,3,FALSE))*(VLOOKUP(tblSalaries[[#This Row],[Currency]],Sheet1!$N$4:$Q$186,4,FALSE))</f>
        <v>16576.357822044458</v>
      </c>
      <c r="G1547" s="4">
        <f>IF(Dashboard!$J$5=VLOOKUP(tblSalaries[[#This Row],[Currency]],Sheet3!$A$2:$B$31,2,FALSE),tblSalaries[[#This Row],[clean Salary (in local currency)]],(tblSalaries[[#This Row],[PPP Adjusted  USD]]/VLOOKUP(Dashboard!$J$5,Sheet3!$B$2:$C$31,2,FALSE)))</f>
        <v>16576.357822044458</v>
      </c>
      <c r="H1547" t="s">
        <v>2849</v>
      </c>
      <c r="I1547" t="s">
        <v>603</v>
      </c>
      <c r="J1547" t="s">
        <v>604</v>
      </c>
      <c r="K1547" t="s">
        <v>605</v>
      </c>
      <c r="L1547">
        <v>1.5</v>
      </c>
    </row>
    <row r="1548" spans="2:12" ht="15" customHeight="1">
      <c r="B1548" t="s">
        <v>3754</v>
      </c>
      <c r="C1548">
        <v>350000</v>
      </c>
      <c r="D1548" t="s">
        <v>247</v>
      </c>
      <c r="E1548">
        <v>6232.7708406048987</v>
      </c>
      <c r="F1548" s="3">
        <f>(tblSalaries[[#This Row],[clean Salary (in local currency)]])*(VLOOKUP(tblSalaries[[#This Row],[Currency]],Sheet3!$A$2:$C$31,3,FALSE))*(VLOOKUP(tblSalaries[[#This Row],[Currency]],Sheet1!$N$4:$Q$186,4,FALSE))</f>
        <v>16576.357822044458</v>
      </c>
      <c r="G1548" s="4">
        <f>IF(Dashboard!$J$5=VLOOKUP(tblSalaries[[#This Row],[Currency]],Sheet3!$A$2:$B$31,2,FALSE),tblSalaries[[#This Row],[clean Salary (in local currency)]],(tblSalaries[[#This Row],[PPP Adjusted  USD]]/VLOOKUP(Dashboard!$J$5,Sheet3!$B$2:$C$31,2,FALSE)))</f>
        <v>16576.357822044458</v>
      </c>
      <c r="H1548" t="s">
        <v>603</v>
      </c>
      <c r="I1548" t="s">
        <v>603</v>
      </c>
      <c r="J1548" t="s">
        <v>604</v>
      </c>
      <c r="K1548" t="s">
        <v>605</v>
      </c>
      <c r="L1548">
        <v>6</v>
      </c>
    </row>
    <row r="1549" spans="2:12" ht="15" customHeight="1">
      <c r="B1549" t="s">
        <v>3777</v>
      </c>
      <c r="C1549">
        <v>350000</v>
      </c>
      <c r="D1549" t="s">
        <v>247</v>
      </c>
      <c r="E1549">
        <v>6232.7708406048987</v>
      </c>
      <c r="F1549" s="3">
        <f>(tblSalaries[[#This Row],[clean Salary (in local currency)]])*(VLOOKUP(tblSalaries[[#This Row],[Currency]],Sheet3!$A$2:$C$31,3,FALSE))*(VLOOKUP(tblSalaries[[#This Row],[Currency]],Sheet1!$N$4:$Q$186,4,FALSE))</f>
        <v>16576.357822044458</v>
      </c>
      <c r="G1549" s="4">
        <f>IF(Dashboard!$J$5=VLOOKUP(tblSalaries[[#This Row],[Currency]],Sheet3!$A$2:$B$31,2,FALSE),tblSalaries[[#This Row],[clean Salary (in local currency)]],(tblSalaries[[#This Row],[PPP Adjusted  USD]]/VLOOKUP(Dashboard!$J$5,Sheet3!$B$2:$C$31,2,FALSE)))</f>
        <v>16576.357822044458</v>
      </c>
      <c r="H1549" t="s">
        <v>3778</v>
      </c>
      <c r="I1549" t="s">
        <v>625</v>
      </c>
      <c r="J1549" t="s">
        <v>604</v>
      </c>
      <c r="K1549" t="s">
        <v>617</v>
      </c>
      <c r="L1549">
        <v>27</v>
      </c>
    </row>
    <row r="1550" spans="2:12" ht="15" customHeight="1">
      <c r="B1550" t="s">
        <v>1555</v>
      </c>
      <c r="C1550">
        <v>15000</v>
      </c>
      <c r="D1550" t="s">
        <v>200</v>
      </c>
      <c r="E1550">
        <v>19055.991584874118</v>
      </c>
      <c r="F1550" s="3">
        <f>(tblSalaries[[#This Row],[clean Salary (in local currency)]])*(VLOOKUP(tblSalaries[[#This Row],[Currency]],Sheet3!$A$2:$C$31,3,FALSE))*(VLOOKUP(tblSalaries[[#This Row],[Currency]],Sheet1!$N$4:$Q$186,4,FALSE))</f>
        <v>16509.793289700785</v>
      </c>
      <c r="G1550" s="4">
        <f>IF(Dashboard!$J$5=VLOOKUP(tblSalaries[[#This Row],[Currency]],Sheet3!$A$2:$B$31,2,FALSE),tblSalaries[[#This Row],[clean Salary (in local currency)]],(tblSalaries[[#This Row],[PPP Adjusted  USD]]/VLOOKUP(Dashboard!$J$5,Sheet3!$B$2:$C$31,2,FALSE)))</f>
        <v>16509.793289700785</v>
      </c>
      <c r="H1550" t="s">
        <v>1556</v>
      </c>
      <c r="I1550" t="s">
        <v>603</v>
      </c>
      <c r="J1550" t="s">
        <v>1557</v>
      </c>
      <c r="K1550" t="s">
        <v>610</v>
      </c>
      <c r="L1550" t="s">
        <v>3847</v>
      </c>
    </row>
    <row r="1551" spans="2:12" ht="15" customHeight="1">
      <c r="B1551" t="s">
        <v>2041</v>
      </c>
      <c r="C1551">
        <v>15000</v>
      </c>
      <c r="D1551" t="s">
        <v>200</v>
      </c>
      <c r="E1551">
        <v>19055.991584874118</v>
      </c>
      <c r="F1551" s="3">
        <f>(tblSalaries[[#This Row],[clean Salary (in local currency)]])*(VLOOKUP(tblSalaries[[#This Row],[Currency]],Sheet3!$A$2:$C$31,3,FALSE))*(VLOOKUP(tblSalaries[[#This Row],[Currency]],Sheet1!$N$4:$Q$186,4,FALSE))</f>
        <v>16509.793289700785</v>
      </c>
      <c r="G1551" s="4">
        <f>IF(Dashboard!$J$5=VLOOKUP(tblSalaries[[#This Row],[Currency]],Sheet3!$A$2:$B$31,2,FALSE),tblSalaries[[#This Row],[clean Salary (in local currency)]],(tblSalaries[[#This Row],[PPP Adjusted  USD]]/VLOOKUP(Dashboard!$J$5,Sheet3!$B$2:$C$31,2,FALSE)))</f>
        <v>16509.793289700785</v>
      </c>
      <c r="H1551" t="s">
        <v>2042</v>
      </c>
      <c r="I1551" t="s">
        <v>603</v>
      </c>
      <c r="J1551" t="s">
        <v>1557</v>
      </c>
      <c r="K1551" t="s">
        <v>617</v>
      </c>
      <c r="L1551">
        <v>10</v>
      </c>
    </row>
    <row r="1552" spans="2:12" ht="15" customHeight="1">
      <c r="B1552" t="s">
        <v>2258</v>
      </c>
      <c r="C1552">
        <v>15000</v>
      </c>
      <c r="D1552" t="s">
        <v>200</v>
      </c>
      <c r="E1552">
        <v>19055.991584874118</v>
      </c>
      <c r="F1552" s="3">
        <f>(tblSalaries[[#This Row],[clean Salary (in local currency)]])*(VLOOKUP(tblSalaries[[#This Row],[Currency]],Sheet3!$A$2:$C$31,3,FALSE))*(VLOOKUP(tblSalaries[[#This Row],[Currency]],Sheet1!$N$4:$Q$186,4,FALSE))</f>
        <v>16509.793289700785</v>
      </c>
      <c r="G1552" s="4">
        <f>IF(Dashboard!$J$5=VLOOKUP(tblSalaries[[#This Row],[Currency]],Sheet3!$A$2:$B$31,2,FALSE),tblSalaries[[#This Row],[clean Salary (in local currency)]],(tblSalaries[[#This Row],[PPP Adjusted  USD]]/VLOOKUP(Dashboard!$J$5,Sheet3!$B$2:$C$31,2,FALSE)))</f>
        <v>16509.793289700785</v>
      </c>
      <c r="H1552" t="s">
        <v>2259</v>
      </c>
      <c r="I1552" t="s">
        <v>603</v>
      </c>
      <c r="J1552" t="s">
        <v>2260</v>
      </c>
      <c r="K1552" t="s">
        <v>605</v>
      </c>
      <c r="L1552">
        <v>4</v>
      </c>
    </row>
    <row r="1553" spans="2:12" ht="15" customHeight="1">
      <c r="B1553" t="s">
        <v>2687</v>
      </c>
      <c r="C1553">
        <v>15000</v>
      </c>
      <c r="D1553" t="s">
        <v>200</v>
      </c>
      <c r="E1553">
        <v>19055.991584874118</v>
      </c>
      <c r="F1553" s="3">
        <f>(tblSalaries[[#This Row],[clean Salary (in local currency)]])*(VLOOKUP(tblSalaries[[#This Row],[Currency]],Sheet3!$A$2:$C$31,3,FALSE))*(VLOOKUP(tblSalaries[[#This Row],[Currency]],Sheet1!$N$4:$Q$186,4,FALSE))</f>
        <v>16509.793289700785</v>
      </c>
      <c r="G1553" s="4">
        <f>IF(Dashboard!$J$5=VLOOKUP(tblSalaries[[#This Row],[Currency]],Sheet3!$A$2:$B$31,2,FALSE),tblSalaries[[#This Row],[clean Salary (in local currency)]],(tblSalaries[[#This Row],[PPP Adjusted  USD]]/VLOOKUP(Dashboard!$J$5,Sheet3!$B$2:$C$31,2,FALSE)))</f>
        <v>16509.793289700785</v>
      </c>
      <c r="H1553" t="s">
        <v>2688</v>
      </c>
      <c r="I1553" t="s">
        <v>692</v>
      </c>
      <c r="J1553" t="s">
        <v>2010</v>
      </c>
      <c r="K1553" t="s">
        <v>605</v>
      </c>
      <c r="L1553">
        <v>3</v>
      </c>
    </row>
    <row r="1554" spans="2:12" ht="15" customHeight="1">
      <c r="B1554" t="s">
        <v>2223</v>
      </c>
      <c r="C1554">
        <v>16350</v>
      </c>
      <c r="D1554" t="s">
        <v>252</v>
      </c>
      <c r="E1554">
        <v>16350</v>
      </c>
      <c r="F1554" s="3">
        <f>(tblSalaries[[#This Row],[clean Salary (in local currency)]])*(VLOOKUP(tblSalaries[[#This Row],[Currency]],Sheet3!$A$2:$C$31,3,FALSE))*(VLOOKUP(tblSalaries[[#This Row],[Currency]],Sheet1!$N$4:$Q$186,4,FALSE))</f>
        <v>16350</v>
      </c>
      <c r="G1554" s="4">
        <f>IF(Dashboard!$J$5=VLOOKUP(tblSalaries[[#This Row],[Currency]],Sheet3!$A$2:$B$31,2,FALSE),tblSalaries[[#This Row],[clean Salary (in local currency)]],(tblSalaries[[#This Row],[PPP Adjusted  USD]]/VLOOKUP(Dashboard!$J$5,Sheet3!$B$2:$C$31,2,FALSE)))</f>
        <v>16350</v>
      </c>
      <c r="H1554" t="s">
        <v>1940</v>
      </c>
      <c r="I1554" t="s">
        <v>625</v>
      </c>
      <c r="J1554" t="s">
        <v>604</v>
      </c>
      <c r="K1554" t="s">
        <v>605</v>
      </c>
      <c r="L1554">
        <v>5</v>
      </c>
    </row>
    <row r="1555" spans="2:12" ht="15" customHeight="1">
      <c r="B1555" t="s">
        <v>3735</v>
      </c>
      <c r="C1555">
        <v>16110</v>
      </c>
      <c r="D1555" t="s">
        <v>252</v>
      </c>
      <c r="E1555">
        <v>16110</v>
      </c>
      <c r="F1555" s="3">
        <f>(tblSalaries[[#This Row],[clean Salary (in local currency)]])*(VLOOKUP(tblSalaries[[#This Row],[Currency]],Sheet3!$A$2:$C$31,3,FALSE))*(VLOOKUP(tblSalaries[[#This Row],[Currency]],Sheet1!$N$4:$Q$186,4,FALSE))</f>
        <v>16110</v>
      </c>
      <c r="G1555" s="4">
        <f>IF(Dashboard!$J$5=VLOOKUP(tblSalaries[[#This Row],[Currency]],Sheet3!$A$2:$B$31,2,FALSE),tblSalaries[[#This Row],[clean Salary (in local currency)]],(tblSalaries[[#This Row],[PPP Adjusted  USD]]/VLOOKUP(Dashboard!$J$5,Sheet3!$B$2:$C$31,2,FALSE)))</f>
        <v>16110</v>
      </c>
      <c r="H1555" t="s">
        <v>3736</v>
      </c>
      <c r="I1555" t="s">
        <v>603</v>
      </c>
      <c r="J1555" t="s">
        <v>859</v>
      </c>
      <c r="K1555" t="s">
        <v>610</v>
      </c>
      <c r="L1555">
        <v>10</v>
      </c>
    </row>
    <row r="1556" spans="2:12" ht="15" customHeight="1">
      <c r="B1556" t="s">
        <v>3404</v>
      </c>
      <c r="C1556">
        <v>340000</v>
      </c>
      <c r="D1556" t="s">
        <v>247</v>
      </c>
      <c r="E1556">
        <v>6054.6916737304728</v>
      </c>
      <c r="F1556" s="3">
        <f>(tblSalaries[[#This Row],[clean Salary (in local currency)]])*(VLOOKUP(tblSalaries[[#This Row],[Currency]],Sheet3!$A$2:$C$31,3,FALSE))*(VLOOKUP(tblSalaries[[#This Row],[Currency]],Sheet1!$N$4:$Q$186,4,FALSE))</f>
        <v>16102.747598557473</v>
      </c>
      <c r="G1556" s="4">
        <f>IF(Dashboard!$J$5=VLOOKUP(tblSalaries[[#This Row],[Currency]],Sheet3!$A$2:$B$31,2,FALSE),tblSalaries[[#This Row],[clean Salary (in local currency)]],(tblSalaries[[#This Row],[PPP Adjusted  USD]]/VLOOKUP(Dashboard!$J$5,Sheet3!$B$2:$C$31,2,FALSE)))</f>
        <v>16102.747598557473</v>
      </c>
      <c r="H1556" t="s">
        <v>2190</v>
      </c>
      <c r="I1556" t="s">
        <v>625</v>
      </c>
      <c r="J1556" t="s">
        <v>604</v>
      </c>
      <c r="K1556" t="s">
        <v>605</v>
      </c>
      <c r="L1556">
        <v>5</v>
      </c>
    </row>
    <row r="1557" spans="2:12" ht="15" customHeight="1">
      <c r="B1557" t="s">
        <v>1189</v>
      </c>
      <c r="C1557">
        <v>16000</v>
      </c>
      <c r="D1557" t="s">
        <v>252</v>
      </c>
      <c r="E1557">
        <v>16000</v>
      </c>
      <c r="F1557" s="3">
        <f>(tblSalaries[[#This Row],[clean Salary (in local currency)]])*(VLOOKUP(tblSalaries[[#This Row],[Currency]],Sheet3!$A$2:$C$31,3,FALSE))*(VLOOKUP(tblSalaries[[#This Row],[Currency]],Sheet1!$N$4:$Q$186,4,FALSE))</f>
        <v>16000</v>
      </c>
      <c r="G1557" s="4">
        <f>IF(Dashboard!$J$5=VLOOKUP(tblSalaries[[#This Row],[Currency]],Sheet3!$A$2:$B$31,2,FALSE),tblSalaries[[#This Row],[clean Salary (in local currency)]],(tblSalaries[[#This Row],[PPP Adjusted  USD]]/VLOOKUP(Dashboard!$J$5,Sheet3!$B$2:$C$31,2,FALSE)))</f>
        <v>16000</v>
      </c>
      <c r="H1557" t="s">
        <v>1190</v>
      </c>
      <c r="I1557" t="s">
        <v>633</v>
      </c>
      <c r="J1557" t="s">
        <v>613</v>
      </c>
      <c r="K1557" t="s">
        <v>627</v>
      </c>
      <c r="L1557" t="s">
        <v>3847</v>
      </c>
    </row>
    <row r="1558" spans="2:12" ht="15" customHeight="1">
      <c r="B1558" t="s">
        <v>1957</v>
      </c>
      <c r="C1558">
        <v>16000</v>
      </c>
      <c r="D1558" t="s">
        <v>252</v>
      </c>
      <c r="E1558">
        <v>16000</v>
      </c>
      <c r="F1558" s="3">
        <f>(tblSalaries[[#This Row],[clean Salary (in local currency)]])*(VLOOKUP(tblSalaries[[#This Row],[Currency]],Sheet3!$A$2:$C$31,3,FALSE))*(VLOOKUP(tblSalaries[[#This Row],[Currency]],Sheet1!$N$4:$Q$186,4,FALSE))</f>
        <v>16000</v>
      </c>
      <c r="G1558" s="4">
        <f>IF(Dashboard!$J$5=VLOOKUP(tblSalaries[[#This Row],[Currency]],Sheet3!$A$2:$B$31,2,FALSE),tblSalaries[[#This Row],[clean Salary (in local currency)]],(tblSalaries[[#This Row],[PPP Adjusted  USD]]/VLOOKUP(Dashboard!$J$5,Sheet3!$B$2:$C$31,2,FALSE)))</f>
        <v>16000</v>
      </c>
      <c r="H1558" t="s">
        <v>620</v>
      </c>
      <c r="I1558" t="s">
        <v>620</v>
      </c>
      <c r="J1558" t="s">
        <v>604</v>
      </c>
      <c r="K1558" t="s">
        <v>617</v>
      </c>
      <c r="L1558">
        <v>5</v>
      </c>
    </row>
    <row r="1559" spans="2:12" ht="15" customHeight="1">
      <c r="B1559" t="s">
        <v>2022</v>
      </c>
      <c r="C1559">
        <v>16000</v>
      </c>
      <c r="D1559" t="s">
        <v>252</v>
      </c>
      <c r="E1559">
        <v>16000</v>
      </c>
      <c r="F1559" s="3">
        <f>(tblSalaries[[#This Row],[clean Salary (in local currency)]])*(VLOOKUP(tblSalaries[[#This Row],[Currency]],Sheet3!$A$2:$C$31,3,FALSE))*(VLOOKUP(tblSalaries[[#This Row],[Currency]],Sheet1!$N$4:$Q$186,4,FALSE))</f>
        <v>16000</v>
      </c>
      <c r="G1559" s="4">
        <f>IF(Dashboard!$J$5=VLOOKUP(tblSalaries[[#This Row],[Currency]],Sheet3!$A$2:$B$31,2,FALSE),tblSalaries[[#This Row],[clean Salary (in local currency)]],(tblSalaries[[#This Row],[PPP Adjusted  USD]]/VLOOKUP(Dashboard!$J$5,Sheet3!$B$2:$C$31,2,FALSE)))</f>
        <v>16000</v>
      </c>
      <c r="H1559" t="s">
        <v>2023</v>
      </c>
      <c r="I1559" t="s">
        <v>658</v>
      </c>
      <c r="J1559" t="s">
        <v>604</v>
      </c>
      <c r="K1559" t="s">
        <v>610</v>
      </c>
      <c r="L1559">
        <v>1</v>
      </c>
    </row>
    <row r="1560" spans="2:12" ht="15" customHeight="1">
      <c r="B1560" t="s">
        <v>3372</v>
      </c>
      <c r="C1560">
        <v>288000</v>
      </c>
      <c r="D1560" t="s">
        <v>427</v>
      </c>
      <c r="E1560">
        <v>9376.2513877177607</v>
      </c>
      <c r="F1560" s="3">
        <f>(tblSalaries[[#This Row],[clean Salary (in local currency)]])*(VLOOKUP(tblSalaries[[#This Row],[Currency]],Sheet3!$A$2:$C$31,3,FALSE))*(VLOOKUP(tblSalaries[[#This Row],[Currency]],Sheet1!$N$4:$Q$186,4,FALSE))</f>
        <v>15976.011822650717</v>
      </c>
      <c r="G1560" s="4">
        <f>IF(Dashboard!$J$5=VLOOKUP(tblSalaries[[#This Row],[Currency]],Sheet3!$A$2:$B$31,2,FALSE),tblSalaries[[#This Row],[clean Salary (in local currency)]],(tblSalaries[[#This Row],[PPP Adjusted  USD]]/VLOOKUP(Dashboard!$J$5,Sheet3!$B$2:$C$31,2,FALSE)))</f>
        <v>15976.011822650717</v>
      </c>
      <c r="H1560" t="s">
        <v>3373</v>
      </c>
      <c r="I1560" t="s">
        <v>620</v>
      </c>
      <c r="J1560" t="s">
        <v>3374</v>
      </c>
      <c r="K1560" t="s">
        <v>605</v>
      </c>
      <c r="L1560">
        <v>7</v>
      </c>
    </row>
    <row r="1561" spans="2:12" ht="15" customHeight="1">
      <c r="B1561" t="s">
        <v>902</v>
      </c>
      <c r="C1561">
        <v>336000</v>
      </c>
      <c r="D1561" t="s">
        <v>247</v>
      </c>
      <c r="E1561">
        <v>5983.4600069807029</v>
      </c>
      <c r="F1561" s="3">
        <f>(tblSalaries[[#This Row],[clean Salary (in local currency)]])*(VLOOKUP(tblSalaries[[#This Row],[Currency]],Sheet3!$A$2:$C$31,3,FALSE))*(VLOOKUP(tblSalaries[[#This Row],[Currency]],Sheet1!$N$4:$Q$186,4,FALSE))</f>
        <v>15913.303509162681</v>
      </c>
      <c r="G1561" s="4">
        <f>IF(Dashboard!$J$5=VLOOKUP(tblSalaries[[#This Row],[Currency]],Sheet3!$A$2:$B$31,2,FALSE),tblSalaries[[#This Row],[clean Salary (in local currency)]],(tblSalaries[[#This Row],[PPP Adjusted  USD]]/VLOOKUP(Dashboard!$J$5,Sheet3!$B$2:$C$31,2,FALSE)))</f>
        <v>15913.303509162681</v>
      </c>
      <c r="H1561" t="s">
        <v>903</v>
      </c>
      <c r="I1561" t="s">
        <v>658</v>
      </c>
      <c r="J1561" t="s">
        <v>604</v>
      </c>
      <c r="K1561" t="s">
        <v>605</v>
      </c>
      <c r="L1561" t="s">
        <v>3847</v>
      </c>
    </row>
    <row r="1562" spans="2:12" ht="15" customHeight="1">
      <c r="B1562" t="s">
        <v>3285</v>
      </c>
      <c r="C1562">
        <v>15840</v>
      </c>
      <c r="D1562" t="s">
        <v>252</v>
      </c>
      <c r="E1562">
        <v>15840</v>
      </c>
      <c r="F1562" s="3">
        <f>(tblSalaries[[#This Row],[clean Salary (in local currency)]])*(VLOOKUP(tblSalaries[[#This Row],[Currency]],Sheet3!$A$2:$C$31,3,FALSE))*(VLOOKUP(tblSalaries[[#This Row],[Currency]],Sheet1!$N$4:$Q$186,4,FALSE))</f>
        <v>15840</v>
      </c>
      <c r="G1562" s="4">
        <f>IF(Dashboard!$J$5=VLOOKUP(tblSalaries[[#This Row],[Currency]],Sheet3!$A$2:$B$31,2,FALSE),tblSalaries[[#This Row],[clean Salary (in local currency)]],(tblSalaries[[#This Row],[PPP Adjusted  USD]]/VLOOKUP(Dashboard!$J$5,Sheet3!$B$2:$C$31,2,FALSE)))</f>
        <v>15840</v>
      </c>
      <c r="H1562" t="s">
        <v>3286</v>
      </c>
      <c r="I1562" t="s">
        <v>603</v>
      </c>
      <c r="J1562" t="s">
        <v>3287</v>
      </c>
      <c r="K1562" t="s">
        <v>610</v>
      </c>
      <c r="L1562">
        <v>8</v>
      </c>
    </row>
    <row r="1563" spans="2:12" ht="15" customHeight="1">
      <c r="B1563" t="s">
        <v>1216</v>
      </c>
      <c r="C1563">
        <v>150000</v>
      </c>
      <c r="D1563" t="s">
        <v>429</v>
      </c>
      <c r="E1563">
        <v>10956.982885192734</v>
      </c>
      <c r="F1563" s="3">
        <f>(tblSalaries[[#This Row],[clean Salary (in local currency)]])*(VLOOKUP(tblSalaries[[#This Row],[Currency]],Sheet3!$A$2:$C$31,3,FALSE))*(VLOOKUP(tblSalaries[[#This Row],[Currency]],Sheet1!$N$4:$Q$186,4,FALSE))</f>
        <v>15766.204797911692</v>
      </c>
      <c r="G1563" s="4">
        <f>IF(Dashboard!$J$5=VLOOKUP(tblSalaries[[#This Row],[Currency]],Sheet3!$A$2:$B$31,2,FALSE),tblSalaries[[#This Row],[clean Salary (in local currency)]],(tblSalaries[[#This Row],[PPP Adjusted  USD]]/VLOOKUP(Dashboard!$J$5,Sheet3!$B$2:$C$31,2,FALSE)))</f>
        <v>15766.204797911692</v>
      </c>
      <c r="H1563" t="s">
        <v>1217</v>
      </c>
      <c r="I1563" t="s">
        <v>603</v>
      </c>
      <c r="J1563" t="s">
        <v>833</v>
      </c>
      <c r="K1563" t="s">
        <v>610</v>
      </c>
      <c r="L1563" t="s">
        <v>3847</v>
      </c>
    </row>
    <row r="1564" spans="2:12" ht="15" customHeight="1">
      <c r="B1564" t="s">
        <v>1648</v>
      </c>
      <c r="C1564">
        <v>15600</v>
      </c>
      <c r="D1564" t="s">
        <v>252</v>
      </c>
      <c r="E1564">
        <v>15600</v>
      </c>
      <c r="F1564" s="3">
        <f>(tblSalaries[[#This Row],[clean Salary (in local currency)]])*(VLOOKUP(tblSalaries[[#This Row],[Currency]],Sheet3!$A$2:$C$31,3,FALSE))*(VLOOKUP(tblSalaries[[#This Row],[Currency]],Sheet1!$N$4:$Q$186,4,FALSE))</f>
        <v>15600</v>
      </c>
      <c r="G1564" s="4">
        <f>IF(Dashboard!$J$5=VLOOKUP(tblSalaries[[#This Row],[Currency]],Sheet3!$A$2:$B$31,2,FALSE),tblSalaries[[#This Row],[clean Salary (in local currency)]],(tblSalaries[[#This Row],[PPP Adjusted  USD]]/VLOOKUP(Dashboard!$J$5,Sheet3!$B$2:$C$31,2,FALSE)))</f>
        <v>15600</v>
      </c>
      <c r="H1564" t="s">
        <v>1649</v>
      </c>
      <c r="I1564" t="s">
        <v>608</v>
      </c>
      <c r="J1564" t="s">
        <v>795</v>
      </c>
      <c r="K1564" t="s">
        <v>605</v>
      </c>
      <c r="L1564">
        <v>20</v>
      </c>
    </row>
    <row r="1565" spans="2:12" ht="15" customHeight="1">
      <c r="B1565" t="s">
        <v>2216</v>
      </c>
      <c r="C1565">
        <v>15600</v>
      </c>
      <c r="D1565" t="s">
        <v>252</v>
      </c>
      <c r="E1565">
        <v>15600</v>
      </c>
      <c r="F1565" s="3">
        <f>(tblSalaries[[#This Row],[clean Salary (in local currency)]])*(VLOOKUP(tblSalaries[[#This Row],[Currency]],Sheet3!$A$2:$C$31,3,FALSE))*(VLOOKUP(tblSalaries[[#This Row],[Currency]],Sheet1!$N$4:$Q$186,4,FALSE))</f>
        <v>15600</v>
      </c>
      <c r="G1565" s="4">
        <f>IF(Dashboard!$J$5=VLOOKUP(tblSalaries[[#This Row],[Currency]],Sheet3!$A$2:$B$31,2,FALSE),tblSalaries[[#This Row],[clean Salary (in local currency)]],(tblSalaries[[#This Row],[PPP Adjusted  USD]]/VLOOKUP(Dashboard!$J$5,Sheet3!$B$2:$C$31,2,FALSE)))</f>
        <v>15600</v>
      </c>
      <c r="H1565" t="s">
        <v>2217</v>
      </c>
      <c r="I1565" t="s">
        <v>608</v>
      </c>
      <c r="J1565" t="s">
        <v>2218</v>
      </c>
      <c r="K1565" t="s">
        <v>605</v>
      </c>
      <c r="L1565">
        <v>13</v>
      </c>
    </row>
    <row r="1566" spans="2:12" ht="15" customHeight="1">
      <c r="B1566" t="s">
        <v>928</v>
      </c>
      <c r="C1566">
        <v>15500</v>
      </c>
      <c r="D1566" t="s">
        <v>252</v>
      </c>
      <c r="E1566">
        <v>15500</v>
      </c>
      <c r="F1566" s="3">
        <f>(tblSalaries[[#This Row],[clean Salary (in local currency)]])*(VLOOKUP(tblSalaries[[#This Row],[Currency]],Sheet3!$A$2:$C$31,3,FALSE))*(VLOOKUP(tblSalaries[[#This Row],[Currency]],Sheet1!$N$4:$Q$186,4,FALSE))</f>
        <v>15500</v>
      </c>
      <c r="G1566" s="4">
        <f>IF(Dashboard!$J$5=VLOOKUP(tblSalaries[[#This Row],[Currency]],Sheet3!$A$2:$B$31,2,FALSE),tblSalaries[[#This Row],[clean Salary (in local currency)]],(tblSalaries[[#This Row],[PPP Adjusted  USD]]/VLOOKUP(Dashboard!$J$5,Sheet3!$B$2:$C$31,2,FALSE)))</f>
        <v>15500</v>
      </c>
      <c r="H1566" t="s">
        <v>929</v>
      </c>
      <c r="I1566" t="s">
        <v>637</v>
      </c>
      <c r="J1566" t="s">
        <v>833</v>
      </c>
      <c r="K1566" t="s">
        <v>610</v>
      </c>
      <c r="L1566" t="s">
        <v>3847</v>
      </c>
    </row>
    <row r="1567" spans="2:12" ht="15" customHeight="1">
      <c r="B1567" t="s">
        <v>2081</v>
      </c>
      <c r="C1567">
        <v>15500</v>
      </c>
      <c r="D1567" t="s">
        <v>252</v>
      </c>
      <c r="E1567">
        <v>15500</v>
      </c>
      <c r="F1567" s="3">
        <f>(tblSalaries[[#This Row],[clean Salary (in local currency)]])*(VLOOKUP(tblSalaries[[#This Row],[Currency]],Sheet3!$A$2:$C$31,3,FALSE))*(VLOOKUP(tblSalaries[[#This Row],[Currency]],Sheet1!$N$4:$Q$186,4,FALSE))</f>
        <v>15500</v>
      </c>
      <c r="G1567" s="4">
        <f>IF(Dashboard!$J$5=VLOOKUP(tblSalaries[[#This Row],[Currency]],Sheet3!$A$2:$B$31,2,FALSE),tblSalaries[[#This Row],[clean Salary (in local currency)]],(tblSalaries[[#This Row],[PPP Adjusted  USD]]/VLOOKUP(Dashboard!$J$5,Sheet3!$B$2:$C$31,2,FALSE)))</f>
        <v>15500</v>
      </c>
      <c r="H1567" t="s">
        <v>620</v>
      </c>
      <c r="I1567" t="s">
        <v>620</v>
      </c>
      <c r="J1567" t="s">
        <v>604</v>
      </c>
      <c r="K1567" t="s">
        <v>627</v>
      </c>
      <c r="L1567">
        <v>3</v>
      </c>
    </row>
    <row r="1568" spans="2:12" ht="15" customHeight="1">
      <c r="B1568" t="s">
        <v>1835</v>
      </c>
      <c r="C1568">
        <v>325000</v>
      </c>
      <c r="D1568" t="s">
        <v>247</v>
      </c>
      <c r="E1568">
        <v>5787.5729234188348</v>
      </c>
      <c r="F1568" s="3">
        <f>(tblSalaries[[#This Row],[clean Salary (in local currency)]])*(VLOOKUP(tblSalaries[[#This Row],[Currency]],Sheet3!$A$2:$C$31,3,FALSE))*(VLOOKUP(tblSalaries[[#This Row],[Currency]],Sheet1!$N$4:$Q$186,4,FALSE))</f>
        <v>15392.332263326998</v>
      </c>
      <c r="G1568" s="4">
        <f>IF(Dashboard!$J$5=VLOOKUP(tblSalaries[[#This Row],[Currency]],Sheet3!$A$2:$B$31,2,FALSE),tblSalaries[[#This Row],[clean Salary (in local currency)]],(tblSalaries[[#This Row],[PPP Adjusted  USD]]/VLOOKUP(Dashboard!$J$5,Sheet3!$B$2:$C$31,2,FALSE)))</f>
        <v>15392.332263326998</v>
      </c>
      <c r="H1568" t="s">
        <v>1747</v>
      </c>
      <c r="I1568" t="s">
        <v>658</v>
      </c>
      <c r="J1568" t="s">
        <v>604</v>
      </c>
      <c r="K1568" t="s">
        <v>610</v>
      </c>
      <c r="L1568">
        <v>4.5</v>
      </c>
    </row>
    <row r="1569" spans="2:12" ht="15" customHeight="1">
      <c r="B1569" t="s">
        <v>3107</v>
      </c>
      <c r="C1569">
        <v>320000</v>
      </c>
      <c r="D1569" t="s">
        <v>247</v>
      </c>
      <c r="E1569">
        <v>5698.5333399816218</v>
      </c>
      <c r="F1569" s="3">
        <f>(tblSalaries[[#This Row],[clean Salary (in local currency)]])*(VLOOKUP(tblSalaries[[#This Row],[Currency]],Sheet3!$A$2:$C$31,3,FALSE))*(VLOOKUP(tblSalaries[[#This Row],[Currency]],Sheet1!$N$4:$Q$186,4,FALSE))</f>
        <v>15155.527151583505</v>
      </c>
      <c r="G1569" s="4">
        <f>IF(Dashboard!$J$5=VLOOKUP(tblSalaries[[#This Row],[Currency]],Sheet3!$A$2:$B$31,2,FALSE),tblSalaries[[#This Row],[clean Salary (in local currency)]],(tblSalaries[[#This Row],[PPP Adjusted  USD]]/VLOOKUP(Dashboard!$J$5,Sheet3!$B$2:$C$31,2,FALSE)))</f>
        <v>15155.527151583505</v>
      </c>
      <c r="H1569" t="s">
        <v>603</v>
      </c>
      <c r="I1569" t="s">
        <v>603</v>
      </c>
      <c r="J1569" t="s">
        <v>604</v>
      </c>
      <c r="K1569" t="s">
        <v>617</v>
      </c>
      <c r="L1569">
        <v>2</v>
      </c>
    </row>
    <row r="1570" spans="2:12" ht="15" customHeight="1">
      <c r="B1570" t="s">
        <v>3371</v>
      </c>
      <c r="C1570">
        <v>320000</v>
      </c>
      <c r="D1570" t="s">
        <v>247</v>
      </c>
      <c r="E1570">
        <v>5698.5333399816218</v>
      </c>
      <c r="F1570" s="3">
        <f>(tblSalaries[[#This Row],[clean Salary (in local currency)]])*(VLOOKUP(tblSalaries[[#This Row],[Currency]],Sheet3!$A$2:$C$31,3,FALSE))*(VLOOKUP(tblSalaries[[#This Row],[Currency]],Sheet1!$N$4:$Q$186,4,FALSE))</f>
        <v>15155.527151583505</v>
      </c>
      <c r="G1570" s="4">
        <f>IF(Dashboard!$J$5=VLOOKUP(tblSalaries[[#This Row],[Currency]],Sheet3!$A$2:$B$31,2,FALSE),tblSalaries[[#This Row],[clean Salary (in local currency)]],(tblSalaries[[#This Row],[PPP Adjusted  USD]]/VLOOKUP(Dashboard!$J$5,Sheet3!$B$2:$C$31,2,FALSE)))</f>
        <v>15155.527151583505</v>
      </c>
      <c r="H1570" t="s">
        <v>1885</v>
      </c>
      <c r="I1570" t="s">
        <v>625</v>
      </c>
      <c r="J1570" t="s">
        <v>604</v>
      </c>
      <c r="K1570" t="s">
        <v>605</v>
      </c>
      <c r="L1570">
        <v>5</v>
      </c>
    </row>
    <row r="1571" spans="2:12" ht="15" customHeight="1">
      <c r="B1571" t="s">
        <v>3422</v>
      </c>
      <c r="C1571">
        <v>320000</v>
      </c>
      <c r="D1571" t="s">
        <v>247</v>
      </c>
      <c r="E1571">
        <v>5698.5333399816218</v>
      </c>
      <c r="F1571" s="3">
        <f>(tblSalaries[[#This Row],[clean Salary (in local currency)]])*(VLOOKUP(tblSalaries[[#This Row],[Currency]],Sheet3!$A$2:$C$31,3,FALSE))*(VLOOKUP(tblSalaries[[#This Row],[Currency]],Sheet1!$N$4:$Q$186,4,FALSE))</f>
        <v>15155.527151583505</v>
      </c>
      <c r="G1571" s="4">
        <f>IF(Dashboard!$J$5=VLOOKUP(tblSalaries[[#This Row],[Currency]],Sheet3!$A$2:$B$31,2,FALSE),tblSalaries[[#This Row],[clean Salary (in local currency)]],(tblSalaries[[#This Row],[PPP Adjusted  USD]]/VLOOKUP(Dashboard!$J$5,Sheet3!$B$2:$C$31,2,FALSE)))</f>
        <v>15155.527151583505</v>
      </c>
      <c r="H1571" t="s">
        <v>1626</v>
      </c>
      <c r="I1571" t="s">
        <v>603</v>
      </c>
      <c r="J1571" t="s">
        <v>604</v>
      </c>
      <c r="K1571" t="s">
        <v>605</v>
      </c>
      <c r="L1571">
        <v>2.5</v>
      </c>
    </row>
    <row r="1572" spans="2:12" ht="15" customHeight="1">
      <c r="B1572" t="s">
        <v>606</v>
      </c>
      <c r="C1572">
        <v>15000</v>
      </c>
      <c r="D1572" t="s">
        <v>252</v>
      </c>
      <c r="E1572">
        <v>15000</v>
      </c>
      <c r="F1572" s="3">
        <f>(tblSalaries[[#This Row],[clean Salary (in local currency)]])*(VLOOKUP(tblSalaries[[#This Row],[Currency]],Sheet3!$A$2:$C$31,3,FALSE))*(VLOOKUP(tblSalaries[[#This Row],[Currency]],Sheet1!$N$4:$Q$186,4,FALSE))</f>
        <v>15000</v>
      </c>
      <c r="G1572" s="4">
        <f>IF(Dashboard!$J$5=VLOOKUP(tblSalaries[[#This Row],[Currency]],Sheet3!$A$2:$B$31,2,FALSE),tblSalaries[[#This Row],[clean Salary (in local currency)]],(tblSalaries[[#This Row],[PPP Adjusted  USD]]/VLOOKUP(Dashboard!$J$5,Sheet3!$B$2:$C$31,2,FALSE)))</f>
        <v>15000</v>
      </c>
      <c r="H1572" t="s">
        <v>607</v>
      </c>
      <c r="I1572" t="s">
        <v>608</v>
      </c>
      <c r="J1572" t="s">
        <v>609</v>
      </c>
      <c r="K1572" t="s">
        <v>610</v>
      </c>
      <c r="L1572" t="s">
        <v>3847</v>
      </c>
    </row>
    <row r="1573" spans="2:12" ht="15" customHeight="1">
      <c r="B1573" t="s">
        <v>773</v>
      </c>
      <c r="C1573">
        <v>15000</v>
      </c>
      <c r="D1573" t="s">
        <v>252</v>
      </c>
      <c r="E1573">
        <v>15000</v>
      </c>
      <c r="F1573" s="3">
        <f>(tblSalaries[[#This Row],[clean Salary (in local currency)]])*(VLOOKUP(tblSalaries[[#This Row],[Currency]],Sheet3!$A$2:$C$31,3,FALSE))*(VLOOKUP(tblSalaries[[#This Row],[Currency]],Sheet1!$N$4:$Q$186,4,FALSE))</f>
        <v>15000</v>
      </c>
      <c r="G1573" s="4">
        <f>IF(Dashboard!$J$5=VLOOKUP(tblSalaries[[#This Row],[Currency]],Sheet3!$A$2:$B$31,2,FALSE),tblSalaries[[#This Row],[clean Salary (in local currency)]],(tblSalaries[[#This Row],[PPP Adjusted  USD]]/VLOOKUP(Dashboard!$J$5,Sheet3!$B$2:$C$31,2,FALSE)))</f>
        <v>15000</v>
      </c>
      <c r="H1573" t="s">
        <v>774</v>
      </c>
      <c r="I1573" t="s">
        <v>692</v>
      </c>
      <c r="J1573" t="s">
        <v>613</v>
      </c>
      <c r="K1573" t="s">
        <v>610</v>
      </c>
      <c r="L1573" t="s">
        <v>3847</v>
      </c>
    </row>
    <row r="1574" spans="2:12" ht="15" customHeight="1">
      <c r="B1574" t="s">
        <v>1160</v>
      </c>
      <c r="C1574">
        <v>15000</v>
      </c>
      <c r="D1574" t="s">
        <v>252</v>
      </c>
      <c r="E1574">
        <v>15000</v>
      </c>
      <c r="F1574" s="3">
        <f>(tblSalaries[[#This Row],[clean Salary (in local currency)]])*(VLOOKUP(tblSalaries[[#This Row],[Currency]],Sheet3!$A$2:$C$31,3,FALSE))*(VLOOKUP(tblSalaries[[#This Row],[Currency]],Sheet1!$N$4:$Q$186,4,FALSE))</f>
        <v>15000</v>
      </c>
      <c r="G1574" s="4">
        <f>IF(Dashboard!$J$5=VLOOKUP(tblSalaries[[#This Row],[Currency]],Sheet3!$A$2:$B$31,2,FALSE),tblSalaries[[#This Row],[clean Salary (in local currency)]],(tblSalaries[[#This Row],[PPP Adjusted  USD]]/VLOOKUP(Dashboard!$J$5,Sheet3!$B$2:$C$31,2,FALSE)))</f>
        <v>15000</v>
      </c>
      <c r="H1574" t="s">
        <v>1161</v>
      </c>
      <c r="I1574" t="s">
        <v>625</v>
      </c>
      <c r="J1574" t="s">
        <v>613</v>
      </c>
      <c r="K1574" t="s">
        <v>617</v>
      </c>
      <c r="L1574" t="s">
        <v>3847</v>
      </c>
    </row>
    <row r="1575" spans="2:12" ht="15" customHeight="1">
      <c r="B1575" t="s">
        <v>1336</v>
      </c>
      <c r="C1575">
        <v>15000</v>
      </c>
      <c r="D1575" t="s">
        <v>252</v>
      </c>
      <c r="E1575">
        <v>15000</v>
      </c>
      <c r="F1575" s="3">
        <f>(tblSalaries[[#This Row],[clean Salary (in local currency)]])*(VLOOKUP(tblSalaries[[#This Row],[Currency]],Sheet3!$A$2:$C$31,3,FALSE))*(VLOOKUP(tblSalaries[[#This Row],[Currency]],Sheet1!$N$4:$Q$186,4,FALSE))</f>
        <v>15000</v>
      </c>
      <c r="G1575" s="4">
        <f>IF(Dashboard!$J$5=VLOOKUP(tblSalaries[[#This Row],[Currency]],Sheet3!$A$2:$B$31,2,FALSE),tblSalaries[[#This Row],[clean Salary (in local currency)]],(tblSalaries[[#This Row],[PPP Adjusted  USD]]/VLOOKUP(Dashboard!$J$5,Sheet3!$B$2:$C$31,2,FALSE)))</f>
        <v>15000</v>
      </c>
      <c r="H1575" t="s">
        <v>1337</v>
      </c>
      <c r="I1575" t="s">
        <v>658</v>
      </c>
      <c r="J1575" t="s">
        <v>630</v>
      </c>
      <c r="K1575" t="s">
        <v>617</v>
      </c>
      <c r="L1575" t="s">
        <v>3847</v>
      </c>
    </row>
    <row r="1576" spans="2:12" ht="15" customHeight="1">
      <c r="B1576" t="s">
        <v>1578</v>
      </c>
      <c r="C1576">
        <v>15000</v>
      </c>
      <c r="D1576" t="s">
        <v>252</v>
      </c>
      <c r="E1576">
        <v>15000</v>
      </c>
      <c r="F1576" s="3">
        <f>(tblSalaries[[#This Row],[clean Salary (in local currency)]])*(VLOOKUP(tblSalaries[[#This Row],[Currency]],Sheet3!$A$2:$C$31,3,FALSE))*(VLOOKUP(tblSalaries[[#This Row],[Currency]],Sheet1!$N$4:$Q$186,4,FALSE))</f>
        <v>15000</v>
      </c>
      <c r="G1576" s="4">
        <f>IF(Dashboard!$J$5=VLOOKUP(tblSalaries[[#This Row],[Currency]],Sheet3!$A$2:$B$31,2,FALSE),tblSalaries[[#This Row],[clean Salary (in local currency)]],(tblSalaries[[#This Row],[PPP Adjusted  USD]]/VLOOKUP(Dashboard!$J$5,Sheet3!$B$2:$C$31,2,FALSE)))</f>
        <v>15000</v>
      </c>
      <c r="H1576" t="s">
        <v>1579</v>
      </c>
      <c r="I1576" t="s">
        <v>625</v>
      </c>
      <c r="J1576" t="s">
        <v>604</v>
      </c>
      <c r="K1576" t="s">
        <v>605</v>
      </c>
      <c r="L1576" t="s">
        <v>3847</v>
      </c>
    </row>
    <row r="1577" spans="2:12" ht="15" customHeight="1">
      <c r="B1577" t="s">
        <v>1805</v>
      </c>
      <c r="C1577">
        <v>15000</v>
      </c>
      <c r="D1577" t="s">
        <v>252</v>
      </c>
      <c r="E1577">
        <v>15000</v>
      </c>
      <c r="F1577" s="3">
        <f>(tblSalaries[[#This Row],[clean Salary (in local currency)]])*(VLOOKUP(tblSalaries[[#This Row],[Currency]],Sheet3!$A$2:$C$31,3,FALSE))*(VLOOKUP(tblSalaries[[#This Row],[Currency]],Sheet1!$N$4:$Q$186,4,FALSE))</f>
        <v>15000</v>
      </c>
      <c r="G1577" s="4">
        <f>IF(Dashboard!$J$5=VLOOKUP(tblSalaries[[#This Row],[Currency]],Sheet3!$A$2:$B$31,2,FALSE),tblSalaries[[#This Row],[clean Salary (in local currency)]],(tblSalaries[[#This Row],[PPP Adjusted  USD]]/VLOOKUP(Dashboard!$J$5,Sheet3!$B$2:$C$31,2,FALSE)))</f>
        <v>15000</v>
      </c>
      <c r="H1577" t="s">
        <v>1747</v>
      </c>
      <c r="I1577" t="s">
        <v>658</v>
      </c>
      <c r="J1577" t="s">
        <v>604</v>
      </c>
      <c r="K1577" t="s">
        <v>610</v>
      </c>
      <c r="L1577">
        <v>2</v>
      </c>
    </row>
    <row r="1578" spans="2:12" ht="15" customHeight="1">
      <c r="B1578" t="s">
        <v>1831</v>
      </c>
      <c r="C1578">
        <v>15000</v>
      </c>
      <c r="D1578" t="s">
        <v>252</v>
      </c>
      <c r="E1578">
        <v>15000</v>
      </c>
      <c r="F1578" s="3">
        <f>(tblSalaries[[#This Row],[clean Salary (in local currency)]])*(VLOOKUP(tblSalaries[[#This Row],[Currency]],Sheet3!$A$2:$C$31,3,FALSE))*(VLOOKUP(tblSalaries[[#This Row],[Currency]],Sheet1!$N$4:$Q$186,4,FALSE))</f>
        <v>15000</v>
      </c>
      <c r="G1578" s="4">
        <f>IF(Dashboard!$J$5=VLOOKUP(tblSalaries[[#This Row],[Currency]],Sheet3!$A$2:$B$31,2,FALSE),tblSalaries[[#This Row],[clean Salary (in local currency)]],(tblSalaries[[#This Row],[PPP Adjusted  USD]]/VLOOKUP(Dashboard!$J$5,Sheet3!$B$2:$C$31,2,FALSE)))</f>
        <v>15000</v>
      </c>
      <c r="H1578" t="s">
        <v>1832</v>
      </c>
      <c r="I1578" t="s">
        <v>603</v>
      </c>
      <c r="J1578" t="s">
        <v>1758</v>
      </c>
      <c r="K1578" t="s">
        <v>605</v>
      </c>
      <c r="L1578">
        <v>1</v>
      </c>
    </row>
    <row r="1579" spans="2:12" ht="15" customHeight="1">
      <c r="B1579" t="s">
        <v>1895</v>
      </c>
      <c r="C1579">
        <v>15000</v>
      </c>
      <c r="D1579" t="s">
        <v>252</v>
      </c>
      <c r="E1579">
        <v>15000</v>
      </c>
      <c r="F1579" s="3">
        <f>(tblSalaries[[#This Row],[clean Salary (in local currency)]])*(VLOOKUP(tblSalaries[[#This Row],[Currency]],Sheet3!$A$2:$C$31,3,FALSE))*(VLOOKUP(tblSalaries[[#This Row],[Currency]],Sheet1!$N$4:$Q$186,4,FALSE))</f>
        <v>15000</v>
      </c>
      <c r="G1579" s="4">
        <f>IF(Dashboard!$J$5=VLOOKUP(tblSalaries[[#This Row],[Currency]],Sheet3!$A$2:$B$31,2,FALSE),tblSalaries[[#This Row],[clean Salary (in local currency)]],(tblSalaries[[#This Row],[PPP Adjusted  USD]]/VLOOKUP(Dashboard!$J$5,Sheet3!$B$2:$C$31,2,FALSE)))</f>
        <v>15000</v>
      </c>
      <c r="H1579" t="s">
        <v>1896</v>
      </c>
      <c r="I1579" t="s">
        <v>637</v>
      </c>
      <c r="J1579" t="s">
        <v>1897</v>
      </c>
      <c r="K1579" t="s">
        <v>605</v>
      </c>
      <c r="L1579">
        <v>2</v>
      </c>
    </row>
    <row r="1580" spans="2:12" ht="15" customHeight="1">
      <c r="B1580" t="s">
        <v>1948</v>
      </c>
      <c r="C1580">
        <v>15000</v>
      </c>
      <c r="D1580" t="s">
        <v>252</v>
      </c>
      <c r="E1580">
        <v>15000</v>
      </c>
      <c r="F1580" s="3">
        <f>(tblSalaries[[#This Row],[clean Salary (in local currency)]])*(VLOOKUP(tblSalaries[[#This Row],[Currency]],Sheet3!$A$2:$C$31,3,FALSE))*(VLOOKUP(tblSalaries[[#This Row],[Currency]],Sheet1!$N$4:$Q$186,4,FALSE))</f>
        <v>15000</v>
      </c>
      <c r="G1580" s="4">
        <f>IF(Dashboard!$J$5=VLOOKUP(tblSalaries[[#This Row],[Currency]],Sheet3!$A$2:$B$31,2,FALSE),tblSalaries[[#This Row],[clean Salary (in local currency)]],(tblSalaries[[#This Row],[PPP Adjusted  USD]]/VLOOKUP(Dashboard!$J$5,Sheet3!$B$2:$C$31,2,FALSE)))</f>
        <v>15000</v>
      </c>
      <c r="H1580" t="s">
        <v>1949</v>
      </c>
      <c r="I1580" t="s">
        <v>608</v>
      </c>
      <c r="J1580" t="s">
        <v>604</v>
      </c>
      <c r="K1580" t="s">
        <v>617</v>
      </c>
      <c r="L1580">
        <v>2</v>
      </c>
    </row>
    <row r="1581" spans="2:12" ht="15" customHeight="1">
      <c r="B1581" t="s">
        <v>2315</v>
      </c>
      <c r="C1581">
        <v>15000</v>
      </c>
      <c r="D1581" t="s">
        <v>252</v>
      </c>
      <c r="E1581">
        <v>15000</v>
      </c>
      <c r="F1581" s="3">
        <f>(tblSalaries[[#This Row],[clean Salary (in local currency)]])*(VLOOKUP(tblSalaries[[#This Row],[Currency]],Sheet3!$A$2:$C$31,3,FALSE))*(VLOOKUP(tblSalaries[[#This Row],[Currency]],Sheet1!$N$4:$Q$186,4,FALSE))</f>
        <v>15000</v>
      </c>
      <c r="G1581" s="4">
        <f>IF(Dashboard!$J$5=VLOOKUP(tblSalaries[[#This Row],[Currency]],Sheet3!$A$2:$B$31,2,FALSE),tblSalaries[[#This Row],[clean Salary (in local currency)]],(tblSalaries[[#This Row],[PPP Adjusted  USD]]/VLOOKUP(Dashboard!$J$5,Sheet3!$B$2:$C$31,2,FALSE)))</f>
        <v>15000</v>
      </c>
      <c r="H1581" t="s">
        <v>2316</v>
      </c>
      <c r="I1581" t="s">
        <v>603</v>
      </c>
      <c r="J1581" t="s">
        <v>604</v>
      </c>
      <c r="K1581" t="s">
        <v>617</v>
      </c>
      <c r="L1581">
        <v>2</v>
      </c>
    </row>
    <row r="1582" spans="2:12" ht="15" customHeight="1">
      <c r="B1582" t="s">
        <v>2389</v>
      </c>
      <c r="C1582">
        <v>15000</v>
      </c>
      <c r="D1582" t="s">
        <v>252</v>
      </c>
      <c r="E1582">
        <v>15000</v>
      </c>
      <c r="F1582" s="3">
        <f>(tblSalaries[[#This Row],[clean Salary (in local currency)]])*(VLOOKUP(tblSalaries[[#This Row],[Currency]],Sheet3!$A$2:$C$31,3,FALSE))*(VLOOKUP(tblSalaries[[#This Row],[Currency]],Sheet1!$N$4:$Q$186,4,FALSE))</f>
        <v>15000</v>
      </c>
      <c r="G1582" s="4">
        <f>IF(Dashboard!$J$5=VLOOKUP(tblSalaries[[#This Row],[Currency]],Sheet3!$A$2:$B$31,2,FALSE),tblSalaries[[#This Row],[clean Salary (in local currency)]],(tblSalaries[[#This Row],[PPP Adjusted  USD]]/VLOOKUP(Dashboard!$J$5,Sheet3!$B$2:$C$31,2,FALSE)))</f>
        <v>15000</v>
      </c>
      <c r="H1582" t="s">
        <v>2390</v>
      </c>
      <c r="I1582" t="s">
        <v>625</v>
      </c>
      <c r="J1582" t="s">
        <v>604</v>
      </c>
      <c r="K1582" t="s">
        <v>605</v>
      </c>
      <c r="L1582">
        <v>4</v>
      </c>
    </row>
    <row r="1583" spans="2:12" ht="15" customHeight="1">
      <c r="B1583" t="s">
        <v>2834</v>
      </c>
      <c r="C1583">
        <v>15000</v>
      </c>
      <c r="D1583" t="s">
        <v>252</v>
      </c>
      <c r="E1583">
        <v>15000</v>
      </c>
      <c r="F1583" s="3">
        <f>(tblSalaries[[#This Row],[clean Salary (in local currency)]])*(VLOOKUP(tblSalaries[[#This Row],[Currency]],Sheet3!$A$2:$C$31,3,FALSE))*(VLOOKUP(tblSalaries[[#This Row],[Currency]],Sheet1!$N$4:$Q$186,4,FALSE))</f>
        <v>15000</v>
      </c>
      <c r="G1583" s="4">
        <f>IF(Dashboard!$J$5=VLOOKUP(tblSalaries[[#This Row],[Currency]],Sheet3!$A$2:$B$31,2,FALSE),tblSalaries[[#This Row],[clean Salary (in local currency)]],(tblSalaries[[#This Row],[PPP Adjusted  USD]]/VLOOKUP(Dashboard!$J$5,Sheet3!$B$2:$C$31,2,FALSE)))</f>
        <v>15000</v>
      </c>
      <c r="H1583" t="s">
        <v>2835</v>
      </c>
      <c r="I1583" t="s">
        <v>625</v>
      </c>
      <c r="J1583" t="s">
        <v>2836</v>
      </c>
      <c r="K1583" t="s">
        <v>605</v>
      </c>
      <c r="L1583">
        <v>10</v>
      </c>
    </row>
    <row r="1584" spans="2:12" ht="15" customHeight="1">
      <c r="B1584" t="s">
        <v>3167</v>
      </c>
      <c r="C1584">
        <v>15000</v>
      </c>
      <c r="D1584" t="s">
        <v>252</v>
      </c>
      <c r="E1584">
        <v>15000</v>
      </c>
      <c r="F1584" s="3">
        <f>(tblSalaries[[#This Row],[clean Salary (in local currency)]])*(VLOOKUP(tblSalaries[[#This Row],[Currency]],Sheet3!$A$2:$C$31,3,FALSE))*(VLOOKUP(tblSalaries[[#This Row],[Currency]],Sheet1!$N$4:$Q$186,4,FALSE))</f>
        <v>15000</v>
      </c>
      <c r="G1584" s="4">
        <f>IF(Dashboard!$J$5=VLOOKUP(tblSalaries[[#This Row],[Currency]],Sheet3!$A$2:$B$31,2,FALSE),tblSalaries[[#This Row],[clean Salary (in local currency)]],(tblSalaries[[#This Row],[PPP Adjusted  USD]]/VLOOKUP(Dashboard!$J$5,Sheet3!$B$2:$C$31,2,FALSE)))</f>
        <v>15000</v>
      </c>
      <c r="H1584" t="s">
        <v>625</v>
      </c>
      <c r="I1584" t="s">
        <v>625</v>
      </c>
      <c r="J1584" t="s">
        <v>1385</v>
      </c>
      <c r="K1584" t="s">
        <v>617</v>
      </c>
      <c r="L1584">
        <v>5</v>
      </c>
    </row>
    <row r="1585" spans="2:12" ht="15" customHeight="1">
      <c r="B1585" t="s">
        <v>3282</v>
      </c>
      <c r="C1585">
        <v>15000</v>
      </c>
      <c r="D1585" t="s">
        <v>252</v>
      </c>
      <c r="E1585">
        <v>15000</v>
      </c>
      <c r="F1585" s="3">
        <f>(tblSalaries[[#This Row],[clean Salary (in local currency)]])*(VLOOKUP(tblSalaries[[#This Row],[Currency]],Sheet3!$A$2:$C$31,3,FALSE))*(VLOOKUP(tblSalaries[[#This Row],[Currency]],Sheet1!$N$4:$Q$186,4,FALSE))</f>
        <v>15000</v>
      </c>
      <c r="G1585" s="4">
        <f>IF(Dashboard!$J$5=VLOOKUP(tblSalaries[[#This Row],[Currency]],Sheet3!$A$2:$B$31,2,FALSE),tblSalaries[[#This Row],[clean Salary (in local currency)]],(tblSalaries[[#This Row],[PPP Adjusted  USD]]/VLOOKUP(Dashboard!$J$5,Sheet3!$B$2:$C$31,2,FALSE)))</f>
        <v>15000</v>
      </c>
      <c r="H1585" t="s">
        <v>2094</v>
      </c>
      <c r="I1585" t="s">
        <v>603</v>
      </c>
      <c r="J1585" t="s">
        <v>613</v>
      </c>
      <c r="K1585" t="s">
        <v>610</v>
      </c>
      <c r="L1585">
        <v>8</v>
      </c>
    </row>
    <row r="1586" spans="2:12" ht="15" customHeight="1">
      <c r="B1586" t="s">
        <v>3356</v>
      </c>
      <c r="C1586">
        <v>15000</v>
      </c>
      <c r="D1586" t="s">
        <v>252</v>
      </c>
      <c r="E1586">
        <v>15000</v>
      </c>
      <c r="F1586" s="3">
        <f>(tblSalaries[[#This Row],[clean Salary (in local currency)]])*(VLOOKUP(tblSalaries[[#This Row],[Currency]],Sheet3!$A$2:$C$31,3,FALSE))*(VLOOKUP(tblSalaries[[#This Row],[Currency]],Sheet1!$N$4:$Q$186,4,FALSE))</f>
        <v>15000</v>
      </c>
      <c r="G1586" s="4">
        <f>IF(Dashboard!$J$5=VLOOKUP(tblSalaries[[#This Row],[Currency]],Sheet3!$A$2:$B$31,2,FALSE),tblSalaries[[#This Row],[clean Salary (in local currency)]],(tblSalaries[[#This Row],[PPP Adjusted  USD]]/VLOOKUP(Dashboard!$J$5,Sheet3!$B$2:$C$31,2,FALSE)))</f>
        <v>15000</v>
      </c>
      <c r="H1586" t="s">
        <v>3357</v>
      </c>
      <c r="I1586" t="s">
        <v>603</v>
      </c>
      <c r="J1586" t="s">
        <v>604</v>
      </c>
      <c r="K1586" t="s">
        <v>605</v>
      </c>
      <c r="L1586">
        <v>5</v>
      </c>
    </row>
    <row r="1587" spans="2:12" ht="15" customHeight="1">
      <c r="B1587" t="s">
        <v>3395</v>
      </c>
      <c r="C1587">
        <v>15000</v>
      </c>
      <c r="D1587" t="s">
        <v>252</v>
      </c>
      <c r="E1587">
        <v>15000</v>
      </c>
      <c r="F1587" s="3">
        <f>(tblSalaries[[#This Row],[clean Salary (in local currency)]])*(VLOOKUP(tblSalaries[[#This Row],[Currency]],Sheet3!$A$2:$C$31,3,FALSE))*(VLOOKUP(tblSalaries[[#This Row],[Currency]],Sheet1!$N$4:$Q$186,4,FALSE))</f>
        <v>15000</v>
      </c>
      <c r="G1587" s="4">
        <f>IF(Dashboard!$J$5=VLOOKUP(tblSalaries[[#This Row],[Currency]],Sheet3!$A$2:$B$31,2,FALSE),tblSalaries[[#This Row],[clean Salary (in local currency)]],(tblSalaries[[#This Row],[PPP Adjusted  USD]]/VLOOKUP(Dashboard!$J$5,Sheet3!$B$2:$C$31,2,FALSE)))</f>
        <v>15000</v>
      </c>
      <c r="H1587" t="s">
        <v>3396</v>
      </c>
      <c r="I1587" t="s">
        <v>603</v>
      </c>
      <c r="J1587" t="s">
        <v>616</v>
      </c>
      <c r="K1587" t="s">
        <v>605</v>
      </c>
      <c r="L1587">
        <v>5</v>
      </c>
    </row>
    <row r="1588" spans="2:12" ht="15" customHeight="1">
      <c r="B1588" t="s">
        <v>3683</v>
      </c>
      <c r="C1588">
        <v>15000</v>
      </c>
      <c r="D1588" t="s">
        <v>252</v>
      </c>
      <c r="E1588">
        <v>15000</v>
      </c>
      <c r="F1588" s="3">
        <f>(tblSalaries[[#This Row],[clean Salary (in local currency)]])*(VLOOKUP(tblSalaries[[#This Row],[Currency]],Sheet3!$A$2:$C$31,3,FALSE))*(VLOOKUP(tblSalaries[[#This Row],[Currency]],Sheet1!$N$4:$Q$186,4,FALSE))</f>
        <v>15000</v>
      </c>
      <c r="G1588" s="4">
        <f>IF(Dashboard!$J$5=VLOOKUP(tblSalaries[[#This Row],[Currency]],Sheet3!$A$2:$B$31,2,FALSE),tblSalaries[[#This Row],[clean Salary (in local currency)]],(tblSalaries[[#This Row],[PPP Adjusted  USD]]/VLOOKUP(Dashboard!$J$5,Sheet3!$B$2:$C$31,2,FALSE)))</f>
        <v>15000</v>
      </c>
      <c r="H1588" t="s">
        <v>2162</v>
      </c>
      <c r="I1588" t="s">
        <v>603</v>
      </c>
      <c r="J1588" t="s">
        <v>604</v>
      </c>
      <c r="K1588" t="s">
        <v>617</v>
      </c>
      <c r="L1588">
        <v>0.3</v>
      </c>
    </row>
    <row r="1589" spans="2:12" ht="15" customHeight="1">
      <c r="B1589" t="s">
        <v>1987</v>
      </c>
      <c r="C1589">
        <v>14960</v>
      </c>
      <c r="D1589" t="s">
        <v>252</v>
      </c>
      <c r="E1589">
        <v>14960</v>
      </c>
      <c r="F1589" s="3">
        <f>(tblSalaries[[#This Row],[clean Salary (in local currency)]])*(VLOOKUP(tblSalaries[[#This Row],[Currency]],Sheet3!$A$2:$C$31,3,FALSE))*(VLOOKUP(tblSalaries[[#This Row],[Currency]],Sheet1!$N$4:$Q$186,4,FALSE))</f>
        <v>14960</v>
      </c>
      <c r="G1589" s="4">
        <f>IF(Dashboard!$J$5=VLOOKUP(tblSalaries[[#This Row],[Currency]],Sheet3!$A$2:$B$31,2,FALSE),tblSalaries[[#This Row],[clean Salary (in local currency)]],(tblSalaries[[#This Row],[PPP Adjusted  USD]]/VLOOKUP(Dashboard!$J$5,Sheet3!$B$2:$C$31,2,FALSE)))</f>
        <v>14960</v>
      </c>
      <c r="H1589" t="s">
        <v>1988</v>
      </c>
      <c r="I1589" t="s">
        <v>608</v>
      </c>
      <c r="J1589" t="s">
        <v>780</v>
      </c>
      <c r="K1589" t="s">
        <v>610</v>
      </c>
      <c r="L1589">
        <v>2</v>
      </c>
    </row>
    <row r="1590" spans="2:12" ht="15" customHeight="1">
      <c r="B1590" t="s">
        <v>2885</v>
      </c>
      <c r="C1590">
        <v>314000</v>
      </c>
      <c r="D1590" t="s">
        <v>247</v>
      </c>
      <c r="E1590">
        <v>5591.6858398569666</v>
      </c>
      <c r="F1590" s="3">
        <f>(tblSalaries[[#This Row],[clean Salary (in local currency)]])*(VLOOKUP(tblSalaries[[#This Row],[Currency]],Sheet3!$A$2:$C$31,3,FALSE))*(VLOOKUP(tblSalaries[[#This Row],[Currency]],Sheet1!$N$4:$Q$186,4,FALSE))</f>
        <v>14871.361017491316</v>
      </c>
      <c r="G1590" s="4">
        <f>IF(Dashboard!$J$5=VLOOKUP(tblSalaries[[#This Row],[Currency]],Sheet3!$A$2:$B$31,2,FALSE),tblSalaries[[#This Row],[clean Salary (in local currency)]],(tblSalaries[[#This Row],[PPP Adjusted  USD]]/VLOOKUP(Dashboard!$J$5,Sheet3!$B$2:$C$31,2,FALSE)))</f>
        <v>14871.361017491316</v>
      </c>
      <c r="H1590" t="s">
        <v>2886</v>
      </c>
      <c r="I1590" t="s">
        <v>625</v>
      </c>
      <c r="J1590" t="s">
        <v>604</v>
      </c>
      <c r="K1590" t="s">
        <v>627</v>
      </c>
      <c r="L1590">
        <v>0.1</v>
      </c>
    </row>
    <row r="1591" spans="2:12" ht="15" customHeight="1">
      <c r="B1591" t="s">
        <v>1616</v>
      </c>
      <c r="C1591">
        <v>600000</v>
      </c>
      <c r="D1591" t="s">
        <v>461</v>
      </c>
      <c r="E1591">
        <v>6368.453230079479</v>
      </c>
      <c r="F1591" s="3">
        <f>(tblSalaries[[#This Row],[clean Salary (in local currency)]])*(VLOOKUP(tblSalaries[[#This Row],[Currency]],Sheet3!$A$2:$C$31,3,FALSE))*(VLOOKUP(tblSalaries[[#This Row],[Currency]],Sheet1!$N$4:$Q$186,4,FALSE))</f>
        <v>14776.834242718347</v>
      </c>
      <c r="G1591" s="4">
        <f>IF(Dashboard!$J$5=VLOOKUP(tblSalaries[[#This Row],[Currency]],Sheet3!$A$2:$B$31,2,FALSE),tblSalaries[[#This Row],[clean Salary (in local currency)]],(tblSalaries[[#This Row],[PPP Adjusted  USD]]/VLOOKUP(Dashboard!$J$5,Sheet3!$B$2:$C$31,2,FALSE)))</f>
        <v>14776.834242718347</v>
      </c>
      <c r="H1591" t="s">
        <v>1617</v>
      </c>
      <c r="I1591" t="s">
        <v>692</v>
      </c>
      <c r="J1591" t="s">
        <v>616</v>
      </c>
      <c r="K1591" t="s">
        <v>605</v>
      </c>
      <c r="L1591" t="s">
        <v>3847</v>
      </c>
    </row>
    <row r="1592" spans="2:12" ht="15" customHeight="1">
      <c r="B1592" t="s">
        <v>3155</v>
      </c>
      <c r="C1592">
        <v>10000</v>
      </c>
      <c r="D1592" t="s">
        <v>204</v>
      </c>
      <c r="E1592">
        <v>15761.782720672842</v>
      </c>
      <c r="F1592" s="3">
        <f>(tblSalaries[[#This Row],[clean Salary (in local currency)]])*(VLOOKUP(tblSalaries[[#This Row],[Currency]],Sheet3!$A$2:$C$31,3,FALSE))*(VLOOKUP(tblSalaries[[#This Row],[Currency]],Sheet1!$N$4:$Q$186,4,FALSE))</f>
        <v>14739.712049804275</v>
      </c>
      <c r="G1592" s="4">
        <f>IF(Dashboard!$J$5=VLOOKUP(tblSalaries[[#This Row],[Currency]],Sheet3!$A$2:$B$31,2,FALSE),tblSalaries[[#This Row],[clean Salary (in local currency)]],(tblSalaries[[#This Row],[PPP Adjusted  USD]]/VLOOKUP(Dashboard!$J$5,Sheet3!$B$2:$C$31,2,FALSE)))</f>
        <v>14739.712049804275</v>
      </c>
      <c r="H1592" t="s">
        <v>603</v>
      </c>
      <c r="I1592" t="s">
        <v>603</v>
      </c>
      <c r="J1592" t="s">
        <v>687</v>
      </c>
      <c r="K1592" t="s">
        <v>617</v>
      </c>
      <c r="L1592">
        <v>8</v>
      </c>
    </row>
    <row r="1593" spans="2:12" ht="15" customHeight="1">
      <c r="B1593" t="s">
        <v>704</v>
      </c>
      <c r="C1593">
        <v>14500</v>
      </c>
      <c r="D1593" t="s">
        <v>252</v>
      </c>
      <c r="E1593">
        <v>14500</v>
      </c>
      <c r="F1593" s="3">
        <f>(tblSalaries[[#This Row],[clean Salary (in local currency)]])*(VLOOKUP(tblSalaries[[#This Row],[Currency]],Sheet3!$A$2:$C$31,3,FALSE))*(VLOOKUP(tblSalaries[[#This Row],[Currency]],Sheet1!$N$4:$Q$186,4,FALSE))</f>
        <v>14500</v>
      </c>
      <c r="G1593" s="4">
        <f>IF(Dashboard!$J$5=VLOOKUP(tblSalaries[[#This Row],[Currency]],Sheet3!$A$2:$B$31,2,FALSE),tblSalaries[[#This Row],[clean Salary (in local currency)]],(tblSalaries[[#This Row],[PPP Adjusted  USD]]/VLOOKUP(Dashboard!$J$5,Sheet3!$B$2:$C$31,2,FALSE)))</f>
        <v>14500</v>
      </c>
      <c r="H1593" t="s">
        <v>705</v>
      </c>
      <c r="I1593" t="s">
        <v>603</v>
      </c>
      <c r="J1593" t="s">
        <v>604</v>
      </c>
      <c r="K1593" t="s">
        <v>605</v>
      </c>
      <c r="L1593" t="s">
        <v>3847</v>
      </c>
    </row>
    <row r="1594" spans="2:12" ht="15" customHeight="1">
      <c r="B1594" t="s">
        <v>3259</v>
      </c>
      <c r="C1594">
        <v>14400</v>
      </c>
      <c r="D1594" t="s">
        <v>252</v>
      </c>
      <c r="E1594">
        <v>14400</v>
      </c>
      <c r="F1594" s="3">
        <f>(tblSalaries[[#This Row],[clean Salary (in local currency)]])*(VLOOKUP(tblSalaries[[#This Row],[Currency]],Sheet3!$A$2:$C$31,3,FALSE))*(VLOOKUP(tblSalaries[[#This Row],[Currency]],Sheet1!$N$4:$Q$186,4,FALSE))</f>
        <v>14400</v>
      </c>
      <c r="G1594" s="4">
        <f>IF(Dashboard!$J$5=VLOOKUP(tblSalaries[[#This Row],[Currency]],Sheet3!$A$2:$B$31,2,FALSE),tblSalaries[[#This Row],[clean Salary (in local currency)]],(tblSalaries[[#This Row],[PPP Adjusted  USD]]/VLOOKUP(Dashboard!$J$5,Sheet3!$B$2:$C$31,2,FALSE)))</f>
        <v>14400</v>
      </c>
      <c r="H1594" t="s">
        <v>3260</v>
      </c>
      <c r="I1594" t="s">
        <v>603</v>
      </c>
      <c r="J1594" t="s">
        <v>3261</v>
      </c>
      <c r="K1594" t="s">
        <v>610</v>
      </c>
      <c r="L1594">
        <v>15</v>
      </c>
    </row>
    <row r="1595" spans="2:12" ht="15" customHeight="1">
      <c r="B1595" t="s">
        <v>3509</v>
      </c>
      <c r="C1595">
        <v>14400</v>
      </c>
      <c r="D1595" t="s">
        <v>252</v>
      </c>
      <c r="E1595">
        <v>14400</v>
      </c>
      <c r="F1595" s="3">
        <f>(tblSalaries[[#This Row],[clean Salary (in local currency)]])*(VLOOKUP(tblSalaries[[#This Row],[Currency]],Sheet3!$A$2:$C$31,3,FALSE))*(VLOOKUP(tblSalaries[[#This Row],[Currency]],Sheet1!$N$4:$Q$186,4,FALSE))</f>
        <v>14400</v>
      </c>
      <c r="G1595" s="4">
        <f>IF(Dashboard!$J$5=VLOOKUP(tblSalaries[[#This Row],[Currency]],Sheet3!$A$2:$B$31,2,FALSE),tblSalaries[[#This Row],[clean Salary (in local currency)]],(tblSalaries[[#This Row],[PPP Adjusted  USD]]/VLOOKUP(Dashboard!$J$5,Sheet3!$B$2:$C$31,2,FALSE)))</f>
        <v>14400</v>
      </c>
      <c r="H1595" t="s">
        <v>620</v>
      </c>
      <c r="I1595" t="s">
        <v>620</v>
      </c>
      <c r="J1595" t="s">
        <v>604</v>
      </c>
      <c r="K1595" t="s">
        <v>627</v>
      </c>
      <c r="L1595">
        <v>8</v>
      </c>
    </row>
    <row r="1596" spans="2:12" ht="15" customHeight="1">
      <c r="B1596" t="s">
        <v>1374</v>
      </c>
      <c r="C1596">
        <v>300000</v>
      </c>
      <c r="D1596" t="s">
        <v>247</v>
      </c>
      <c r="E1596">
        <v>5342.3750062327708</v>
      </c>
      <c r="F1596" s="3">
        <f>(tblSalaries[[#This Row],[clean Salary (in local currency)]])*(VLOOKUP(tblSalaries[[#This Row],[Currency]],Sheet3!$A$2:$C$31,3,FALSE))*(VLOOKUP(tblSalaries[[#This Row],[Currency]],Sheet1!$N$4:$Q$186,4,FALSE))</f>
        <v>14208.306704609538</v>
      </c>
      <c r="G1596" s="4">
        <f>IF(Dashboard!$J$5=VLOOKUP(tblSalaries[[#This Row],[Currency]],Sheet3!$A$2:$B$31,2,FALSE),tblSalaries[[#This Row],[clean Salary (in local currency)]],(tblSalaries[[#This Row],[PPP Adjusted  USD]]/VLOOKUP(Dashboard!$J$5,Sheet3!$B$2:$C$31,2,FALSE)))</f>
        <v>14208.306704609538</v>
      </c>
      <c r="H1596" t="s">
        <v>1375</v>
      </c>
      <c r="I1596" t="s">
        <v>620</v>
      </c>
      <c r="J1596" t="s">
        <v>604</v>
      </c>
      <c r="K1596" t="s">
        <v>627</v>
      </c>
      <c r="L1596" t="s">
        <v>3847</v>
      </c>
    </row>
    <row r="1597" spans="2:12" ht="15" customHeight="1">
      <c r="B1597" t="s">
        <v>1442</v>
      </c>
      <c r="C1597">
        <v>300000</v>
      </c>
      <c r="D1597" t="s">
        <v>247</v>
      </c>
      <c r="E1597">
        <v>5342.3750062327708</v>
      </c>
      <c r="F1597" s="3">
        <f>(tblSalaries[[#This Row],[clean Salary (in local currency)]])*(VLOOKUP(tblSalaries[[#This Row],[Currency]],Sheet3!$A$2:$C$31,3,FALSE))*(VLOOKUP(tblSalaries[[#This Row],[Currency]],Sheet1!$N$4:$Q$186,4,FALSE))</f>
        <v>14208.306704609538</v>
      </c>
      <c r="G1597" s="4">
        <f>IF(Dashboard!$J$5=VLOOKUP(tblSalaries[[#This Row],[Currency]],Sheet3!$A$2:$B$31,2,FALSE),tblSalaries[[#This Row],[clean Salary (in local currency)]],(tblSalaries[[#This Row],[PPP Adjusted  USD]]/VLOOKUP(Dashboard!$J$5,Sheet3!$B$2:$C$31,2,FALSE)))</f>
        <v>14208.306704609538</v>
      </c>
      <c r="H1597" t="s">
        <v>1443</v>
      </c>
      <c r="I1597" t="s">
        <v>625</v>
      </c>
      <c r="J1597" t="s">
        <v>604</v>
      </c>
      <c r="K1597" t="s">
        <v>605</v>
      </c>
      <c r="L1597" t="s">
        <v>3847</v>
      </c>
    </row>
    <row r="1598" spans="2:12" ht="15" customHeight="1">
      <c r="B1598" t="s">
        <v>1775</v>
      </c>
      <c r="C1598">
        <v>300000</v>
      </c>
      <c r="D1598" t="s">
        <v>247</v>
      </c>
      <c r="E1598">
        <v>5342.3750062327708</v>
      </c>
      <c r="F1598" s="3">
        <f>(tblSalaries[[#This Row],[clean Salary (in local currency)]])*(VLOOKUP(tblSalaries[[#This Row],[Currency]],Sheet3!$A$2:$C$31,3,FALSE))*(VLOOKUP(tblSalaries[[#This Row],[Currency]],Sheet1!$N$4:$Q$186,4,FALSE))</f>
        <v>14208.306704609538</v>
      </c>
      <c r="G1598" s="4">
        <f>IF(Dashboard!$J$5=VLOOKUP(tblSalaries[[#This Row],[Currency]],Sheet3!$A$2:$B$31,2,FALSE),tblSalaries[[#This Row],[clean Salary (in local currency)]],(tblSalaries[[#This Row],[PPP Adjusted  USD]]/VLOOKUP(Dashboard!$J$5,Sheet3!$B$2:$C$31,2,FALSE)))</f>
        <v>14208.306704609538</v>
      </c>
      <c r="H1598" t="s">
        <v>1776</v>
      </c>
      <c r="I1598" t="s">
        <v>620</v>
      </c>
      <c r="J1598" t="s">
        <v>604</v>
      </c>
      <c r="K1598" t="s">
        <v>610</v>
      </c>
      <c r="L1598">
        <v>2</v>
      </c>
    </row>
    <row r="1599" spans="2:12" ht="15" customHeight="1">
      <c r="B1599" t="s">
        <v>1783</v>
      </c>
      <c r="C1599">
        <v>300000</v>
      </c>
      <c r="D1599" t="s">
        <v>247</v>
      </c>
      <c r="E1599">
        <v>5342.3750062327708</v>
      </c>
      <c r="F1599" s="3">
        <f>(tblSalaries[[#This Row],[clean Salary (in local currency)]])*(VLOOKUP(tblSalaries[[#This Row],[Currency]],Sheet3!$A$2:$C$31,3,FALSE))*(VLOOKUP(tblSalaries[[#This Row],[Currency]],Sheet1!$N$4:$Q$186,4,FALSE))</f>
        <v>14208.306704609538</v>
      </c>
      <c r="G1599" s="4">
        <f>IF(Dashboard!$J$5=VLOOKUP(tblSalaries[[#This Row],[Currency]],Sheet3!$A$2:$B$31,2,FALSE),tblSalaries[[#This Row],[clean Salary (in local currency)]],(tblSalaries[[#This Row],[PPP Adjusted  USD]]/VLOOKUP(Dashboard!$J$5,Sheet3!$B$2:$C$31,2,FALSE)))</f>
        <v>14208.306704609538</v>
      </c>
      <c r="H1599" t="s">
        <v>1166</v>
      </c>
      <c r="I1599" t="s">
        <v>658</v>
      </c>
      <c r="J1599" t="s">
        <v>604</v>
      </c>
      <c r="K1599" t="s">
        <v>605</v>
      </c>
      <c r="L1599">
        <v>1</v>
      </c>
    </row>
    <row r="1600" spans="2:12" ht="15" customHeight="1">
      <c r="B1600" t="s">
        <v>1815</v>
      </c>
      <c r="C1600">
        <v>300000</v>
      </c>
      <c r="D1600" t="s">
        <v>247</v>
      </c>
      <c r="E1600">
        <v>5342.3750062327708</v>
      </c>
      <c r="F1600" s="3">
        <f>(tblSalaries[[#This Row],[clean Salary (in local currency)]])*(VLOOKUP(tblSalaries[[#This Row],[Currency]],Sheet3!$A$2:$C$31,3,FALSE))*(VLOOKUP(tblSalaries[[#This Row],[Currency]],Sheet1!$N$4:$Q$186,4,FALSE))</f>
        <v>14208.306704609538</v>
      </c>
      <c r="G1600" s="4">
        <f>IF(Dashboard!$J$5=VLOOKUP(tblSalaries[[#This Row],[Currency]],Sheet3!$A$2:$B$31,2,FALSE),tblSalaries[[#This Row],[clean Salary (in local currency)]],(tblSalaries[[#This Row],[PPP Adjusted  USD]]/VLOOKUP(Dashboard!$J$5,Sheet3!$B$2:$C$31,2,FALSE)))</f>
        <v>14208.306704609538</v>
      </c>
      <c r="H1600" t="s">
        <v>1816</v>
      </c>
      <c r="I1600" t="s">
        <v>603</v>
      </c>
      <c r="J1600" t="s">
        <v>604</v>
      </c>
      <c r="K1600" t="s">
        <v>605</v>
      </c>
      <c r="L1600">
        <v>4.5</v>
      </c>
    </row>
    <row r="1601" spans="2:12" ht="15" customHeight="1">
      <c r="B1601" t="s">
        <v>1858</v>
      </c>
      <c r="C1601">
        <v>300000</v>
      </c>
      <c r="D1601" t="s">
        <v>247</v>
      </c>
      <c r="E1601">
        <v>5342.3750062327708</v>
      </c>
      <c r="F1601" s="3">
        <f>(tblSalaries[[#This Row],[clean Salary (in local currency)]])*(VLOOKUP(tblSalaries[[#This Row],[Currency]],Sheet3!$A$2:$C$31,3,FALSE))*(VLOOKUP(tblSalaries[[#This Row],[Currency]],Sheet1!$N$4:$Q$186,4,FALSE))</f>
        <v>14208.306704609538</v>
      </c>
      <c r="G1601" s="4">
        <f>IF(Dashboard!$J$5=VLOOKUP(tblSalaries[[#This Row],[Currency]],Sheet3!$A$2:$B$31,2,FALSE),tblSalaries[[#This Row],[clean Salary (in local currency)]],(tblSalaries[[#This Row],[PPP Adjusted  USD]]/VLOOKUP(Dashboard!$J$5,Sheet3!$B$2:$C$31,2,FALSE)))</f>
        <v>14208.306704609538</v>
      </c>
      <c r="H1601" t="s">
        <v>1859</v>
      </c>
      <c r="I1601" t="s">
        <v>625</v>
      </c>
      <c r="J1601" t="s">
        <v>604</v>
      </c>
      <c r="K1601" t="s">
        <v>617</v>
      </c>
      <c r="L1601">
        <v>3</v>
      </c>
    </row>
    <row r="1602" spans="2:12" ht="15" customHeight="1">
      <c r="B1602" t="s">
        <v>1878</v>
      </c>
      <c r="C1602">
        <v>300000</v>
      </c>
      <c r="D1602" t="s">
        <v>247</v>
      </c>
      <c r="E1602">
        <v>5342.3750062327708</v>
      </c>
      <c r="F1602" s="3">
        <f>(tblSalaries[[#This Row],[clean Salary (in local currency)]])*(VLOOKUP(tblSalaries[[#This Row],[Currency]],Sheet3!$A$2:$C$31,3,FALSE))*(VLOOKUP(tblSalaries[[#This Row],[Currency]],Sheet1!$N$4:$Q$186,4,FALSE))</f>
        <v>14208.306704609538</v>
      </c>
      <c r="G1602" s="4">
        <f>IF(Dashboard!$J$5=VLOOKUP(tblSalaries[[#This Row],[Currency]],Sheet3!$A$2:$B$31,2,FALSE),tblSalaries[[#This Row],[clean Salary (in local currency)]],(tblSalaries[[#This Row],[PPP Adjusted  USD]]/VLOOKUP(Dashboard!$J$5,Sheet3!$B$2:$C$31,2,FALSE)))</f>
        <v>14208.306704609538</v>
      </c>
      <c r="H1602" t="s">
        <v>603</v>
      </c>
      <c r="I1602" t="s">
        <v>603</v>
      </c>
      <c r="J1602" t="s">
        <v>604</v>
      </c>
      <c r="K1602" t="s">
        <v>610</v>
      </c>
      <c r="L1602">
        <v>7</v>
      </c>
    </row>
    <row r="1603" spans="2:12" ht="15" customHeight="1">
      <c r="B1603" t="s">
        <v>2002</v>
      </c>
      <c r="C1603">
        <v>300000</v>
      </c>
      <c r="D1603" t="s">
        <v>247</v>
      </c>
      <c r="E1603">
        <v>5342.3750062327708</v>
      </c>
      <c r="F1603" s="3">
        <f>(tblSalaries[[#This Row],[clean Salary (in local currency)]])*(VLOOKUP(tblSalaries[[#This Row],[Currency]],Sheet3!$A$2:$C$31,3,FALSE))*(VLOOKUP(tblSalaries[[#This Row],[Currency]],Sheet1!$N$4:$Q$186,4,FALSE))</f>
        <v>14208.306704609538</v>
      </c>
      <c r="G1603" s="4">
        <f>IF(Dashboard!$J$5=VLOOKUP(tblSalaries[[#This Row],[Currency]],Sheet3!$A$2:$B$31,2,FALSE),tblSalaries[[#This Row],[clean Salary (in local currency)]],(tblSalaries[[#This Row],[PPP Adjusted  USD]]/VLOOKUP(Dashboard!$J$5,Sheet3!$B$2:$C$31,2,FALSE)))</f>
        <v>14208.306704609538</v>
      </c>
      <c r="H1603" t="s">
        <v>2003</v>
      </c>
      <c r="I1603" t="s">
        <v>608</v>
      </c>
      <c r="J1603" t="s">
        <v>604</v>
      </c>
      <c r="K1603" t="s">
        <v>610</v>
      </c>
      <c r="L1603">
        <v>4</v>
      </c>
    </row>
    <row r="1604" spans="2:12" ht="15" customHeight="1">
      <c r="B1604" t="s">
        <v>2179</v>
      </c>
      <c r="C1604">
        <v>300000</v>
      </c>
      <c r="D1604" t="s">
        <v>247</v>
      </c>
      <c r="E1604">
        <v>5342.3750062327708</v>
      </c>
      <c r="F1604" s="3">
        <f>(tblSalaries[[#This Row],[clean Salary (in local currency)]])*(VLOOKUP(tblSalaries[[#This Row],[Currency]],Sheet3!$A$2:$C$31,3,FALSE))*(VLOOKUP(tblSalaries[[#This Row],[Currency]],Sheet1!$N$4:$Q$186,4,FALSE))</f>
        <v>14208.306704609538</v>
      </c>
      <c r="G1604" s="4">
        <f>IF(Dashboard!$J$5=VLOOKUP(tblSalaries[[#This Row],[Currency]],Sheet3!$A$2:$B$31,2,FALSE),tblSalaries[[#This Row],[clean Salary (in local currency)]],(tblSalaries[[#This Row],[PPP Adjusted  USD]]/VLOOKUP(Dashboard!$J$5,Sheet3!$B$2:$C$31,2,FALSE)))</f>
        <v>14208.306704609538</v>
      </c>
      <c r="H1604" t="s">
        <v>2180</v>
      </c>
      <c r="I1604" t="s">
        <v>603</v>
      </c>
      <c r="J1604" t="s">
        <v>604</v>
      </c>
      <c r="K1604" t="s">
        <v>627</v>
      </c>
      <c r="L1604">
        <v>10</v>
      </c>
    </row>
    <row r="1605" spans="2:12" ht="15" customHeight="1">
      <c r="B1605" t="s">
        <v>2243</v>
      </c>
      <c r="C1605">
        <v>300000</v>
      </c>
      <c r="D1605" t="s">
        <v>247</v>
      </c>
      <c r="E1605">
        <v>5342.3750062327708</v>
      </c>
      <c r="F1605" s="3">
        <f>(tblSalaries[[#This Row],[clean Salary (in local currency)]])*(VLOOKUP(tblSalaries[[#This Row],[Currency]],Sheet3!$A$2:$C$31,3,FALSE))*(VLOOKUP(tblSalaries[[#This Row],[Currency]],Sheet1!$N$4:$Q$186,4,FALSE))</f>
        <v>14208.306704609538</v>
      </c>
      <c r="G1605" s="4">
        <f>IF(Dashboard!$J$5=VLOOKUP(tblSalaries[[#This Row],[Currency]],Sheet3!$A$2:$B$31,2,FALSE),tblSalaries[[#This Row],[clean Salary (in local currency)]],(tblSalaries[[#This Row],[PPP Adjusted  USD]]/VLOOKUP(Dashboard!$J$5,Sheet3!$B$2:$C$31,2,FALSE)))</f>
        <v>14208.306704609538</v>
      </c>
      <c r="H1605" t="s">
        <v>2244</v>
      </c>
      <c r="I1605" t="s">
        <v>603</v>
      </c>
      <c r="J1605" t="s">
        <v>604</v>
      </c>
      <c r="K1605" t="s">
        <v>605</v>
      </c>
      <c r="L1605">
        <v>0.5</v>
      </c>
    </row>
    <row r="1606" spans="2:12" ht="15" customHeight="1">
      <c r="B1606" t="s">
        <v>2414</v>
      </c>
      <c r="C1606">
        <v>300000</v>
      </c>
      <c r="D1606" t="s">
        <v>247</v>
      </c>
      <c r="E1606">
        <v>5342.3750062327708</v>
      </c>
      <c r="F1606" s="3">
        <f>(tblSalaries[[#This Row],[clean Salary (in local currency)]])*(VLOOKUP(tblSalaries[[#This Row],[Currency]],Sheet3!$A$2:$C$31,3,FALSE))*(VLOOKUP(tblSalaries[[#This Row],[Currency]],Sheet1!$N$4:$Q$186,4,FALSE))</f>
        <v>14208.306704609538</v>
      </c>
      <c r="G1606" s="4">
        <f>IF(Dashboard!$J$5=VLOOKUP(tblSalaries[[#This Row],[Currency]],Sheet3!$A$2:$B$31,2,FALSE),tblSalaries[[#This Row],[clean Salary (in local currency)]],(tblSalaries[[#This Row],[PPP Adjusted  USD]]/VLOOKUP(Dashboard!$J$5,Sheet3!$B$2:$C$31,2,FALSE)))</f>
        <v>14208.306704609538</v>
      </c>
      <c r="H1606" t="s">
        <v>2415</v>
      </c>
      <c r="I1606" t="s">
        <v>637</v>
      </c>
      <c r="J1606" t="s">
        <v>604</v>
      </c>
      <c r="K1606" t="s">
        <v>617</v>
      </c>
      <c r="L1606">
        <v>5</v>
      </c>
    </row>
    <row r="1607" spans="2:12" ht="15" customHeight="1">
      <c r="B1607" t="s">
        <v>2471</v>
      </c>
      <c r="C1607">
        <v>300000</v>
      </c>
      <c r="D1607" t="s">
        <v>247</v>
      </c>
      <c r="E1607">
        <v>5342.3750062327708</v>
      </c>
      <c r="F1607" s="3">
        <f>(tblSalaries[[#This Row],[clean Salary (in local currency)]])*(VLOOKUP(tblSalaries[[#This Row],[Currency]],Sheet3!$A$2:$C$31,3,FALSE))*(VLOOKUP(tblSalaries[[#This Row],[Currency]],Sheet1!$N$4:$Q$186,4,FALSE))</f>
        <v>14208.306704609538</v>
      </c>
      <c r="G1607" s="4">
        <f>IF(Dashboard!$J$5=VLOOKUP(tblSalaries[[#This Row],[Currency]],Sheet3!$A$2:$B$31,2,FALSE),tblSalaries[[#This Row],[clean Salary (in local currency)]],(tblSalaries[[#This Row],[PPP Adjusted  USD]]/VLOOKUP(Dashboard!$J$5,Sheet3!$B$2:$C$31,2,FALSE)))</f>
        <v>14208.306704609538</v>
      </c>
      <c r="H1607" t="s">
        <v>2472</v>
      </c>
      <c r="I1607" t="s">
        <v>692</v>
      </c>
      <c r="J1607" t="s">
        <v>604</v>
      </c>
      <c r="K1607" t="s">
        <v>617</v>
      </c>
      <c r="L1607">
        <v>1</v>
      </c>
    </row>
    <row r="1608" spans="2:12" ht="15" customHeight="1">
      <c r="B1608" t="s">
        <v>2540</v>
      </c>
      <c r="C1608">
        <v>300000</v>
      </c>
      <c r="D1608" t="s">
        <v>247</v>
      </c>
      <c r="E1608">
        <v>5342.3750062327708</v>
      </c>
      <c r="F1608" s="3">
        <f>(tblSalaries[[#This Row],[clean Salary (in local currency)]])*(VLOOKUP(tblSalaries[[#This Row],[Currency]],Sheet3!$A$2:$C$31,3,FALSE))*(VLOOKUP(tblSalaries[[#This Row],[Currency]],Sheet1!$N$4:$Q$186,4,FALSE))</f>
        <v>14208.306704609538</v>
      </c>
      <c r="G1608" s="4">
        <f>IF(Dashboard!$J$5=VLOOKUP(tblSalaries[[#This Row],[Currency]],Sheet3!$A$2:$B$31,2,FALSE),tblSalaries[[#This Row],[clean Salary (in local currency)]],(tblSalaries[[#This Row],[PPP Adjusted  USD]]/VLOOKUP(Dashboard!$J$5,Sheet3!$B$2:$C$31,2,FALSE)))</f>
        <v>14208.306704609538</v>
      </c>
      <c r="H1608" t="s">
        <v>603</v>
      </c>
      <c r="I1608" t="s">
        <v>603</v>
      </c>
      <c r="J1608" t="s">
        <v>604</v>
      </c>
      <c r="K1608" t="s">
        <v>605</v>
      </c>
      <c r="L1608">
        <v>5</v>
      </c>
    </row>
    <row r="1609" spans="2:12" ht="15" customHeight="1">
      <c r="B1609" t="s">
        <v>2736</v>
      </c>
      <c r="C1609">
        <v>300000</v>
      </c>
      <c r="D1609" t="s">
        <v>247</v>
      </c>
      <c r="E1609">
        <v>5342.3750062327708</v>
      </c>
      <c r="F1609" s="3">
        <f>(tblSalaries[[#This Row],[clean Salary (in local currency)]])*(VLOOKUP(tblSalaries[[#This Row],[Currency]],Sheet3!$A$2:$C$31,3,FALSE))*(VLOOKUP(tblSalaries[[#This Row],[Currency]],Sheet1!$N$4:$Q$186,4,FALSE))</f>
        <v>14208.306704609538</v>
      </c>
      <c r="G1609" s="4">
        <f>IF(Dashboard!$J$5=VLOOKUP(tblSalaries[[#This Row],[Currency]],Sheet3!$A$2:$B$31,2,FALSE),tblSalaries[[#This Row],[clean Salary (in local currency)]],(tblSalaries[[#This Row],[PPP Adjusted  USD]]/VLOOKUP(Dashboard!$J$5,Sheet3!$B$2:$C$31,2,FALSE)))</f>
        <v>14208.306704609538</v>
      </c>
      <c r="H1609" t="s">
        <v>2264</v>
      </c>
      <c r="I1609" t="s">
        <v>603</v>
      </c>
      <c r="J1609" t="s">
        <v>604</v>
      </c>
      <c r="K1609" t="s">
        <v>605</v>
      </c>
      <c r="L1609">
        <v>6</v>
      </c>
    </row>
    <row r="1610" spans="2:12" ht="15" customHeight="1">
      <c r="B1610" t="s">
        <v>2831</v>
      </c>
      <c r="C1610">
        <v>300000</v>
      </c>
      <c r="D1610" t="s">
        <v>247</v>
      </c>
      <c r="E1610">
        <v>5342.3750062327708</v>
      </c>
      <c r="F1610" s="3">
        <f>(tblSalaries[[#This Row],[clean Salary (in local currency)]])*(VLOOKUP(tblSalaries[[#This Row],[Currency]],Sheet3!$A$2:$C$31,3,FALSE))*(VLOOKUP(tblSalaries[[#This Row],[Currency]],Sheet1!$N$4:$Q$186,4,FALSE))</f>
        <v>14208.306704609538</v>
      </c>
      <c r="G1610" s="4">
        <f>IF(Dashboard!$J$5=VLOOKUP(tblSalaries[[#This Row],[Currency]],Sheet3!$A$2:$B$31,2,FALSE),tblSalaries[[#This Row],[clean Salary (in local currency)]],(tblSalaries[[#This Row],[PPP Adjusted  USD]]/VLOOKUP(Dashboard!$J$5,Sheet3!$B$2:$C$31,2,FALSE)))</f>
        <v>14208.306704609538</v>
      </c>
      <c r="H1610" t="s">
        <v>2832</v>
      </c>
      <c r="I1610" t="s">
        <v>658</v>
      </c>
      <c r="J1610" t="s">
        <v>604</v>
      </c>
      <c r="K1610" t="s">
        <v>617</v>
      </c>
      <c r="L1610">
        <v>5</v>
      </c>
    </row>
    <row r="1611" spans="2:12" ht="15" customHeight="1">
      <c r="B1611" t="s">
        <v>2905</v>
      </c>
      <c r="C1611">
        <v>300000</v>
      </c>
      <c r="D1611" t="s">
        <v>247</v>
      </c>
      <c r="E1611">
        <v>5342.3750062327708</v>
      </c>
      <c r="F1611" s="3">
        <f>(tblSalaries[[#This Row],[clean Salary (in local currency)]])*(VLOOKUP(tblSalaries[[#This Row],[Currency]],Sheet3!$A$2:$C$31,3,FALSE))*(VLOOKUP(tblSalaries[[#This Row],[Currency]],Sheet1!$N$4:$Q$186,4,FALSE))</f>
        <v>14208.306704609538</v>
      </c>
      <c r="G1611" s="4">
        <f>IF(Dashboard!$J$5=VLOOKUP(tblSalaries[[#This Row],[Currency]],Sheet3!$A$2:$B$31,2,FALSE),tblSalaries[[#This Row],[clean Salary (in local currency)]],(tblSalaries[[#This Row],[PPP Adjusted  USD]]/VLOOKUP(Dashboard!$J$5,Sheet3!$B$2:$C$31,2,FALSE)))</f>
        <v>14208.306704609538</v>
      </c>
      <c r="H1611" t="s">
        <v>2906</v>
      </c>
      <c r="I1611" t="s">
        <v>603</v>
      </c>
      <c r="J1611" t="s">
        <v>604</v>
      </c>
      <c r="K1611" t="s">
        <v>610</v>
      </c>
      <c r="L1611">
        <v>3</v>
      </c>
    </row>
    <row r="1612" spans="2:12" ht="15" customHeight="1">
      <c r="B1612" t="s">
        <v>3087</v>
      </c>
      <c r="C1612">
        <v>300000</v>
      </c>
      <c r="D1612" t="s">
        <v>247</v>
      </c>
      <c r="E1612">
        <v>5342.3750062327708</v>
      </c>
      <c r="F1612" s="3">
        <f>(tblSalaries[[#This Row],[clean Salary (in local currency)]])*(VLOOKUP(tblSalaries[[#This Row],[Currency]],Sheet3!$A$2:$C$31,3,FALSE))*(VLOOKUP(tblSalaries[[#This Row],[Currency]],Sheet1!$N$4:$Q$186,4,FALSE))</f>
        <v>14208.306704609538</v>
      </c>
      <c r="G1612" s="4">
        <f>IF(Dashboard!$J$5=VLOOKUP(tblSalaries[[#This Row],[Currency]],Sheet3!$A$2:$B$31,2,FALSE),tblSalaries[[#This Row],[clean Salary (in local currency)]],(tblSalaries[[#This Row],[PPP Adjusted  USD]]/VLOOKUP(Dashboard!$J$5,Sheet3!$B$2:$C$31,2,FALSE)))</f>
        <v>14208.306704609538</v>
      </c>
      <c r="H1612" t="s">
        <v>2065</v>
      </c>
      <c r="I1612" t="s">
        <v>637</v>
      </c>
      <c r="J1612" t="s">
        <v>604</v>
      </c>
      <c r="K1612" t="s">
        <v>605</v>
      </c>
      <c r="L1612">
        <v>4</v>
      </c>
    </row>
    <row r="1613" spans="2:12" ht="15" customHeight="1">
      <c r="B1613" t="s">
        <v>3415</v>
      </c>
      <c r="C1613">
        <v>300000</v>
      </c>
      <c r="D1613" t="s">
        <v>247</v>
      </c>
      <c r="E1613">
        <v>5342.3750062327708</v>
      </c>
      <c r="F1613" s="3">
        <f>(tblSalaries[[#This Row],[clean Salary (in local currency)]])*(VLOOKUP(tblSalaries[[#This Row],[Currency]],Sheet3!$A$2:$C$31,3,FALSE))*(VLOOKUP(tblSalaries[[#This Row],[Currency]],Sheet1!$N$4:$Q$186,4,FALSE))</f>
        <v>14208.306704609538</v>
      </c>
      <c r="G1613" s="4">
        <f>IF(Dashboard!$J$5=VLOOKUP(tblSalaries[[#This Row],[Currency]],Sheet3!$A$2:$B$31,2,FALSE),tblSalaries[[#This Row],[clean Salary (in local currency)]],(tblSalaries[[#This Row],[PPP Adjusted  USD]]/VLOOKUP(Dashboard!$J$5,Sheet3!$B$2:$C$31,2,FALSE)))</f>
        <v>14208.306704609538</v>
      </c>
      <c r="H1613" t="s">
        <v>3416</v>
      </c>
      <c r="I1613" t="s">
        <v>603</v>
      </c>
      <c r="J1613" t="s">
        <v>604</v>
      </c>
      <c r="K1613" t="s">
        <v>605</v>
      </c>
      <c r="L1613">
        <v>8</v>
      </c>
    </row>
    <row r="1614" spans="2:12" ht="15" customHeight="1">
      <c r="B1614" t="s">
        <v>642</v>
      </c>
      <c r="C1614">
        <v>14000</v>
      </c>
      <c r="D1614" t="s">
        <v>252</v>
      </c>
      <c r="E1614">
        <v>14000</v>
      </c>
      <c r="F1614" s="3">
        <f>(tblSalaries[[#This Row],[clean Salary (in local currency)]])*(VLOOKUP(tblSalaries[[#This Row],[Currency]],Sheet3!$A$2:$C$31,3,FALSE))*(VLOOKUP(tblSalaries[[#This Row],[Currency]],Sheet1!$N$4:$Q$186,4,FALSE))</f>
        <v>14000</v>
      </c>
      <c r="G1614" s="4">
        <f>IF(Dashboard!$J$5=VLOOKUP(tblSalaries[[#This Row],[Currency]],Sheet3!$A$2:$B$31,2,FALSE),tblSalaries[[#This Row],[clean Salary (in local currency)]],(tblSalaries[[#This Row],[PPP Adjusted  USD]]/VLOOKUP(Dashboard!$J$5,Sheet3!$B$2:$C$31,2,FALSE)))</f>
        <v>14000</v>
      </c>
      <c r="H1614" t="s">
        <v>643</v>
      </c>
      <c r="I1614" t="s">
        <v>620</v>
      </c>
      <c r="J1614" t="s">
        <v>644</v>
      </c>
      <c r="K1614" t="s">
        <v>605</v>
      </c>
      <c r="L1614" t="s">
        <v>3847</v>
      </c>
    </row>
    <row r="1615" spans="2:12" ht="15" customHeight="1">
      <c r="B1615" t="s">
        <v>1154</v>
      </c>
      <c r="C1615">
        <v>14000</v>
      </c>
      <c r="D1615" t="s">
        <v>252</v>
      </c>
      <c r="E1615">
        <v>14000</v>
      </c>
      <c r="F1615" s="3">
        <f>(tblSalaries[[#This Row],[clean Salary (in local currency)]])*(VLOOKUP(tblSalaries[[#This Row],[Currency]],Sheet3!$A$2:$C$31,3,FALSE))*(VLOOKUP(tblSalaries[[#This Row],[Currency]],Sheet1!$N$4:$Q$186,4,FALSE))</f>
        <v>14000</v>
      </c>
      <c r="G1615" s="4">
        <f>IF(Dashboard!$J$5=VLOOKUP(tblSalaries[[#This Row],[Currency]],Sheet3!$A$2:$B$31,2,FALSE),tblSalaries[[#This Row],[clean Salary (in local currency)]],(tblSalaries[[#This Row],[PPP Adjusted  USD]]/VLOOKUP(Dashboard!$J$5,Sheet3!$B$2:$C$31,2,FALSE)))</f>
        <v>14000</v>
      </c>
      <c r="H1615" t="s">
        <v>1155</v>
      </c>
      <c r="I1615" t="s">
        <v>603</v>
      </c>
      <c r="J1615" t="s">
        <v>795</v>
      </c>
      <c r="K1615" t="s">
        <v>627</v>
      </c>
      <c r="L1615" t="s">
        <v>3847</v>
      </c>
    </row>
    <row r="1616" spans="2:12" ht="15" customHeight="1">
      <c r="B1616" t="s">
        <v>2837</v>
      </c>
      <c r="C1616">
        <v>14000</v>
      </c>
      <c r="D1616" t="s">
        <v>252</v>
      </c>
      <c r="E1616">
        <v>14000</v>
      </c>
      <c r="F1616" s="3">
        <f>(tblSalaries[[#This Row],[clean Salary (in local currency)]])*(VLOOKUP(tblSalaries[[#This Row],[Currency]],Sheet3!$A$2:$C$31,3,FALSE))*(VLOOKUP(tblSalaries[[#This Row],[Currency]],Sheet1!$N$4:$Q$186,4,FALSE))</f>
        <v>14000</v>
      </c>
      <c r="G1616" s="4">
        <f>IF(Dashboard!$J$5=VLOOKUP(tblSalaries[[#This Row],[Currency]],Sheet3!$A$2:$B$31,2,FALSE),tblSalaries[[#This Row],[clean Salary (in local currency)]],(tblSalaries[[#This Row],[PPP Adjusted  USD]]/VLOOKUP(Dashboard!$J$5,Sheet3!$B$2:$C$31,2,FALSE)))</f>
        <v>14000</v>
      </c>
      <c r="H1616" t="s">
        <v>2838</v>
      </c>
      <c r="I1616" t="s">
        <v>603</v>
      </c>
      <c r="J1616" t="s">
        <v>604</v>
      </c>
      <c r="K1616" t="s">
        <v>605</v>
      </c>
      <c r="L1616">
        <v>12</v>
      </c>
    </row>
    <row r="1617" spans="2:12" ht="15" customHeight="1">
      <c r="B1617" t="s">
        <v>3065</v>
      </c>
      <c r="C1617">
        <v>14000</v>
      </c>
      <c r="D1617" t="s">
        <v>252</v>
      </c>
      <c r="E1617">
        <v>14000</v>
      </c>
      <c r="F1617" s="3">
        <f>(tblSalaries[[#This Row],[clean Salary (in local currency)]])*(VLOOKUP(tblSalaries[[#This Row],[Currency]],Sheet3!$A$2:$C$31,3,FALSE))*(VLOOKUP(tblSalaries[[#This Row],[Currency]],Sheet1!$N$4:$Q$186,4,FALSE))</f>
        <v>14000</v>
      </c>
      <c r="G1617" s="4">
        <f>IF(Dashboard!$J$5=VLOOKUP(tblSalaries[[#This Row],[Currency]],Sheet3!$A$2:$B$31,2,FALSE),tblSalaries[[#This Row],[clean Salary (in local currency)]],(tblSalaries[[#This Row],[PPP Adjusted  USD]]/VLOOKUP(Dashboard!$J$5,Sheet3!$B$2:$C$31,2,FALSE)))</f>
        <v>14000</v>
      </c>
      <c r="H1617" t="s">
        <v>692</v>
      </c>
      <c r="I1617" t="s">
        <v>692</v>
      </c>
      <c r="J1617" t="s">
        <v>604</v>
      </c>
      <c r="K1617" t="s">
        <v>605</v>
      </c>
      <c r="L1617">
        <v>3</v>
      </c>
    </row>
    <row r="1618" spans="2:12" ht="15" customHeight="1">
      <c r="B1618" t="s">
        <v>3650</v>
      </c>
      <c r="C1618">
        <v>14000</v>
      </c>
      <c r="D1618" t="s">
        <v>252</v>
      </c>
      <c r="E1618">
        <v>14000</v>
      </c>
      <c r="F1618" s="3">
        <f>(tblSalaries[[#This Row],[clean Salary (in local currency)]])*(VLOOKUP(tblSalaries[[#This Row],[Currency]],Sheet3!$A$2:$C$31,3,FALSE))*(VLOOKUP(tblSalaries[[#This Row],[Currency]],Sheet1!$N$4:$Q$186,4,FALSE))</f>
        <v>14000</v>
      </c>
      <c r="G1618" s="4">
        <f>IF(Dashboard!$J$5=VLOOKUP(tblSalaries[[#This Row],[Currency]],Sheet3!$A$2:$B$31,2,FALSE),tblSalaries[[#This Row],[clean Salary (in local currency)]],(tblSalaries[[#This Row],[PPP Adjusted  USD]]/VLOOKUP(Dashboard!$J$5,Sheet3!$B$2:$C$31,2,FALSE)))</f>
        <v>14000</v>
      </c>
      <c r="H1618" t="s">
        <v>625</v>
      </c>
      <c r="I1618" t="s">
        <v>625</v>
      </c>
      <c r="J1618" t="s">
        <v>604</v>
      </c>
      <c r="K1618" t="s">
        <v>605</v>
      </c>
      <c r="L1618">
        <v>5</v>
      </c>
    </row>
    <row r="1619" spans="2:12" ht="15" customHeight="1">
      <c r="B1619" t="s">
        <v>1736</v>
      </c>
      <c r="C1619">
        <v>13800</v>
      </c>
      <c r="D1619" t="s">
        <v>252</v>
      </c>
      <c r="E1619">
        <v>13800</v>
      </c>
      <c r="F1619" s="3">
        <f>(tblSalaries[[#This Row],[clean Salary (in local currency)]])*(VLOOKUP(tblSalaries[[#This Row],[Currency]],Sheet3!$A$2:$C$31,3,FALSE))*(VLOOKUP(tblSalaries[[#This Row],[Currency]],Sheet1!$N$4:$Q$186,4,FALSE))</f>
        <v>13800</v>
      </c>
      <c r="G1619" s="4">
        <f>IF(Dashboard!$J$5=VLOOKUP(tblSalaries[[#This Row],[Currency]],Sheet3!$A$2:$B$31,2,FALSE),tblSalaries[[#This Row],[clean Salary (in local currency)]],(tblSalaries[[#This Row],[PPP Adjusted  USD]]/VLOOKUP(Dashboard!$J$5,Sheet3!$B$2:$C$31,2,FALSE)))</f>
        <v>13800</v>
      </c>
      <c r="H1619" t="s">
        <v>1737</v>
      </c>
      <c r="I1619" t="s">
        <v>608</v>
      </c>
      <c r="J1619" t="s">
        <v>1738</v>
      </c>
      <c r="K1619" t="s">
        <v>605</v>
      </c>
      <c r="L1619">
        <v>20</v>
      </c>
    </row>
    <row r="1620" spans="2:12" ht="15" customHeight="1">
      <c r="B1620" t="s">
        <v>1675</v>
      </c>
      <c r="C1620">
        <v>22000</v>
      </c>
      <c r="D1620" t="s">
        <v>224</v>
      </c>
      <c r="E1620">
        <v>22438.012440857987</v>
      </c>
      <c r="F1620" s="3">
        <f>(tblSalaries[[#This Row],[clean Salary (in local currency)]])*(VLOOKUP(tblSalaries[[#This Row],[Currency]],Sheet3!$A$2:$C$31,3,FALSE))*(VLOOKUP(tblSalaries[[#This Row],[Currency]],Sheet1!$N$4:$Q$186,4,FALSE))</f>
        <v>13787.709280369443</v>
      </c>
      <c r="G1620" s="4">
        <f>IF(Dashboard!$J$5=VLOOKUP(tblSalaries[[#This Row],[Currency]],Sheet3!$A$2:$B$31,2,FALSE),tblSalaries[[#This Row],[clean Salary (in local currency)]],(tblSalaries[[#This Row],[PPP Adjusted  USD]]/VLOOKUP(Dashboard!$J$5,Sheet3!$B$2:$C$31,2,FALSE)))</f>
        <v>13787.709280369443</v>
      </c>
      <c r="H1620" t="s">
        <v>745</v>
      </c>
      <c r="I1620" t="s">
        <v>603</v>
      </c>
      <c r="J1620" t="s">
        <v>703</v>
      </c>
      <c r="K1620" t="s">
        <v>605</v>
      </c>
      <c r="L1620">
        <v>8</v>
      </c>
    </row>
    <row r="1621" spans="2:12" ht="15" customHeight="1">
      <c r="B1621" t="s">
        <v>992</v>
      </c>
      <c r="C1621">
        <v>13636</v>
      </c>
      <c r="D1621" t="s">
        <v>252</v>
      </c>
      <c r="E1621">
        <v>13636</v>
      </c>
      <c r="F1621" s="3">
        <f>(tblSalaries[[#This Row],[clean Salary (in local currency)]])*(VLOOKUP(tblSalaries[[#This Row],[Currency]],Sheet3!$A$2:$C$31,3,FALSE))*(VLOOKUP(tblSalaries[[#This Row],[Currency]],Sheet1!$N$4:$Q$186,4,FALSE))</f>
        <v>13636</v>
      </c>
      <c r="G1621" s="4">
        <f>IF(Dashboard!$J$5=VLOOKUP(tblSalaries[[#This Row],[Currency]],Sheet3!$A$2:$B$31,2,FALSE),tblSalaries[[#This Row],[clean Salary (in local currency)]],(tblSalaries[[#This Row],[PPP Adjusted  USD]]/VLOOKUP(Dashboard!$J$5,Sheet3!$B$2:$C$31,2,FALSE)))</f>
        <v>13636</v>
      </c>
      <c r="H1621" t="s">
        <v>993</v>
      </c>
      <c r="I1621" t="s">
        <v>625</v>
      </c>
      <c r="J1621" t="s">
        <v>604</v>
      </c>
      <c r="K1621" t="s">
        <v>610</v>
      </c>
      <c r="L1621" t="s">
        <v>3847</v>
      </c>
    </row>
    <row r="1622" spans="2:12" ht="15" customHeight="1">
      <c r="B1622" t="s">
        <v>664</v>
      </c>
      <c r="C1622">
        <v>13500</v>
      </c>
      <c r="D1622" t="s">
        <v>252</v>
      </c>
      <c r="E1622">
        <v>13500</v>
      </c>
      <c r="F1622" s="3">
        <f>(tblSalaries[[#This Row],[clean Salary (in local currency)]])*(VLOOKUP(tblSalaries[[#This Row],[Currency]],Sheet3!$A$2:$C$31,3,FALSE))*(VLOOKUP(tblSalaries[[#This Row],[Currency]],Sheet1!$N$4:$Q$186,4,FALSE))</f>
        <v>13500</v>
      </c>
      <c r="G1622" s="4">
        <f>IF(Dashboard!$J$5=VLOOKUP(tblSalaries[[#This Row],[Currency]],Sheet3!$A$2:$B$31,2,FALSE),tblSalaries[[#This Row],[clean Salary (in local currency)]],(tblSalaries[[#This Row],[PPP Adjusted  USD]]/VLOOKUP(Dashboard!$J$5,Sheet3!$B$2:$C$31,2,FALSE)))</f>
        <v>13500</v>
      </c>
      <c r="H1622" t="s">
        <v>665</v>
      </c>
      <c r="I1622" t="s">
        <v>625</v>
      </c>
      <c r="J1622" t="s">
        <v>604</v>
      </c>
      <c r="K1622" t="s">
        <v>605</v>
      </c>
      <c r="L1622" t="s">
        <v>3847</v>
      </c>
    </row>
    <row r="1623" spans="2:12" ht="15" customHeight="1">
      <c r="B1623" t="s">
        <v>2007</v>
      </c>
      <c r="C1623">
        <v>13500</v>
      </c>
      <c r="D1623" t="s">
        <v>252</v>
      </c>
      <c r="E1623">
        <v>13500</v>
      </c>
      <c r="F1623" s="3">
        <f>(tblSalaries[[#This Row],[clean Salary (in local currency)]])*(VLOOKUP(tblSalaries[[#This Row],[Currency]],Sheet3!$A$2:$C$31,3,FALSE))*(VLOOKUP(tblSalaries[[#This Row],[Currency]],Sheet1!$N$4:$Q$186,4,FALSE))</f>
        <v>13500</v>
      </c>
      <c r="G1623" s="4">
        <f>IF(Dashboard!$J$5=VLOOKUP(tblSalaries[[#This Row],[Currency]],Sheet3!$A$2:$B$31,2,FALSE),tblSalaries[[#This Row],[clean Salary (in local currency)]],(tblSalaries[[#This Row],[PPP Adjusted  USD]]/VLOOKUP(Dashboard!$J$5,Sheet3!$B$2:$C$31,2,FALSE)))</f>
        <v>13500</v>
      </c>
      <c r="H1623" t="s">
        <v>1166</v>
      </c>
      <c r="I1623" t="s">
        <v>658</v>
      </c>
      <c r="J1623" t="s">
        <v>604</v>
      </c>
      <c r="K1623" t="s">
        <v>610</v>
      </c>
      <c r="L1623">
        <v>2.5</v>
      </c>
    </row>
    <row r="1624" spans="2:12" ht="15" customHeight="1">
      <c r="B1624" t="s">
        <v>2611</v>
      </c>
      <c r="C1624">
        <v>13500</v>
      </c>
      <c r="D1624" t="s">
        <v>252</v>
      </c>
      <c r="E1624">
        <v>13500</v>
      </c>
      <c r="F1624" s="3">
        <f>(tblSalaries[[#This Row],[clean Salary (in local currency)]])*(VLOOKUP(tblSalaries[[#This Row],[Currency]],Sheet3!$A$2:$C$31,3,FALSE))*(VLOOKUP(tblSalaries[[#This Row],[Currency]],Sheet1!$N$4:$Q$186,4,FALSE))</f>
        <v>13500</v>
      </c>
      <c r="G1624" s="4">
        <f>IF(Dashboard!$J$5=VLOOKUP(tblSalaries[[#This Row],[Currency]],Sheet3!$A$2:$B$31,2,FALSE),tblSalaries[[#This Row],[clean Salary (in local currency)]],(tblSalaries[[#This Row],[PPP Adjusted  USD]]/VLOOKUP(Dashboard!$J$5,Sheet3!$B$2:$C$31,2,FALSE)))</f>
        <v>13500</v>
      </c>
      <c r="H1624" t="s">
        <v>839</v>
      </c>
      <c r="I1624" t="s">
        <v>625</v>
      </c>
      <c r="J1624" t="s">
        <v>2612</v>
      </c>
      <c r="K1624" t="s">
        <v>605</v>
      </c>
      <c r="L1624">
        <v>13</v>
      </c>
    </row>
    <row r="1625" spans="2:12" ht="15" customHeight="1">
      <c r="B1625" t="s">
        <v>2874</v>
      </c>
      <c r="C1625">
        <v>13500</v>
      </c>
      <c r="D1625" t="s">
        <v>252</v>
      </c>
      <c r="E1625">
        <v>13500</v>
      </c>
      <c r="F1625" s="3">
        <f>(tblSalaries[[#This Row],[clean Salary (in local currency)]])*(VLOOKUP(tblSalaries[[#This Row],[Currency]],Sheet3!$A$2:$C$31,3,FALSE))*(VLOOKUP(tblSalaries[[#This Row],[Currency]],Sheet1!$N$4:$Q$186,4,FALSE))</f>
        <v>13500</v>
      </c>
      <c r="G1625" s="4">
        <f>IF(Dashboard!$J$5=VLOOKUP(tblSalaries[[#This Row],[Currency]],Sheet3!$A$2:$B$31,2,FALSE),tblSalaries[[#This Row],[clean Salary (in local currency)]],(tblSalaries[[#This Row],[PPP Adjusted  USD]]/VLOOKUP(Dashboard!$J$5,Sheet3!$B$2:$C$31,2,FALSE)))</f>
        <v>13500</v>
      </c>
      <c r="H1625" t="s">
        <v>1874</v>
      </c>
      <c r="I1625" t="s">
        <v>625</v>
      </c>
      <c r="J1625" t="s">
        <v>604</v>
      </c>
      <c r="K1625" t="s">
        <v>617</v>
      </c>
      <c r="L1625">
        <v>20</v>
      </c>
    </row>
    <row r="1626" spans="2:12" ht="15" customHeight="1">
      <c r="B1626" t="s">
        <v>3656</v>
      </c>
      <c r="C1626">
        <v>280000</v>
      </c>
      <c r="D1626" t="s">
        <v>247</v>
      </c>
      <c r="E1626">
        <v>4986.216672483919</v>
      </c>
      <c r="F1626" s="3">
        <f>(tblSalaries[[#This Row],[clean Salary (in local currency)]])*(VLOOKUP(tblSalaries[[#This Row],[Currency]],Sheet3!$A$2:$C$31,3,FALSE))*(VLOOKUP(tblSalaries[[#This Row],[Currency]],Sheet1!$N$4:$Q$186,4,FALSE))</f>
        <v>13261.086257635567</v>
      </c>
      <c r="G1626" s="4">
        <f>IF(Dashboard!$J$5=VLOOKUP(tblSalaries[[#This Row],[Currency]],Sheet3!$A$2:$B$31,2,FALSE),tblSalaries[[#This Row],[clean Salary (in local currency)]],(tblSalaries[[#This Row],[PPP Adjusted  USD]]/VLOOKUP(Dashboard!$J$5,Sheet3!$B$2:$C$31,2,FALSE)))</f>
        <v>13261.086257635567</v>
      </c>
      <c r="H1626" t="s">
        <v>3657</v>
      </c>
      <c r="I1626" t="s">
        <v>603</v>
      </c>
      <c r="J1626" t="s">
        <v>604</v>
      </c>
      <c r="K1626" t="s">
        <v>610</v>
      </c>
      <c r="L1626">
        <v>8</v>
      </c>
    </row>
    <row r="1627" spans="2:12" ht="15" customHeight="1">
      <c r="B1627" t="s">
        <v>1083</v>
      </c>
      <c r="C1627">
        <v>12000</v>
      </c>
      <c r="D1627" t="s">
        <v>200</v>
      </c>
      <c r="E1627">
        <v>15244.793267899293</v>
      </c>
      <c r="F1627" s="3">
        <f>(tblSalaries[[#This Row],[clean Salary (in local currency)]])*(VLOOKUP(tblSalaries[[#This Row],[Currency]],Sheet3!$A$2:$C$31,3,FALSE))*(VLOOKUP(tblSalaries[[#This Row],[Currency]],Sheet1!$N$4:$Q$186,4,FALSE))</f>
        <v>13207.834631760627</v>
      </c>
      <c r="G1627" s="4">
        <f>IF(Dashboard!$J$5=VLOOKUP(tblSalaries[[#This Row],[Currency]],Sheet3!$A$2:$B$31,2,FALSE),tblSalaries[[#This Row],[clean Salary (in local currency)]],(tblSalaries[[#This Row],[PPP Adjusted  USD]]/VLOOKUP(Dashboard!$J$5,Sheet3!$B$2:$C$31,2,FALSE)))</f>
        <v>13207.834631760627</v>
      </c>
      <c r="H1627" t="s">
        <v>1084</v>
      </c>
      <c r="I1627" t="s">
        <v>640</v>
      </c>
      <c r="J1627" t="s">
        <v>634</v>
      </c>
      <c r="K1627" t="s">
        <v>610</v>
      </c>
      <c r="L1627" t="s">
        <v>3847</v>
      </c>
    </row>
    <row r="1628" spans="2:12" ht="15" customHeight="1">
      <c r="B1628" t="s">
        <v>1873</v>
      </c>
      <c r="C1628">
        <v>278400</v>
      </c>
      <c r="D1628" t="s">
        <v>247</v>
      </c>
      <c r="E1628">
        <v>4957.7240057840108</v>
      </c>
      <c r="F1628" s="3">
        <f>(tblSalaries[[#This Row],[clean Salary (in local currency)]])*(VLOOKUP(tblSalaries[[#This Row],[Currency]],Sheet3!$A$2:$C$31,3,FALSE))*(VLOOKUP(tblSalaries[[#This Row],[Currency]],Sheet1!$N$4:$Q$186,4,FALSE))</f>
        <v>13185.30862187765</v>
      </c>
      <c r="G1628" s="4">
        <f>IF(Dashboard!$J$5=VLOOKUP(tblSalaries[[#This Row],[Currency]],Sheet3!$A$2:$B$31,2,FALSE),tblSalaries[[#This Row],[clean Salary (in local currency)]],(tblSalaries[[#This Row],[PPP Adjusted  USD]]/VLOOKUP(Dashboard!$J$5,Sheet3!$B$2:$C$31,2,FALSE)))</f>
        <v>13185.30862187765</v>
      </c>
      <c r="H1628" t="s">
        <v>1874</v>
      </c>
      <c r="I1628" t="s">
        <v>625</v>
      </c>
      <c r="J1628" t="s">
        <v>604</v>
      </c>
      <c r="K1628" t="s">
        <v>605</v>
      </c>
      <c r="L1628">
        <v>5</v>
      </c>
    </row>
    <row r="1629" spans="2:12" ht="15" customHeight="1">
      <c r="B1629" t="s">
        <v>3173</v>
      </c>
      <c r="C1629">
        <v>278000</v>
      </c>
      <c r="D1629" t="s">
        <v>247</v>
      </c>
      <c r="E1629">
        <v>4950.6008391090336</v>
      </c>
      <c r="F1629" s="3">
        <f>(tblSalaries[[#This Row],[clean Salary (in local currency)]])*(VLOOKUP(tblSalaries[[#This Row],[Currency]],Sheet3!$A$2:$C$31,3,FALSE))*(VLOOKUP(tblSalaries[[#This Row],[Currency]],Sheet1!$N$4:$Q$186,4,FALSE))</f>
        <v>13166.36421293817</v>
      </c>
      <c r="G1629" s="4">
        <f>IF(Dashboard!$J$5=VLOOKUP(tblSalaries[[#This Row],[Currency]],Sheet3!$A$2:$B$31,2,FALSE),tblSalaries[[#This Row],[clean Salary (in local currency)]],(tblSalaries[[#This Row],[PPP Adjusted  USD]]/VLOOKUP(Dashboard!$J$5,Sheet3!$B$2:$C$31,2,FALSE)))</f>
        <v>13166.36421293817</v>
      </c>
      <c r="H1629" t="s">
        <v>1747</v>
      </c>
      <c r="I1629" t="s">
        <v>658</v>
      </c>
      <c r="J1629" t="s">
        <v>604</v>
      </c>
      <c r="K1629" t="s">
        <v>610</v>
      </c>
      <c r="L1629">
        <v>8</v>
      </c>
    </row>
    <row r="1630" spans="2:12" ht="15" customHeight="1">
      <c r="B1630" t="s">
        <v>2064</v>
      </c>
      <c r="C1630">
        <v>13100</v>
      </c>
      <c r="D1630" t="s">
        <v>252</v>
      </c>
      <c r="E1630">
        <v>13100</v>
      </c>
      <c r="F1630" s="3">
        <f>(tblSalaries[[#This Row],[clean Salary (in local currency)]])*(VLOOKUP(tblSalaries[[#This Row],[Currency]],Sheet3!$A$2:$C$31,3,FALSE))*(VLOOKUP(tblSalaries[[#This Row],[Currency]],Sheet1!$N$4:$Q$186,4,FALSE))</f>
        <v>13100</v>
      </c>
      <c r="G1630" s="4">
        <f>IF(Dashboard!$J$5=VLOOKUP(tblSalaries[[#This Row],[Currency]],Sheet3!$A$2:$B$31,2,FALSE),tblSalaries[[#This Row],[clean Salary (in local currency)]],(tblSalaries[[#This Row],[PPP Adjusted  USD]]/VLOOKUP(Dashboard!$J$5,Sheet3!$B$2:$C$31,2,FALSE)))</f>
        <v>13100</v>
      </c>
      <c r="H1630" t="s">
        <v>2065</v>
      </c>
      <c r="I1630" t="s">
        <v>637</v>
      </c>
      <c r="J1630" t="s">
        <v>604</v>
      </c>
      <c r="K1630" t="s">
        <v>617</v>
      </c>
      <c r="L1630">
        <v>5</v>
      </c>
    </row>
    <row r="1631" spans="2:12" ht="15" customHeight="1">
      <c r="B1631" t="s">
        <v>1129</v>
      </c>
      <c r="C1631">
        <v>276000</v>
      </c>
      <c r="D1631" t="s">
        <v>247</v>
      </c>
      <c r="E1631">
        <v>4914.9850057341491</v>
      </c>
      <c r="F1631" s="3">
        <f>(tblSalaries[[#This Row],[clean Salary (in local currency)]])*(VLOOKUP(tblSalaries[[#This Row],[Currency]],Sheet3!$A$2:$C$31,3,FALSE))*(VLOOKUP(tblSalaries[[#This Row],[Currency]],Sheet1!$N$4:$Q$186,4,FALSE))</f>
        <v>13071.642168240774</v>
      </c>
      <c r="G1631" s="4">
        <f>IF(Dashboard!$J$5=VLOOKUP(tblSalaries[[#This Row],[Currency]],Sheet3!$A$2:$B$31,2,FALSE),tblSalaries[[#This Row],[clean Salary (in local currency)]],(tblSalaries[[#This Row],[PPP Adjusted  USD]]/VLOOKUP(Dashboard!$J$5,Sheet3!$B$2:$C$31,2,FALSE)))</f>
        <v>13071.642168240774</v>
      </c>
      <c r="H1631" t="s">
        <v>987</v>
      </c>
      <c r="I1631" t="s">
        <v>603</v>
      </c>
      <c r="J1631" t="s">
        <v>604</v>
      </c>
      <c r="K1631" t="s">
        <v>610</v>
      </c>
      <c r="L1631" t="s">
        <v>3847</v>
      </c>
    </row>
    <row r="1632" spans="2:12" ht="15" customHeight="1">
      <c r="B1632" t="s">
        <v>1824</v>
      </c>
      <c r="C1632">
        <v>276000</v>
      </c>
      <c r="D1632" t="s">
        <v>247</v>
      </c>
      <c r="E1632">
        <v>4914.9850057341491</v>
      </c>
      <c r="F1632" s="3">
        <f>(tblSalaries[[#This Row],[clean Salary (in local currency)]])*(VLOOKUP(tblSalaries[[#This Row],[Currency]],Sheet3!$A$2:$C$31,3,FALSE))*(VLOOKUP(tblSalaries[[#This Row],[Currency]],Sheet1!$N$4:$Q$186,4,FALSE))</f>
        <v>13071.642168240774</v>
      </c>
      <c r="G1632" s="4">
        <f>IF(Dashboard!$J$5=VLOOKUP(tblSalaries[[#This Row],[Currency]],Sheet3!$A$2:$B$31,2,FALSE),tblSalaries[[#This Row],[clean Salary (in local currency)]],(tblSalaries[[#This Row],[PPP Adjusted  USD]]/VLOOKUP(Dashboard!$J$5,Sheet3!$B$2:$C$31,2,FALSE)))</f>
        <v>13071.642168240774</v>
      </c>
      <c r="H1632" t="s">
        <v>1825</v>
      </c>
      <c r="I1632" t="s">
        <v>625</v>
      </c>
      <c r="J1632" t="s">
        <v>616</v>
      </c>
      <c r="K1632" t="s">
        <v>627</v>
      </c>
      <c r="L1632">
        <v>3</v>
      </c>
    </row>
    <row r="1633" spans="2:12" ht="15" customHeight="1">
      <c r="B1633" t="s">
        <v>3805</v>
      </c>
      <c r="C1633">
        <v>276000</v>
      </c>
      <c r="D1633" t="s">
        <v>247</v>
      </c>
      <c r="E1633">
        <v>4914.9850057341491</v>
      </c>
      <c r="F1633" s="3">
        <f>(tblSalaries[[#This Row],[clean Salary (in local currency)]])*(VLOOKUP(tblSalaries[[#This Row],[Currency]],Sheet3!$A$2:$C$31,3,FALSE))*(VLOOKUP(tblSalaries[[#This Row],[Currency]],Sheet1!$N$4:$Q$186,4,FALSE))</f>
        <v>13071.642168240774</v>
      </c>
      <c r="G1633" s="4">
        <f>IF(Dashboard!$J$5=VLOOKUP(tblSalaries[[#This Row],[Currency]],Sheet3!$A$2:$B$31,2,FALSE),tblSalaries[[#This Row],[clean Salary (in local currency)]],(tblSalaries[[#This Row],[PPP Adjusted  USD]]/VLOOKUP(Dashboard!$J$5,Sheet3!$B$2:$C$31,2,FALSE)))</f>
        <v>13071.642168240774</v>
      </c>
      <c r="H1633" t="s">
        <v>3806</v>
      </c>
      <c r="I1633" t="s">
        <v>658</v>
      </c>
      <c r="J1633" t="s">
        <v>604</v>
      </c>
      <c r="K1633" t="s">
        <v>610</v>
      </c>
      <c r="L1633">
        <v>6</v>
      </c>
    </row>
    <row r="1634" spans="2:12" ht="15" customHeight="1">
      <c r="B1634" t="s">
        <v>1012</v>
      </c>
      <c r="C1634">
        <v>275000</v>
      </c>
      <c r="D1634" t="s">
        <v>247</v>
      </c>
      <c r="E1634">
        <v>4897.177089046706</v>
      </c>
      <c r="F1634" s="3">
        <f>(tblSalaries[[#This Row],[clean Salary (in local currency)]])*(VLOOKUP(tblSalaries[[#This Row],[Currency]],Sheet3!$A$2:$C$31,3,FALSE))*(VLOOKUP(tblSalaries[[#This Row],[Currency]],Sheet1!$N$4:$Q$186,4,FALSE))</f>
        <v>13024.281145892075</v>
      </c>
      <c r="G1634" s="4">
        <f>IF(Dashboard!$J$5=VLOOKUP(tblSalaries[[#This Row],[Currency]],Sheet3!$A$2:$B$31,2,FALSE),tblSalaries[[#This Row],[clean Salary (in local currency)]],(tblSalaries[[#This Row],[PPP Adjusted  USD]]/VLOOKUP(Dashboard!$J$5,Sheet3!$B$2:$C$31,2,FALSE)))</f>
        <v>13024.281145892075</v>
      </c>
      <c r="H1634" t="s">
        <v>1013</v>
      </c>
      <c r="I1634" t="s">
        <v>603</v>
      </c>
      <c r="J1634" t="s">
        <v>604</v>
      </c>
      <c r="K1634" t="s">
        <v>617</v>
      </c>
      <c r="L1634" t="s">
        <v>3847</v>
      </c>
    </row>
    <row r="1635" spans="2:12" ht="15" customHeight="1">
      <c r="B1635" t="s">
        <v>2898</v>
      </c>
      <c r="C1635">
        <v>275000</v>
      </c>
      <c r="D1635" t="s">
        <v>247</v>
      </c>
      <c r="E1635">
        <v>4897.177089046706</v>
      </c>
      <c r="F1635" s="3">
        <f>(tblSalaries[[#This Row],[clean Salary (in local currency)]])*(VLOOKUP(tblSalaries[[#This Row],[Currency]],Sheet3!$A$2:$C$31,3,FALSE))*(VLOOKUP(tblSalaries[[#This Row],[Currency]],Sheet1!$N$4:$Q$186,4,FALSE))</f>
        <v>13024.281145892075</v>
      </c>
      <c r="G1635" s="4">
        <f>IF(Dashboard!$J$5=VLOOKUP(tblSalaries[[#This Row],[Currency]],Sheet3!$A$2:$B$31,2,FALSE),tblSalaries[[#This Row],[clean Salary (in local currency)]],(tblSalaries[[#This Row],[PPP Adjusted  USD]]/VLOOKUP(Dashboard!$J$5,Sheet3!$B$2:$C$31,2,FALSE)))</f>
        <v>13024.281145892075</v>
      </c>
      <c r="H1635" t="s">
        <v>2899</v>
      </c>
      <c r="I1635" t="s">
        <v>625</v>
      </c>
      <c r="J1635" t="s">
        <v>604</v>
      </c>
      <c r="K1635" t="s">
        <v>610</v>
      </c>
      <c r="L1635">
        <v>4</v>
      </c>
    </row>
    <row r="1636" spans="2:12" ht="15" customHeight="1">
      <c r="B1636" t="s">
        <v>1264</v>
      </c>
      <c r="C1636">
        <v>13000</v>
      </c>
      <c r="D1636" t="s">
        <v>252</v>
      </c>
      <c r="E1636">
        <v>13000</v>
      </c>
      <c r="F1636" s="3">
        <f>(tblSalaries[[#This Row],[clean Salary (in local currency)]])*(VLOOKUP(tblSalaries[[#This Row],[Currency]],Sheet3!$A$2:$C$31,3,FALSE))*(VLOOKUP(tblSalaries[[#This Row],[Currency]],Sheet1!$N$4:$Q$186,4,FALSE))</f>
        <v>13000</v>
      </c>
      <c r="G1636" s="4">
        <f>IF(Dashboard!$J$5=VLOOKUP(tblSalaries[[#This Row],[Currency]],Sheet3!$A$2:$B$31,2,FALSE),tblSalaries[[#This Row],[clean Salary (in local currency)]],(tblSalaries[[#This Row],[PPP Adjusted  USD]]/VLOOKUP(Dashboard!$J$5,Sheet3!$B$2:$C$31,2,FALSE)))</f>
        <v>13000</v>
      </c>
      <c r="H1636" t="s">
        <v>1265</v>
      </c>
      <c r="I1636" t="s">
        <v>625</v>
      </c>
      <c r="J1636" t="s">
        <v>604</v>
      </c>
      <c r="K1636" t="s">
        <v>610</v>
      </c>
      <c r="L1636" t="s">
        <v>3847</v>
      </c>
    </row>
    <row r="1637" spans="2:12" ht="15" customHeight="1">
      <c r="B1637" t="s">
        <v>1849</v>
      </c>
      <c r="C1637">
        <v>13000</v>
      </c>
      <c r="D1637" t="s">
        <v>252</v>
      </c>
      <c r="E1637">
        <v>13000</v>
      </c>
      <c r="F1637" s="3">
        <f>(tblSalaries[[#This Row],[clean Salary (in local currency)]])*(VLOOKUP(tblSalaries[[#This Row],[Currency]],Sheet3!$A$2:$C$31,3,FALSE))*(VLOOKUP(tblSalaries[[#This Row],[Currency]],Sheet1!$N$4:$Q$186,4,FALSE))</f>
        <v>13000</v>
      </c>
      <c r="G1637" s="4">
        <f>IF(Dashboard!$J$5=VLOOKUP(tblSalaries[[#This Row],[Currency]],Sheet3!$A$2:$B$31,2,FALSE),tblSalaries[[#This Row],[clean Salary (in local currency)]],(tblSalaries[[#This Row],[PPP Adjusted  USD]]/VLOOKUP(Dashboard!$J$5,Sheet3!$B$2:$C$31,2,FALSE)))</f>
        <v>13000</v>
      </c>
      <c r="H1637" t="s">
        <v>603</v>
      </c>
      <c r="I1637" t="s">
        <v>603</v>
      </c>
      <c r="J1637" t="s">
        <v>604</v>
      </c>
      <c r="K1637" t="s">
        <v>627</v>
      </c>
      <c r="L1637">
        <v>4</v>
      </c>
    </row>
    <row r="1638" spans="2:12" ht="15" customHeight="1">
      <c r="B1638" t="s">
        <v>2109</v>
      </c>
      <c r="C1638">
        <v>13000</v>
      </c>
      <c r="D1638" t="s">
        <v>252</v>
      </c>
      <c r="E1638">
        <v>13000</v>
      </c>
      <c r="F1638" s="3">
        <f>(tblSalaries[[#This Row],[clean Salary (in local currency)]])*(VLOOKUP(tblSalaries[[#This Row],[Currency]],Sheet3!$A$2:$C$31,3,FALSE))*(VLOOKUP(tblSalaries[[#This Row],[Currency]],Sheet1!$N$4:$Q$186,4,FALSE))</f>
        <v>13000</v>
      </c>
      <c r="G1638" s="4">
        <f>IF(Dashboard!$J$5=VLOOKUP(tblSalaries[[#This Row],[Currency]],Sheet3!$A$2:$B$31,2,FALSE),tblSalaries[[#This Row],[clean Salary (in local currency)]],(tblSalaries[[#This Row],[PPP Adjusted  USD]]/VLOOKUP(Dashboard!$J$5,Sheet3!$B$2:$C$31,2,FALSE)))</f>
        <v>13000</v>
      </c>
      <c r="H1638" t="s">
        <v>899</v>
      </c>
      <c r="I1638" t="s">
        <v>603</v>
      </c>
      <c r="J1638" t="s">
        <v>604</v>
      </c>
      <c r="K1638" t="s">
        <v>610</v>
      </c>
      <c r="L1638">
        <v>6</v>
      </c>
    </row>
    <row r="1639" spans="2:12" ht="15" customHeight="1">
      <c r="B1639" t="s">
        <v>3354</v>
      </c>
      <c r="C1639">
        <v>13000</v>
      </c>
      <c r="D1639" t="s">
        <v>252</v>
      </c>
      <c r="E1639">
        <v>13000</v>
      </c>
      <c r="F1639" s="3">
        <f>(tblSalaries[[#This Row],[clean Salary (in local currency)]])*(VLOOKUP(tblSalaries[[#This Row],[Currency]],Sheet3!$A$2:$C$31,3,FALSE))*(VLOOKUP(tblSalaries[[#This Row],[Currency]],Sheet1!$N$4:$Q$186,4,FALSE))</f>
        <v>13000</v>
      </c>
      <c r="G1639" s="4">
        <f>IF(Dashboard!$J$5=VLOOKUP(tblSalaries[[#This Row],[Currency]],Sheet3!$A$2:$B$31,2,FALSE),tblSalaries[[#This Row],[clean Salary (in local currency)]],(tblSalaries[[#This Row],[PPP Adjusted  USD]]/VLOOKUP(Dashboard!$J$5,Sheet3!$B$2:$C$31,2,FALSE)))</f>
        <v>13000</v>
      </c>
      <c r="H1639" t="s">
        <v>3355</v>
      </c>
      <c r="I1639" t="s">
        <v>603</v>
      </c>
      <c r="J1639" t="s">
        <v>795</v>
      </c>
      <c r="K1639" t="s">
        <v>610</v>
      </c>
      <c r="L1639">
        <v>4</v>
      </c>
    </row>
    <row r="1640" spans="2:12" ht="15" customHeight="1">
      <c r="B1640" t="s">
        <v>3427</v>
      </c>
      <c r="C1640">
        <v>13000</v>
      </c>
      <c r="D1640" t="s">
        <v>252</v>
      </c>
      <c r="E1640">
        <v>13000</v>
      </c>
      <c r="F1640" s="3">
        <f>(tblSalaries[[#This Row],[clean Salary (in local currency)]])*(VLOOKUP(tblSalaries[[#This Row],[Currency]],Sheet3!$A$2:$C$31,3,FALSE))*(VLOOKUP(tblSalaries[[#This Row],[Currency]],Sheet1!$N$4:$Q$186,4,FALSE))</f>
        <v>13000</v>
      </c>
      <c r="G1640" s="4">
        <f>IF(Dashboard!$J$5=VLOOKUP(tblSalaries[[#This Row],[Currency]],Sheet3!$A$2:$B$31,2,FALSE),tblSalaries[[#This Row],[clean Salary (in local currency)]],(tblSalaries[[#This Row],[PPP Adjusted  USD]]/VLOOKUP(Dashboard!$J$5,Sheet3!$B$2:$C$31,2,FALSE)))</f>
        <v>13000</v>
      </c>
      <c r="H1640" t="s">
        <v>3428</v>
      </c>
      <c r="I1640" t="s">
        <v>603</v>
      </c>
      <c r="J1640" t="s">
        <v>3429</v>
      </c>
      <c r="K1640" t="s">
        <v>610</v>
      </c>
      <c r="L1640">
        <v>6</v>
      </c>
    </row>
    <row r="1641" spans="2:12" ht="15" customHeight="1">
      <c r="B1641" t="s">
        <v>3131</v>
      </c>
      <c r="C1641">
        <v>78000</v>
      </c>
      <c r="D1641" t="s">
        <v>400</v>
      </c>
      <c r="E1641">
        <v>9509.8988293070688</v>
      </c>
      <c r="F1641" s="3">
        <f>(tblSalaries[[#This Row],[clean Salary (in local currency)]])*(VLOOKUP(tblSalaries[[#This Row],[Currency]],Sheet3!$A$2:$C$31,3,FALSE))*(VLOOKUP(tblSalaries[[#This Row],[Currency]],Sheet1!$N$4:$Q$186,4,FALSE))</f>
        <v>12937.036362788491</v>
      </c>
      <c r="G1641" s="4">
        <f>IF(Dashboard!$J$5=VLOOKUP(tblSalaries[[#This Row],[Currency]],Sheet3!$A$2:$B$31,2,FALSE),tblSalaries[[#This Row],[clean Salary (in local currency)]],(tblSalaries[[#This Row],[PPP Adjusted  USD]]/VLOOKUP(Dashboard!$J$5,Sheet3!$B$2:$C$31,2,FALSE)))</f>
        <v>12937.036362788491</v>
      </c>
      <c r="H1641" t="s">
        <v>3132</v>
      </c>
      <c r="I1641" t="s">
        <v>608</v>
      </c>
      <c r="J1641" t="s">
        <v>659</v>
      </c>
      <c r="K1641" t="s">
        <v>605</v>
      </c>
      <c r="L1641">
        <v>2</v>
      </c>
    </row>
    <row r="1642" spans="2:12" ht="15" customHeight="1">
      <c r="B1642" t="s">
        <v>3724</v>
      </c>
      <c r="C1642">
        <v>270000</v>
      </c>
      <c r="D1642" t="s">
        <v>247</v>
      </c>
      <c r="E1642">
        <v>4808.137505609493</v>
      </c>
      <c r="F1642" s="3">
        <f>(tblSalaries[[#This Row],[clean Salary (in local currency)]])*(VLOOKUP(tblSalaries[[#This Row],[Currency]],Sheet3!$A$2:$C$31,3,FALSE))*(VLOOKUP(tblSalaries[[#This Row],[Currency]],Sheet1!$N$4:$Q$186,4,FALSE))</f>
        <v>12787.476034148582</v>
      </c>
      <c r="G1642" s="4">
        <f>IF(Dashboard!$J$5=VLOOKUP(tblSalaries[[#This Row],[Currency]],Sheet3!$A$2:$B$31,2,FALSE),tblSalaries[[#This Row],[clean Salary (in local currency)]],(tblSalaries[[#This Row],[PPP Adjusted  USD]]/VLOOKUP(Dashboard!$J$5,Sheet3!$B$2:$C$31,2,FALSE)))</f>
        <v>12787.476034148582</v>
      </c>
      <c r="H1642" t="s">
        <v>715</v>
      </c>
      <c r="I1642" t="s">
        <v>625</v>
      </c>
      <c r="J1642" t="s">
        <v>604</v>
      </c>
      <c r="K1642" t="s">
        <v>617</v>
      </c>
      <c r="L1642">
        <v>5</v>
      </c>
    </row>
    <row r="1643" spans="2:12" ht="15" customHeight="1">
      <c r="B1643" t="s">
        <v>2840</v>
      </c>
      <c r="C1643">
        <v>12500</v>
      </c>
      <c r="D1643" t="s">
        <v>252</v>
      </c>
      <c r="E1643">
        <v>12500</v>
      </c>
      <c r="F1643" s="3">
        <f>(tblSalaries[[#This Row],[clean Salary (in local currency)]])*(VLOOKUP(tblSalaries[[#This Row],[Currency]],Sheet3!$A$2:$C$31,3,FALSE))*(VLOOKUP(tblSalaries[[#This Row],[Currency]],Sheet1!$N$4:$Q$186,4,FALSE))</f>
        <v>12500</v>
      </c>
      <c r="G1643" s="4">
        <f>IF(Dashboard!$J$5=VLOOKUP(tblSalaries[[#This Row],[Currency]],Sheet3!$A$2:$B$31,2,FALSE),tblSalaries[[#This Row],[clean Salary (in local currency)]],(tblSalaries[[#This Row],[PPP Adjusted  USD]]/VLOOKUP(Dashboard!$J$5,Sheet3!$B$2:$C$31,2,FALSE)))</f>
        <v>12500</v>
      </c>
      <c r="H1643" t="s">
        <v>640</v>
      </c>
      <c r="I1643" t="s">
        <v>640</v>
      </c>
      <c r="J1643" t="s">
        <v>1146</v>
      </c>
      <c r="K1643" t="s">
        <v>617</v>
      </c>
      <c r="L1643">
        <v>7</v>
      </c>
    </row>
    <row r="1644" spans="2:12" ht="15" customHeight="1">
      <c r="B1644" t="s">
        <v>1847</v>
      </c>
      <c r="C1644">
        <v>260000</v>
      </c>
      <c r="D1644" t="s">
        <v>247</v>
      </c>
      <c r="E1644">
        <v>4630.058338735068</v>
      </c>
      <c r="F1644" s="3">
        <f>(tblSalaries[[#This Row],[clean Salary (in local currency)]])*(VLOOKUP(tblSalaries[[#This Row],[Currency]],Sheet3!$A$2:$C$31,3,FALSE))*(VLOOKUP(tblSalaries[[#This Row],[Currency]],Sheet1!$N$4:$Q$186,4,FALSE))</f>
        <v>12313.865810661599</v>
      </c>
      <c r="G1644" s="4">
        <f>IF(Dashboard!$J$5=VLOOKUP(tblSalaries[[#This Row],[Currency]],Sheet3!$A$2:$B$31,2,FALSE),tblSalaries[[#This Row],[clean Salary (in local currency)]],(tblSalaries[[#This Row],[PPP Adjusted  USD]]/VLOOKUP(Dashboard!$J$5,Sheet3!$B$2:$C$31,2,FALSE)))</f>
        <v>12313.865810661599</v>
      </c>
      <c r="H1644" t="s">
        <v>603</v>
      </c>
      <c r="I1644" t="s">
        <v>603</v>
      </c>
      <c r="J1644" t="s">
        <v>604</v>
      </c>
      <c r="K1644" t="s">
        <v>605</v>
      </c>
      <c r="L1644">
        <v>2</v>
      </c>
    </row>
    <row r="1645" spans="2:12" ht="15" customHeight="1">
      <c r="B1645" t="s">
        <v>3547</v>
      </c>
      <c r="C1645">
        <v>258000</v>
      </c>
      <c r="D1645" t="s">
        <v>247</v>
      </c>
      <c r="E1645">
        <v>4594.4425053601826</v>
      </c>
      <c r="F1645" s="3">
        <f>(tblSalaries[[#This Row],[clean Salary (in local currency)]])*(VLOOKUP(tblSalaries[[#This Row],[Currency]],Sheet3!$A$2:$C$31,3,FALSE))*(VLOOKUP(tblSalaries[[#This Row],[Currency]],Sheet1!$N$4:$Q$186,4,FALSE))</f>
        <v>12219.143765964202</v>
      </c>
      <c r="G1645" s="4">
        <f>IF(Dashboard!$J$5=VLOOKUP(tblSalaries[[#This Row],[Currency]],Sheet3!$A$2:$B$31,2,FALSE),tblSalaries[[#This Row],[clean Salary (in local currency)]],(tblSalaries[[#This Row],[PPP Adjusted  USD]]/VLOOKUP(Dashboard!$J$5,Sheet3!$B$2:$C$31,2,FALSE)))</f>
        <v>12219.143765964202</v>
      </c>
      <c r="H1645" t="s">
        <v>3548</v>
      </c>
      <c r="I1645" t="s">
        <v>603</v>
      </c>
      <c r="J1645" t="s">
        <v>604</v>
      </c>
      <c r="K1645" t="s">
        <v>605</v>
      </c>
      <c r="L1645">
        <v>4</v>
      </c>
    </row>
    <row r="1646" spans="2:12" ht="15" customHeight="1">
      <c r="B1646" t="s">
        <v>628</v>
      </c>
      <c r="C1646">
        <v>12000</v>
      </c>
      <c r="D1646" t="s">
        <v>252</v>
      </c>
      <c r="E1646">
        <v>12000</v>
      </c>
      <c r="F1646" s="3">
        <f>(tblSalaries[[#This Row],[clean Salary (in local currency)]])*(VLOOKUP(tblSalaries[[#This Row],[Currency]],Sheet3!$A$2:$C$31,3,FALSE))*(VLOOKUP(tblSalaries[[#This Row],[Currency]],Sheet1!$N$4:$Q$186,4,FALSE))</f>
        <v>12000</v>
      </c>
      <c r="G1646" s="4">
        <f>IF(Dashboard!$J$5=VLOOKUP(tblSalaries[[#This Row],[Currency]],Sheet3!$A$2:$B$31,2,FALSE),tblSalaries[[#This Row],[clean Salary (in local currency)]],(tblSalaries[[#This Row],[PPP Adjusted  USD]]/VLOOKUP(Dashboard!$J$5,Sheet3!$B$2:$C$31,2,FALSE)))</f>
        <v>12000</v>
      </c>
      <c r="H1646" t="s">
        <v>629</v>
      </c>
      <c r="I1646" t="s">
        <v>603</v>
      </c>
      <c r="J1646" t="s">
        <v>630</v>
      </c>
      <c r="K1646" t="s">
        <v>610</v>
      </c>
      <c r="L1646" t="s">
        <v>3847</v>
      </c>
    </row>
    <row r="1647" spans="2:12" ht="15" customHeight="1">
      <c r="B1647" t="s">
        <v>718</v>
      </c>
      <c r="C1647">
        <v>12000</v>
      </c>
      <c r="D1647" t="s">
        <v>252</v>
      </c>
      <c r="E1647">
        <v>12000</v>
      </c>
      <c r="F1647" s="3">
        <f>(tblSalaries[[#This Row],[clean Salary (in local currency)]])*(VLOOKUP(tblSalaries[[#This Row],[Currency]],Sheet3!$A$2:$C$31,3,FALSE))*(VLOOKUP(tblSalaries[[#This Row],[Currency]],Sheet1!$N$4:$Q$186,4,FALSE))</f>
        <v>12000</v>
      </c>
      <c r="G1647" s="4">
        <f>IF(Dashboard!$J$5=VLOOKUP(tblSalaries[[#This Row],[Currency]],Sheet3!$A$2:$B$31,2,FALSE),tblSalaries[[#This Row],[clean Salary (in local currency)]],(tblSalaries[[#This Row],[PPP Adjusted  USD]]/VLOOKUP(Dashboard!$J$5,Sheet3!$B$2:$C$31,2,FALSE)))</f>
        <v>12000</v>
      </c>
      <c r="H1647" t="s">
        <v>719</v>
      </c>
      <c r="I1647" t="s">
        <v>692</v>
      </c>
      <c r="J1647" t="s">
        <v>613</v>
      </c>
      <c r="K1647" t="s">
        <v>627</v>
      </c>
      <c r="L1647" t="s">
        <v>3847</v>
      </c>
    </row>
    <row r="1648" spans="2:12" ht="15" customHeight="1">
      <c r="B1648" t="s">
        <v>881</v>
      </c>
      <c r="C1648">
        <v>12000</v>
      </c>
      <c r="D1648" t="s">
        <v>252</v>
      </c>
      <c r="E1648">
        <v>12000</v>
      </c>
      <c r="F1648" s="3">
        <f>(tblSalaries[[#This Row],[clean Salary (in local currency)]])*(VLOOKUP(tblSalaries[[#This Row],[Currency]],Sheet3!$A$2:$C$31,3,FALSE))*(VLOOKUP(tblSalaries[[#This Row],[Currency]],Sheet1!$N$4:$Q$186,4,FALSE))</f>
        <v>12000</v>
      </c>
      <c r="G1648" s="4">
        <f>IF(Dashboard!$J$5=VLOOKUP(tblSalaries[[#This Row],[Currency]],Sheet3!$A$2:$B$31,2,FALSE),tblSalaries[[#This Row],[clean Salary (in local currency)]],(tblSalaries[[#This Row],[PPP Adjusted  USD]]/VLOOKUP(Dashboard!$J$5,Sheet3!$B$2:$C$31,2,FALSE)))</f>
        <v>12000</v>
      </c>
      <c r="H1648" t="s">
        <v>882</v>
      </c>
      <c r="I1648" t="s">
        <v>692</v>
      </c>
      <c r="J1648" t="s">
        <v>616</v>
      </c>
      <c r="K1648" t="s">
        <v>627</v>
      </c>
      <c r="L1648" t="s">
        <v>3847</v>
      </c>
    </row>
    <row r="1649" spans="2:12" ht="15" customHeight="1">
      <c r="B1649" t="s">
        <v>1199</v>
      </c>
      <c r="C1649">
        <v>12000</v>
      </c>
      <c r="D1649" t="s">
        <v>252</v>
      </c>
      <c r="E1649">
        <v>12000</v>
      </c>
      <c r="F1649" s="3">
        <f>(tblSalaries[[#This Row],[clean Salary (in local currency)]])*(VLOOKUP(tblSalaries[[#This Row],[Currency]],Sheet3!$A$2:$C$31,3,FALSE))*(VLOOKUP(tblSalaries[[#This Row],[Currency]],Sheet1!$N$4:$Q$186,4,FALSE))</f>
        <v>12000</v>
      </c>
      <c r="G1649" s="4">
        <f>IF(Dashboard!$J$5=VLOOKUP(tblSalaries[[#This Row],[Currency]],Sheet3!$A$2:$B$31,2,FALSE),tblSalaries[[#This Row],[clean Salary (in local currency)]],(tblSalaries[[#This Row],[PPP Adjusted  USD]]/VLOOKUP(Dashboard!$J$5,Sheet3!$B$2:$C$31,2,FALSE)))</f>
        <v>12000</v>
      </c>
      <c r="H1649" t="s">
        <v>603</v>
      </c>
      <c r="I1649" t="s">
        <v>603</v>
      </c>
      <c r="J1649" t="s">
        <v>604</v>
      </c>
      <c r="K1649" t="s">
        <v>610</v>
      </c>
      <c r="L1649" t="s">
        <v>3847</v>
      </c>
    </row>
    <row r="1650" spans="2:12" ht="15" customHeight="1">
      <c r="B1650" t="s">
        <v>1347</v>
      </c>
      <c r="C1650">
        <v>12000</v>
      </c>
      <c r="D1650" t="s">
        <v>252</v>
      </c>
      <c r="E1650">
        <v>12000</v>
      </c>
      <c r="F1650" s="3">
        <f>(tblSalaries[[#This Row],[clean Salary (in local currency)]])*(VLOOKUP(tblSalaries[[#This Row],[Currency]],Sheet3!$A$2:$C$31,3,FALSE))*(VLOOKUP(tblSalaries[[#This Row],[Currency]],Sheet1!$N$4:$Q$186,4,FALSE))</f>
        <v>12000</v>
      </c>
      <c r="G1650" s="4">
        <f>IF(Dashboard!$J$5=VLOOKUP(tblSalaries[[#This Row],[Currency]],Sheet3!$A$2:$B$31,2,FALSE),tblSalaries[[#This Row],[clean Salary (in local currency)]],(tblSalaries[[#This Row],[PPP Adjusted  USD]]/VLOOKUP(Dashboard!$J$5,Sheet3!$B$2:$C$31,2,FALSE)))</f>
        <v>12000</v>
      </c>
      <c r="H1650" t="s">
        <v>1348</v>
      </c>
      <c r="I1650" t="s">
        <v>658</v>
      </c>
      <c r="J1650" t="s">
        <v>659</v>
      </c>
      <c r="K1650" t="s">
        <v>605</v>
      </c>
      <c r="L1650" t="s">
        <v>3847</v>
      </c>
    </row>
    <row r="1651" spans="2:12" ht="15" customHeight="1">
      <c r="B1651" t="s">
        <v>1408</v>
      </c>
      <c r="C1651">
        <v>12000</v>
      </c>
      <c r="D1651" t="s">
        <v>252</v>
      </c>
      <c r="E1651">
        <v>12000</v>
      </c>
      <c r="F1651" s="3">
        <f>(tblSalaries[[#This Row],[clean Salary (in local currency)]])*(VLOOKUP(tblSalaries[[#This Row],[Currency]],Sheet3!$A$2:$C$31,3,FALSE))*(VLOOKUP(tblSalaries[[#This Row],[Currency]],Sheet1!$N$4:$Q$186,4,FALSE))</f>
        <v>12000</v>
      </c>
      <c r="G1651" s="4">
        <f>IF(Dashboard!$J$5=VLOOKUP(tblSalaries[[#This Row],[Currency]],Sheet3!$A$2:$B$31,2,FALSE),tblSalaries[[#This Row],[clean Salary (in local currency)]],(tblSalaries[[#This Row],[PPP Adjusted  USD]]/VLOOKUP(Dashboard!$J$5,Sheet3!$B$2:$C$31,2,FALSE)))</f>
        <v>12000</v>
      </c>
      <c r="H1651" t="s">
        <v>1409</v>
      </c>
      <c r="I1651" t="s">
        <v>603</v>
      </c>
      <c r="J1651" t="s">
        <v>1410</v>
      </c>
      <c r="K1651" t="s">
        <v>617</v>
      </c>
      <c r="L1651" t="s">
        <v>3847</v>
      </c>
    </row>
    <row r="1652" spans="2:12" ht="15" customHeight="1">
      <c r="B1652" t="s">
        <v>1502</v>
      </c>
      <c r="C1652">
        <v>12000</v>
      </c>
      <c r="D1652" t="s">
        <v>252</v>
      </c>
      <c r="E1652">
        <v>12000</v>
      </c>
      <c r="F1652" s="3">
        <f>(tblSalaries[[#This Row],[clean Salary (in local currency)]])*(VLOOKUP(tblSalaries[[#This Row],[Currency]],Sheet3!$A$2:$C$31,3,FALSE))*(VLOOKUP(tblSalaries[[#This Row],[Currency]],Sheet1!$N$4:$Q$186,4,FALSE))</f>
        <v>12000</v>
      </c>
      <c r="G1652" s="4">
        <f>IF(Dashboard!$J$5=VLOOKUP(tblSalaries[[#This Row],[Currency]],Sheet3!$A$2:$B$31,2,FALSE),tblSalaries[[#This Row],[clean Salary (in local currency)]],(tblSalaries[[#This Row],[PPP Adjusted  USD]]/VLOOKUP(Dashboard!$J$5,Sheet3!$B$2:$C$31,2,FALSE)))</f>
        <v>12000</v>
      </c>
      <c r="H1652" t="s">
        <v>1503</v>
      </c>
      <c r="I1652" t="s">
        <v>603</v>
      </c>
      <c r="J1652" t="s">
        <v>1504</v>
      </c>
      <c r="K1652" t="s">
        <v>610</v>
      </c>
      <c r="L1652" t="s">
        <v>3847</v>
      </c>
    </row>
    <row r="1653" spans="2:12" ht="15" customHeight="1">
      <c r="B1653" t="s">
        <v>1563</v>
      </c>
      <c r="C1653">
        <v>12000</v>
      </c>
      <c r="D1653" t="s">
        <v>252</v>
      </c>
      <c r="E1653">
        <v>12000</v>
      </c>
      <c r="F1653" s="3">
        <f>(tblSalaries[[#This Row],[clean Salary (in local currency)]])*(VLOOKUP(tblSalaries[[#This Row],[Currency]],Sheet3!$A$2:$C$31,3,FALSE))*(VLOOKUP(tblSalaries[[#This Row],[Currency]],Sheet1!$N$4:$Q$186,4,FALSE))</f>
        <v>12000</v>
      </c>
      <c r="G1653" s="4">
        <f>IF(Dashboard!$J$5=VLOOKUP(tblSalaries[[#This Row],[Currency]],Sheet3!$A$2:$B$31,2,FALSE),tblSalaries[[#This Row],[clean Salary (in local currency)]],(tblSalaries[[#This Row],[PPP Adjusted  USD]]/VLOOKUP(Dashboard!$J$5,Sheet3!$B$2:$C$31,2,FALSE)))</f>
        <v>12000</v>
      </c>
      <c r="H1653" t="s">
        <v>1556</v>
      </c>
      <c r="I1653" t="s">
        <v>603</v>
      </c>
      <c r="J1653" t="s">
        <v>795</v>
      </c>
      <c r="K1653" t="s">
        <v>610</v>
      </c>
      <c r="L1653" t="s">
        <v>3847</v>
      </c>
    </row>
    <row r="1654" spans="2:12" ht="15" customHeight="1">
      <c r="B1654" t="s">
        <v>1898</v>
      </c>
      <c r="C1654">
        <v>12000</v>
      </c>
      <c r="D1654" t="s">
        <v>252</v>
      </c>
      <c r="E1654">
        <v>12000</v>
      </c>
      <c r="F1654" s="3">
        <f>(tblSalaries[[#This Row],[clean Salary (in local currency)]])*(VLOOKUP(tblSalaries[[#This Row],[Currency]],Sheet3!$A$2:$C$31,3,FALSE))*(VLOOKUP(tblSalaries[[#This Row],[Currency]],Sheet1!$N$4:$Q$186,4,FALSE))</f>
        <v>12000</v>
      </c>
      <c r="G1654" s="4">
        <f>IF(Dashboard!$J$5=VLOOKUP(tblSalaries[[#This Row],[Currency]],Sheet3!$A$2:$B$31,2,FALSE),tblSalaries[[#This Row],[clean Salary (in local currency)]],(tblSalaries[[#This Row],[PPP Adjusted  USD]]/VLOOKUP(Dashboard!$J$5,Sheet3!$B$2:$C$31,2,FALSE)))</f>
        <v>12000</v>
      </c>
      <c r="H1654" t="s">
        <v>1899</v>
      </c>
      <c r="I1654" t="s">
        <v>603</v>
      </c>
      <c r="J1654" t="s">
        <v>770</v>
      </c>
      <c r="K1654" t="s">
        <v>605</v>
      </c>
      <c r="L1654">
        <v>12</v>
      </c>
    </row>
    <row r="1655" spans="2:12" ht="15" customHeight="1">
      <c r="B1655" t="s">
        <v>2087</v>
      </c>
      <c r="C1655">
        <v>12000</v>
      </c>
      <c r="D1655" t="s">
        <v>252</v>
      </c>
      <c r="E1655">
        <v>12000</v>
      </c>
      <c r="F1655" s="3">
        <f>(tblSalaries[[#This Row],[clean Salary (in local currency)]])*(VLOOKUP(tblSalaries[[#This Row],[Currency]],Sheet3!$A$2:$C$31,3,FALSE))*(VLOOKUP(tblSalaries[[#This Row],[Currency]],Sheet1!$N$4:$Q$186,4,FALSE))</f>
        <v>12000</v>
      </c>
      <c r="G1655" s="4">
        <f>IF(Dashboard!$J$5=VLOOKUP(tblSalaries[[#This Row],[Currency]],Sheet3!$A$2:$B$31,2,FALSE),tblSalaries[[#This Row],[clean Salary (in local currency)]],(tblSalaries[[#This Row],[PPP Adjusted  USD]]/VLOOKUP(Dashboard!$J$5,Sheet3!$B$2:$C$31,2,FALSE)))</f>
        <v>12000</v>
      </c>
      <c r="H1655" t="s">
        <v>2088</v>
      </c>
      <c r="I1655" t="s">
        <v>625</v>
      </c>
      <c r="J1655" t="s">
        <v>630</v>
      </c>
      <c r="K1655" t="s">
        <v>605</v>
      </c>
      <c r="L1655">
        <v>5</v>
      </c>
    </row>
    <row r="1656" spans="2:12" ht="15" customHeight="1">
      <c r="B1656" t="s">
        <v>2143</v>
      </c>
      <c r="C1656">
        <v>12000</v>
      </c>
      <c r="D1656" t="s">
        <v>252</v>
      </c>
      <c r="E1656">
        <v>12000</v>
      </c>
      <c r="F1656" s="3">
        <f>(tblSalaries[[#This Row],[clean Salary (in local currency)]])*(VLOOKUP(tblSalaries[[#This Row],[Currency]],Sheet3!$A$2:$C$31,3,FALSE))*(VLOOKUP(tblSalaries[[#This Row],[Currency]],Sheet1!$N$4:$Q$186,4,FALSE))</f>
        <v>12000</v>
      </c>
      <c r="G1656" s="4">
        <f>IF(Dashboard!$J$5=VLOOKUP(tblSalaries[[#This Row],[Currency]],Sheet3!$A$2:$B$31,2,FALSE),tblSalaries[[#This Row],[clean Salary (in local currency)]],(tblSalaries[[#This Row],[PPP Adjusted  USD]]/VLOOKUP(Dashboard!$J$5,Sheet3!$B$2:$C$31,2,FALSE)))</f>
        <v>12000</v>
      </c>
      <c r="H1656" t="s">
        <v>2144</v>
      </c>
      <c r="I1656" t="s">
        <v>692</v>
      </c>
      <c r="J1656" t="s">
        <v>1557</v>
      </c>
      <c r="K1656" t="s">
        <v>617</v>
      </c>
      <c r="L1656">
        <v>15</v>
      </c>
    </row>
    <row r="1657" spans="2:12" ht="15" customHeight="1">
      <c r="B1657" t="s">
        <v>2172</v>
      </c>
      <c r="C1657">
        <v>12000</v>
      </c>
      <c r="D1657" t="s">
        <v>252</v>
      </c>
      <c r="E1657">
        <v>12000</v>
      </c>
      <c r="F1657" s="3">
        <f>(tblSalaries[[#This Row],[clean Salary (in local currency)]])*(VLOOKUP(tblSalaries[[#This Row],[Currency]],Sheet3!$A$2:$C$31,3,FALSE))*(VLOOKUP(tblSalaries[[#This Row],[Currency]],Sheet1!$N$4:$Q$186,4,FALSE))</f>
        <v>12000</v>
      </c>
      <c r="G1657" s="4">
        <f>IF(Dashboard!$J$5=VLOOKUP(tblSalaries[[#This Row],[Currency]],Sheet3!$A$2:$B$31,2,FALSE),tblSalaries[[#This Row],[clean Salary (in local currency)]],(tblSalaries[[#This Row],[PPP Adjusted  USD]]/VLOOKUP(Dashboard!$J$5,Sheet3!$B$2:$C$31,2,FALSE)))</f>
        <v>12000</v>
      </c>
      <c r="H1657" t="s">
        <v>2173</v>
      </c>
      <c r="I1657" t="s">
        <v>625</v>
      </c>
      <c r="J1657" t="s">
        <v>770</v>
      </c>
      <c r="K1657" t="s">
        <v>610</v>
      </c>
      <c r="L1657">
        <v>18</v>
      </c>
    </row>
    <row r="1658" spans="2:12" ht="15" customHeight="1">
      <c r="B1658" t="s">
        <v>2358</v>
      </c>
      <c r="C1658">
        <v>12000</v>
      </c>
      <c r="D1658" t="s">
        <v>252</v>
      </c>
      <c r="E1658">
        <v>12000</v>
      </c>
      <c r="F1658" s="3">
        <f>(tblSalaries[[#This Row],[clean Salary (in local currency)]])*(VLOOKUP(tblSalaries[[#This Row],[Currency]],Sheet3!$A$2:$C$31,3,FALSE))*(VLOOKUP(tblSalaries[[#This Row],[Currency]],Sheet1!$N$4:$Q$186,4,FALSE))</f>
        <v>12000</v>
      </c>
      <c r="G1658" s="4">
        <f>IF(Dashboard!$J$5=VLOOKUP(tblSalaries[[#This Row],[Currency]],Sheet3!$A$2:$B$31,2,FALSE),tblSalaries[[#This Row],[clean Salary (in local currency)]],(tblSalaries[[#This Row],[PPP Adjusted  USD]]/VLOOKUP(Dashboard!$J$5,Sheet3!$B$2:$C$31,2,FALSE)))</f>
        <v>12000</v>
      </c>
      <c r="H1658" t="s">
        <v>625</v>
      </c>
      <c r="I1658" t="s">
        <v>625</v>
      </c>
      <c r="J1658" t="s">
        <v>2359</v>
      </c>
      <c r="K1658" t="s">
        <v>610</v>
      </c>
      <c r="L1658">
        <v>3</v>
      </c>
    </row>
    <row r="1659" spans="2:12" ht="15" customHeight="1">
      <c r="B1659" t="s">
        <v>2446</v>
      </c>
      <c r="C1659">
        <v>12000</v>
      </c>
      <c r="D1659" t="s">
        <v>252</v>
      </c>
      <c r="E1659">
        <v>12000</v>
      </c>
      <c r="F1659" s="3">
        <f>(tblSalaries[[#This Row],[clean Salary (in local currency)]])*(VLOOKUP(tblSalaries[[#This Row],[Currency]],Sheet3!$A$2:$C$31,3,FALSE))*(VLOOKUP(tblSalaries[[#This Row],[Currency]],Sheet1!$N$4:$Q$186,4,FALSE))</f>
        <v>12000</v>
      </c>
      <c r="G1659" s="4">
        <f>IF(Dashboard!$J$5=VLOOKUP(tblSalaries[[#This Row],[Currency]],Sheet3!$A$2:$B$31,2,FALSE),tblSalaries[[#This Row],[clean Salary (in local currency)]],(tblSalaries[[#This Row],[PPP Adjusted  USD]]/VLOOKUP(Dashboard!$J$5,Sheet3!$B$2:$C$31,2,FALSE)))</f>
        <v>12000</v>
      </c>
      <c r="H1659" t="s">
        <v>2447</v>
      </c>
      <c r="I1659" t="s">
        <v>608</v>
      </c>
      <c r="J1659" t="s">
        <v>1410</v>
      </c>
      <c r="K1659" t="s">
        <v>605</v>
      </c>
      <c r="L1659">
        <v>3</v>
      </c>
    </row>
    <row r="1660" spans="2:12" ht="15" customHeight="1">
      <c r="B1660" t="s">
        <v>2456</v>
      </c>
      <c r="C1660">
        <v>12000</v>
      </c>
      <c r="D1660" t="s">
        <v>252</v>
      </c>
      <c r="E1660">
        <v>12000</v>
      </c>
      <c r="F1660" s="3">
        <f>(tblSalaries[[#This Row],[clean Salary (in local currency)]])*(VLOOKUP(tblSalaries[[#This Row],[Currency]],Sheet3!$A$2:$C$31,3,FALSE))*(VLOOKUP(tblSalaries[[#This Row],[Currency]],Sheet1!$N$4:$Q$186,4,FALSE))</f>
        <v>12000</v>
      </c>
      <c r="G1660" s="4">
        <f>IF(Dashboard!$J$5=VLOOKUP(tblSalaries[[#This Row],[Currency]],Sheet3!$A$2:$B$31,2,FALSE),tblSalaries[[#This Row],[clean Salary (in local currency)]],(tblSalaries[[#This Row],[PPP Adjusted  USD]]/VLOOKUP(Dashboard!$J$5,Sheet3!$B$2:$C$31,2,FALSE)))</f>
        <v>12000</v>
      </c>
      <c r="H1660" t="s">
        <v>702</v>
      </c>
      <c r="I1660" t="s">
        <v>692</v>
      </c>
      <c r="J1660" t="s">
        <v>604</v>
      </c>
      <c r="K1660" t="s">
        <v>617</v>
      </c>
      <c r="L1660">
        <v>8</v>
      </c>
    </row>
    <row r="1661" spans="2:12" ht="15" customHeight="1">
      <c r="B1661" t="s">
        <v>2842</v>
      </c>
      <c r="C1661">
        <v>12000</v>
      </c>
      <c r="D1661" t="s">
        <v>252</v>
      </c>
      <c r="E1661">
        <v>12000</v>
      </c>
      <c r="F1661" s="3">
        <f>(tblSalaries[[#This Row],[clean Salary (in local currency)]])*(VLOOKUP(tblSalaries[[#This Row],[Currency]],Sheet3!$A$2:$C$31,3,FALSE))*(VLOOKUP(tblSalaries[[#This Row],[Currency]],Sheet1!$N$4:$Q$186,4,FALSE))</f>
        <v>12000</v>
      </c>
      <c r="G1661" s="4">
        <f>IF(Dashboard!$J$5=VLOOKUP(tblSalaries[[#This Row],[Currency]],Sheet3!$A$2:$B$31,2,FALSE),tblSalaries[[#This Row],[clean Salary (in local currency)]],(tblSalaries[[#This Row],[PPP Adjusted  USD]]/VLOOKUP(Dashboard!$J$5,Sheet3!$B$2:$C$31,2,FALSE)))</f>
        <v>12000</v>
      </c>
      <c r="H1661" t="s">
        <v>2843</v>
      </c>
      <c r="I1661" t="s">
        <v>692</v>
      </c>
      <c r="J1661" t="s">
        <v>616</v>
      </c>
      <c r="K1661" t="s">
        <v>605</v>
      </c>
      <c r="L1661">
        <v>1</v>
      </c>
    </row>
    <row r="1662" spans="2:12" ht="15" customHeight="1">
      <c r="B1662" t="s">
        <v>3220</v>
      </c>
      <c r="C1662">
        <v>12000</v>
      </c>
      <c r="D1662" t="s">
        <v>252</v>
      </c>
      <c r="E1662">
        <v>12000</v>
      </c>
      <c r="F1662" s="3">
        <f>(tblSalaries[[#This Row],[clean Salary (in local currency)]])*(VLOOKUP(tblSalaries[[#This Row],[Currency]],Sheet3!$A$2:$C$31,3,FALSE))*(VLOOKUP(tblSalaries[[#This Row],[Currency]],Sheet1!$N$4:$Q$186,4,FALSE))</f>
        <v>12000</v>
      </c>
      <c r="G1662" s="4">
        <f>IF(Dashboard!$J$5=VLOOKUP(tblSalaries[[#This Row],[Currency]],Sheet3!$A$2:$B$31,2,FALSE),tblSalaries[[#This Row],[clean Salary (in local currency)]],(tblSalaries[[#This Row],[PPP Adjusted  USD]]/VLOOKUP(Dashboard!$J$5,Sheet3!$B$2:$C$31,2,FALSE)))</f>
        <v>12000</v>
      </c>
      <c r="H1662" t="s">
        <v>3221</v>
      </c>
      <c r="I1662" t="s">
        <v>603</v>
      </c>
      <c r="J1662" t="s">
        <v>3222</v>
      </c>
      <c r="K1662" t="s">
        <v>617</v>
      </c>
      <c r="L1662">
        <v>0</v>
      </c>
    </row>
    <row r="1663" spans="2:12" ht="15" customHeight="1">
      <c r="B1663" t="s">
        <v>3399</v>
      </c>
      <c r="C1663">
        <v>12000</v>
      </c>
      <c r="D1663" t="s">
        <v>252</v>
      </c>
      <c r="E1663">
        <v>12000</v>
      </c>
      <c r="F1663" s="3">
        <f>(tblSalaries[[#This Row],[clean Salary (in local currency)]])*(VLOOKUP(tblSalaries[[#This Row],[Currency]],Sheet3!$A$2:$C$31,3,FALSE))*(VLOOKUP(tblSalaries[[#This Row],[Currency]],Sheet1!$N$4:$Q$186,4,FALSE))</f>
        <v>12000</v>
      </c>
      <c r="G1663" s="4">
        <f>IF(Dashboard!$J$5=VLOOKUP(tblSalaries[[#This Row],[Currency]],Sheet3!$A$2:$B$31,2,FALSE),tblSalaries[[#This Row],[clean Salary (in local currency)]],(tblSalaries[[#This Row],[PPP Adjusted  USD]]/VLOOKUP(Dashboard!$J$5,Sheet3!$B$2:$C$31,2,FALSE)))</f>
        <v>12000</v>
      </c>
      <c r="H1663" t="s">
        <v>3400</v>
      </c>
      <c r="I1663" t="s">
        <v>658</v>
      </c>
      <c r="J1663" t="s">
        <v>604</v>
      </c>
      <c r="K1663" t="s">
        <v>610</v>
      </c>
      <c r="L1663">
        <v>3</v>
      </c>
    </row>
    <row r="1664" spans="2:12" ht="15" customHeight="1">
      <c r="B1664" t="s">
        <v>3451</v>
      </c>
      <c r="C1664">
        <v>12000</v>
      </c>
      <c r="D1664" t="s">
        <v>252</v>
      </c>
      <c r="E1664">
        <v>12000</v>
      </c>
      <c r="F1664" s="3">
        <f>(tblSalaries[[#This Row],[clean Salary (in local currency)]])*(VLOOKUP(tblSalaries[[#This Row],[Currency]],Sheet3!$A$2:$C$31,3,FALSE))*(VLOOKUP(tblSalaries[[#This Row],[Currency]],Sheet1!$N$4:$Q$186,4,FALSE))</f>
        <v>12000</v>
      </c>
      <c r="G1664" s="4">
        <f>IF(Dashboard!$J$5=VLOOKUP(tblSalaries[[#This Row],[Currency]],Sheet3!$A$2:$B$31,2,FALSE),tblSalaries[[#This Row],[clean Salary (in local currency)]],(tblSalaries[[#This Row],[PPP Adjusted  USD]]/VLOOKUP(Dashboard!$J$5,Sheet3!$B$2:$C$31,2,FALSE)))</f>
        <v>12000</v>
      </c>
      <c r="H1664" t="s">
        <v>3452</v>
      </c>
      <c r="I1664" t="s">
        <v>603</v>
      </c>
      <c r="J1664" t="s">
        <v>613</v>
      </c>
      <c r="K1664" t="s">
        <v>617</v>
      </c>
      <c r="L1664">
        <v>1</v>
      </c>
    </row>
    <row r="1665" spans="2:12" ht="15" customHeight="1">
      <c r="B1665" t="s">
        <v>3599</v>
      </c>
      <c r="C1665">
        <v>12000</v>
      </c>
      <c r="D1665" t="s">
        <v>252</v>
      </c>
      <c r="E1665">
        <v>12000</v>
      </c>
      <c r="F1665" s="3">
        <f>(tblSalaries[[#This Row],[clean Salary (in local currency)]])*(VLOOKUP(tblSalaries[[#This Row],[Currency]],Sheet3!$A$2:$C$31,3,FALSE))*(VLOOKUP(tblSalaries[[#This Row],[Currency]],Sheet1!$N$4:$Q$186,4,FALSE))</f>
        <v>12000</v>
      </c>
      <c r="G1665" s="4">
        <f>IF(Dashboard!$J$5=VLOOKUP(tblSalaries[[#This Row],[Currency]],Sheet3!$A$2:$B$31,2,FALSE),tblSalaries[[#This Row],[clean Salary (in local currency)]],(tblSalaries[[#This Row],[PPP Adjusted  USD]]/VLOOKUP(Dashboard!$J$5,Sheet3!$B$2:$C$31,2,FALSE)))</f>
        <v>12000</v>
      </c>
      <c r="H1665" t="s">
        <v>3600</v>
      </c>
      <c r="I1665" t="s">
        <v>620</v>
      </c>
      <c r="J1665" t="s">
        <v>604</v>
      </c>
      <c r="K1665" t="s">
        <v>617</v>
      </c>
      <c r="L1665">
        <v>7</v>
      </c>
    </row>
    <row r="1666" spans="2:12" ht="15" customHeight="1">
      <c r="B1666" t="s">
        <v>2441</v>
      </c>
      <c r="C1666">
        <v>252000</v>
      </c>
      <c r="D1666" t="s">
        <v>247</v>
      </c>
      <c r="E1666">
        <v>4487.5950052355274</v>
      </c>
      <c r="F1666" s="3">
        <f>(tblSalaries[[#This Row],[clean Salary (in local currency)]])*(VLOOKUP(tblSalaries[[#This Row],[Currency]],Sheet3!$A$2:$C$31,3,FALSE))*(VLOOKUP(tblSalaries[[#This Row],[Currency]],Sheet1!$N$4:$Q$186,4,FALSE))</f>
        <v>11934.977631872011</v>
      </c>
      <c r="G1666" s="4">
        <f>IF(Dashboard!$J$5=VLOOKUP(tblSalaries[[#This Row],[Currency]],Sheet3!$A$2:$B$31,2,FALSE),tblSalaries[[#This Row],[clean Salary (in local currency)]],(tblSalaries[[#This Row],[PPP Adjusted  USD]]/VLOOKUP(Dashboard!$J$5,Sheet3!$B$2:$C$31,2,FALSE)))</f>
        <v>11934.977631872011</v>
      </c>
      <c r="H1666" t="s">
        <v>2442</v>
      </c>
      <c r="I1666" t="s">
        <v>637</v>
      </c>
      <c r="J1666" t="s">
        <v>604</v>
      </c>
      <c r="K1666" t="s">
        <v>627</v>
      </c>
      <c r="L1666">
        <v>5</v>
      </c>
    </row>
    <row r="1667" spans="2:12" ht="15" customHeight="1">
      <c r="B1667" t="s">
        <v>2554</v>
      </c>
      <c r="C1667">
        <v>252000</v>
      </c>
      <c r="D1667" t="s">
        <v>247</v>
      </c>
      <c r="E1667">
        <v>4487.5950052355274</v>
      </c>
      <c r="F1667" s="3">
        <f>(tblSalaries[[#This Row],[clean Salary (in local currency)]])*(VLOOKUP(tblSalaries[[#This Row],[Currency]],Sheet3!$A$2:$C$31,3,FALSE))*(VLOOKUP(tblSalaries[[#This Row],[Currency]],Sheet1!$N$4:$Q$186,4,FALSE))</f>
        <v>11934.977631872011</v>
      </c>
      <c r="G1667" s="4">
        <f>IF(Dashboard!$J$5=VLOOKUP(tblSalaries[[#This Row],[Currency]],Sheet3!$A$2:$B$31,2,FALSE),tblSalaries[[#This Row],[clean Salary (in local currency)]],(tblSalaries[[#This Row],[PPP Adjusted  USD]]/VLOOKUP(Dashboard!$J$5,Sheet3!$B$2:$C$31,2,FALSE)))</f>
        <v>11934.977631872011</v>
      </c>
      <c r="H1667" t="s">
        <v>2555</v>
      </c>
      <c r="I1667" t="s">
        <v>625</v>
      </c>
      <c r="J1667" t="s">
        <v>604</v>
      </c>
      <c r="K1667" t="s">
        <v>627</v>
      </c>
      <c r="L1667">
        <v>16</v>
      </c>
    </row>
    <row r="1668" spans="2:12" ht="15" customHeight="1">
      <c r="B1668" t="s">
        <v>1837</v>
      </c>
      <c r="C1668">
        <v>250000</v>
      </c>
      <c r="D1668" t="s">
        <v>247</v>
      </c>
      <c r="E1668">
        <v>4451.9791718606421</v>
      </c>
      <c r="F1668" s="3">
        <f>(tblSalaries[[#This Row],[clean Salary (in local currency)]])*(VLOOKUP(tblSalaries[[#This Row],[Currency]],Sheet3!$A$2:$C$31,3,FALSE))*(VLOOKUP(tblSalaries[[#This Row],[Currency]],Sheet1!$N$4:$Q$186,4,FALSE))</f>
        <v>11840.255587174614</v>
      </c>
      <c r="G1668" s="4">
        <f>IF(Dashboard!$J$5=VLOOKUP(tblSalaries[[#This Row],[Currency]],Sheet3!$A$2:$B$31,2,FALSE),tblSalaries[[#This Row],[clean Salary (in local currency)]],(tblSalaries[[#This Row],[PPP Adjusted  USD]]/VLOOKUP(Dashboard!$J$5,Sheet3!$B$2:$C$31,2,FALSE)))</f>
        <v>11840.255587174614</v>
      </c>
      <c r="H1668" t="s">
        <v>1838</v>
      </c>
      <c r="I1668" t="s">
        <v>625</v>
      </c>
      <c r="J1668" t="s">
        <v>604</v>
      </c>
      <c r="K1668" t="s">
        <v>617</v>
      </c>
      <c r="L1668">
        <v>5</v>
      </c>
    </row>
    <row r="1669" spans="2:12" ht="15" customHeight="1">
      <c r="B1669" t="s">
        <v>1869</v>
      </c>
      <c r="C1669">
        <v>250000</v>
      </c>
      <c r="D1669" t="s">
        <v>247</v>
      </c>
      <c r="E1669">
        <v>4451.9791718606421</v>
      </c>
      <c r="F1669" s="3">
        <f>(tblSalaries[[#This Row],[clean Salary (in local currency)]])*(VLOOKUP(tblSalaries[[#This Row],[Currency]],Sheet3!$A$2:$C$31,3,FALSE))*(VLOOKUP(tblSalaries[[#This Row],[Currency]],Sheet1!$N$4:$Q$186,4,FALSE))</f>
        <v>11840.255587174614</v>
      </c>
      <c r="G1669" s="4">
        <f>IF(Dashboard!$J$5=VLOOKUP(tblSalaries[[#This Row],[Currency]],Sheet3!$A$2:$B$31,2,FALSE),tblSalaries[[#This Row],[clean Salary (in local currency)]],(tblSalaries[[#This Row],[PPP Adjusted  USD]]/VLOOKUP(Dashboard!$J$5,Sheet3!$B$2:$C$31,2,FALSE)))</f>
        <v>11840.255587174614</v>
      </c>
      <c r="H1669" t="s">
        <v>1870</v>
      </c>
      <c r="I1669" t="s">
        <v>658</v>
      </c>
      <c r="J1669" t="s">
        <v>604</v>
      </c>
      <c r="K1669" t="s">
        <v>610</v>
      </c>
      <c r="L1669">
        <v>4</v>
      </c>
    </row>
    <row r="1670" spans="2:12" ht="15" customHeight="1">
      <c r="B1670" t="s">
        <v>1918</v>
      </c>
      <c r="C1670">
        <v>250000</v>
      </c>
      <c r="D1670" t="s">
        <v>247</v>
      </c>
      <c r="E1670">
        <v>4451.9791718606421</v>
      </c>
      <c r="F1670" s="3">
        <f>(tblSalaries[[#This Row],[clean Salary (in local currency)]])*(VLOOKUP(tblSalaries[[#This Row],[Currency]],Sheet3!$A$2:$C$31,3,FALSE))*(VLOOKUP(tblSalaries[[#This Row],[Currency]],Sheet1!$N$4:$Q$186,4,FALSE))</f>
        <v>11840.255587174614</v>
      </c>
      <c r="G1670" s="4">
        <f>IF(Dashboard!$J$5=VLOOKUP(tblSalaries[[#This Row],[Currency]],Sheet3!$A$2:$B$31,2,FALSE),tblSalaries[[#This Row],[clean Salary (in local currency)]],(tblSalaries[[#This Row],[PPP Adjusted  USD]]/VLOOKUP(Dashboard!$J$5,Sheet3!$B$2:$C$31,2,FALSE)))</f>
        <v>11840.255587174614</v>
      </c>
      <c r="H1670" t="s">
        <v>1874</v>
      </c>
      <c r="I1670" t="s">
        <v>625</v>
      </c>
      <c r="J1670" t="s">
        <v>604</v>
      </c>
      <c r="K1670" t="s">
        <v>605</v>
      </c>
      <c r="L1670">
        <v>6</v>
      </c>
    </row>
    <row r="1671" spans="2:12" ht="15" customHeight="1">
      <c r="B1671" t="s">
        <v>2484</v>
      </c>
      <c r="C1671">
        <v>250000</v>
      </c>
      <c r="D1671" t="s">
        <v>247</v>
      </c>
      <c r="E1671">
        <v>4451.9791718606421</v>
      </c>
      <c r="F1671" s="3">
        <f>(tblSalaries[[#This Row],[clean Salary (in local currency)]])*(VLOOKUP(tblSalaries[[#This Row],[Currency]],Sheet3!$A$2:$C$31,3,FALSE))*(VLOOKUP(tblSalaries[[#This Row],[Currency]],Sheet1!$N$4:$Q$186,4,FALSE))</f>
        <v>11840.255587174614</v>
      </c>
      <c r="G1671" s="4">
        <f>IF(Dashboard!$J$5=VLOOKUP(tblSalaries[[#This Row],[Currency]],Sheet3!$A$2:$B$31,2,FALSE),tblSalaries[[#This Row],[clean Salary (in local currency)]],(tblSalaries[[#This Row],[PPP Adjusted  USD]]/VLOOKUP(Dashboard!$J$5,Sheet3!$B$2:$C$31,2,FALSE)))</f>
        <v>11840.255587174614</v>
      </c>
      <c r="H1671" t="s">
        <v>2485</v>
      </c>
      <c r="I1671" t="s">
        <v>658</v>
      </c>
      <c r="J1671" t="s">
        <v>604</v>
      </c>
      <c r="K1671" t="s">
        <v>610</v>
      </c>
      <c r="L1671">
        <v>3.5</v>
      </c>
    </row>
    <row r="1672" spans="2:12" ht="15" customHeight="1">
      <c r="B1672" t="s">
        <v>2504</v>
      </c>
      <c r="C1672">
        <v>250000</v>
      </c>
      <c r="D1672" t="s">
        <v>247</v>
      </c>
      <c r="E1672">
        <v>4451.9791718606421</v>
      </c>
      <c r="F1672" s="3">
        <f>(tblSalaries[[#This Row],[clean Salary (in local currency)]])*(VLOOKUP(tblSalaries[[#This Row],[Currency]],Sheet3!$A$2:$C$31,3,FALSE))*(VLOOKUP(tblSalaries[[#This Row],[Currency]],Sheet1!$N$4:$Q$186,4,FALSE))</f>
        <v>11840.255587174614</v>
      </c>
      <c r="G1672" s="4">
        <f>IF(Dashboard!$J$5=VLOOKUP(tblSalaries[[#This Row],[Currency]],Sheet3!$A$2:$B$31,2,FALSE),tblSalaries[[#This Row],[clean Salary (in local currency)]],(tblSalaries[[#This Row],[PPP Adjusted  USD]]/VLOOKUP(Dashboard!$J$5,Sheet3!$B$2:$C$31,2,FALSE)))</f>
        <v>11840.255587174614</v>
      </c>
      <c r="H1672" t="s">
        <v>1747</v>
      </c>
      <c r="I1672" t="s">
        <v>658</v>
      </c>
      <c r="J1672" t="s">
        <v>604</v>
      </c>
      <c r="K1672" t="s">
        <v>617</v>
      </c>
      <c r="L1672">
        <v>3</v>
      </c>
    </row>
    <row r="1673" spans="2:12" ht="15" customHeight="1">
      <c r="B1673" t="s">
        <v>2697</v>
      </c>
      <c r="C1673">
        <v>250000</v>
      </c>
      <c r="D1673" t="s">
        <v>247</v>
      </c>
      <c r="E1673">
        <v>4451.9791718606421</v>
      </c>
      <c r="F1673" s="3">
        <f>(tblSalaries[[#This Row],[clean Salary (in local currency)]])*(VLOOKUP(tblSalaries[[#This Row],[Currency]],Sheet3!$A$2:$C$31,3,FALSE))*(VLOOKUP(tblSalaries[[#This Row],[Currency]],Sheet1!$N$4:$Q$186,4,FALSE))</f>
        <v>11840.255587174614</v>
      </c>
      <c r="G1673" s="4">
        <f>IF(Dashboard!$J$5=VLOOKUP(tblSalaries[[#This Row],[Currency]],Sheet3!$A$2:$B$31,2,FALSE),tblSalaries[[#This Row],[clean Salary (in local currency)]],(tblSalaries[[#This Row],[PPP Adjusted  USD]]/VLOOKUP(Dashboard!$J$5,Sheet3!$B$2:$C$31,2,FALSE)))</f>
        <v>11840.255587174614</v>
      </c>
      <c r="H1673" t="s">
        <v>2698</v>
      </c>
      <c r="I1673" t="s">
        <v>625</v>
      </c>
      <c r="J1673" t="s">
        <v>604</v>
      </c>
      <c r="K1673" t="s">
        <v>605</v>
      </c>
      <c r="L1673">
        <v>1</v>
      </c>
    </row>
    <row r="1674" spans="2:12" ht="15" customHeight="1">
      <c r="B1674" t="s">
        <v>2942</v>
      </c>
      <c r="C1674">
        <v>250000</v>
      </c>
      <c r="D1674" t="s">
        <v>247</v>
      </c>
      <c r="E1674">
        <v>4451.9791718606421</v>
      </c>
      <c r="F1674" s="3">
        <f>(tblSalaries[[#This Row],[clean Salary (in local currency)]])*(VLOOKUP(tblSalaries[[#This Row],[Currency]],Sheet3!$A$2:$C$31,3,FALSE))*(VLOOKUP(tblSalaries[[#This Row],[Currency]],Sheet1!$N$4:$Q$186,4,FALSE))</f>
        <v>11840.255587174614</v>
      </c>
      <c r="G1674" s="4">
        <f>IF(Dashboard!$J$5=VLOOKUP(tblSalaries[[#This Row],[Currency]],Sheet3!$A$2:$B$31,2,FALSE),tblSalaries[[#This Row],[clean Salary (in local currency)]],(tblSalaries[[#This Row],[PPP Adjusted  USD]]/VLOOKUP(Dashboard!$J$5,Sheet3!$B$2:$C$31,2,FALSE)))</f>
        <v>11840.255587174614</v>
      </c>
      <c r="H1674" t="s">
        <v>2943</v>
      </c>
      <c r="I1674" t="s">
        <v>603</v>
      </c>
      <c r="J1674" t="s">
        <v>604</v>
      </c>
      <c r="K1674" t="s">
        <v>610</v>
      </c>
      <c r="L1674">
        <v>8</v>
      </c>
    </row>
    <row r="1675" spans="2:12" ht="15" customHeight="1">
      <c r="B1675" t="s">
        <v>2990</v>
      </c>
      <c r="C1675">
        <v>250000</v>
      </c>
      <c r="D1675" t="s">
        <v>247</v>
      </c>
      <c r="E1675">
        <v>4451.9791718606421</v>
      </c>
      <c r="F1675" s="3">
        <f>(tblSalaries[[#This Row],[clean Salary (in local currency)]])*(VLOOKUP(tblSalaries[[#This Row],[Currency]],Sheet3!$A$2:$C$31,3,FALSE))*(VLOOKUP(tblSalaries[[#This Row],[Currency]],Sheet1!$N$4:$Q$186,4,FALSE))</f>
        <v>11840.255587174614</v>
      </c>
      <c r="G1675" s="4">
        <f>IF(Dashboard!$J$5=VLOOKUP(tblSalaries[[#This Row],[Currency]],Sheet3!$A$2:$B$31,2,FALSE),tblSalaries[[#This Row],[clean Salary (in local currency)]],(tblSalaries[[#This Row],[PPP Adjusted  USD]]/VLOOKUP(Dashboard!$J$5,Sheet3!$B$2:$C$31,2,FALSE)))</f>
        <v>11840.255587174614</v>
      </c>
      <c r="H1675" t="s">
        <v>625</v>
      </c>
      <c r="I1675" t="s">
        <v>625</v>
      </c>
      <c r="J1675" t="s">
        <v>604</v>
      </c>
      <c r="K1675" t="s">
        <v>627</v>
      </c>
      <c r="L1675">
        <v>15</v>
      </c>
    </row>
    <row r="1676" spans="2:12" ht="15" customHeight="1">
      <c r="B1676" t="s">
        <v>3109</v>
      </c>
      <c r="C1676">
        <v>250000</v>
      </c>
      <c r="D1676" t="s">
        <v>247</v>
      </c>
      <c r="E1676">
        <v>4451.9791718606421</v>
      </c>
      <c r="F1676" s="3">
        <f>(tblSalaries[[#This Row],[clean Salary (in local currency)]])*(VLOOKUP(tblSalaries[[#This Row],[Currency]],Sheet3!$A$2:$C$31,3,FALSE))*(VLOOKUP(tblSalaries[[#This Row],[Currency]],Sheet1!$N$4:$Q$186,4,FALSE))</f>
        <v>11840.255587174614</v>
      </c>
      <c r="G1676" s="4">
        <f>IF(Dashboard!$J$5=VLOOKUP(tblSalaries[[#This Row],[Currency]],Sheet3!$A$2:$B$31,2,FALSE),tblSalaries[[#This Row],[clean Salary (in local currency)]],(tblSalaries[[#This Row],[PPP Adjusted  USD]]/VLOOKUP(Dashboard!$J$5,Sheet3!$B$2:$C$31,2,FALSE)))</f>
        <v>11840.255587174614</v>
      </c>
      <c r="H1676" t="s">
        <v>3110</v>
      </c>
      <c r="I1676" t="s">
        <v>625</v>
      </c>
      <c r="J1676" t="s">
        <v>604</v>
      </c>
      <c r="K1676" t="s">
        <v>617</v>
      </c>
      <c r="L1676">
        <v>15</v>
      </c>
    </row>
    <row r="1677" spans="2:12" ht="15" customHeight="1">
      <c r="B1677" t="s">
        <v>3314</v>
      </c>
      <c r="C1677">
        <v>250000</v>
      </c>
      <c r="D1677" t="s">
        <v>247</v>
      </c>
      <c r="E1677">
        <v>4451.9791718606421</v>
      </c>
      <c r="F1677" s="3">
        <f>(tblSalaries[[#This Row],[clean Salary (in local currency)]])*(VLOOKUP(tblSalaries[[#This Row],[Currency]],Sheet3!$A$2:$C$31,3,FALSE))*(VLOOKUP(tblSalaries[[#This Row],[Currency]],Sheet1!$N$4:$Q$186,4,FALSE))</f>
        <v>11840.255587174614</v>
      </c>
      <c r="G1677" s="4">
        <f>IF(Dashboard!$J$5=VLOOKUP(tblSalaries[[#This Row],[Currency]],Sheet3!$A$2:$B$31,2,FALSE),tblSalaries[[#This Row],[clean Salary (in local currency)]],(tblSalaries[[#This Row],[PPP Adjusted  USD]]/VLOOKUP(Dashboard!$J$5,Sheet3!$B$2:$C$31,2,FALSE)))</f>
        <v>11840.255587174614</v>
      </c>
      <c r="H1677" t="s">
        <v>3315</v>
      </c>
      <c r="I1677" t="s">
        <v>620</v>
      </c>
      <c r="J1677" t="s">
        <v>604</v>
      </c>
      <c r="K1677" t="s">
        <v>605</v>
      </c>
      <c r="L1677">
        <v>2.5</v>
      </c>
    </row>
    <row r="1678" spans="2:12" ht="15" customHeight="1">
      <c r="B1678" t="s">
        <v>3791</v>
      </c>
      <c r="C1678">
        <v>250000</v>
      </c>
      <c r="D1678" t="s">
        <v>247</v>
      </c>
      <c r="E1678">
        <v>4451.9791718606421</v>
      </c>
      <c r="F1678" s="3">
        <f>(tblSalaries[[#This Row],[clean Salary (in local currency)]])*(VLOOKUP(tblSalaries[[#This Row],[Currency]],Sheet3!$A$2:$C$31,3,FALSE))*(VLOOKUP(tblSalaries[[#This Row],[Currency]],Sheet1!$N$4:$Q$186,4,FALSE))</f>
        <v>11840.255587174614</v>
      </c>
      <c r="G1678" s="4">
        <f>IF(Dashboard!$J$5=VLOOKUP(tblSalaries[[#This Row],[Currency]],Sheet3!$A$2:$B$31,2,FALSE),tblSalaries[[#This Row],[clean Salary (in local currency)]],(tblSalaries[[#This Row],[PPP Adjusted  USD]]/VLOOKUP(Dashboard!$J$5,Sheet3!$B$2:$C$31,2,FALSE)))</f>
        <v>11840.255587174614</v>
      </c>
      <c r="H1678" t="s">
        <v>1818</v>
      </c>
      <c r="I1678" t="s">
        <v>658</v>
      </c>
      <c r="J1678" t="s">
        <v>604</v>
      </c>
      <c r="K1678" t="s">
        <v>605</v>
      </c>
      <c r="L1678">
        <v>3</v>
      </c>
    </row>
    <row r="1679" spans="2:12" ht="15" customHeight="1">
      <c r="B1679" t="s">
        <v>3808</v>
      </c>
      <c r="C1679">
        <v>250000</v>
      </c>
      <c r="D1679" t="s">
        <v>247</v>
      </c>
      <c r="E1679">
        <v>4451.9791718606421</v>
      </c>
      <c r="F1679" s="3">
        <f>(tblSalaries[[#This Row],[clean Salary (in local currency)]])*(VLOOKUP(tblSalaries[[#This Row],[Currency]],Sheet3!$A$2:$C$31,3,FALSE))*(VLOOKUP(tblSalaries[[#This Row],[Currency]],Sheet1!$N$4:$Q$186,4,FALSE))</f>
        <v>11840.255587174614</v>
      </c>
      <c r="G1679" s="4">
        <f>IF(Dashboard!$J$5=VLOOKUP(tblSalaries[[#This Row],[Currency]],Sheet3!$A$2:$B$31,2,FALSE),tblSalaries[[#This Row],[clean Salary (in local currency)]],(tblSalaries[[#This Row],[PPP Adjusted  USD]]/VLOOKUP(Dashboard!$J$5,Sheet3!$B$2:$C$31,2,FALSE)))</f>
        <v>11840.255587174614</v>
      </c>
      <c r="H1679" t="s">
        <v>3809</v>
      </c>
      <c r="I1679" t="s">
        <v>603</v>
      </c>
      <c r="J1679" t="s">
        <v>604</v>
      </c>
      <c r="K1679" t="s">
        <v>862</v>
      </c>
      <c r="L1679">
        <v>1.6</v>
      </c>
    </row>
    <row r="1680" spans="2:12" ht="15" customHeight="1">
      <c r="B1680" t="s">
        <v>2816</v>
      </c>
      <c r="C1680">
        <v>11800</v>
      </c>
      <c r="D1680" t="s">
        <v>252</v>
      </c>
      <c r="E1680">
        <v>11800</v>
      </c>
      <c r="F1680" s="3">
        <f>(tblSalaries[[#This Row],[clean Salary (in local currency)]])*(VLOOKUP(tblSalaries[[#This Row],[Currency]],Sheet3!$A$2:$C$31,3,FALSE))*(VLOOKUP(tblSalaries[[#This Row],[Currency]],Sheet1!$N$4:$Q$186,4,FALSE))</f>
        <v>11800</v>
      </c>
      <c r="G1680" s="4">
        <f>IF(Dashboard!$J$5=VLOOKUP(tblSalaries[[#This Row],[Currency]],Sheet3!$A$2:$B$31,2,FALSE),tblSalaries[[#This Row],[clean Salary (in local currency)]],(tblSalaries[[#This Row],[PPP Adjusted  USD]]/VLOOKUP(Dashboard!$J$5,Sheet3!$B$2:$C$31,2,FALSE)))</f>
        <v>11800</v>
      </c>
      <c r="H1680" t="s">
        <v>2817</v>
      </c>
      <c r="I1680" t="s">
        <v>603</v>
      </c>
      <c r="J1680" t="s">
        <v>604</v>
      </c>
      <c r="K1680" t="s">
        <v>605</v>
      </c>
      <c r="L1680">
        <v>10</v>
      </c>
    </row>
    <row r="1681" spans="2:12" ht="15" customHeight="1">
      <c r="B1681" t="s">
        <v>2556</v>
      </c>
      <c r="C1681">
        <v>242304</v>
      </c>
      <c r="D1681" t="s">
        <v>247</v>
      </c>
      <c r="E1681">
        <v>4314.929445034084</v>
      </c>
      <c r="F1681" s="3">
        <f>(tblSalaries[[#This Row],[clean Salary (in local currency)]])*(VLOOKUP(tblSalaries[[#This Row],[Currency]],Sheet3!$A$2:$C$31,3,FALSE))*(VLOOKUP(tblSalaries[[#This Row],[Currency]],Sheet1!$N$4:$Q$186,4,FALSE))</f>
        <v>11475.765159179031</v>
      </c>
      <c r="G1681" s="4">
        <f>IF(Dashboard!$J$5=VLOOKUP(tblSalaries[[#This Row],[Currency]],Sheet3!$A$2:$B$31,2,FALSE),tblSalaries[[#This Row],[clean Salary (in local currency)]],(tblSalaries[[#This Row],[PPP Adjusted  USD]]/VLOOKUP(Dashboard!$J$5,Sheet3!$B$2:$C$31,2,FALSE)))</f>
        <v>11475.765159179031</v>
      </c>
      <c r="H1681" t="s">
        <v>2065</v>
      </c>
      <c r="I1681" t="s">
        <v>637</v>
      </c>
      <c r="J1681" t="s">
        <v>604</v>
      </c>
      <c r="K1681" t="s">
        <v>605</v>
      </c>
      <c r="L1681">
        <v>7</v>
      </c>
    </row>
    <row r="1682" spans="2:12" ht="15" customHeight="1">
      <c r="B1682" t="s">
        <v>1273</v>
      </c>
      <c r="C1682">
        <v>11400</v>
      </c>
      <c r="D1682" t="s">
        <v>252</v>
      </c>
      <c r="E1682">
        <v>11400</v>
      </c>
      <c r="F1682" s="3">
        <f>(tblSalaries[[#This Row],[clean Salary (in local currency)]])*(VLOOKUP(tblSalaries[[#This Row],[Currency]],Sheet3!$A$2:$C$31,3,FALSE))*(VLOOKUP(tblSalaries[[#This Row],[Currency]],Sheet1!$N$4:$Q$186,4,FALSE))</f>
        <v>11400</v>
      </c>
      <c r="G1682" s="4">
        <f>IF(Dashboard!$J$5=VLOOKUP(tblSalaries[[#This Row],[Currency]],Sheet3!$A$2:$B$31,2,FALSE),tblSalaries[[#This Row],[clean Salary (in local currency)]],(tblSalaries[[#This Row],[PPP Adjusted  USD]]/VLOOKUP(Dashboard!$J$5,Sheet3!$B$2:$C$31,2,FALSE)))</f>
        <v>11400</v>
      </c>
      <c r="H1682" t="s">
        <v>1274</v>
      </c>
      <c r="I1682" t="s">
        <v>692</v>
      </c>
      <c r="J1682" t="s">
        <v>795</v>
      </c>
      <c r="K1682" t="s">
        <v>605</v>
      </c>
      <c r="L1682" t="s">
        <v>3847</v>
      </c>
    </row>
    <row r="1683" spans="2:12" ht="15" customHeight="1">
      <c r="B1683" t="s">
        <v>1415</v>
      </c>
      <c r="C1683">
        <v>240000</v>
      </c>
      <c r="D1683" t="s">
        <v>247</v>
      </c>
      <c r="E1683">
        <v>4273.9000049862161</v>
      </c>
      <c r="F1683" s="3">
        <f>(tblSalaries[[#This Row],[clean Salary (in local currency)]])*(VLOOKUP(tblSalaries[[#This Row],[Currency]],Sheet3!$A$2:$C$31,3,FALSE))*(VLOOKUP(tblSalaries[[#This Row],[Currency]],Sheet1!$N$4:$Q$186,4,FALSE))</f>
        <v>11366.645363687629</v>
      </c>
      <c r="G1683" s="4">
        <f>IF(Dashboard!$J$5=VLOOKUP(tblSalaries[[#This Row],[Currency]],Sheet3!$A$2:$B$31,2,FALSE),tblSalaries[[#This Row],[clean Salary (in local currency)]],(tblSalaries[[#This Row],[PPP Adjusted  USD]]/VLOOKUP(Dashboard!$J$5,Sheet3!$B$2:$C$31,2,FALSE)))</f>
        <v>11366.645363687629</v>
      </c>
      <c r="H1683" t="s">
        <v>1416</v>
      </c>
      <c r="I1683" t="s">
        <v>625</v>
      </c>
      <c r="J1683" t="s">
        <v>604</v>
      </c>
      <c r="K1683" t="s">
        <v>610</v>
      </c>
      <c r="L1683" t="s">
        <v>3847</v>
      </c>
    </row>
    <row r="1684" spans="2:12" ht="15" customHeight="1">
      <c r="B1684" t="s">
        <v>1716</v>
      </c>
      <c r="C1684">
        <v>240000</v>
      </c>
      <c r="D1684" t="s">
        <v>247</v>
      </c>
      <c r="E1684">
        <v>4273.9000049862161</v>
      </c>
      <c r="F1684" s="3">
        <f>(tblSalaries[[#This Row],[clean Salary (in local currency)]])*(VLOOKUP(tblSalaries[[#This Row],[Currency]],Sheet3!$A$2:$C$31,3,FALSE))*(VLOOKUP(tblSalaries[[#This Row],[Currency]],Sheet1!$N$4:$Q$186,4,FALSE))</f>
        <v>11366.645363687629</v>
      </c>
      <c r="G1684" s="4">
        <f>IF(Dashboard!$J$5=VLOOKUP(tblSalaries[[#This Row],[Currency]],Sheet3!$A$2:$B$31,2,FALSE),tblSalaries[[#This Row],[clean Salary (in local currency)]],(tblSalaries[[#This Row],[PPP Adjusted  USD]]/VLOOKUP(Dashboard!$J$5,Sheet3!$B$2:$C$31,2,FALSE)))</f>
        <v>11366.645363687629</v>
      </c>
      <c r="H1684" t="s">
        <v>1717</v>
      </c>
      <c r="I1684" t="s">
        <v>603</v>
      </c>
      <c r="J1684" t="s">
        <v>604</v>
      </c>
      <c r="K1684" t="s">
        <v>617</v>
      </c>
      <c r="L1684">
        <v>5</v>
      </c>
    </row>
    <row r="1685" spans="2:12" ht="15" customHeight="1">
      <c r="B1685" t="s">
        <v>1964</v>
      </c>
      <c r="C1685">
        <v>240000</v>
      </c>
      <c r="D1685" t="s">
        <v>247</v>
      </c>
      <c r="E1685">
        <v>4273.9000049862161</v>
      </c>
      <c r="F1685" s="3">
        <f>(tblSalaries[[#This Row],[clean Salary (in local currency)]])*(VLOOKUP(tblSalaries[[#This Row],[Currency]],Sheet3!$A$2:$C$31,3,FALSE))*(VLOOKUP(tblSalaries[[#This Row],[Currency]],Sheet1!$N$4:$Q$186,4,FALSE))</f>
        <v>11366.645363687629</v>
      </c>
      <c r="G1685" s="4">
        <f>IF(Dashboard!$J$5=VLOOKUP(tblSalaries[[#This Row],[Currency]],Sheet3!$A$2:$B$31,2,FALSE),tblSalaries[[#This Row],[clean Salary (in local currency)]],(tblSalaries[[#This Row],[PPP Adjusted  USD]]/VLOOKUP(Dashboard!$J$5,Sheet3!$B$2:$C$31,2,FALSE)))</f>
        <v>11366.645363687629</v>
      </c>
      <c r="H1685" t="s">
        <v>1965</v>
      </c>
      <c r="I1685" t="s">
        <v>637</v>
      </c>
      <c r="J1685" t="s">
        <v>604</v>
      </c>
      <c r="K1685" t="s">
        <v>605</v>
      </c>
      <c r="L1685">
        <v>8</v>
      </c>
    </row>
    <row r="1686" spans="2:12" ht="15" customHeight="1">
      <c r="B1686" t="s">
        <v>1976</v>
      </c>
      <c r="C1686">
        <v>240000</v>
      </c>
      <c r="D1686" t="s">
        <v>247</v>
      </c>
      <c r="E1686">
        <v>4273.9000049862161</v>
      </c>
      <c r="F1686" s="3">
        <f>(tblSalaries[[#This Row],[clean Salary (in local currency)]])*(VLOOKUP(tblSalaries[[#This Row],[Currency]],Sheet3!$A$2:$C$31,3,FALSE))*(VLOOKUP(tblSalaries[[#This Row],[Currency]],Sheet1!$N$4:$Q$186,4,FALSE))</f>
        <v>11366.645363687629</v>
      </c>
      <c r="G1686" s="4">
        <f>IF(Dashboard!$J$5=VLOOKUP(tblSalaries[[#This Row],[Currency]],Sheet3!$A$2:$B$31,2,FALSE),tblSalaries[[#This Row],[clean Salary (in local currency)]],(tblSalaries[[#This Row],[PPP Adjusted  USD]]/VLOOKUP(Dashboard!$J$5,Sheet3!$B$2:$C$31,2,FALSE)))</f>
        <v>11366.645363687629</v>
      </c>
      <c r="H1686" t="s">
        <v>1977</v>
      </c>
      <c r="I1686" t="s">
        <v>603</v>
      </c>
      <c r="J1686" t="s">
        <v>604</v>
      </c>
      <c r="K1686" t="s">
        <v>617</v>
      </c>
      <c r="L1686">
        <v>20</v>
      </c>
    </row>
    <row r="1687" spans="2:12" ht="15" customHeight="1">
      <c r="B1687" t="s">
        <v>2024</v>
      </c>
      <c r="C1687">
        <v>240000</v>
      </c>
      <c r="D1687" t="s">
        <v>247</v>
      </c>
      <c r="E1687">
        <v>4273.9000049862161</v>
      </c>
      <c r="F1687" s="3">
        <f>(tblSalaries[[#This Row],[clean Salary (in local currency)]])*(VLOOKUP(tblSalaries[[#This Row],[Currency]],Sheet3!$A$2:$C$31,3,FALSE))*(VLOOKUP(tblSalaries[[#This Row],[Currency]],Sheet1!$N$4:$Q$186,4,FALSE))</f>
        <v>11366.645363687629</v>
      </c>
      <c r="G1687" s="4">
        <f>IF(Dashboard!$J$5=VLOOKUP(tblSalaries[[#This Row],[Currency]],Sheet3!$A$2:$B$31,2,FALSE),tblSalaries[[#This Row],[clean Salary (in local currency)]],(tblSalaries[[#This Row],[PPP Adjusted  USD]]/VLOOKUP(Dashboard!$J$5,Sheet3!$B$2:$C$31,2,FALSE)))</f>
        <v>11366.645363687629</v>
      </c>
      <c r="H1687" t="s">
        <v>603</v>
      </c>
      <c r="I1687" t="s">
        <v>603</v>
      </c>
      <c r="J1687" t="s">
        <v>604</v>
      </c>
      <c r="K1687" t="s">
        <v>610</v>
      </c>
      <c r="L1687">
        <v>4</v>
      </c>
    </row>
    <row r="1688" spans="2:12" ht="15" customHeight="1">
      <c r="B1688" t="s">
        <v>2069</v>
      </c>
      <c r="C1688">
        <v>240000</v>
      </c>
      <c r="D1688" t="s">
        <v>247</v>
      </c>
      <c r="E1688">
        <v>4273.9000049862161</v>
      </c>
      <c r="F1688" s="3">
        <f>(tblSalaries[[#This Row],[clean Salary (in local currency)]])*(VLOOKUP(tblSalaries[[#This Row],[Currency]],Sheet3!$A$2:$C$31,3,FALSE))*(VLOOKUP(tblSalaries[[#This Row],[Currency]],Sheet1!$N$4:$Q$186,4,FALSE))</f>
        <v>11366.645363687629</v>
      </c>
      <c r="G1688" s="4">
        <f>IF(Dashboard!$J$5=VLOOKUP(tblSalaries[[#This Row],[Currency]],Sheet3!$A$2:$B$31,2,FALSE),tblSalaries[[#This Row],[clean Salary (in local currency)]],(tblSalaries[[#This Row],[PPP Adjusted  USD]]/VLOOKUP(Dashboard!$J$5,Sheet3!$B$2:$C$31,2,FALSE)))</f>
        <v>11366.645363687629</v>
      </c>
      <c r="H1688" t="s">
        <v>1802</v>
      </c>
      <c r="I1688" t="s">
        <v>625</v>
      </c>
      <c r="J1688" t="s">
        <v>604</v>
      </c>
      <c r="K1688" t="s">
        <v>617</v>
      </c>
      <c r="L1688">
        <v>3</v>
      </c>
    </row>
    <row r="1689" spans="2:12" ht="15" customHeight="1">
      <c r="B1689" t="s">
        <v>2503</v>
      </c>
      <c r="C1689">
        <v>240000</v>
      </c>
      <c r="D1689" t="s">
        <v>247</v>
      </c>
      <c r="E1689">
        <v>4273.9000049862161</v>
      </c>
      <c r="F1689" s="3">
        <f>(tblSalaries[[#This Row],[clean Salary (in local currency)]])*(VLOOKUP(tblSalaries[[#This Row],[Currency]],Sheet3!$A$2:$C$31,3,FALSE))*(VLOOKUP(tblSalaries[[#This Row],[Currency]],Sheet1!$N$4:$Q$186,4,FALSE))</f>
        <v>11366.645363687629</v>
      </c>
      <c r="G1689" s="4">
        <f>IF(Dashboard!$J$5=VLOOKUP(tblSalaries[[#This Row],[Currency]],Sheet3!$A$2:$B$31,2,FALSE),tblSalaries[[#This Row],[clean Salary (in local currency)]],(tblSalaries[[#This Row],[PPP Adjusted  USD]]/VLOOKUP(Dashboard!$J$5,Sheet3!$B$2:$C$31,2,FALSE)))</f>
        <v>11366.645363687629</v>
      </c>
      <c r="H1689" t="s">
        <v>1792</v>
      </c>
      <c r="I1689" t="s">
        <v>603</v>
      </c>
      <c r="J1689" t="s">
        <v>604</v>
      </c>
      <c r="K1689" t="s">
        <v>617</v>
      </c>
      <c r="L1689">
        <v>3</v>
      </c>
    </row>
    <row r="1690" spans="2:12" ht="15" customHeight="1">
      <c r="B1690" t="s">
        <v>2517</v>
      </c>
      <c r="C1690">
        <v>240000</v>
      </c>
      <c r="D1690" t="s">
        <v>247</v>
      </c>
      <c r="E1690">
        <v>4273.9000049862161</v>
      </c>
      <c r="F1690" s="3">
        <f>(tblSalaries[[#This Row],[clean Salary (in local currency)]])*(VLOOKUP(tblSalaries[[#This Row],[Currency]],Sheet3!$A$2:$C$31,3,FALSE))*(VLOOKUP(tblSalaries[[#This Row],[Currency]],Sheet1!$N$4:$Q$186,4,FALSE))</f>
        <v>11366.645363687629</v>
      </c>
      <c r="G1690" s="4">
        <f>IF(Dashboard!$J$5=VLOOKUP(tblSalaries[[#This Row],[Currency]],Sheet3!$A$2:$B$31,2,FALSE),tblSalaries[[#This Row],[clean Salary (in local currency)]],(tblSalaries[[#This Row],[PPP Adjusted  USD]]/VLOOKUP(Dashboard!$J$5,Sheet3!$B$2:$C$31,2,FALSE)))</f>
        <v>11366.645363687629</v>
      </c>
      <c r="H1690" t="s">
        <v>637</v>
      </c>
      <c r="I1690" t="s">
        <v>637</v>
      </c>
      <c r="J1690" t="s">
        <v>604</v>
      </c>
      <c r="K1690" t="s">
        <v>610</v>
      </c>
      <c r="L1690">
        <v>20</v>
      </c>
    </row>
    <row r="1691" spans="2:12" ht="15" customHeight="1">
      <c r="B1691" t="s">
        <v>3418</v>
      </c>
      <c r="C1691">
        <v>240000</v>
      </c>
      <c r="D1691" t="s">
        <v>247</v>
      </c>
      <c r="E1691">
        <v>4273.9000049862161</v>
      </c>
      <c r="F1691" s="3">
        <f>(tblSalaries[[#This Row],[clean Salary (in local currency)]])*(VLOOKUP(tblSalaries[[#This Row],[Currency]],Sheet3!$A$2:$C$31,3,FALSE))*(VLOOKUP(tblSalaries[[#This Row],[Currency]],Sheet1!$N$4:$Q$186,4,FALSE))</f>
        <v>11366.645363687629</v>
      </c>
      <c r="G1691" s="4">
        <f>IF(Dashboard!$J$5=VLOOKUP(tblSalaries[[#This Row],[Currency]],Sheet3!$A$2:$B$31,2,FALSE),tblSalaries[[#This Row],[clean Salary (in local currency)]],(tblSalaries[[#This Row],[PPP Adjusted  USD]]/VLOOKUP(Dashboard!$J$5,Sheet3!$B$2:$C$31,2,FALSE)))</f>
        <v>11366.645363687629</v>
      </c>
      <c r="H1691" t="s">
        <v>3419</v>
      </c>
      <c r="I1691" t="s">
        <v>608</v>
      </c>
      <c r="J1691" t="s">
        <v>604</v>
      </c>
      <c r="K1691" t="s">
        <v>617</v>
      </c>
      <c r="L1691">
        <v>15</v>
      </c>
    </row>
    <row r="1692" spans="2:12" ht="15" customHeight="1">
      <c r="B1692" t="s">
        <v>2418</v>
      </c>
      <c r="C1692">
        <v>456000</v>
      </c>
      <c r="D1692" t="s">
        <v>461</v>
      </c>
      <c r="E1692">
        <v>4840.0244548604041</v>
      </c>
      <c r="F1692" s="3">
        <f>(tblSalaries[[#This Row],[clean Salary (in local currency)]])*(VLOOKUP(tblSalaries[[#This Row],[Currency]],Sheet3!$A$2:$C$31,3,FALSE))*(VLOOKUP(tblSalaries[[#This Row],[Currency]],Sheet1!$N$4:$Q$186,4,FALSE))</f>
        <v>11230.394024465944</v>
      </c>
      <c r="G1692" s="4">
        <f>IF(Dashboard!$J$5=VLOOKUP(tblSalaries[[#This Row],[Currency]],Sheet3!$A$2:$B$31,2,FALSE),tblSalaries[[#This Row],[clean Salary (in local currency)]],(tblSalaries[[#This Row],[PPP Adjusted  USD]]/VLOOKUP(Dashboard!$J$5,Sheet3!$B$2:$C$31,2,FALSE)))</f>
        <v>11230.394024465944</v>
      </c>
      <c r="H1692" t="s">
        <v>2419</v>
      </c>
      <c r="I1692" t="s">
        <v>625</v>
      </c>
      <c r="J1692" t="s">
        <v>616</v>
      </c>
      <c r="K1692" t="s">
        <v>605</v>
      </c>
      <c r="L1692">
        <v>2</v>
      </c>
    </row>
    <row r="1693" spans="2:12" ht="15" customHeight="1">
      <c r="B1693" t="s">
        <v>1007</v>
      </c>
      <c r="C1693">
        <v>233000</v>
      </c>
      <c r="D1693" t="s">
        <v>247</v>
      </c>
      <c r="E1693">
        <v>4149.2445881741187</v>
      </c>
      <c r="F1693" s="3">
        <f>(tblSalaries[[#This Row],[clean Salary (in local currency)]])*(VLOOKUP(tblSalaries[[#This Row],[Currency]],Sheet3!$A$2:$C$31,3,FALSE))*(VLOOKUP(tblSalaries[[#This Row],[Currency]],Sheet1!$N$4:$Q$186,4,FALSE))</f>
        <v>11035.11820724674</v>
      </c>
      <c r="G1693" s="4">
        <f>IF(Dashboard!$J$5=VLOOKUP(tblSalaries[[#This Row],[Currency]],Sheet3!$A$2:$B$31,2,FALSE),tblSalaries[[#This Row],[clean Salary (in local currency)]],(tblSalaries[[#This Row],[PPP Adjusted  USD]]/VLOOKUP(Dashboard!$J$5,Sheet3!$B$2:$C$31,2,FALSE)))</f>
        <v>11035.11820724674</v>
      </c>
      <c r="H1693" t="s">
        <v>1008</v>
      </c>
      <c r="I1693" t="s">
        <v>625</v>
      </c>
      <c r="J1693" t="s">
        <v>604</v>
      </c>
      <c r="K1693" t="s">
        <v>610</v>
      </c>
      <c r="L1693" t="s">
        <v>3847</v>
      </c>
    </row>
    <row r="1694" spans="2:12" ht="15" customHeight="1">
      <c r="B1694" t="s">
        <v>1968</v>
      </c>
      <c r="C1694">
        <v>11000</v>
      </c>
      <c r="D1694" t="s">
        <v>252</v>
      </c>
      <c r="E1694">
        <v>11000</v>
      </c>
      <c r="F1694" s="3">
        <f>(tblSalaries[[#This Row],[clean Salary (in local currency)]])*(VLOOKUP(tblSalaries[[#This Row],[Currency]],Sheet3!$A$2:$C$31,3,FALSE))*(VLOOKUP(tblSalaries[[#This Row],[Currency]],Sheet1!$N$4:$Q$186,4,FALSE))</f>
        <v>11000</v>
      </c>
      <c r="G1694" s="4">
        <f>IF(Dashboard!$J$5=VLOOKUP(tblSalaries[[#This Row],[Currency]],Sheet3!$A$2:$B$31,2,FALSE),tblSalaries[[#This Row],[clean Salary (in local currency)]],(tblSalaries[[#This Row],[PPP Adjusted  USD]]/VLOOKUP(Dashboard!$J$5,Sheet3!$B$2:$C$31,2,FALSE)))</f>
        <v>11000</v>
      </c>
      <c r="H1694" t="s">
        <v>1969</v>
      </c>
      <c r="I1694" t="s">
        <v>625</v>
      </c>
      <c r="J1694" t="s">
        <v>1738</v>
      </c>
      <c r="K1694" t="s">
        <v>610</v>
      </c>
      <c r="L1694">
        <v>4.5</v>
      </c>
    </row>
    <row r="1695" spans="2:12" ht="15" customHeight="1">
      <c r="B1695" t="s">
        <v>3291</v>
      </c>
      <c r="C1695">
        <v>11000</v>
      </c>
      <c r="D1695" t="s">
        <v>252</v>
      </c>
      <c r="E1695">
        <v>11000</v>
      </c>
      <c r="F1695" s="3">
        <f>(tblSalaries[[#This Row],[clean Salary (in local currency)]])*(VLOOKUP(tblSalaries[[#This Row],[Currency]],Sheet3!$A$2:$C$31,3,FALSE))*(VLOOKUP(tblSalaries[[#This Row],[Currency]],Sheet1!$N$4:$Q$186,4,FALSE))</f>
        <v>11000</v>
      </c>
      <c r="G1695" s="4">
        <f>IF(Dashboard!$J$5=VLOOKUP(tblSalaries[[#This Row],[Currency]],Sheet3!$A$2:$B$31,2,FALSE),tblSalaries[[#This Row],[clean Salary (in local currency)]],(tblSalaries[[#This Row],[PPP Adjusted  USD]]/VLOOKUP(Dashboard!$J$5,Sheet3!$B$2:$C$31,2,FALSE)))</f>
        <v>11000</v>
      </c>
      <c r="H1695" t="s">
        <v>1799</v>
      </c>
      <c r="I1695" t="s">
        <v>625</v>
      </c>
      <c r="J1695" t="s">
        <v>833</v>
      </c>
      <c r="K1695" t="s">
        <v>605</v>
      </c>
      <c r="L1695">
        <v>2</v>
      </c>
    </row>
    <row r="1696" spans="2:12" ht="15" customHeight="1">
      <c r="B1696" t="s">
        <v>3434</v>
      </c>
      <c r="C1696">
        <v>11000</v>
      </c>
      <c r="D1696" t="s">
        <v>252</v>
      </c>
      <c r="E1696">
        <v>11000</v>
      </c>
      <c r="F1696" s="3">
        <f>(tblSalaries[[#This Row],[clean Salary (in local currency)]])*(VLOOKUP(tblSalaries[[#This Row],[Currency]],Sheet3!$A$2:$C$31,3,FALSE))*(VLOOKUP(tblSalaries[[#This Row],[Currency]],Sheet1!$N$4:$Q$186,4,FALSE))</f>
        <v>11000</v>
      </c>
      <c r="G1696" s="4">
        <f>IF(Dashboard!$J$5=VLOOKUP(tblSalaries[[#This Row],[Currency]],Sheet3!$A$2:$B$31,2,FALSE),tblSalaries[[#This Row],[clean Salary (in local currency)]],(tblSalaries[[#This Row],[PPP Adjusted  USD]]/VLOOKUP(Dashboard!$J$5,Sheet3!$B$2:$C$31,2,FALSE)))</f>
        <v>11000</v>
      </c>
      <c r="H1696" t="s">
        <v>3435</v>
      </c>
      <c r="I1696" t="s">
        <v>603</v>
      </c>
      <c r="J1696" t="s">
        <v>3436</v>
      </c>
      <c r="K1696" t="s">
        <v>605</v>
      </c>
      <c r="L1696">
        <v>8</v>
      </c>
    </row>
    <row r="1697" spans="2:12" ht="15" customHeight="1">
      <c r="B1697" t="s">
        <v>3622</v>
      </c>
      <c r="C1697">
        <v>11000</v>
      </c>
      <c r="D1697" t="s">
        <v>252</v>
      </c>
      <c r="E1697">
        <v>11000</v>
      </c>
      <c r="F1697" s="3">
        <f>(tblSalaries[[#This Row],[clean Salary (in local currency)]])*(VLOOKUP(tblSalaries[[#This Row],[Currency]],Sheet3!$A$2:$C$31,3,FALSE))*(VLOOKUP(tblSalaries[[#This Row],[Currency]],Sheet1!$N$4:$Q$186,4,FALSE))</f>
        <v>11000</v>
      </c>
      <c r="G1697" s="4">
        <f>IF(Dashboard!$J$5=VLOOKUP(tblSalaries[[#This Row],[Currency]],Sheet3!$A$2:$B$31,2,FALSE),tblSalaries[[#This Row],[clean Salary (in local currency)]],(tblSalaries[[#This Row],[PPP Adjusted  USD]]/VLOOKUP(Dashboard!$J$5,Sheet3!$B$2:$C$31,2,FALSE)))</f>
        <v>11000</v>
      </c>
      <c r="H1697" t="s">
        <v>2910</v>
      </c>
      <c r="I1697" t="s">
        <v>603</v>
      </c>
      <c r="J1697" t="s">
        <v>604</v>
      </c>
      <c r="K1697" t="s">
        <v>605</v>
      </c>
      <c r="L1697">
        <v>2</v>
      </c>
    </row>
    <row r="1698" spans="2:12" ht="15" customHeight="1">
      <c r="B1698" t="s">
        <v>3733</v>
      </c>
      <c r="C1698">
        <v>11000</v>
      </c>
      <c r="D1698" t="s">
        <v>252</v>
      </c>
      <c r="E1698">
        <v>11000</v>
      </c>
      <c r="F1698" s="3">
        <f>(tblSalaries[[#This Row],[clean Salary (in local currency)]])*(VLOOKUP(tblSalaries[[#This Row],[Currency]],Sheet3!$A$2:$C$31,3,FALSE))*(VLOOKUP(tblSalaries[[#This Row],[Currency]],Sheet1!$N$4:$Q$186,4,FALSE))</f>
        <v>11000</v>
      </c>
      <c r="G1698" s="4">
        <f>IF(Dashboard!$J$5=VLOOKUP(tblSalaries[[#This Row],[Currency]],Sheet3!$A$2:$B$31,2,FALSE),tblSalaries[[#This Row],[clean Salary (in local currency)]],(tblSalaries[[#This Row],[PPP Adjusted  USD]]/VLOOKUP(Dashboard!$J$5,Sheet3!$B$2:$C$31,2,FALSE)))</f>
        <v>11000</v>
      </c>
      <c r="H1698" t="s">
        <v>3691</v>
      </c>
      <c r="I1698" t="s">
        <v>625</v>
      </c>
      <c r="J1698" t="s">
        <v>604</v>
      </c>
      <c r="K1698" t="s">
        <v>610</v>
      </c>
      <c r="L1698">
        <v>8</v>
      </c>
    </row>
    <row r="1699" spans="2:12" ht="15" customHeight="1">
      <c r="B1699" t="s">
        <v>1823</v>
      </c>
      <c r="C1699">
        <v>230000</v>
      </c>
      <c r="D1699" t="s">
        <v>247</v>
      </c>
      <c r="E1699">
        <v>4095.8208381117906</v>
      </c>
      <c r="F1699" s="3">
        <f>(tblSalaries[[#This Row],[clean Salary (in local currency)]])*(VLOOKUP(tblSalaries[[#This Row],[Currency]],Sheet3!$A$2:$C$31,3,FALSE))*(VLOOKUP(tblSalaries[[#This Row],[Currency]],Sheet1!$N$4:$Q$186,4,FALSE))</f>
        <v>10893.035140200645</v>
      </c>
      <c r="G1699" s="4">
        <f>IF(Dashboard!$J$5=VLOOKUP(tblSalaries[[#This Row],[Currency]],Sheet3!$A$2:$B$31,2,FALSE),tblSalaries[[#This Row],[clean Salary (in local currency)]],(tblSalaries[[#This Row],[PPP Adjusted  USD]]/VLOOKUP(Dashboard!$J$5,Sheet3!$B$2:$C$31,2,FALSE)))</f>
        <v>10893.035140200645</v>
      </c>
      <c r="H1699" t="s">
        <v>1747</v>
      </c>
      <c r="I1699" t="s">
        <v>658</v>
      </c>
      <c r="J1699" t="s">
        <v>604</v>
      </c>
      <c r="K1699" t="s">
        <v>610</v>
      </c>
      <c r="L1699">
        <v>3</v>
      </c>
    </row>
    <row r="1700" spans="2:12" ht="15" customHeight="1">
      <c r="B1700" t="s">
        <v>3125</v>
      </c>
      <c r="C1700">
        <v>230000</v>
      </c>
      <c r="D1700" t="s">
        <v>247</v>
      </c>
      <c r="E1700">
        <v>4095.8208381117906</v>
      </c>
      <c r="F1700" s="3">
        <f>(tblSalaries[[#This Row],[clean Salary (in local currency)]])*(VLOOKUP(tblSalaries[[#This Row],[Currency]],Sheet3!$A$2:$C$31,3,FALSE))*(VLOOKUP(tblSalaries[[#This Row],[Currency]],Sheet1!$N$4:$Q$186,4,FALSE))</f>
        <v>10893.035140200645</v>
      </c>
      <c r="G1700" s="4">
        <f>IF(Dashboard!$J$5=VLOOKUP(tblSalaries[[#This Row],[Currency]],Sheet3!$A$2:$B$31,2,FALSE),tblSalaries[[#This Row],[clean Salary (in local currency)]],(tblSalaries[[#This Row],[PPP Adjusted  USD]]/VLOOKUP(Dashboard!$J$5,Sheet3!$B$2:$C$31,2,FALSE)))</f>
        <v>10893.035140200645</v>
      </c>
      <c r="H1700" t="s">
        <v>3126</v>
      </c>
      <c r="I1700" t="s">
        <v>603</v>
      </c>
      <c r="J1700" t="s">
        <v>604</v>
      </c>
      <c r="K1700" t="s">
        <v>605</v>
      </c>
      <c r="L1700">
        <v>1.6</v>
      </c>
    </row>
    <row r="1701" spans="2:12" ht="15" customHeight="1">
      <c r="B1701" t="s">
        <v>2408</v>
      </c>
      <c r="C1701">
        <v>10800</v>
      </c>
      <c r="D1701" t="s">
        <v>252</v>
      </c>
      <c r="E1701">
        <v>10800</v>
      </c>
      <c r="F1701" s="3">
        <f>(tblSalaries[[#This Row],[clean Salary (in local currency)]])*(VLOOKUP(tblSalaries[[#This Row],[Currency]],Sheet3!$A$2:$C$31,3,FALSE))*(VLOOKUP(tblSalaries[[#This Row],[Currency]],Sheet1!$N$4:$Q$186,4,FALSE))</f>
        <v>10800</v>
      </c>
      <c r="G1701" s="4">
        <f>IF(Dashboard!$J$5=VLOOKUP(tblSalaries[[#This Row],[Currency]],Sheet3!$A$2:$B$31,2,FALSE),tblSalaries[[#This Row],[clean Salary (in local currency)]],(tblSalaries[[#This Row],[PPP Adjusted  USD]]/VLOOKUP(Dashboard!$J$5,Sheet3!$B$2:$C$31,2,FALSE)))</f>
        <v>10800</v>
      </c>
      <c r="H1701" t="s">
        <v>2409</v>
      </c>
      <c r="I1701" t="s">
        <v>625</v>
      </c>
      <c r="J1701" t="s">
        <v>616</v>
      </c>
      <c r="K1701" t="s">
        <v>610</v>
      </c>
      <c r="L1701">
        <v>5</v>
      </c>
    </row>
    <row r="1702" spans="2:12" ht="15" customHeight="1">
      <c r="B1702" t="s">
        <v>1971</v>
      </c>
      <c r="C1702">
        <v>225000</v>
      </c>
      <c r="D1702" t="s">
        <v>247</v>
      </c>
      <c r="E1702">
        <v>4006.7812546745777</v>
      </c>
      <c r="F1702" s="3">
        <f>(tblSalaries[[#This Row],[clean Salary (in local currency)]])*(VLOOKUP(tblSalaries[[#This Row],[Currency]],Sheet3!$A$2:$C$31,3,FALSE))*(VLOOKUP(tblSalaries[[#This Row],[Currency]],Sheet1!$N$4:$Q$186,4,FALSE))</f>
        <v>10656.230028457152</v>
      </c>
      <c r="G1702" s="4">
        <f>IF(Dashboard!$J$5=VLOOKUP(tblSalaries[[#This Row],[Currency]],Sheet3!$A$2:$B$31,2,FALSE),tblSalaries[[#This Row],[clean Salary (in local currency)]],(tblSalaries[[#This Row],[PPP Adjusted  USD]]/VLOOKUP(Dashboard!$J$5,Sheet3!$B$2:$C$31,2,FALSE)))</f>
        <v>10656.230028457152</v>
      </c>
      <c r="H1702" t="s">
        <v>1747</v>
      </c>
      <c r="I1702" t="s">
        <v>658</v>
      </c>
      <c r="J1702" t="s">
        <v>604</v>
      </c>
      <c r="K1702" t="s">
        <v>610</v>
      </c>
      <c r="L1702">
        <v>5.5</v>
      </c>
    </row>
    <row r="1703" spans="2:12" ht="15" customHeight="1">
      <c r="B1703" t="s">
        <v>3294</v>
      </c>
      <c r="C1703">
        <v>240000</v>
      </c>
      <c r="D1703" t="s">
        <v>473</v>
      </c>
      <c r="E1703">
        <v>5689.2125418690484</v>
      </c>
      <c r="F1703" s="3">
        <f>(tblSalaries[[#This Row],[clean Salary (in local currency)]])*(VLOOKUP(tblSalaries[[#This Row],[Currency]],Sheet3!$A$2:$C$31,3,FALSE))*(VLOOKUP(tblSalaries[[#This Row],[Currency]],Sheet1!$N$4:$Q$186,4,FALSE))</f>
        <v>10421.454096092093</v>
      </c>
      <c r="G1703" s="4">
        <f>IF(Dashboard!$J$5=VLOOKUP(tblSalaries[[#This Row],[Currency]],Sheet3!$A$2:$B$31,2,FALSE),tblSalaries[[#This Row],[clean Salary (in local currency)]],(tblSalaries[[#This Row],[PPP Adjusted  USD]]/VLOOKUP(Dashboard!$J$5,Sheet3!$B$2:$C$31,2,FALSE)))</f>
        <v>10421.454096092093</v>
      </c>
      <c r="H1703" t="s">
        <v>3295</v>
      </c>
      <c r="I1703" t="s">
        <v>625</v>
      </c>
      <c r="J1703" t="s">
        <v>1146</v>
      </c>
      <c r="K1703" t="s">
        <v>605</v>
      </c>
      <c r="L1703">
        <v>15</v>
      </c>
    </row>
    <row r="1704" spans="2:12" ht="15" customHeight="1">
      <c r="B1704" t="s">
        <v>1843</v>
      </c>
      <c r="C1704">
        <v>220000</v>
      </c>
      <c r="D1704" t="s">
        <v>247</v>
      </c>
      <c r="E1704">
        <v>3917.7416712373652</v>
      </c>
      <c r="F1704" s="3">
        <f>(tblSalaries[[#This Row],[clean Salary (in local currency)]])*(VLOOKUP(tblSalaries[[#This Row],[Currency]],Sheet3!$A$2:$C$31,3,FALSE))*(VLOOKUP(tblSalaries[[#This Row],[Currency]],Sheet1!$N$4:$Q$186,4,FALSE))</f>
        <v>10419.42491671366</v>
      </c>
      <c r="G1704" s="4">
        <f>IF(Dashboard!$J$5=VLOOKUP(tblSalaries[[#This Row],[Currency]],Sheet3!$A$2:$B$31,2,FALSE),tblSalaries[[#This Row],[clean Salary (in local currency)]],(tblSalaries[[#This Row],[PPP Adjusted  USD]]/VLOOKUP(Dashboard!$J$5,Sheet3!$B$2:$C$31,2,FALSE)))</f>
        <v>10419.42491671366</v>
      </c>
      <c r="H1704" t="s">
        <v>1844</v>
      </c>
      <c r="I1704" t="s">
        <v>603</v>
      </c>
      <c r="J1704" t="s">
        <v>604</v>
      </c>
      <c r="K1704" t="s">
        <v>617</v>
      </c>
      <c r="L1704">
        <v>3</v>
      </c>
    </row>
    <row r="1705" spans="2:12" ht="15" customHeight="1">
      <c r="B1705" t="s">
        <v>2005</v>
      </c>
      <c r="C1705">
        <v>220000</v>
      </c>
      <c r="D1705" t="s">
        <v>247</v>
      </c>
      <c r="E1705">
        <v>3917.7416712373652</v>
      </c>
      <c r="F1705" s="3">
        <f>(tblSalaries[[#This Row],[clean Salary (in local currency)]])*(VLOOKUP(tblSalaries[[#This Row],[Currency]],Sheet3!$A$2:$C$31,3,FALSE))*(VLOOKUP(tblSalaries[[#This Row],[Currency]],Sheet1!$N$4:$Q$186,4,FALSE))</f>
        <v>10419.42491671366</v>
      </c>
      <c r="G1705" s="4">
        <f>IF(Dashboard!$J$5=VLOOKUP(tblSalaries[[#This Row],[Currency]],Sheet3!$A$2:$B$31,2,FALSE),tblSalaries[[#This Row],[clean Salary (in local currency)]],(tblSalaries[[#This Row],[PPP Adjusted  USD]]/VLOOKUP(Dashboard!$J$5,Sheet3!$B$2:$C$31,2,FALSE)))</f>
        <v>10419.42491671366</v>
      </c>
      <c r="H1705" t="s">
        <v>2006</v>
      </c>
      <c r="I1705" t="s">
        <v>620</v>
      </c>
      <c r="J1705" t="s">
        <v>604</v>
      </c>
      <c r="K1705" t="s">
        <v>605</v>
      </c>
      <c r="L1705">
        <v>2</v>
      </c>
    </row>
    <row r="1706" spans="2:12" ht="15" customHeight="1">
      <c r="B1706" t="s">
        <v>2189</v>
      </c>
      <c r="C1706">
        <v>420000</v>
      </c>
      <c r="D1706" t="s">
        <v>461</v>
      </c>
      <c r="E1706">
        <v>4457.9172610556352</v>
      </c>
      <c r="F1706" s="3">
        <f>(tblSalaries[[#This Row],[clean Salary (in local currency)]])*(VLOOKUP(tblSalaries[[#This Row],[Currency]],Sheet3!$A$2:$C$31,3,FALSE))*(VLOOKUP(tblSalaries[[#This Row],[Currency]],Sheet1!$N$4:$Q$186,4,FALSE))</f>
        <v>10343.783969902843</v>
      </c>
      <c r="G1706" s="4">
        <f>IF(Dashboard!$J$5=VLOOKUP(tblSalaries[[#This Row],[Currency]],Sheet3!$A$2:$B$31,2,FALSE),tblSalaries[[#This Row],[clean Salary (in local currency)]],(tblSalaries[[#This Row],[PPP Adjusted  USD]]/VLOOKUP(Dashboard!$J$5,Sheet3!$B$2:$C$31,2,FALSE)))</f>
        <v>10343.783969902843</v>
      </c>
      <c r="H1706" t="s">
        <v>2190</v>
      </c>
      <c r="I1706" t="s">
        <v>625</v>
      </c>
      <c r="J1706" t="s">
        <v>616</v>
      </c>
      <c r="K1706" t="s">
        <v>610</v>
      </c>
      <c r="L1706">
        <v>4</v>
      </c>
    </row>
    <row r="1707" spans="2:12" ht="15" customHeight="1">
      <c r="B1707" t="s">
        <v>1834</v>
      </c>
      <c r="C1707">
        <v>10200</v>
      </c>
      <c r="D1707" t="s">
        <v>252</v>
      </c>
      <c r="E1707">
        <v>10200</v>
      </c>
      <c r="F1707" s="3">
        <f>(tblSalaries[[#This Row],[clean Salary (in local currency)]])*(VLOOKUP(tblSalaries[[#This Row],[Currency]],Sheet3!$A$2:$C$31,3,FALSE))*(VLOOKUP(tblSalaries[[#This Row],[Currency]],Sheet1!$N$4:$Q$186,4,FALSE))</f>
        <v>10200</v>
      </c>
      <c r="G1707" s="4">
        <f>IF(Dashboard!$J$5=VLOOKUP(tblSalaries[[#This Row],[Currency]],Sheet3!$A$2:$B$31,2,FALSE),tblSalaries[[#This Row],[clean Salary (in local currency)]],(tblSalaries[[#This Row],[PPP Adjusted  USD]]/VLOOKUP(Dashboard!$J$5,Sheet3!$B$2:$C$31,2,FALSE)))</f>
        <v>10200</v>
      </c>
      <c r="H1707" t="s">
        <v>648</v>
      </c>
      <c r="I1707" t="s">
        <v>603</v>
      </c>
      <c r="J1707" t="s">
        <v>604</v>
      </c>
      <c r="K1707" t="s">
        <v>605</v>
      </c>
      <c r="L1707">
        <v>4.5</v>
      </c>
    </row>
    <row r="1708" spans="2:12" ht="15" customHeight="1">
      <c r="B1708" t="s">
        <v>1756</v>
      </c>
      <c r="C1708">
        <v>10000</v>
      </c>
      <c r="D1708" t="s">
        <v>252</v>
      </c>
      <c r="E1708">
        <v>10000</v>
      </c>
      <c r="F1708" s="3">
        <f>(tblSalaries[[#This Row],[clean Salary (in local currency)]])*(VLOOKUP(tblSalaries[[#This Row],[Currency]],Sheet3!$A$2:$C$31,3,FALSE))*(VLOOKUP(tblSalaries[[#This Row],[Currency]],Sheet1!$N$4:$Q$186,4,FALSE))</f>
        <v>10000</v>
      </c>
      <c r="G1708" s="4">
        <f>IF(Dashboard!$J$5=VLOOKUP(tblSalaries[[#This Row],[Currency]],Sheet3!$A$2:$B$31,2,FALSE),tblSalaries[[#This Row],[clean Salary (in local currency)]],(tblSalaries[[#This Row],[PPP Adjusted  USD]]/VLOOKUP(Dashboard!$J$5,Sheet3!$B$2:$C$31,2,FALSE)))</f>
        <v>10000</v>
      </c>
      <c r="H1708" t="s">
        <v>1757</v>
      </c>
      <c r="I1708" t="s">
        <v>625</v>
      </c>
      <c r="J1708" t="s">
        <v>1758</v>
      </c>
      <c r="K1708" t="s">
        <v>617</v>
      </c>
      <c r="L1708">
        <v>5</v>
      </c>
    </row>
    <row r="1709" spans="2:12" ht="15" customHeight="1">
      <c r="B1709" t="s">
        <v>1886</v>
      </c>
      <c r="C1709">
        <v>10000</v>
      </c>
      <c r="D1709" t="s">
        <v>252</v>
      </c>
      <c r="E1709">
        <v>10000</v>
      </c>
      <c r="F1709" s="3">
        <f>(tblSalaries[[#This Row],[clean Salary (in local currency)]])*(VLOOKUP(tblSalaries[[#This Row],[Currency]],Sheet3!$A$2:$C$31,3,FALSE))*(VLOOKUP(tblSalaries[[#This Row],[Currency]],Sheet1!$N$4:$Q$186,4,FALSE))</f>
        <v>10000</v>
      </c>
      <c r="G1709" s="4">
        <f>IF(Dashboard!$J$5=VLOOKUP(tblSalaries[[#This Row],[Currency]],Sheet3!$A$2:$B$31,2,FALSE),tblSalaries[[#This Row],[clean Salary (in local currency)]],(tblSalaries[[#This Row],[PPP Adjusted  USD]]/VLOOKUP(Dashboard!$J$5,Sheet3!$B$2:$C$31,2,FALSE)))</f>
        <v>10000</v>
      </c>
      <c r="H1709" t="s">
        <v>1792</v>
      </c>
      <c r="I1709" t="s">
        <v>625</v>
      </c>
      <c r="J1709" t="s">
        <v>604</v>
      </c>
      <c r="K1709" t="s">
        <v>605</v>
      </c>
      <c r="L1709">
        <v>2</v>
      </c>
    </row>
    <row r="1710" spans="2:12" ht="15" customHeight="1">
      <c r="B1710" t="s">
        <v>1950</v>
      </c>
      <c r="C1710">
        <v>10000</v>
      </c>
      <c r="D1710" t="s">
        <v>252</v>
      </c>
      <c r="E1710">
        <v>10000</v>
      </c>
      <c r="F1710" s="3">
        <f>(tblSalaries[[#This Row],[clean Salary (in local currency)]])*(VLOOKUP(tblSalaries[[#This Row],[Currency]],Sheet3!$A$2:$C$31,3,FALSE))*(VLOOKUP(tblSalaries[[#This Row],[Currency]],Sheet1!$N$4:$Q$186,4,FALSE))</f>
        <v>10000</v>
      </c>
      <c r="G1710" s="4">
        <f>IF(Dashboard!$J$5=VLOOKUP(tblSalaries[[#This Row],[Currency]],Sheet3!$A$2:$B$31,2,FALSE),tblSalaries[[#This Row],[clean Salary (in local currency)]],(tblSalaries[[#This Row],[PPP Adjusted  USD]]/VLOOKUP(Dashboard!$J$5,Sheet3!$B$2:$C$31,2,FALSE)))</f>
        <v>10000</v>
      </c>
      <c r="H1710" t="s">
        <v>1951</v>
      </c>
      <c r="I1710" t="s">
        <v>603</v>
      </c>
      <c r="J1710" t="s">
        <v>604</v>
      </c>
      <c r="K1710" t="s">
        <v>605</v>
      </c>
      <c r="L1710">
        <v>12</v>
      </c>
    </row>
    <row r="1711" spans="2:12" ht="15" customHeight="1">
      <c r="B1711" t="s">
        <v>2026</v>
      </c>
      <c r="C1711">
        <v>10000</v>
      </c>
      <c r="D1711" t="s">
        <v>252</v>
      </c>
      <c r="E1711">
        <v>10000</v>
      </c>
      <c r="F1711" s="3">
        <f>(tblSalaries[[#This Row],[clean Salary (in local currency)]])*(VLOOKUP(tblSalaries[[#This Row],[Currency]],Sheet3!$A$2:$C$31,3,FALSE))*(VLOOKUP(tblSalaries[[#This Row],[Currency]],Sheet1!$N$4:$Q$186,4,FALSE))</f>
        <v>10000</v>
      </c>
      <c r="G1711" s="4">
        <f>IF(Dashboard!$J$5=VLOOKUP(tblSalaries[[#This Row],[Currency]],Sheet3!$A$2:$B$31,2,FALSE),tblSalaries[[#This Row],[clean Salary (in local currency)]],(tblSalaries[[#This Row],[PPP Adjusted  USD]]/VLOOKUP(Dashboard!$J$5,Sheet3!$B$2:$C$31,2,FALSE)))</f>
        <v>10000</v>
      </c>
      <c r="H1711" t="s">
        <v>2027</v>
      </c>
      <c r="I1711" t="s">
        <v>625</v>
      </c>
      <c r="J1711" t="s">
        <v>604</v>
      </c>
      <c r="K1711" t="s">
        <v>627</v>
      </c>
      <c r="L1711">
        <v>12</v>
      </c>
    </row>
    <row r="1712" spans="2:12" ht="15" customHeight="1">
      <c r="B1712" t="s">
        <v>2195</v>
      </c>
      <c r="C1712">
        <v>10000</v>
      </c>
      <c r="D1712" t="s">
        <v>252</v>
      </c>
      <c r="E1712">
        <v>10000</v>
      </c>
      <c r="F1712" s="3">
        <f>(tblSalaries[[#This Row],[clean Salary (in local currency)]])*(VLOOKUP(tblSalaries[[#This Row],[Currency]],Sheet3!$A$2:$C$31,3,FALSE))*(VLOOKUP(tblSalaries[[#This Row],[Currency]],Sheet1!$N$4:$Q$186,4,FALSE))</f>
        <v>10000</v>
      </c>
      <c r="G1712" s="4">
        <f>IF(Dashboard!$J$5=VLOOKUP(tblSalaries[[#This Row],[Currency]],Sheet3!$A$2:$B$31,2,FALSE),tblSalaries[[#This Row],[clean Salary (in local currency)]],(tblSalaries[[#This Row],[PPP Adjusted  USD]]/VLOOKUP(Dashboard!$J$5,Sheet3!$B$2:$C$31,2,FALSE)))</f>
        <v>10000</v>
      </c>
      <c r="H1712" t="s">
        <v>2196</v>
      </c>
      <c r="I1712" t="s">
        <v>637</v>
      </c>
      <c r="J1712" t="s">
        <v>2197</v>
      </c>
      <c r="K1712" t="s">
        <v>605</v>
      </c>
      <c r="L1712">
        <v>4</v>
      </c>
    </row>
    <row r="1713" spans="2:12" ht="15" customHeight="1">
      <c r="B1713" t="s">
        <v>2220</v>
      </c>
      <c r="C1713">
        <v>10000</v>
      </c>
      <c r="D1713" t="s">
        <v>252</v>
      </c>
      <c r="E1713">
        <v>10000</v>
      </c>
      <c r="F1713" s="3">
        <f>(tblSalaries[[#This Row],[clean Salary (in local currency)]])*(VLOOKUP(tblSalaries[[#This Row],[Currency]],Sheet3!$A$2:$C$31,3,FALSE))*(VLOOKUP(tblSalaries[[#This Row],[Currency]],Sheet1!$N$4:$Q$186,4,FALSE))</f>
        <v>10000</v>
      </c>
      <c r="G1713" s="4">
        <f>IF(Dashboard!$J$5=VLOOKUP(tblSalaries[[#This Row],[Currency]],Sheet3!$A$2:$B$31,2,FALSE),tblSalaries[[#This Row],[clean Salary (in local currency)]],(tblSalaries[[#This Row],[PPP Adjusted  USD]]/VLOOKUP(Dashboard!$J$5,Sheet3!$B$2:$C$31,2,FALSE)))</f>
        <v>10000</v>
      </c>
      <c r="H1713" t="s">
        <v>1424</v>
      </c>
      <c r="I1713" t="s">
        <v>625</v>
      </c>
      <c r="J1713" t="s">
        <v>604</v>
      </c>
      <c r="K1713" t="s">
        <v>605</v>
      </c>
      <c r="L1713">
        <v>6</v>
      </c>
    </row>
    <row r="1714" spans="2:12" ht="15" customHeight="1">
      <c r="B1714" t="s">
        <v>2583</v>
      </c>
      <c r="C1714">
        <v>10000</v>
      </c>
      <c r="D1714" t="s">
        <v>252</v>
      </c>
      <c r="E1714">
        <v>10000</v>
      </c>
      <c r="F1714" s="3">
        <f>(tblSalaries[[#This Row],[clean Salary (in local currency)]])*(VLOOKUP(tblSalaries[[#This Row],[Currency]],Sheet3!$A$2:$C$31,3,FALSE))*(VLOOKUP(tblSalaries[[#This Row],[Currency]],Sheet1!$N$4:$Q$186,4,FALSE))</f>
        <v>10000</v>
      </c>
      <c r="G1714" s="4">
        <f>IF(Dashboard!$J$5=VLOOKUP(tblSalaries[[#This Row],[Currency]],Sheet3!$A$2:$B$31,2,FALSE),tblSalaries[[#This Row],[clean Salary (in local currency)]],(tblSalaries[[#This Row],[PPP Adjusted  USD]]/VLOOKUP(Dashboard!$J$5,Sheet3!$B$2:$C$31,2,FALSE)))</f>
        <v>10000</v>
      </c>
      <c r="H1714" t="s">
        <v>1619</v>
      </c>
      <c r="I1714" t="s">
        <v>603</v>
      </c>
      <c r="J1714" t="s">
        <v>604</v>
      </c>
      <c r="K1714" t="s">
        <v>617</v>
      </c>
      <c r="L1714">
        <v>5</v>
      </c>
    </row>
    <row r="1715" spans="2:12" ht="15" customHeight="1">
      <c r="B1715" t="s">
        <v>2888</v>
      </c>
      <c r="C1715">
        <v>10000</v>
      </c>
      <c r="D1715" t="s">
        <v>252</v>
      </c>
      <c r="E1715">
        <v>10000</v>
      </c>
      <c r="F1715" s="3">
        <f>(tblSalaries[[#This Row],[clean Salary (in local currency)]])*(VLOOKUP(tblSalaries[[#This Row],[Currency]],Sheet3!$A$2:$C$31,3,FALSE))*(VLOOKUP(tblSalaries[[#This Row],[Currency]],Sheet1!$N$4:$Q$186,4,FALSE))</f>
        <v>10000</v>
      </c>
      <c r="G1715" s="4">
        <f>IF(Dashboard!$J$5=VLOOKUP(tblSalaries[[#This Row],[Currency]],Sheet3!$A$2:$B$31,2,FALSE),tblSalaries[[#This Row],[clean Salary (in local currency)]],(tblSalaries[[#This Row],[PPP Adjusted  USD]]/VLOOKUP(Dashboard!$J$5,Sheet3!$B$2:$C$31,2,FALSE)))</f>
        <v>10000</v>
      </c>
      <c r="H1715" t="s">
        <v>1166</v>
      </c>
      <c r="I1715" t="s">
        <v>658</v>
      </c>
      <c r="J1715" t="s">
        <v>604</v>
      </c>
      <c r="K1715" t="s">
        <v>627</v>
      </c>
      <c r="L1715">
        <v>0.5</v>
      </c>
    </row>
    <row r="1716" spans="2:12" ht="15" customHeight="1">
      <c r="B1716" t="s">
        <v>3185</v>
      </c>
      <c r="C1716">
        <v>10000</v>
      </c>
      <c r="D1716" t="s">
        <v>252</v>
      </c>
      <c r="E1716">
        <v>10000</v>
      </c>
      <c r="F1716" s="3">
        <f>(tblSalaries[[#This Row],[clean Salary (in local currency)]])*(VLOOKUP(tblSalaries[[#This Row],[Currency]],Sheet3!$A$2:$C$31,3,FALSE))*(VLOOKUP(tblSalaries[[#This Row],[Currency]],Sheet1!$N$4:$Q$186,4,FALSE))</f>
        <v>10000</v>
      </c>
      <c r="G1716" s="4">
        <f>IF(Dashboard!$J$5=VLOOKUP(tblSalaries[[#This Row],[Currency]],Sheet3!$A$2:$B$31,2,FALSE),tblSalaries[[#This Row],[clean Salary (in local currency)]],(tblSalaries[[#This Row],[PPP Adjusted  USD]]/VLOOKUP(Dashboard!$J$5,Sheet3!$B$2:$C$31,2,FALSE)))</f>
        <v>10000</v>
      </c>
      <c r="H1716" t="s">
        <v>3186</v>
      </c>
      <c r="I1716" t="s">
        <v>603</v>
      </c>
      <c r="J1716" t="s">
        <v>795</v>
      </c>
      <c r="K1716" t="s">
        <v>605</v>
      </c>
      <c r="L1716">
        <v>1</v>
      </c>
    </row>
    <row r="1717" spans="2:12" ht="15" customHeight="1">
      <c r="B1717" t="s">
        <v>3215</v>
      </c>
      <c r="C1717">
        <v>10000</v>
      </c>
      <c r="D1717" t="s">
        <v>252</v>
      </c>
      <c r="E1717">
        <v>10000</v>
      </c>
      <c r="F1717" s="3">
        <f>(tblSalaries[[#This Row],[clean Salary (in local currency)]])*(VLOOKUP(tblSalaries[[#This Row],[Currency]],Sheet3!$A$2:$C$31,3,FALSE))*(VLOOKUP(tblSalaries[[#This Row],[Currency]],Sheet1!$N$4:$Q$186,4,FALSE))</f>
        <v>10000</v>
      </c>
      <c r="G1717" s="4">
        <f>IF(Dashboard!$J$5=VLOOKUP(tblSalaries[[#This Row],[Currency]],Sheet3!$A$2:$B$31,2,FALSE),tblSalaries[[#This Row],[clean Salary (in local currency)]],(tblSalaries[[#This Row],[PPP Adjusted  USD]]/VLOOKUP(Dashboard!$J$5,Sheet3!$B$2:$C$31,2,FALSE)))</f>
        <v>10000</v>
      </c>
      <c r="H1717" t="s">
        <v>3216</v>
      </c>
      <c r="I1717" t="s">
        <v>625</v>
      </c>
      <c r="J1717" t="s">
        <v>3217</v>
      </c>
      <c r="K1717" t="s">
        <v>617</v>
      </c>
      <c r="L1717">
        <v>8</v>
      </c>
    </row>
    <row r="1718" spans="2:12" ht="15" customHeight="1">
      <c r="B1718" t="s">
        <v>3331</v>
      </c>
      <c r="C1718">
        <v>10000</v>
      </c>
      <c r="D1718" t="s">
        <v>252</v>
      </c>
      <c r="E1718">
        <v>10000</v>
      </c>
      <c r="F1718" s="3">
        <f>(tblSalaries[[#This Row],[clean Salary (in local currency)]])*(VLOOKUP(tblSalaries[[#This Row],[Currency]],Sheet3!$A$2:$C$31,3,FALSE))*(VLOOKUP(tblSalaries[[#This Row],[Currency]],Sheet1!$N$4:$Q$186,4,FALSE))</f>
        <v>10000</v>
      </c>
      <c r="G1718" s="4">
        <f>IF(Dashboard!$J$5=VLOOKUP(tblSalaries[[#This Row],[Currency]],Sheet3!$A$2:$B$31,2,FALSE),tblSalaries[[#This Row],[clean Salary (in local currency)]],(tblSalaries[[#This Row],[PPP Adjusted  USD]]/VLOOKUP(Dashboard!$J$5,Sheet3!$B$2:$C$31,2,FALSE)))</f>
        <v>10000</v>
      </c>
      <c r="H1718" t="s">
        <v>1166</v>
      </c>
      <c r="I1718" t="s">
        <v>658</v>
      </c>
      <c r="J1718" t="s">
        <v>604</v>
      </c>
      <c r="K1718" t="s">
        <v>610</v>
      </c>
      <c r="L1718">
        <v>6</v>
      </c>
    </row>
    <row r="1719" spans="2:12" ht="15" customHeight="1">
      <c r="B1719" t="s">
        <v>3333</v>
      </c>
      <c r="C1719">
        <v>10000</v>
      </c>
      <c r="D1719" t="s">
        <v>252</v>
      </c>
      <c r="E1719">
        <v>10000</v>
      </c>
      <c r="F1719" s="3">
        <f>(tblSalaries[[#This Row],[clean Salary (in local currency)]])*(VLOOKUP(tblSalaries[[#This Row],[Currency]],Sheet3!$A$2:$C$31,3,FALSE))*(VLOOKUP(tblSalaries[[#This Row],[Currency]],Sheet1!$N$4:$Q$186,4,FALSE))</f>
        <v>10000</v>
      </c>
      <c r="G1719" s="4">
        <f>IF(Dashboard!$J$5=VLOOKUP(tblSalaries[[#This Row],[Currency]],Sheet3!$A$2:$B$31,2,FALSE),tblSalaries[[#This Row],[clean Salary (in local currency)]],(tblSalaries[[#This Row],[PPP Adjusted  USD]]/VLOOKUP(Dashboard!$J$5,Sheet3!$B$2:$C$31,2,FALSE)))</f>
        <v>10000</v>
      </c>
      <c r="H1719" t="s">
        <v>3334</v>
      </c>
      <c r="I1719" t="s">
        <v>625</v>
      </c>
      <c r="J1719" t="s">
        <v>604</v>
      </c>
      <c r="K1719" t="s">
        <v>610</v>
      </c>
      <c r="L1719">
        <v>12</v>
      </c>
    </row>
    <row r="1720" spans="2:12" ht="15" customHeight="1">
      <c r="B1720" t="s">
        <v>3407</v>
      </c>
      <c r="C1720">
        <v>10000</v>
      </c>
      <c r="D1720" t="s">
        <v>252</v>
      </c>
      <c r="E1720">
        <v>10000</v>
      </c>
      <c r="F1720" s="3">
        <f>(tblSalaries[[#This Row],[clean Salary (in local currency)]])*(VLOOKUP(tblSalaries[[#This Row],[Currency]],Sheet3!$A$2:$C$31,3,FALSE))*(VLOOKUP(tblSalaries[[#This Row],[Currency]],Sheet1!$N$4:$Q$186,4,FALSE))</f>
        <v>10000</v>
      </c>
      <c r="G1720" s="4">
        <f>IF(Dashboard!$J$5=VLOOKUP(tblSalaries[[#This Row],[Currency]],Sheet3!$A$2:$B$31,2,FALSE),tblSalaries[[#This Row],[clean Salary (in local currency)]],(tblSalaries[[#This Row],[PPP Adjusted  USD]]/VLOOKUP(Dashboard!$J$5,Sheet3!$B$2:$C$31,2,FALSE)))</f>
        <v>10000</v>
      </c>
      <c r="H1720" t="s">
        <v>1313</v>
      </c>
      <c r="I1720" t="s">
        <v>633</v>
      </c>
      <c r="J1720" t="s">
        <v>604</v>
      </c>
      <c r="K1720" t="s">
        <v>610</v>
      </c>
      <c r="L1720">
        <v>1</v>
      </c>
    </row>
    <row r="1721" spans="2:12" ht="15" customHeight="1">
      <c r="B1721" t="s">
        <v>3414</v>
      </c>
      <c r="C1721">
        <v>10000</v>
      </c>
      <c r="D1721" t="s">
        <v>252</v>
      </c>
      <c r="E1721">
        <v>10000</v>
      </c>
      <c r="F1721" s="3">
        <f>(tblSalaries[[#This Row],[clean Salary (in local currency)]])*(VLOOKUP(tblSalaries[[#This Row],[Currency]],Sheet3!$A$2:$C$31,3,FALSE))*(VLOOKUP(tblSalaries[[#This Row],[Currency]],Sheet1!$N$4:$Q$186,4,FALSE))</f>
        <v>10000</v>
      </c>
      <c r="G1721" s="4">
        <f>IF(Dashboard!$J$5=VLOOKUP(tblSalaries[[#This Row],[Currency]],Sheet3!$A$2:$B$31,2,FALSE),tblSalaries[[#This Row],[clean Salary (in local currency)]],(tblSalaries[[#This Row],[PPP Adjusted  USD]]/VLOOKUP(Dashboard!$J$5,Sheet3!$B$2:$C$31,2,FALSE)))</f>
        <v>10000</v>
      </c>
      <c r="H1721" t="s">
        <v>1747</v>
      </c>
      <c r="I1721" t="s">
        <v>658</v>
      </c>
      <c r="J1721" t="s">
        <v>604</v>
      </c>
      <c r="K1721" t="s">
        <v>610</v>
      </c>
      <c r="L1721">
        <v>2</v>
      </c>
    </row>
    <row r="1722" spans="2:12" ht="15" customHeight="1">
      <c r="B1722" t="s">
        <v>3495</v>
      </c>
      <c r="C1722">
        <v>10000</v>
      </c>
      <c r="D1722" t="s">
        <v>252</v>
      </c>
      <c r="E1722">
        <v>10000</v>
      </c>
      <c r="F1722" s="3">
        <f>(tblSalaries[[#This Row],[clean Salary (in local currency)]])*(VLOOKUP(tblSalaries[[#This Row],[Currency]],Sheet3!$A$2:$C$31,3,FALSE))*(VLOOKUP(tblSalaries[[#This Row],[Currency]],Sheet1!$N$4:$Q$186,4,FALSE))</f>
        <v>10000</v>
      </c>
      <c r="G1722" s="4">
        <f>IF(Dashboard!$J$5=VLOOKUP(tblSalaries[[#This Row],[Currency]],Sheet3!$A$2:$B$31,2,FALSE),tblSalaries[[#This Row],[clean Salary (in local currency)]],(tblSalaries[[#This Row],[PPP Adjusted  USD]]/VLOOKUP(Dashboard!$J$5,Sheet3!$B$2:$C$31,2,FALSE)))</f>
        <v>10000</v>
      </c>
      <c r="H1722" t="s">
        <v>3496</v>
      </c>
      <c r="I1722" t="s">
        <v>603</v>
      </c>
      <c r="J1722" t="s">
        <v>613</v>
      </c>
      <c r="K1722" t="s">
        <v>605</v>
      </c>
      <c r="L1722">
        <v>2</v>
      </c>
    </row>
    <row r="1723" spans="2:12" ht="15" customHeight="1">
      <c r="B1723" t="s">
        <v>3532</v>
      </c>
      <c r="C1723">
        <v>10000</v>
      </c>
      <c r="D1723" t="s">
        <v>252</v>
      </c>
      <c r="E1723">
        <v>10000</v>
      </c>
      <c r="F1723" s="3">
        <f>(tblSalaries[[#This Row],[clean Salary (in local currency)]])*(VLOOKUP(tblSalaries[[#This Row],[Currency]],Sheet3!$A$2:$C$31,3,FALSE))*(VLOOKUP(tblSalaries[[#This Row],[Currency]],Sheet1!$N$4:$Q$186,4,FALSE))</f>
        <v>10000</v>
      </c>
      <c r="G1723" s="4">
        <f>IF(Dashboard!$J$5=VLOOKUP(tblSalaries[[#This Row],[Currency]],Sheet3!$A$2:$B$31,2,FALSE),tblSalaries[[#This Row],[clean Salary (in local currency)]],(tblSalaries[[#This Row],[PPP Adjusted  USD]]/VLOOKUP(Dashboard!$J$5,Sheet3!$B$2:$C$31,2,FALSE)))</f>
        <v>10000</v>
      </c>
      <c r="H1723" t="s">
        <v>3533</v>
      </c>
      <c r="I1723" t="s">
        <v>625</v>
      </c>
      <c r="J1723" t="s">
        <v>604</v>
      </c>
      <c r="K1723" t="s">
        <v>605</v>
      </c>
      <c r="L1723">
        <v>11</v>
      </c>
    </row>
    <row r="1724" spans="2:12" ht="15" customHeight="1">
      <c r="B1724" t="s">
        <v>2929</v>
      </c>
      <c r="C1724">
        <v>9067</v>
      </c>
      <c r="D1724" t="s">
        <v>200</v>
      </c>
      <c r="E1724">
        <v>11518.711713336908</v>
      </c>
      <c r="F1724" s="3">
        <f>(tblSalaries[[#This Row],[clean Salary (in local currency)]])*(VLOOKUP(tblSalaries[[#This Row],[Currency]],Sheet3!$A$2:$C$31,3,FALSE))*(VLOOKUP(tblSalaries[[#This Row],[Currency]],Sheet1!$N$4:$Q$186,4,FALSE))</f>
        <v>9979.6197171811327</v>
      </c>
      <c r="G1724" s="4">
        <f>IF(Dashboard!$J$5=VLOOKUP(tblSalaries[[#This Row],[Currency]],Sheet3!$A$2:$B$31,2,FALSE),tblSalaries[[#This Row],[clean Salary (in local currency)]],(tblSalaries[[#This Row],[PPP Adjusted  USD]]/VLOOKUP(Dashboard!$J$5,Sheet3!$B$2:$C$31,2,FALSE)))</f>
        <v>9979.6197171811327</v>
      </c>
      <c r="H1724" t="s">
        <v>2930</v>
      </c>
      <c r="I1724" t="s">
        <v>603</v>
      </c>
      <c r="J1724" t="s">
        <v>644</v>
      </c>
      <c r="K1724" t="s">
        <v>617</v>
      </c>
      <c r="L1724">
        <v>3</v>
      </c>
    </row>
    <row r="1725" spans="2:12" ht="15" customHeight="1">
      <c r="B1725" t="s">
        <v>2421</v>
      </c>
      <c r="C1725">
        <v>210000</v>
      </c>
      <c r="D1725" t="s">
        <v>247</v>
      </c>
      <c r="E1725">
        <v>3739.6625043629392</v>
      </c>
      <c r="F1725" s="3">
        <f>(tblSalaries[[#This Row],[clean Salary (in local currency)]])*(VLOOKUP(tblSalaries[[#This Row],[Currency]],Sheet3!$A$2:$C$31,3,FALSE))*(VLOOKUP(tblSalaries[[#This Row],[Currency]],Sheet1!$N$4:$Q$186,4,FALSE))</f>
        <v>9945.8146932266754</v>
      </c>
      <c r="G1725" s="4">
        <f>IF(Dashboard!$J$5=VLOOKUP(tblSalaries[[#This Row],[Currency]],Sheet3!$A$2:$B$31,2,FALSE),tblSalaries[[#This Row],[clean Salary (in local currency)]],(tblSalaries[[#This Row],[PPP Adjusted  USD]]/VLOOKUP(Dashboard!$J$5,Sheet3!$B$2:$C$31,2,FALSE)))</f>
        <v>9945.8146932266754</v>
      </c>
      <c r="H1725" t="s">
        <v>1870</v>
      </c>
      <c r="I1725" t="s">
        <v>658</v>
      </c>
      <c r="J1725" t="s">
        <v>604</v>
      </c>
      <c r="K1725" t="s">
        <v>610</v>
      </c>
      <c r="L1725">
        <v>3.5</v>
      </c>
    </row>
    <row r="1726" spans="2:12" ht="15" customHeight="1">
      <c r="B1726" t="s">
        <v>2557</v>
      </c>
      <c r="C1726">
        <v>210000</v>
      </c>
      <c r="D1726" t="s">
        <v>247</v>
      </c>
      <c r="E1726">
        <v>3739.6625043629392</v>
      </c>
      <c r="F1726" s="3">
        <f>(tblSalaries[[#This Row],[clean Salary (in local currency)]])*(VLOOKUP(tblSalaries[[#This Row],[Currency]],Sheet3!$A$2:$C$31,3,FALSE))*(VLOOKUP(tblSalaries[[#This Row],[Currency]],Sheet1!$N$4:$Q$186,4,FALSE))</f>
        <v>9945.8146932266754</v>
      </c>
      <c r="G1726" s="4">
        <f>IF(Dashboard!$J$5=VLOOKUP(tblSalaries[[#This Row],[Currency]],Sheet3!$A$2:$B$31,2,FALSE),tblSalaries[[#This Row],[clean Salary (in local currency)]],(tblSalaries[[#This Row],[PPP Adjusted  USD]]/VLOOKUP(Dashboard!$J$5,Sheet3!$B$2:$C$31,2,FALSE)))</f>
        <v>9945.8146932266754</v>
      </c>
      <c r="H1726" t="s">
        <v>2558</v>
      </c>
      <c r="I1726" t="s">
        <v>603</v>
      </c>
      <c r="J1726" t="s">
        <v>604</v>
      </c>
      <c r="K1726" t="s">
        <v>610</v>
      </c>
      <c r="L1726">
        <v>1</v>
      </c>
    </row>
    <row r="1727" spans="2:12" ht="15" customHeight="1">
      <c r="B1727" t="s">
        <v>2865</v>
      </c>
      <c r="C1727">
        <v>210000</v>
      </c>
      <c r="D1727" t="s">
        <v>247</v>
      </c>
      <c r="E1727">
        <v>3739.6625043629392</v>
      </c>
      <c r="F1727" s="3">
        <f>(tblSalaries[[#This Row],[clean Salary (in local currency)]])*(VLOOKUP(tblSalaries[[#This Row],[Currency]],Sheet3!$A$2:$C$31,3,FALSE))*(VLOOKUP(tblSalaries[[#This Row],[Currency]],Sheet1!$N$4:$Q$186,4,FALSE))</f>
        <v>9945.8146932266754</v>
      </c>
      <c r="G1727" s="4">
        <f>IF(Dashboard!$J$5=VLOOKUP(tblSalaries[[#This Row],[Currency]],Sheet3!$A$2:$B$31,2,FALSE),tblSalaries[[#This Row],[clean Salary (in local currency)]],(tblSalaries[[#This Row],[PPP Adjusted  USD]]/VLOOKUP(Dashboard!$J$5,Sheet3!$B$2:$C$31,2,FALSE)))</f>
        <v>9945.8146932266754</v>
      </c>
      <c r="H1727" t="s">
        <v>2866</v>
      </c>
      <c r="I1727" t="s">
        <v>658</v>
      </c>
      <c r="J1727" t="s">
        <v>604</v>
      </c>
      <c r="K1727" t="s">
        <v>627</v>
      </c>
      <c r="L1727">
        <v>4.5</v>
      </c>
    </row>
    <row r="1728" spans="2:12" ht="15" customHeight="1">
      <c r="B1728" t="s">
        <v>1998</v>
      </c>
      <c r="C1728">
        <v>205000</v>
      </c>
      <c r="D1728" t="s">
        <v>247</v>
      </c>
      <c r="E1728">
        <v>3650.6229209257262</v>
      </c>
      <c r="F1728" s="3">
        <f>(tblSalaries[[#This Row],[clean Salary (in local currency)]])*(VLOOKUP(tblSalaries[[#This Row],[Currency]],Sheet3!$A$2:$C$31,3,FALSE))*(VLOOKUP(tblSalaries[[#This Row],[Currency]],Sheet1!$N$4:$Q$186,4,FALSE))</f>
        <v>9709.009581483182</v>
      </c>
      <c r="G1728" s="4">
        <f>IF(Dashboard!$J$5=VLOOKUP(tblSalaries[[#This Row],[Currency]],Sheet3!$A$2:$B$31,2,FALSE),tblSalaries[[#This Row],[clean Salary (in local currency)]],(tblSalaries[[#This Row],[PPP Adjusted  USD]]/VLOOKUP(Dashboard!$J$5,Sheet3!$B$2:$C$31,2,FALSE)))</f>
        <v>9709.009581483182</v>
      </c>
      <c r="H1728" t="s">
        <v>1999</v>
      </c>
      <c r="I1728" t="s">
        <v>637</v>
      </c>
      <c r="J1728" t="s">
        <v>604</v>
      </c>
      <c r="K1728" t="s">
        <v>610</v>
      </c>
      <c r="L1728">
        <v>10</v>
      </c>
    </row>
    <row r="1729" spans="2:12" ht="15" customHeight="1">
      <c r="B1729" t="s">
        <v>2360</v>
      </c>
      <c r="C1729">
        <v>204000</v>
      </c>
      <c r="D1729" t="s">
        <v>247</v>
      </c>
      <c r="E1729">
        <v>3632.815004238284</v>
      </c>
      <c r="F1729" s="3">
        <f>(tblSalaries[[#This Row],[clean Salary (in local currency)]])*(VLOOKUP(tblSalaries[[#This Row],[Currency]],Sheet3!$A$2:$C$31,3,FALSE))*(VLOOKUP(tblSalaries[[#This Row],[Currency]],Sheet1!$N$4:$Q$186,4,FALSE))</f>
        <v>9661.6485591344845</v>
      </c>
      <c r="G1729" s="4">
        <f>IF(Dashboard!$J$5=VLOOKUP(tblSalaries[[#This Row],[Currency]],Sheet3!$A$2:$B$31,2,FALSE),tblSalaries[[#This Row],[clean Salary (in local currency)]],(tblSalaries[[#This Row],[PPP Adjusted  USD]]/VLOOKUP(Dashboard!$J$5,Sheet3!$B$2:$C$31,2,FALSE)))</f>
        <v>9661.6485591344845</v>
      </c>
      <c r="H1729" t="s">
        <v>2361</v>
      </c>
      <c r="I1729" t="s">
        <v>625</v>
      </c>
      <c r="J1729" t="s">
        <v>604</v>
      </c>
      <c r="K1729" t="s">
        <v>605</v>
      </c>
      <c r="L1729">
        <v>0</v>
      </c>
    </row>
    <row r="1730" spans="2:12" ht="15" customHeight="1">
      <c r="B1730" t="s">
        <v>2893</v>
      </c>
      <c r="C1730">
        <v>204000</v>
      </c>
      <c r="D1730" t="s">
        <v>247</v>
      </c>
      <c r="E1730">
        <v>3632.815004238284</v>
      </c>
      <c r="F1730" s="3">
        <f>(tblSalaries[[#This Row],[clean Salary (in local currency)]])*(VLOOKUP(tblSalaries[[#This Row],[Currency]],Sheet3!$A$2:$C$31,3,FALSE))*(VLOOKUP(tblSalaries[[#This Row],[Currency]],Sheet1!$N$4:$Q$186,4,FALSE))</f>
        <v>9661.6485591344845</v>
      </c>
      <c r="G1730" s="4">
        <f>IF(Dashboard!$J$5=VLOOKUP(tblSalaries[[#This Row],[Currency]],Sheet3!$A$2:$B$31,2,FALSE),tblSalaries[[#This Row],[clean Salary (in local currency)]],(tblSalaries[[#This Row],[PPP Adjusted  USD]]/VLOOKUP(Dashboard!$J$5,Sheet3!$B$2:$C$31,2,FALSE)))</f>
        <v>9661.6485591344845</v>
      </c>
      <c r="H1730" t="s">
        <v>2894</v>
      </c>
      <c r="I1730" t="s">
        <v>658</v>
      </c>
      <c r="J1730" t="s">
        <v>604</v>
      </c>
      <c r="K1730" t="s">
        <v>610</v>
      </c>
      <c r="L1730">
        <v>2</v>
      </c>
    </row>
    <row r="1731" spans="2:12" ht="15" customHeight="1">
      <c r="B1731" t="s">
        <v>1919</v>
      </c>
      <c r="C1731">
        <v>9600</v>
      </c>
      <c r="D1731" t="s">
        <v>252</v>
      </c>
      <c r="E1731">
        <v>9600</v>
      </c>
      <c r="F1731" s="3">
        <f>(tblSalaries[[#This Row],[clean Salary (in local currency)]])*(VLOOKUP(tblSalaries[[#This Row],[Currency]],Sheet3!$A$2:$C$31,3,FALSE))*(VLOOKUP(tblSalaries[[#This Row],[Currency]],Sheet1!$N$4:$Q$186,4,FALSE))</f>
        <v>9600</v>
      </c>
      <c r="G1731" s="4">
        <f>IF(Dashboard!$J$5=VLOOKUP(tblSalaries[[#This Row],[Currency]],Sheet3!$A$2:$B$31,2,FALSE),tblSalaries[[#This Row],[clean Salary (in local currency)]],(tblSalaries[[#This Row],[PPP Adjusted  USD]]/VLOOKUP(Dashboard!$J$5,Sheet3!$B$2:$C$31,2,FALSE)))</f>
        <v>9600</v>
      </c>
      <c r="H1731" t="s">
        <v>801</v>
      </c>
      <c r="I1731" t="s">
        <v>603</v>
      </c>
      <c r="J1731" t="s">
        <v>659</v>
      </c>
      <c r="K1731" t="s">
        <v>605</v>
      </c>
      <c r="L1731">
        <v>2</v>
      </c>
    </row>
    <row r="1732" spans="2:12" ht="15" customHeight="1">
      <c r="B1732" t="s">
        <v>3203</v>
      </c>
      <c r="C1732">
        <v>9600</v>
      </c>
      <c r="D1732" t="s">
        <v>252</v>
      </c>
      <c r="E1732">
        <v>9600</v>
      </c>
      <c r="F1732" s="3">
        <f>(tblSalaries[[#This Row],[clean Salary (in local currency)]])*(VLOOKUP(tblSalaries[[#This Row],[Currency]],Sheet3!$A$2:$C$31,3,FALSE))*(VLOOKUP(tblSalaries[[#This Row],[Currency]],Sheet1!$N$4:$Q$186,4,FALSE))</f>
        <v>9600</v>
      </c>
      <c r="G1732" s="4">
        <f>IF(Dashboard!$J$5=VLOOKUP(tblSalaries[[#This Row],[Currency]],Sheet3!$A$2:$B$31,2,FALSE),tblSalaries[[#This Row],[clean Salary (in local currency)]],(tblSalaries[[#This Row],[PPP Adjusted  USD]]/VLOOKUP(Dashboard!$J$5,Sheet3!$B$2:$C$31,2,FALSE)))</f>
        <v>9600</v>
      </c>
      <c r="H1732" t="s">
        <v>1951</v>
      </c>
      <c r="I1732" t="s">
        <v>603</v>
      </c>
      <c r="J1732" t="s">
        <v>3204</v>
      </c>
      <c r="K1732" t="s">
        <v>610</v>
      </c>
      <c r="L1732">
        <v>2</v>
      </c>
    </row>
    <row r="1733" spans="2:12" ht="15" customHeight="1">
      <c r="B1733" t="s">
        <v>1065</v>
      </c>
      <c r="C1733">
        <v>200000</v>
      </c>
      <c r="D1733" t="s">
        <v>247</v>
      </c>
      <c r="E1733">
        <v>3561.5833374885137</v>
      </c>
      <c r="F1733" s="3">
        <f>(tblSalaries[[#This Row],[clean Salary (in local currency)]])*(VLOOKUP(tblSalaries[[#This Row],[Currency]],Sheet3!$A$2:$C$31,3,FALSE))*(VLOOKUP(tblSalaries[[#This Row],[Currency]],Sheet1!$N$4:$Q$186,4,FALSE))</f>
        <v>9472.2044697396905</v>
      </c>
      <c r="G1733" s="4">
        <f>IF(Dashboard!$J$5=VLOOKUP(tblSalaries[[#This Row],[Currency]],Sheet3!$A$2:$B$31,2,FALSE),tblSalaries[[#This Row],[clean Salary (in local currency)]],(tblSalaries[[#This Row],[PPP Adjusted  USD]]/VLOOKUP(Dashboard!$J$5,Sheet3!$B$2:$C$31,2,FALSE)))</f>
        <v>9472.2044697396905</v>
      </c>
      <c r="H1733" t="s">
        <v>1066</v>
      </c>
      <c r="I1733" t="s">
        <v>603</v>
      </c>
      <c r="J1733" t="s">
        <v>604</v>
      </c>
      <c r="K1733" t="s">
        <v>627</v>
      </c>
      <c r="L1733" t="s">
        <v>3847</v>
      </c>
    </row>
    <row r="1734" spans="2:12" ht="15" customHeight="1">
      <c r="B1734" t="s">
        <v>1403</v>
      </c>
      <c r="C1734">
        <v>200000</v>
      </c>
      <c r="D1734" t="s">
        <v>247</v>
      </c>
      <c r="E1734">
        <v>3561.5833374885137</v>
      </c>
      <c r="F1734" s="3">
        <f>(tblSalaries[[#This Row],[clean Salary (in local currency)]])*(VLOOKUP(tblSalaries[[#This Row],[Currency]],Sheet3!$A$2:$C$31,3,FALSE))*(VLOOKUP(tblSalaries[[#This Row],[Currency]],Sheet1!$N$4:$Q$186,4,FALSE))</f>
        <v>9472.2044697396905</v>
      </c>
      <c r="G1734" s="4">
        <f>IF(Dashboard!$J$5=VLOOKUP(tblSalaries[[#This Row],[Currency]],Sheet3!$A$2:$B$31,2,FALSE),tblSalaries[[#This Row],[clean Salary (in local currency)]],(tblSalaries[[#This Row],[PPP Adjusted  USD]]/VLOOKUP(Dashboard!$J$5,Sheet3!$B$2:$C$31,2,FALSE)))</f>
        <v>9472.2044697396905</v>
      </c>
      <c r="H1734" t="s">
        <v>692</v>
      </c>
      <c r="I1734" t="s">
        <v>692</v>
      </c>
      <c r="J1734" t="s">
        <v>604</v>
      </c>
      <c r="K1734" t="s">
        <v>627</v>
      </c>
      <c r="L1734" t="s">
        <v>3847</v>
      </c>
    </row>
    <row r="1735" spans="2:12" ht="15" customHeight="1">
      <c r="B1735" t="s">
        <v>1539</v>
      </c>
      <c r="C1735">
        <v>200000</v>
      </c>
      <c r="D1735" t="s">
        <v>247</v>
      </c>
      <c r="E1735">
        <v>3561.5833374885137</v>
      </c>
      <c r="F1735" s="3">
        <f>(tblSalaries[[#This Row],[clean Salary (in local currency)]])*(VLOOKUP(tblSalaries[[#This Row],[Currency]],Sheet3!$A$2:$C$31,3,FALSE))*(VLOOKUP(tblSalaries[[#This Row],[Currency]],Sheet1!$N$4:$Q$186,4,FALSE))</f>
        <v>9472.2044697396905</v>
      </c>
      <c r="G1735" s="4">
        <f>IF(Dashboard!$J$5=VLOOKUP(tblSalaries[[#This Row],[Currency]],Sheet3!$A$2:$B$31,2,FALSE),tblSalaries[[#This Row],[clean Salary (in local currency)]],(tblSalaries[[#This Row],[PPP Adjusted  USD]]/VLOOKUP(Dashboard!$J$5,Sheet3!$B$2:$C$31,2,FALSE)))</f>
        <v>9472.2044697396905</v>
      </c>
      <c r="H1735" t="s">
        <v>1540</v>
      </c>
      <c r="I1735" t="s">
        <v>603</v>
      </c>
      <c r="J1735" t="s">
        <v>604</v>
      </c>
      <c r="K1735" t="s">
        <v>617</v>
      </c>
      <c r="L1735" t="s">
        <v>3847</v>
      </c>
    </row>
    <row r="1736" spans="2:12" ht="15" customHeight="1">
      <c r="B1736" t="s">
        <v>1770</v>
      </c>
      <c r="C1736">
        <v>200000</v>
      </c>
      <c r="D1736" t="s">
        <v>247</v>
      </c>
      <c r="E1736">
        <v>3561.5833374885137</v>
      </c>
      <c r="F1736" s="3">
        <f>(tblSalaries[[#This Row],[clean Salary (in local currency)]])*(VLOOKUP(tblSalaries[[#This Row],[Currency]],Sheet3!$A$2:$C$31,3,FALSE))*(VLOOKUP(tblSalaries[[#This Row],[Currency]],Sheet1!$N$4:$Q$186,4,FALSE))</f>
        <v>9472.2044697396905</v>
      </c>
      <c r="G1736" s="4">
        <f>IF(Dashboard!$J$5=VLOOKUP(tblSalaries[[#This Row],[Currency]],Sheet3!$A$2:$B$31,2,FALSE),tblSalaries[[#This Row],[clean Salary (in local currency)]],(tblSalaries[[#This Row],[PPP Adjusted  USD]]/VLOOKUP(Dashboard!$J$5,Sheet3!$B$2:$C$31,2,FALSE)))</f>
        <v>9472.2044697396905</v>
      </c>
      <c r="H1736" t="s">
        <v>1771</v>
      </c>
      <c r="I1736" t="s">
        <v>637</v>
      </c>
      <c r="J1736" t="s">
        <v>604</v>
      </c>
      <c r="K1736" t="s">
        <v>605</v>
      </c>
      <c r="L1736">
        <v>3</v>
      </c>
    </row>
    <row r="1737" spans="2:12" ht="15" customHeight="1">
      <c r="B1737" t="s">
        <v>1817</v>
      </c>
      <c r="C1737">
        <v>200000</v>
      </c>
      <c r="D1737" t="s">
        <v>247</v>
      </c>
      <c r="E1737">
        <v>3561.5833374885137</v>
      </c>
      <c r="F1737" s="3">
        <f>(tblSalaries[[#This Row],[clean Salary (in local currency)]])*(VLOOKUP(tblSalaries[[#This Row],[Currency]],Sheet3!$A$2:$C$31,3,FALSE))*(VLOOKUP(tblSalaries[[#This Row],[Currency]],Sheet1!$N$4:$Q$186,4,FALSE))</f>
        <v>9472.2044697396905</v>
      </c>
      <c r="G1737" s="4">
        <f>IF(Dashboard!$J$5=VLOOKUP(tblSalaries[[#This Row],[Currency]],Sheet3!$A$2:$B$31,2,FALSE),tblSalaries[[#This Row],[clean Salary (in local currency)]],(tblSalaries[[#This Row],[PPP Adjusted  USD]]/VLOOKUP(Dashboard!$J$5,Sheet3!$B$2:$C$31,2,FALSE)))</f>
        <v>9472.2044697396905</v>
      </c>
      <c r="H1737" t="s">
        <v>1818</v>
      </c>
      <c r="I1737" t="s">
        <v>658</v>
      </c>
      <c r="J1737" t="s">
        <v>604</v>
      </c>
      <c r="K1737" t="s">
        <v>610</v>
      </c>
      <c r="L1737">
        <v>3</v>
      </c>
    </row>
    <row r="1738" spans="2:12" ht="15" customHeight="1">
      <c r="B1738" t="s">
        <v>2118</v>
      </c>
      <c r="C1738">
        <v>200000</v>
      </c>
      <c r="D1738" t="s">
        <v>247</v>
      </c>
      <c r="E1738">
        <v>3561.5833374885137</v>
      </c>
      <c r="F1738" s="3">
        <f>(tblSalaries[[#This Row],[clean Salary (in local currency)]])*(VLOOKUP(tblSalaries[[#This Row],[Currency]],Sheet3!$A$2:$C$31,3,FALSE))*(VLOOKUP(tblSalaries[[#This Row],[Currency]],Sheet1!$N$4:$Q$186,4,FALSE))</f>
        <v>9472.2044697396905</v>
      </c>
      <c r="G1738" s="4">
        <f>IF(Dashboard!$J$5=VLOOKUP(tblSalaries[[#This Row],[Currency]],Sheet3!$A$2:$B$31,2,FALSE),tblSalaries[[#This Row],[clean Salary (in local currency)]],(tblSalaries[[#This Row],[PPP Adjusted  USD]]/VLOOKUP(Dashboard!$J$5,Sheet3!$B$2:$C$31,2,FALSE)))</f>
        <v>9472.2044697396905</v>
      </c>
      <c r="H1738" t="s">
        <v>2119</v>
      </c>
      <c r="I1738" t="s">
        <v>658</v>
      </c>
      <c r="J1738" t="s">
        <v>604</v>
      </c>
      <c r="K1738" t="s">
        <v>605</v>
      </c>
      <c r="L1738">
        <v>1</v>
      </c>
    </row>
    <row r="1739" spans="2:12" ht="15" customHeight="1">
      <c r="B1739" t="s">
        <v>2122</v>
      </c>
      <c r="C1739">
        <v>200000</v>
      </c>
      <c r="D1739" t="s">
        <v>247</v>
      </c>
      <c r="E1739">
        <v>3561.5833374885137</v>
      </c>
      <c r="F1739" s="3">
        <f>(tblSalaries[[#This Row],[clean Salary (in local currency)]])*(VLOOKUP(tblSalaries[[#This Row],[Currency]],Sheet3!$A$2:$C$31,3,FALSE))*(VLOOKUP(tblSalaries[[#This Row],[Currency]],Sheet1!$N$4:$Q$186,4,FALSE))</f>
        <v>9472.2044697396905</v>
      </c>
      <c r="G1739" s="4">
        <f>IF(Dashboard!$J$5=VLOOKUP(tblSalaries[[#This Row],[Currency]],Sheet3!$A$2:$B$31,2,FALSE),tblSalaries[[#This Row],[clean Salary (in local currency)]],(tblSalaries[[#This Row],[PPP Adjusted  USD]]/VLOOKUP(Dashboard!$J$5,Sheet3!$B$2:$C$31,2,FALSE)))</f>
        <v>9472.2044697396905</v>
      </c>
      <c r="H1739" t="s">
        <v>745</v>
      </c>
      <c r="I1739" t="s">
        <v>603</v>
      </c>
      <c r="J1739" t="s">
        <v>604</v>
      </c>
      <c r="K1739" t="s">
        <v>605</v>
      </c>
      <c r="L1739">
        <v>2</v>
      </c>
    </row>
    <row r="1740" spans="2:12" ht="15" customHeight="1">
      <c r="B1740" t="s">
        <v>2438</v>
      </c>
      <c r="C1740">
        <v>200000</v>
      </c>
      <c r="D1740" t="s">
        <v>247</v>
      </c>
      <c r="E1740">
        <v>3561.5833374885137</v>
      </c>
      <c r="F1740" s="3">
        <f>(tblSalaries[[#This Row],[clean Salary (in local currency)]])*(VLOOKUP(tblSalaries[[#This Row],[Currency]],Sheet3!$A$2:$C$31,3,FALSE))*(VLOOKUP(tblSalaries[[#This Row],[Currency]],Sheet1!$N$4:$Q$186,4,FALSE))</f>
        <v>9472.2044697396905</v>
      </c>
      <c r="G1740" s="4">
        <f>IF(Dashboard!$J$5=VLOOKUP(tblSalaries[[#This Row],[Currency]],Sheet3!$A$2:$B$31,2,FALSE),tblSalaries[[#This Row],[clean Salary (in local currency)]],(tblSalaries[[#This Row],[PPP Adjusted  USD]]/VLOOKUP(Dashboard!$J$5,Sheet3!$B$2:$C$31,2,FALSE)))</f>
        <v>9472.2044697396905</v>
      </c>
      <c r="H1740" t="s">
        <v>2439</v>
      </c>
      <c r="I1740" t="s">
        <v>625</v>
      </c>
      <c r="J1740" t="s">
        <v>604</v>
      </c>
      <c r="K1740" t="s">
        <v>610</v>
      </c>
      <c r="L1740">
        <v>8</v>
      </c>
    </row>
    <row r="1741" spans="2:12" ht="15" customHeight="1">
      <c r="B1741" t="s">
        <v>2466</v>
      </c>
      <c r="C1741">
        <v>200000</v>
      </c>
      <c r="D1741" t="s">
        <v>247</v>
      </c>
      <c r="E1741">
        <v>3561.5833374885137</v>
      </c>
      <c r="F1741" s="3">
        <f>(tblSalaries[[#This Row],[clean Salary (in local currency)]])*(VLOOKUP(tblSalaries[[#This Row],[Currency]],Sheet3!$A$2:$C$31,3,FALSE))*(VLOOKUP(tblSalaries[[#This Row],[Currency]],Sheet1!$N$4:$Q$186,4,FALSE))</f>
        <v>9472.2044697396905</v>
      </c>
      <c r="G1741" s="4">
        <f>IF(Dashboard!$J$5=VLOOKUP(tblSalaries[[#This Row],[Currency]],Sheet3!$A$2:$B$31,2,FALSE),tblSalaries[[#This Row],[clean Salary (in local currency)]],(tblSalaries[[#This Row],[PPP Adjusted  USD]]/VLOOKUP(Dashboard!$J$5,Sheet3!$B$2:$C$31,2,FALSE)))</f>
        <v>9472.2044697396905</v>
      </c>
      <c r="H1741" t="s">
        <v>2467</v>
      </c>
      <c r="I1741" t="s">
        <v>625</v>
      </c>
      <c r="J1741" t="s">
        <v>604</v>
      </c>
      <c r="K1741" t="s">
        <v>617</v>
      </c>
      <c r="L1741">
        <v>5</v>
      </c>
    </row>
    <row r="1742" spans="2:12" ht="15" customHeight="1">
      <c r="B1742" t="s">
        <v>2468</v>
      </c>
      <c r="C1742">
        <v>200000</v>
      </c>
      <c r="D1742" t="s">
        <v>247</v>
      </c>
      <c r="E1742">
        <v>3561.5833374885137</v>
      </c>
      <c r="F1742" s="3">
        <f>(tblSalaries[[#This Row],[clean Salary (in local currency)]])*(VLOOKUP(tblSalaries[[#This Row],[Currency]],Sheet3!$A$2:$C$31,3,FALSE))*(VLOOKUP(tblSalaries[[#This Row],[Currency]],Sheet1!$N$4:$Q$186,4,FALSE))</f>
        <v>9472.2044697396905</v>
      </c>
      <c r="G1742" s="4">
        <f>IF(Dashboard!$J$5=VLOOKUP(tblSalaries[[#This Row],[Currency]],Sheet3!$A$2:$B$31,2,FALSE),tblSalaries[[#This Row],[clean Salary (in local currency)]],(tblSalaries[[#This Row],[PPP Adjusted  USD]]/VLOOKUP(Dashboard!$J$5,Sheet3!$B$2:$C$31,2,FALSE)))</f>
        <v>9472.2044697396905</v>
      </c>
      <c r="H1742" t="s">
        <v>1747</v>
      </c>
      <c r="I1742" t="s">
        <v>658</v>
      </c>
      <c r="J1742" t="s">
        <v>604</v>
      </c>
      <c r="K1742" t="s">
        <v>605</v>
      </c>
      <c r="L1742">
        <v>3</v>
      </c>
    </row>
    <row r="1743" spans="2:12" ht="15" customHeight="1">
      <c r="B1743" t="s">
        <v>2585</v>
      </c>
      <c r="C1743">
        <v>200000</v>
      </c>
      <c r="D1743" t="s">
        <v>247</v>
      </c>
      <c r="E1743">
        <v>3561.5833374885137</v>
      </c>
      <c r="F1743" s="3">
        <f>(tblSalaries[[#This Row],[clean Salary (in local currency)]])*(VLOOKUP(tblSalaries[[#This Row],[Currency]],Sheet3!$A$2:$C$31,3,FALSE))*(VLOOKUP(tblSalaries[[#This Row],[Currency]],Sheet1!$N$4:$Q$186,4,FALSE))</f>
        <v>9472.2044697396905</v>
      </c>
      <c r="G1743" s="4">
        <f>IF(Dashboard!$J$5=VLOOKUP(tblSalaries[[#This Row],[Currency]],Sheet3!$A$2:$B$31,2,FALSE),tblSalaries[[#This Row],[clean Salary (in local currency)]],(tblSalaries[[#This Row],[PPP Adjusted  USD]]/VLOOKUP(Dashboard!$J$5,Sheet3!$B$2:$C$31,2,FALSE)))</f>
        <v>9472.2044697396905</v>
      </c>
      <c r="H1743" t="s">
        <v>2586</v>
      </c>
      <c r="I1743" t="s">
        <v>658</v>
      </c>
      <c r="J1743" t="s">
        <v>604</v>
      </c>
      <c r="K1743" t="s">
        <v>610</v>
      </c>
      <c r="L1743">
        <v>5</v>
      </c>
    </row>
    <row r="1744" spans="2:12" ht="15" customHeight="1">
      <c r="B1744" t="s">
        <v>2647</v>
      </c>
      <c r="C1744">
        <v>200000</v>
      </c>
      <c r="D1744" t="s">
        <v>247</v>
      </c>
      <c r="E1744">
        <v>3561.5833374885137</v>
      </c>
      <c r="F1744" s="3">
        <f>(tblSalaries[[#This Row],[clean Salary (in local currency)]])*(VLOOKUP(tblSalaries[[#This Row],[Currency]],Sheet3!$A$2:$C$31,3,FALSE))*(VLOOKUP(tblSalaries[[#This Row],[Currency]],Sheet1!$N$4:$Q$186,4,FALSE))</f>
        <v>9472.2044697396905</v>
      </c>
      <c r="G1744" s="4">
        <f>IF(Dashboard!$J$5=VLOOKUP(tblSalaries[[#This Row],[Currency]],Sheet3!$A$2:$B$31,2,FALSE),tblSalaries[[#This Row],[clean Salary (in local currency)]],(tblSalaries[[#This Row],[PPP Adjusted  USD]]/VLOOKUP(Dashboard!$J$5,Sheet3!$B$2:$C$31,2,FALSE)))</f>
        <v>9472.2044697396905</v>
      </c>
      <c r="H1744" t="s">
        <v>1569</v>
      </c>
      <c r="I1744" t="s">
        <v>603</v>
      </c>
      <c r="J1744" t="s">
        <v>604</v>
      </c>
      <c r="K1744" t="s">
        <v>627</v>
      </c>
      <c r="L1744">
        <v>6</v>
      </c>
    </row>
    <row r="1745" spans="2:12" ht="15" customHeight="1">
      <c r="B1745" t="s">
        <v>2869</v>
      </c>
      <c r="C1745">
        <v>200000</v>
      </c>
      <c r="D1745" t="s">
        <v>247</v>
      </c>
      <c r="E1745">
        <v>3561.5833374885137</v>
      </c>
      <c r="F1745" s="3">
        <f>(tblSalaries[[#This Row],[clean Salary (in local currency)]])*(VLOOKUP(tblSalaries[[#This Row],[Currency]],Sheet3!$A$2:$C$31,3,FALSE))*(VLOOKUP(tblSalaries[[#This Row],[Currency]],Sheet1!$N$4:$Q$186,4,FALSE))</f>
        <v>9472.2044697396905</v>
      </c>
      <c r="G1745" s="4">
        <f>IF(Dashboard!$J$5=VLOOKUP(tblSalaries[[#This Row],[Currency]],Sheet3!$A$2:$B$31,2,FALSE),tblSalaries[[#This Row],[clean Salary (in local currency)]],(tblSalaries[[#This Row],[PPP Adjusted  USD]]/VLOOKUP(Dashboard!$J$5,Sheet3!$B$2:$C$31,2,FALSE)))</f>
        <v>9472.2044697396905</v>
      </c>
      <c r="H1745" t="s">
        <v>1166</v>
      </c>
      <c r="I1745" t="s">
        <v>658</v>
      </c>
      <c r="J1745" t="s">
        <v>604</v>
      </c>
      <c r="K1745" t="s">
        <v>617</v>
      </c>
      <c r="L1745">
        <v>3</v>
      </c>
    </row>
    <row r="1746" spans="2:12" ht="15" customHeight="1">
      <c r="B1746" t="s">
        <v>3116</v>
      </c>
      <c r="C1746">
        <v>200000</v>
      </c>
      <c r="D1746" t="s">
        <v>247</v>
      </c>
      <c r="E1746">
        <v>3561.5833374885137</v>
      </c>
      <c r="F1746" s="3">
        <f>(tblSalaries[[#This Row],[clean Salary (in local currency)]])*(VLOOKUP(tblSalaries[[#This Row],[Currency]],Sheet3!$A$2:$C$31,3,FALSE))*(VLOOKUP(tblSalaries[[#This Row],[Currency]],Sheet1!$N$4:$Q$186,4,FALSE))</f>
        <v>9472.2044697396905</v>
      </c>
      <c r="G1746" s="4">
        <f>IF(Dashboard!$J$5=VLOOKUP(tblSalaries[[#This Row],[Currency]],Sheet3!$A$2:$B$31,2,FALSE),tblSalaries[[#This Row],[clean Salary (in local currency)]],(tblSalaries[[#This Row],[PPP Adjusted  USD]]/VLOOKUP(Dashboard!$J$5,Sheet3!$B$2:$C$31,2,FALSE)))</f>
        <v>9472.2044697396905</v>
      </c>
      <c r="H1746" t="s">
        <v>1792</v>
      </c>
      <c r="I1746" t="s">
        <v>603</v>
      </c>
      <c r="J1746" t="s">
        <v>604</v>
      </c>
      <c r="K1746" t="s">
        <v>605</v>
      </c>
      <c r="L1746">
        <v>11</v>
      </c>
    </row>
    <row r="1747" spans="2:12" ht="15" customHeight="1">
      <c r="B1747" t="s">
        <v>3223</v>
      </c>
      <c r="C1747">
        <v>200000</v>
      </c>
      <c r="D1747" t="s">
        <v>247</v>
      </c>
      <c r="E1747">
        <v>3561.5833374885137</v>
      </c>
      <c r="F1747" s="3">
        <f>(tblSalaries[[#This Row],[clean Salary (in local currency)]])*(VLOOKUP(tblSalaries[[#This Row],[Currency]],Sheet3!$A$2:$C$31,3,FALSE))*(VLOOKUP(tblSalaries[[#This Row],[Currency]],Sheet1!$N$4:$Q$186,4,FALSE))</f>
        <v>9472.2044697396905</v>
      </c>
      <c r="G1747" s="4">
        <f>IF(Dashboard!$J$5=VLOOKUP(tblSalaries[[#This Row],[Currency]],Sheet3!$A$2:$B$31,2,FALSE),tblSalaries[[#This Row],[clean Salary (in local currency)]],(tblSalaries[[#This Row],[PPP Adjusted  USD]]/VLOOKUP(Dashboard!$J$5,Sheet3!$B$2:$C$31,2,FALSE)))</f>
        <v>9472.2044697396905</v>
      </c>
      <c r="H1747" t="s">
        <v>3224</v>
      </c>
      <c r="I1747" t="s">
        <v>637</v>
      </c>
      <c r="J1747" t="s">
        <v>604</v>
      </c>
      <c r="K1747" t="s">
        <v>610</v>
      </c>
      <c r="L1747">
        <v>3</v>
      </c>
    </row>
    <row r="1748" spans="2:12" ht="15" customHeight="1">
      <c r="B1748" t="s">
        <v>3463</v>
      </c>
      <c r="C1748">
        <v>200000</v>
      </c>
      <c r="D1748" t="s">
        <v>247</v>
      </c>
      <c r="E1748">
        <v>3561.5833374885137</v>
      </c>
      <c r="F1748" s="3">
        <f>(tblSalaries[[#This Row],[clean Salary (in local currency)]])*(VLOOKUP(tblSalaries[[#This Row],[Currency]],Sheet3!$A$2:$C$31,3,FALSE))*(VLOOKUP(tblSalaries[[#This Row],[Currency]],Sheet1!$N$4:$Q$186,4,FALSE))</f>
        <v>9472.2044697396905</v>
      </c>
      <c r="G1748" s="4">
        <f>IF(Dashboard!$J$5=VLOOKUP(tblSalaries[[#This Row],[Currency]],Sheet3!$A$2:$B$31,2,FALSE),tblSalaries[[#This Row],[clean Salary (in local currency)]],(tblSalaries[[#This Row],[PPP Adjusted  USD]]/VLOOKUP(Dashboard!$J$5,Sheet3!$B$2:$C$31,2,FALSE)))</f>
        <v>9472.2044697396905</v>
      </c>
      <c r="H1748" t="s">
        <v>1792</v>
      </c>
      <c r="I1748" t="s">
        <v>603</v>
      </c>
      <c r="J1748" t="s">
        <v>604</v>
      </c>
      <c r="K1748" t="s">
        <v>627</v>
      </c>
      <c r="L1748">
        <v>16</v>
      </c>
    </row>
    <row r="1749" spans="2:12" ht="15" customHeight="1">
      <c r="B1749" t="s">
        <v>2577</v>
      </c>
      <c r="C1749">
        <v>216000</v>
      </c>
      <c r="D1749" t="s">
        <v>473</v>
      </c>
      <c r="E1749">
        <v>5120.2912876821438</v>
      </c>
      <c r="F1749" s="3">
        <f>(tblSalaries[[#This Row],[clean Salary (in local currency)]])*(VLOOKUP(tblSalaries[[#This Row],[Currency]],Sheet3!$A$2:$C$31,3,FALSE))*(VLOOKUP(tblSalaries[[#This Row],[Currency]],Sheet1!$N$4:$Q$186,4,FALSE))</f>
        <v>9379.3086864828838</v>
      </c>
      <c r="G1749" s="4">
        <f>IF(Dashboard!$J$5=VLOOKUP(tblSalaries[[#This Row],[Currency]],Sheet3!$A$2:$B$31,2,FALSE),tblSalaries[[#This Row],[clean Salary (in local currency)]],(tblSalaries[[#This Row],[PPP Adjusted  USD]]/VLOOKUP(Dashboard!$J$5,Sheet3!$B$2:$C$31,2,FALSE)))</f>
        <v>9379.3086864828838</v>
      </c>
      <c r="H1749" t="s">
        <v>1424</v>
      </c>
      <c r="I1749" t="s">
        <v>625</v>
      </c>
      <c r="J1749" t="s">
        <v>1146</v>
      </c>
      <c r="K1749" t="s">
        <v>605</v>
      </c>
      <c r="L1749">
        <v>2</v>
      </c>
    </row>
    <row r="1750" spans="2:12" ht="15" customHeight="1">
      <c r="B1750" t="s">
        <v>1014</v>
      </c>
      <c r="C1750">
        <v>192000</v>
      </c>
      <c r="D1750" t="s">
        <v>247</v>
      </c>
      <c r="E1750">
        <v>3419.1200039889732</v>
      </c>
      <c r="F1750" s="3">
        <f>(tblSalaries[[#This Row],[clean Salary (in local currency)]])*(VLOOKUP(tblSalaries[[#This Row],[Currency]],Sheet3!$A$2:$C$31,3,FALSE))*(VLOOKUP(tblSalaries[[#This Row],[Currency]],Sheet1!$N$4:$Q$186,4,FALSE))</f>
        <v>9093.3162909501043</v>
      </c>
      <c r="G1750" s="4">
        <f>IF(Dashboard!$J$5=VLOOKUP(tblSalaries[[#This Row],[Currency]],Sheet3!$A$2:$B$31,2,FALSE),tblSalaries[[#This Row],[clean Salary (in local currency)]],(tblSalaries[[#This Row],[PPP Adjusted  USD]]/VLOOKUP(Dashboard!$J$5,Sheet3!$B$2:$C$31,2,FALSE)))</f>
        <v>9093.3162909501043</v>
      </c>
      <c r="H1750" t="s">
        <v>1015</v>
      </c>
      <c r="I1750" t="s">
        <v>603</v>
      </c>
      <c r="J1750" t="s">
        <v>604</v>
      </c>
      <c r="K1750" t="s">
        <v>610</v>
      </c>
      <c r="L1750" t="s">
        <v>3847</v>
      </c>
    </row>
    <row r="1751" spans="2:12" ht="15" customHeight="1">
      <c r="B1751" t="s">
        <v>3457</v>
      </c>
      <c r="C1751">
        <v>192000</v>
      </c>
      <c r="D1751" t="s">
        <v>247</v>
      </c>
      <c r="E1751">
        <v>3419.1200039889732</v>
      </c>
      <c r="F1751" s="3">
        <f>(tblSalaries[[#This Row],[clean Salary (in local currency)]])*(VLOOKUP(tblSalaries[[#This Row],[Currency]],Sheet3!$A$2:$C$31,3,FALSE))*(VLOOKUP(tblSalaries[[#This Row],[Currency]],Sheet1!$N$4:$Q$186,4,FALSE))</f>
        <v>9093.3162909501043</v>
      </c>
      <c r="G1751" s="4">
        <f>IF(Dashboard!$J$5=VLOOKUP(tblSalaries[[#This Row],[Currency]],Sheet3!$A$2:$B$31,2,FALSE),tblSalaries[[#This Row],[clean Salary (in local currency)]],(tblSalaries[[#This Row],[PPP Adjusted  USD]]/VLOOKUP(Dashboard!$J$5,Sheet3!$B$2:$C$31,2,FALSE)))</f>
        <v>9093.3162909501043</v>
      </c>
      <c r="H1751" t="s">
        <v>1927</v>
      </c>
      <c r="I1751" t="s">
        <v>603</v>
      </c>
      <c r="J1751" t="s">
        <v>604</v>
      </c>
      <c r="K1751" t="s">
        <v>605</v>
      </c>
      <c r="L1751">
        <v>5</v>
      </c>
    </row>
    <row r="1752" spans="2:12" ht="15" customHeight="1">
      <c r="B1752" t="s">
        <v>2734</v>
      </c>
      <c r="C1752">
        <v>9000</v>
      </c>
      <c r="D1752" t="s">
        <v>252</v>
      </c>
      <c r="E1752">
        <v>9000</v>
      </c>
      <c r="F1752" s="3">
        <f>(tblSalaries[[#This Row],[clean Salary (in local currency)]])*(VLOOKUP(tblSalaries[[#This Row],[Currency]],Sheet3!$A$2:$C$31,3,FALSE))*(VLOOKUP(tblSalaries[[#This Row],[Currency]],Sheet1!$N$4:$Q$186,4,FALSE))</f>
        <v>9000</v>
      </c>
      <c r="G1752" s="4">
        <f>IF(Dashboard!$J$5=VLOOKUP(tblSalaries[[#This Row],[Currency]],Sheet3!$A$2:$B$31,2,FALSE),tblSalaries[[#This Row],[clean Salary (in local currency)]],(tblSalaries[[#This Row],[PPP Adjusted  USD]]/VLOOKUP(Dashboard!$J$5,Sheet3!$B$2:$C$31,2,FALSE)))</f>
        <v>9000</v>
      </c>
      <c r="H1752" t="s">
        <v>2735</v>
      </c>
      <c r="I1752" t="s">
        <v>625</v>
      </c>
      <c r="J1752" t="s">
        <v>604</v>
      </c>
      <c r="K1752" t="s">
        <v>605</v>
      </c>
      <c r="L1752">
        <v>1</v>
      </c>
    </row>
    <row r="1753" spans="2:12" ht="15" customHeight="1">
      <c r="B1753" t="s">
        <v>2889</v>
      </c>
      <c r="C1753">
        <v>9000</v>
      </c>
      <c r="D1753" t="s">
        <v>252</v>
      </c>
      <c r="E1753">
        <v>9000</v>
      </c>
      <c r="F1753" s="3">
        <f>(tblSalaries[[#This Row],[clean Salary (in local currency)]])*(VLOOKUP(tblSalaries[[#This Row],[Currency]],Sheet3!$A$2:$C$31,3,FALSE))*(VLOOKUP(tblSalaries[[#This Row],[Currency]],Sheet1!$N$4:$Q$186,4,FALSE))</f>
        <v>9000</v>
      </c>
      <c r="G1753" s="4">
        <f>IF(Dashboard!$J$5=VLOOKUP(tblSalaries[[#This Row],[Currency]],Sheet3!$A$2:$B$31,2,FALSE),tblSalaries[[#This Row],[clean Salary (in local currency)]],(tblSalaries[[#This Row],[PPP Adjusted  USD]]/VLOOKUP(Dashboard!$J$5,Sheet3!$B$2:$C$31,2,FALSE)))</f>
        <v>9000</v>
      </c>
      <c r="H1753" t="s">
        <v>811</v>
      </c>
      <c r="I1753" t="s">
        <v>603</v>
      </c>
      <c r="J1753" t="s">
        <v>604</v>
      </c>
      <c r="K1753" t="s">
        <v>610</v>
      </c>
      <c r="L1753">
        <v>0.6</v>
      </c>
    </row>
    <row r="1754" spans="2:12" ht="15" customHeight="1">
      <c r="B1754" t="s">
        <v>2890</v>
      </c>
      <c r="C1754">
        <v>9000</v>
      </c>
      <c r="D1754" t="s">
        <v>252</v>
      </c>
      <c r="E1754">
        <v>9000</v>
      </c>
      <c r="F1754" s="3">
        <f>(tblSalaries[[#This Row],[clean Salary (in local currency)]])*(VLOOKUP(tblSalaries[[#This Row],[Currency]],Sheet3!$A$2:$C$31,3,FALSE))*(VLOOKUP(tblSalaries[[#This Row],[Currency]],Sheet1!$N$4:$Q$186,4,FALSE))</f>
        <v>9000</v>
      </c>
      <c r="G1754" s="4">
        <f>IF(Dashboard!$J$5=VLOOKUP(tblSalaries[[#This Row],[Currency]],Sheet3!$A$2:$B$31,2,FALSE),tblSalaries[[#This Row],[clean Salary (in local currency)]],(tblSalaries[[#This Row],[PPP Adjusted  USD]]/VLOOKUP(Dashboard!$J$5,Sheet3!$B$2:$C$31,2,FALSE)))</f>
        <v>9000</v>
      </c>
      <c r="H1754" t="s">
        <v>811</v>
      </c>
      <c r="I1754" t="s">
        <v>603</v>
      </c>
      <c r="J1754" t="s">
        <v>604</v>
      </c>
      <c r="K1754" t="s">
        <v>605</v>
      </c>
      <c r="L1754">
        <v>1</v>
      </c>
    </row>
    <row r="1755" spans="2:12" ht="15" customHeight="1">
      <c r="B1755" t="s">
        <v>3792</v>
      </c>
      <c r="C1755">
        <v>52224</v>
      </c>
      <c r="D1755" t="s">
        <v>324</v>
      </c>
      <c r="E1755">
        <v>2953.8461538461538</v>
      </c>
      <c r="F1755" s="3">
        <f>(tblSalaries[[#This Row],[clean Salary (in local currency)]])*(VLOOKUP(tblSalaries[[#This Row],[Currency]],Sheet3!$A$2:$C$31,3,FALSE))*(VLOOKUP(tblSalaries[[#This Row],[Currency]],Sheet1!$N$4:$Q$186,4,FALSE))</f>
        <v>8966.4389360319747</v>
      </c>
      <c r="G1755" s="4">
        <f>IF(Dashboard!$J$5=VLOOKUP(tblSalaries[[#This Row],[Currency]],Sheet3!$A$2:$B$31,2,FALSE),tblSalaries[[#This Row],[clean Salary (in local currency)]],(tblSalaries[[#This Row],[PPP Adjusted  USD]]/VLOOKUP(Dashboard!$J$5,Sheet3!$B$2:$C$31,2,FALSE)))</f>
        <v>8966.4389360319747</v>
      </c>
      <c r="H1755" t="s">
        <v>3793</v>
      </c>
      <c r="I1755" t="s">
        <v>658</v>
      </c>
      <c r="J1755" t="s">
        <v>3794</v>
      </c>
      <c r="K1755" t="s">
        <v>605</v>
      </c>
      <c r="L1755">
        <v>3</v>
      </c>
    </row>
    <row r="1756" spans="2:12" ht="15" customHeight="1">
      <c r="B1756" t="s">
        <v>1829</v>
      </c>
      <c r="C1756">
        <v>8738</v>
      </c>
      <c r="D1756" t="s">
        <v>252</v>
      </c>
      <c r="E1756">
        <v>8738</v>
      </c>
      <c r="F1756" s="3">
        <f>(tblSalaries[[#This Row],[clean Salary (in local currency)]])*(VLOOKUP(tblSalaries[[#This Row],[Currency]],Sheet3!$A$2:$C$31,3,FALSE))*(VLOOKUP(tblSalaries[[#This Row],[Currency]],Sheet1!$N$4:$Q$186,4,FALSE))</f>
        <v>8738</v>
      </c>
      <c r="G1756" s="4">
        <f>IF(Dashboard!$J$5=VLOOKUP(tblSalaries[[#This Row],[Currency]],Sheet3!$A$2:$B$31,2,FALSE),tblSalaries[[#This Row],[clean Salary (in local currency)]],(tblSalaries[[#This Row],[PPP Adjusted  USD]]/VLOOKUP(Dashboard!$J$5,Sheet3!$B$2:$C$31,2,FALSE)))</f>
        <v>8738</v>
      </c>
      <c r="H1756" t="s">
        <v>1830</v>
      </c>
      <c r="I1756" t="s">
        <v>625</v>
      </c>
      <c r="J1756" t="s">
        <v>604</v>
      </c>
      <c r="K1756" t="s">
        <v>610</v>
      </c>
      <c r="L1756">
        <v>7.3</v>
      </c>
    </row>
    <row r="1757" spans="2:12" ht="15" customHeight="1">
      <c r="B1757" t="s">
        <v>2267</v>
      </c>
      <c r="C1757">
        <v>19200</v>
      </c>
      <c r="D1757" t="s">
        <v>258</v>
      </c>
      <c r="E1757">
        <v>9490.1984044603923</v>
      </c>
      <c r="F1757" s="3">
        <f>(tblSalaries[[#This Row],[clean Salary (in local currency)]])*(VLOOKUP(tblSalaries[[#This Row],[Currency]],Sheet3!$A$2:$C$31,3,FALSE))*(VLOOKUP(tblSalaries[[#This Row],[Currency]],Sheet1!$N$4:$Q$186,4,FALSE))</f>
        <v>8732.8046565318637</v>
      </c>
      <c r="G1757" s="4">
        <f>IF(Dashboard!$J$5=VLOOKUP(tblSalaries[[#This Row],[Currency]],Sheet3!$A$2:$B$31,2,FALSE),tblSalaries[[#This Row],[clean Salary (in local currency)]],(tblSalaries[[#This Row],[PPP Adjusted  USD]]/VLOOKUP(Dashboard!$J$5,Sheet3!$B$2:$C$31,2,FALSE)))</f>
        <v>8732.8046565318637</v>
      </c>
      <c r="H1757" t="s">
        <v>2268</v>
      </c>
      <c r="I1757" t="s">
        <v>603</v>
      </c>
      <c r="J1757" t="s">
        <v>795</v>
      </c>
      <c r="K1757" t="s">
        <v>610</v>
      </c>
      <c r="L1757">
        <v>8</v>
      </c>
    </row>
    <row r="1758" spans="2:12" ht="15" customHeight="1">
      <c r="B1758" t="s">
        <v>2641</v>
      </c>
      <c r="C1758">
        <v>8725</v>
      </c>
      <c r="D1758" t="s">
        <v>252</v>
      </c>
      <c r="E1758">
        <v>8725</v>
      </c>
      <c r="F1758" s="3">
        <f>(tblSalaries[[#This Row],[clean Salary (in local currency)]])*(VLOOKUP(tblSalaries[[#This Row],[Currency]],Sheet3!$A$2:$C$31,3,FALSE))*(VLOOKUP(tblSalaries[[#This Row],[Currency]],Sheet1!$N$4:$Q$186,4,FALSE))</f>
        <v>8725</v>
      </c>
      <c r="G1758" s="4">
        <f>IF(Dashboard!$J$5=VLOOKUP(tblSalaries[[#This Row],[Currency]],Sheet3!$A$2:$B$31,2,FALSE),tblSalaries[[#This Row],[clean Salary (in local currency)]],(tblSalaries[[#This Row],[PPP Adjusted  USD]]/VLOOKUP(Dashboard!$J$5,Sheet3!$B$2:$C$31,2,FALSE)))</f>
        <v>8725</v>
      </c>
      <c r="H1758" t="s">
        <v>1535</v>
      </c>
      <c r="I1758" t="s">
        <v>625</v>
      </c>
      <c r="J1758" t="s">
        <v>616</v>
      </c>
      <c r="K1758" t="s">
        <v>617</v>
      </c>
      <c r="L1758">
        <v>18</v>
      </c>
    </row>
    <row r="1759" spans="2:12" ht="15" customHeight="1">
      <c r="B1759" t="s">
        <v>2436</v>
      </c>
      <c r="C1759">
        <v>8700</v>
      </c>
      <c r="D1759" t="s">
        <v>252</v>
      </c>
      <c r="E1759">
        <v>8700</v>
      </c>
      <c r="F1759" s="3">
        <f>(tblSalaries[[#This Row],[clean Salary (in local currency)]])*(VLOOKUP(tblSalaries[[#This Row],[Currency]],Sheet3!$A$2:$C$31,3,FALSE))*(VLOOKUP(tblSalaries[[#This Row],[Currency]],Sheet1!$N$4:$Q$186,4,FALSE))</f>
        <v>8700</v>
      </c>
      <c r="G1759" s="4">
        <f>IF(Dashboard!$J$5=VLOOKUP(tblSalaries[[#This Row],[Currency]],Sheet3!$A$2:$B$31,2,FALSE),tblSalaries[[#This Row],[clean Salary (in local currency)]],(tblSalaries[[#This Row],[PPP Adjusted  USD]]/VLOOKUP(Dashboard!$J$5,Sheet3!$B$2:$C$31,2,FALSE)))</f>
        <v>8700</v>
      </c>
      <c r="H1759" t="s">
        <v>2437</v>
      </c>
      <c r="I1759" t="s">
        <v>608</v>
      </c>
      <c r="J1759" t="s">
        <v>604</v>
      </c>
      <c r="K1759" t="s">
        <v>617</v>
      </c>
      <c r="L1759">
        <v>7</v>
      </c>
    </row>
    <row r="1760" spans="2:12" ht="15" customHeight="1">
      <c r="B1760" t="s">
        <v>2625</v>
      </c>
      <c r="C1760">
        <v>8600</v>
      </c>
      <c r="D1760" t="s">
        <v>252</v>
      </c>
      <c r="E1760">
        <v>8600</v>
      </c>
      <c r="F1760" s="3">
        <f>(tblSalaries[[#This Row],[clean Salary (in local currency)]])*(VLOOKUP(tblSalaries[[#This Row],[Currency]],Sheet3!$A$2:$C$31,3,FALSE))*(VLOOKUP(tblSalaries[[#This Row],[Currency]],Sheet1!$N$4:$Q$186,4,FALSE))</f>
        <v>8600</v>
      </c>
      <c r="G1760" s="4">
        <f>IF(Dashboard!$J$5=VLOOKUP(tblSalaries[[#This Row],[Currency]],Sheet3!$A$2:$B$31,2,FALSE),tblSalaries[[#This Row],[clean Salary (in local currency)]],(tblSalaries[[#This Row],[PPP Adjusted  USD]]/VLOOKUP(Dashboard!$J$5,Sheet3!$B$2:$C$31,2,FALSE)))</f>
        <v>8600</v>
      </c>
      <c r="H1760" t="s">
        <v>2626</v>
      </c>
      <c r="I1760" t="s">
        <v>603</v>
      </c>
      <c r="J1760" t="s">
        <v>604</v>
      </c>
      <c r="K1760" t="s">
        <v>605</v>
      </c>
      <c r="L1760">
        <v>2</v>
      </c>
    </row>
    <row r="1761" spans="2:12" ht="15" customHeight="1">
      <c r="B1761" t="s">
        <v>961</v>
      </c>
      <c r="C1761">
        <v>180000</v>
      </c>
      <c r="D1761" t="s">
        <v>247</v>
      </c>
      <c r="E1761">
        <v>3205.4250037396623</v>
      </c>
      <c r="F1761" s="3">
        <f>(tblSalaries[[#This Row],[clean Salary (in local currency)]])*(VLOOKUP(tblSalaries[[#This Row],[Currency]],Sheet3!$A$2:$C$31,3,FALSE))*(VLOOKUP(tblSalaries[[#This Row],[Currency]],Sheet1!$N$4:$Q$186,4,FALSE))</f>
        <v>8524.9840227657223</v>
      </c>
      <c r="G1761" s="4">
        <f>IF(Dashboard!$J$5=VLOOKUP(tblSalaries[[#This Row],[Currency]],Sheet3!$A$2:$B$31,2,FALSE),tblSalaries[[#This Row],[clean Salary (in local currency)]],(tblSalaries[[#This Row],[PPP Adjusted  USD]]/VLOOKUP(Dashboard!$J$5,Sheet3!$B$2:$C$31,2,FALSE)))</f>
        <v>8524.9840227657223</v>
      </c>
      <c r="H1761" t="s">
        <v>962</v>
      </c>
      <c r="I1761" t="s">
        <v>603</v>
      </c>
      <c r="J1761" t="s">
        <v>604</v>
      </c>
      <c r="K1761" t="s">
        <v>605</v>
      </c>
      <c r="L1761" t="s">
        <v>3847</v>
      </c>
    </row>
    <row r="1762" spans="2:12" ht="15" customHeight="1">
      <c r="B1762" t="s">
        <v>973</v>
      </c>
      <c r="C1762">
        <v>180000</v>
      </c>
      <c r="D1762" t="s">
        <v>247</v>
      </c>
      <c r="E1762">
        <v>3205.4250037396623</v>
      </c>
      <c r="F1762" s="3">
        <f>(tblSalaries[[#This Row],[clean Salary (in local currency)]])*(VLOOKUP(tblSalaries[[#This Row],[Currency]],Sheet3!$A$2:$C$31,3,FALSE))*(VLOOKUP(tblSalaries[[#This Row],[Currency]],Sheet1!$N$4:$Q$186,4,FALSE))</f>
        <v>8524.9840227657223</v>
      </c>
      <c r="G1762" s="4">
        <f>IF(Dashboard!$J$5=VLOOKUP(tblSalaries[[#This Row],[Currency]],Sheet3!$A$2:$B$31,2,FALSE),tblSalaries[[#This Row],[clean Salary (in local currency)]],(tblSalaries[[#This Row],[PPP Adjusted  USD]]/VLOOKUP(Dashboard!$J$5,Sheet3!$B$2:$C$31,2,FALSE)))</f>
        <v>8524.9840227657223</v>
      </c>
      <c r="H1762" t="s">
        <v>962</v>
      </c>
      <c r="I1762" t="s">
        <v>603</v>
      </c>
      <c r="J1762" t="s">
        <v>604</v>
      </c>
      <c r="K1762" t="s">
        <v>605</v>
      </c>
      <c r="L1762" t="s">
        <v>3847</v>
      </c>
    </row>
    <row r="1763" spans="2:12" ht="15" customHeight="1">
      <c r="B1763" t="s">
        <v>1181</v>
      </c>
      <c r="C1763">
        <v>180000</v>
      </c>
      <c r="D1763" t="s">
        <v>247</v>
      </c>
      <c r="E1763">
        <v>3205.4250037396623</v>
      </c>
      <c r="F1763" s="3">
        <f>(tblSalaries[[#This Row],[clean Salary (in local currency)]])*(VLOOKUP(tblSalaries[[#This Row],[Currency]],Sheet3!$A$2:$C$31,3,FALSE))*(VLOOKUP(tblSalaries[[#This Row],[Currency]],Sheet1!$N$4:$Q$186,4,FALSE))</f>
        <v>8524.9840227657223</v>
      </c>
      <c r="G1763" s="4">
        <f>IF(Dashboard!$J$5=VLOOKUP(tblSalaries[[#This Row],[Currency]],Sheet3!$A$2:$B$31,2,FALSE),tblSalaries[[#This Row],[clean Salary (in local currency)]],(tblSalaries[[#This Row],[PPP Adjusted  USD]]/VLOOKUP(Dashboard!$J$5,Sheet3!$B$2:$C$31,2,FALSE)))</f>
        <v>8524.9840227657223</v>
      </c>
      <c r="H1763" t="s">
        <v>1182</v>
      </c>
      <c r="I1763" t="s">
        <v>625</v>
      </c>
      <c r="J1763" t="s">
        <v>604</v>
      </c>
      <c r="K1763" t="s">
        <v>605</v>
      </c>
      <c r="L1763" t="s">
        <v>3847</v>
      </c>
    </row>
    <row r="1764" spans="2:12" ht="15" customHeight="1">
      <c r="B1764" t="s">
        <v>1875</v>
      </c>
      <c r="C1764">
        <v>180000</v>
      </c>
      <c r="D1764" t="s">
        <v>247</v>
      </c>
      <c r="E1764">
        <v>3205.4250037396623</v>
      </c>
      <c r="F1764" s="3">
        <f>(tblSalaries[[#This Row],[clean Salary (in local currency)]])*(VLOOKUP(tblSalaries[[#This Row],[Currency]],Sheet3!$A$2:$C$31,3,FALSE))*(VLOOKUP(tblSalaries[[#This Row],[Currency]],Sheet1!$N$4:$Q$186,4,FALSE))</f>
        <v>8524.9840227657223</v>
      </c>
      <c r="G1764" s="4">
        <f>IF(Dashboard!$J$5=VLOOKUP(tblSalaries[[#This Row],[Currency]],Sheet3!$A$2:$B$31,2,FALSE),tblSalaries[[#This Row],[clean Salary (in local currency)]],(tblSalaries[[#This Row],[PPP Adjusted  USD]]/VLOOKUP(Dashboard!$J$5,Sheet3!$B$2:$C$31,2,FALSE)))</f>
        <v>8524.9840227657223</v>
      </c>
      <c r="H1764" t="s">
        <v>1876</v>
      </c>
      <c r="I1764" t="s">
        <v>637</v>
      </c>
      <c r="J1764" t="s">
        <v>604</v>
      </c>
      <c r="K1764" t="s">
        <v>617</v>
      </c>
      <c r="L1764">
        <v>14</v>
      </c>
    </row>
    <row r="1765" spans="2:12" ht="15" customHeight="1">
      <c r="B1765" t="s">
        <v>1905</v>
      </c>
      <c r="C1765">
        <v>180000</v>
      </c>
      <c r="D1765" t="s">
        <v>247</v>
      </c>
      <c r="E1765">
        <v>3205.4250037396623</v>
      </c>
      <c r="F1765" s="3">
        <f>(tblSalaries[[#This Row],[clean Salary (in local currency)]])*(VLOOKUP(tblSalaries[[#This Row],[Currency]],Sheet3!$A$2:$C$31,3,FALSE))*(VLOOKUP(tblSalaries[[#This Row],[Currency]],Sheet1!$N$4:$Q$186,4,FALSE))</f>
        <v>8524.9840227657223</v>
      </c>
      <c r="G1765" s="4">
        <f>IF(Dashboard!$J$5=VLOOKUP(tblSalaries[[#This Row],[Currency]],Sheet3!$A$2:$B$31,2,FALSE),tblSalaries[[#This Row],[clean Salary (in local currency)]],(tblSalaries[[#This Row],[PPP Adjusted  USD]]/VLOOKUP(Dashboard!$J$5,Sheet3!$B$2:$C$31,2,FALSE)))</f>
        <v>8524.9840227657223</v>
      </c>
      <c r="H1765" t="s">
        <v>1906</v>
      </c>
      <c r="I1765" t="s">
        <v>625</v>
      </c>
      <c r="J1765" t="s">
        <v>604</v>
      </c>
      <c r="K1765" t="s">
        <v>610</v>
      </c>
      <c r="L1765">
        <v>7</v>
      </c>
    </row>
    <row r="1766" spans="2:12" ht="15" customHeight="1">
      <c r="B1766" t="s">
        <v>1928</v>
      </c>
      <c r="C1766">
        <v>180000</v>
      </c>
      <c r="D1766" t="s">
        <v>247</v>
      </c>
      <c r="E1766">
        <v>3205.4250037396623</v>
      </c>
      <c r="F1766" s="3">
        <f>(tblSalaries[[#This Row],[clean Salary (in local currency)]])*(VLOOKUP(tblSalaries[[#This Row],[Currency]],Sheet3!$A$2:$C$31,3,FALSE))*(VLOOKUP(tblSalaries[[#This Row],[Currency]],Sheet1!$N$4:$Q$186,4,FALSE))</f>
        <v>8524.9840227657223</v>
      </c>
      <c r="G1766" s="4">
        <f>IF(Dashboard!$J$5=VLOOKUP(tblSalaries[[#This Row],[Currency]],Sheet3!$A$2:$B$31,2,FALSE),tblSalaries[[#This Row],[clean Salary (in local currency)]],(tblSalaries[[#This Row],[PPP Adjusted  USD]]/VLOOKUP(Dashboard!$J$5,Sheet3!$B$2:$C$31,2,FALSE)))</f>
        <v>8524.9840227657223</v>
      </c>
      <c r="H1766" t="s">
        <v>637</v>
      </c>
      <c r="I1766" t="s">
        <v>637</v>
      </c>
      <c r="J1766" t="s">
        <v>604</v>
      </c>
      <c r="K1766" t="s">
        <v>610</v>
      </c>
      <c r="L1766">
        <v>4</v>
      </c>
    </row>
    <row r="1767" spans="2:12" ht="15" customHeight="1">
      <c r="B1767" t="s">
        <v>2219</v>
      </c>
      <c r="C1767">
        <v>180000</v>
      </c>
      <c r="D1767" t="s">
        <v>247</v>
      </c>
      <c r="E1767">
        <v>3205.4250037396623</v>
      </c>
      <c r="F1767" s="3">
        <f>(tblSalaries[[#This Row],[clean Salary (in local currency)]])*(VLOOKUP(tblSalaries[[#This Row],[Currency]],Sheet3!$A$2:$C$31,3,FALSE))*(VLOOKUP(tblSalaries[[#This Row],[Currency]],Sheet1!$N$4:$Q$186,4,FALSE))</f>
        <v>8524.9840227657223</v>
      </c>
      <c r="G1767" s="4">
        <f>IF(Dashboard!$J$5=VLOOKUP(tblSalaries[[#This Row],[Currency]],Sheet3!$A$2:$B$31,2,FALSE),tblSalaries[[#This Row],[clean Salary (in local currency)]],(tblSalaries[[#This Row],[PPP Adjusted  USD]]/VLOOKUP(Dashboard!$J$5,Sheet3!$B$2:$C$31,2,FALSE)))</f>
        <v>8524.9840227657223</v>
      </c>
      <c r="H1767" t="s">
        <v>1792</v>
      </c>
      <c r="I1767" t="s">
        <v>603</v>
      </c>
      <c r="J1767" t="s">
        <v>604</v>
      </c>
      <c r="K1767" t="s">
        <v>617</v>
      </c>
      <c r="L1767">
        <v>3.5</v>
      </c>
    </row>
    <row r="1768" spans="2:12" ht="15" customHeight="1">
      <c r="B1768" t="s">
        <v>2252</v>
      </c>
      <c r="C1768">
        <v>180000</v>
      </c>
      <c r="D1768" t="s">
        <v>247</v>
      </c>
      <c r="E1768">
        <v>3205.4250037396623</v>
      </c>
      <c r="F1768" s="3">
        <f>(tblSalaries[[#This Row],[clean Salary (in local currency)]])*(VLOOKUP(tblSalaries[[#This Row],[Currency]],Sheet3!$A$2:$C$31,3,FALSE))*(VLOOKUP(tblSalaries[[#This Row],[Currency]],Sheet1!$N$4:$Q$186,4,FALSE))</f>
        <v>8524.9840227657223</v>
      </c>
      <c r="G1768" s="4">
        <f>IF(Dashboard!$J$5=VLOOKUP(tblSalaries[[#This Row],[Currency]],Sheet3!$A$2:$B$31,2,FALSE),tblSalaries[[#This Row],[clean Salary (in local currency)]],(tblSalaries[[#This Row],[PPP Adjusted  USD]]/VLOOKUP(Dashboard!$J$5,Sheet3!$B$2:$C$31,2,FALSE)))</f>
        <v>8524.9840227657223</v>
      </c>
      <c r="H1768" t="s">
        <v>2253</v>
      </c>
      <c r="I1768" t="s">
        <v>658</v>
      </c>
      <c r="J1768" t="s">
        <v>604</v>
      </c>
      <c r="K1768" t="s">
        <v>610</v>
      </c>
      <c r="L1768">
        <v>8</v>
      </c>
    </row>
    <row r="1769" spans="2:12" ht="15" customHeight="1">
      <c r="B1769" t="s">
        <v>2370</v>
      </c>
      <c r="C1769">
        <v>180000</v>
      </c>
      <c r="D1769" t="s">
        <v>247</v>
      </c>
      <c r="E1769">
        <v>3205.4250037396623</v>
      </c>
      <c r="F1769" s="3">
        <f>(tblSalaries[[#This Row],[clean Salary (in local currency)]])*(VLOOKUP(tblSalaries[[#This Row],[Currency]],Sheet3!$A$2:$C$31,3,FALSE))*(VLOOKUP(tblSalaries[[#This Row],[Currency]],Sheet1!$N$4:$Q$186,4,FALSE))</f>
        <v>8524.9840227657223</v>
      </c>
      <c r="G1769" s="4">
        <f>IF(Dashboard!$J$5=VLOOKUP(tblSalaries[[#This Row],[Currency]],Sheet3!$A$2:$B$31,2,FALSE),tblSalaries[[#This Row],[clean Salary (in local currency)]],(tblSalaries[[#This Row],[PPP Adjusted  USD]]/VLOOKUP(Dashboard!$J$5,Sheet3!$B$2:$C$31,2,FALSE)))</f>
        <v>8524.9840227657223</v>
      </c>
      <c r="H1769" t="s">
        <v>2371</v>
      </c>
      <c r="I1769" t="s">
        <v>603</v>
      </c>
      <c r="J1769" t="s">
        <v>604</v>
      </c>
      <c r="K1769" t="s">
        <v>605</v>
      </c>
      <c r="L1769">
        <v>10</v>
      </c>
    </row>
    <row r="1770" spans="2:12" ht="15" customHeight="1">
      <c r="B1770" t="s">
        <v>2440</v>
      </c>
      <c r="C1770">
        <v>180000</v>
      </c>
      <c r="D1770" t="s">
        <v>247</v>
      </c>
      <c r="E1770">
        <v>3205.4250037396623</v>
      </c>
      <c r="F1770" s="3">
        <f>(tblSalaries[[#This Row],[clean Salary (in local currency)]])*(VLOOKUP(tblSalaries[[#This Row],[Currency]],Sheet3!$A$2:$C$31,3,FALSE))*(VLOOKUP(tblSalaries[[#This Row],[Currency]],Sheet1!$N$4:$Q$186,4,FALSE))</f>
        <v>8524.9840227657223</v>
      </c>
      <c r="G1770" s="4">
        <f>IF(Dashboard!$J$5=VLOOKUP(tblSalaries[[#This Row],[Currency]],Sheet3!$A$2:$B$31,2,FALSE),tblSalaries[[#This Row],[clean Salary (in local currency)]],(tblSalaries[[#This Row],[PPP Adjusted  USD]]/VLOOKUP(Dashboard!$J$5,Sheet3!$B$2:$C$31,2,FALSE)))</f>
        <v>8524.9840227657223</v>
      </c>
      <c r="H1770" t="s">
        <v>1272</v>
      </c>
      <c r="I1770" t="s">
        <v>658</v>
      </c>
      <c r="J1770" t="s">
        <v>604</v>
      </c>
      <c r="K1770" t="s">
        <v>610</v>
      </c>
      <c r="L1770">
        <v>4</v>
      </c>
    </row>
    <row r="1771" spans="2:12" ht="15" customHeight="1">
      <c r="B1771" t="s">
        <v>2536</v>
      </c>
      <c r="C1771">
        <v>180000</v>
      </c>
      <c r="D1771" t="s">
        <v>247</v>
      </c>
      <c r="E1771">
        <v>3205.4250037396623</v>
      </c>
      <c r="F1771" s="3">
        <f>(tblSalaries[[#This Row],[clean Salary (in local currency)]])*(VLOOKUP(tblSalaries[[#This Row],[Currency]],Sheet3!$A$2:$C$31,3,FALSE))*(VLOOKUP(tblSalaries[[#This Row],[Currency]],Sheet1!$N$4:$Q$186,4,FALSE))</f>
        <v>8524.9840227657223</v>
      </c>
      <c r="G1771" s="4">
        <f>IF(Dashboard!$J$5=VLOOKUP(tblSalaries[[#This Row],[Currency]],Sheet3!$A$2:$B$31,2,FALSE),tblSalaries[[#This Row],[clean Salary (in local currency)]],(tblSalaries[[#This Row],[PPP Adjusted  USD]]/VLOOKUP(Dashboard!$J$5,Sheet3!$B$2:$C$31,2,FALSE)))</f>
        <v>8524.9840227657223</v>
      </c>
      <c r="H1771" t="s">
        <v>2537</v>
      </c>
      <c r="I1771" t="s">
        <v>603</v>
      </c>
      <c r="J1771" t="s">
        <v>604</v>
      </c>
      <c r="K1771" t="s">
        <v>610</v>
      </c>
      <c r="L1771">
        <v>3</v>
      </c>
    </row>
    <row r="1772" spans="2:12" ht="15" customHeight="1">
      <c r="B1772" t="s">
        <v>3242</v>
      </c>
      <c r="C1772">
        <v>180000</v>
      </c>
      <c r="D1772" t="s">
        <v>247</v>
      </c>
      <c r="E1772">
        <v>3205.4250037396623</v>
      </c>
      <c r="F1772" s="3">
        <f>(tblSalaries[[#This Row],[clean Salary (in local currency)]])*(VLOOKUP(tblSalaries[[#This Row],[Currency]],Sheet3!$A$2:$C$31,3,FALSE))*(VLOOKUP(tblSalaries[[#This Row],[Currency]],Sheet1!$N$4:$Q$186,4,FALSE))</f>
        <v>8524.9840227657223</v>
      </c>
      <c r="G1772" s="4">
        <f>IF(Dashboard!$J$5=VLOOKUP(tblSalaries[[#This Row],[Currency]],Sheet3!$A$2:$B$31,2,FALSE),tblSalaries[[#This Row],[clean Salary (in local currency)]],(tblSalaries[[#This Row],[PPP Adjusted  USD]]/VLOOKUP(Dashboard!$J$5,Sheet3!$B$2:$C$31,2,FALSE)))</f>
        <v>8524.9840227657223</v>
      </c>
      <c r="H1772" t="s">
        <v>3243</v>
      </c>
      <c r="I1772" t="s">
        <v>625</v>
      </c>
      <c r="J1772" t="s">
        <v>604</v>
      </c>
      <c r="K1772" t="s">
        <v>605</v>
      </c>
      <c r="L1772">
        <v>5</v>
      </c>
    </row>
    <row r="1773" spans="2:12" ht="15" customHeight="1">
      <c r="B1773" t="s">
        <v>3559</v>
      </c>
      <c r="C1773">
        <v>180000</v>
      </c>
      <c r="D1773" t="s">
        <v>247</v>
      </c>
      <c r="E1773">
        <v>3205.4250037396623</v>
      </c>
      <c r="F1773" s="3">
        <f>(tblSalaries[[#This Row],[clean Salary (in local currency)]])*(VLOOKUP(tblSalaries[[#This Row],[Currency]],Sheet3!$A$2:$C$31,3,FALSE))*(VLOOKUP(tblSalaries[[#This Row],[Currency]],Sheet1!$N$4:$Q$186,4,FALSE))</f>
        <v>8524.9840227657223</v>
      </c>
      <c r="G1773" s="4">
        <f>IF(Dashboard!$J$5=VLOOKUP(tblSalaries[[#This Row],[Currency]],Sheet3!$A$2:$B$31,2,FALSE),tblSalaries[[#This Row],[clean Salary (in local currency)]],(tblSalaries[[#This Row],[PPP Adjusted  USD]]/VLOOKUP(Dashboard!$J$5,Sheet3!$B$2:$C$31,2,FALSE)))</f>
        <v>8524.9840227657223</v>
      </c>
      <c r="H1773" t="s">
        <v>1455</v>
      </c>
      <c r="I1773" t="s">
        <v>658</v>
      </c>
      <c r="J1773" t="s">
        <v>604</v>
      </c>
      <c r="K1773" t="s">
        <v>605</v>
      </c>
      <c r="L1773">
        <v>2</v>
      </c>
    </row>
    <row r="1774" spans="2:12" ht="15" customHeight="1">
      <c r="B1774" t="s">
        <v>3820</v>
      </c>
      <c r="C1774">
        <v>180000</v>
      </c>
      <c r="D1774" t="s">
        <v>247</v>
      </c>
      <c r="E1774">
        <v>3205.4250037396623</v>
      </c>
      <c r="F1774" s="3">
        <f>(tblSalaries[[#This Row],[clean Salary (in local currency)]])*(VLOOKUP(tblSalaries[[#This Row],[Currency]],Sheet3!$A$2:$C$31,3,FALSE))*(VLOOKUP(tblSalaries[[#This Row],[Currency]],Sheet1!$N$4:$Q$186,4,FALSE))</f>
        <v>8524.9840227657223</v>
      </c>
      <c r="G1774" s="4">
        <f>IF(Dashboard!$J$5=VLOOKUP(tblSalaries[[#This Row],[Currency]],Sheet3!$A$2:$B$31,2,FALSE),tblSalaries[[#This Row],[clean Salary (in local currency)]],(tblSalaries[[#This Row],[PPP Adjusted  USD]]/VLOOKUP(Dashboard!$J$5,Sheet3!$B$2:$C$31,2,FALSE)))</f>
        <v>8524.9840227657223</v>
      </c>
      <c r="H1774" t="s">
        <v>3821</v>
      </c>
      <c r="I1774" t="s">
        <v>603</v>
      </c>
      <c r="J1774" t="s">
        <v>604</v>
      </c>
      <c r="K1774" t="s">
        <v>605</v>
      </c>
      <c r="L1774">
        <v>3</v>
      </c>
    </row>
    <row r="1775" spans="2:12" ht="15" customHeight="1">
      <c r="B1775" t="s">
        <v>1407</v>
      </c>
      <c r="C1775">
        <v>8500</v>
      </c>
      <c r="D1775" t="s">
        <v>252</v>
      </c>
      <c r="E1775">
        <v>8500</v>
      </c>
      <c r="F1775" s="3">
        <f>(tblSalaries[[#This Row],[clean Salary (in local currency)]])*(VLOOKUP(tblSalaries[[#This Row],[Currency]],Sheet3!$A$2:$C$31,3,FALSE))*(VLOOKUP(tblSalaries[[#This Row],[Currency]],Sheet1!$N$4:$Q$186,4,FALSE))</f>
        <v>8500</v>
      </c>
      <c r="G1775" s="4">
        <f>IF(Dashboard!$J$5=VLOOKUP(tblSalaries[[#This Row],[Currency]],Sheet3!$A$2:$B$31,2,FALSE),tblSalaries[[#This Row],[clean Salary (in local currency)]],(tblSalaries[[#This Row],[PPP Adjusted  USD]]/VLOOKUP(Dashboard!$J$5,Sheet3!$B$2:$C$31,2,FALSE)))</f>
        <v>8500</v>
      </c>
      <c r="H1775" t="s">
        <v>848</v>
      </c>
      <c r="I1775" t="s">
        <v>637</v>
      </c>
      <c r="J1775" t="s">
        <v>1385</v>
      </c>
      <c r="K1775" t="s">
        <v>617</v>
      </c>
      <c r="L1775" t="s">
        <v>3847</v>
      </c>
    </row>
    <row r="1776" spans="2:12" ht="15" customHeight="1">
      <c r="B1776" t="s">
        <v>1431</v>
      </c>
      <c r="C1776">
        <v>8500</v>
      </c>
      <c r="D1776" t="s">
        <v>252</v>
      </c>
      <c r="E1776">
        <v>8500</v>
      </c>
      <c r="F1776" s="3">
        <f>(tblSalaries[[#This Row],[clean Salary (in local currency)]])*(VLOOKUP(tblSalaries[[#This Row],[Currency]],Sheet3!$A$2:$C$31,3,FALSE))*(VLOOKUP(tblSalaries[[#This Row],[Currency]],Sheet1!$N$4:$Q$186,4,FALSE))</f>
        <v>8500</v>
      </c>
      <c r="G1776" s="4">
        <f>IF(Dashboard!$J$5=VLOOKUP(tblSalaries[[#This Row],[Currency]],Sheet3!$A$2:$B$31,2,FALSE),tblSalaries[[#This Row],[clean Salary (in local currency)]],(tblSalaries[[#This Row],[PPP Adjusted  USD]]/VLOOKUP(Dashboard!$J$5,Sheet3!$B$2:$C$31,2,FALSE)))</f>
        <v>8500</v>
      </c>
      <c r="H1776" t="s">
        <v>1432</v>
      </c>
      <c r="I1776" t="s">
        <v>603</v>
      </c>
      <c r="J1776" t="s">
        <v>859</v>
      </c>
      <c r="K1776" t="s">
        <v>627</v>
      </c>
      <c r="L1776" t="s">
        <v>3847</v>
      </c>
    </row>
    <row r="1777" spans="2:12" ht="15" customHeight="1">
      <c r="B1777" t="s">
        <v>1560</v>
      </c>
      <c r="C1777">
        <v>8400</v>
      </c>
      <c r="D1777" t="s">
        <v>252</v>
      </c>
      <c r="E1777">
        <v>8400</v>
      </c>
      <c r="F1777" s="3">
        <f>(tblSalaries[[#This Row],[clean Salary (in local currency)]])*(VLOOKUP(tblSalaries[[#This Row],[Currency]],Sheet3!$A$2:$C$31,3,FALSE))*(VLOOKUP(tblSalaries[[#This Row],[Currency]],Sheet1!$N$4:$Q$186,4,FALSE))</f>
        <v>8400</v>
      </c>
      <c r="G1777" s="4">
        <f>IF(Dashboard!$J$5=VLOOKUP(tblSalaries[[#This Row],[Currency]],Sheet3!$A$2:$B$31,2,FALSE),tblSalaries[[#This Row],[clean Salary (in local currency)]],(tblSalaries[[#This Row],[PPP Adjusted  USD]]/VLOOKUP(Dashboard!$J$5,Sheet3!$B$2:$C$31,2,FALSE)))</f>
        <v>8400</v>
      </c>
      <c r="H1777" t="s">
        <v>625</v>
      </c>
      <c r="I1777" t="s">
        <v>625</v>
      </c>
      <c r="J1777" t="s">
        <v>604</v>
      </c>
      <c r="K1777" t="s">
        <v>605</v>
      </c>
      <c r="L1777" t="s">
        <v>3847</v>
      </c>
    </row>
    <row r="1778" spans="2:12" ht="15" customHeight="1">
      <c r="B1778" t="s">
        <v>1748</v>
      </c>
      <c r="C1778">
        <v>8400</v>
      </c>
      <c r="D1778" t="s">
        <v>252</v>
      </c>
      <c r="E1778">
        <v>8400</v>
      </c>
      <c r="F1778" s="3">
        <f>(tblSalaries[[#This Row],[clean Salary (in local currency)]])*(VLOOKUP(tblSalaries[[#This Row],[Currency]],Sheet3!$A$2:$C$31,3,FALSE))*(VLOOKUP(tblSalaries[[#This Row],[Currency]],Sheet1!$N$4:$Q$186,4,FALSE))</f>
        <v>8400</v>
      </c>
      <c r="G1778" s="4">
        <f>IF(Dashboard!$J$5=VLOOKUP(tblSalaries[[#This Row],[Currency]],Sheet3!$A$2:$B$31,2,FALSE),tblSalaries[[#This Row],[clean Salary (in local currency)]],(tblSalaries[[#This Row],[PPP Adjusted  USD]]/VLOOKUP(Dashboard!$J$5,Sheet3!$B$2:$C$31,2,FALSE)))</f>
        <v>8400</v>
      </c>
      <c r="H1778" t="s">
        <v>1749</v>
      </c>
      <c r="I1778" t="s">
        <v>625</v>
      </c>
      <c r="J1778" t="s">
        <v>604</v>
      </c>
      <c r="K1778" t="s">
        <v>610</v>
      </c>
      <c r="L1778">
        <v>26</v>
      </c>
    </row>
    <row r="1779" spans="2:12" ht="15" customHeight="1">
      <c r="B1779" t="s">
        <v>3505</v>
      </c>
      <c r="C1779">
        <v>8400</v>
      </c>
      <c r="D1779" t="s">
        <v>252</v>
      </c>
      <c r="E1779">
        <v>8400</v>
      </c>
      <c r="F1779" s="3">
        <f>(tblSalaries[[#This Row],[clean Salary (in local currency)]])*(VLOOKUP(tblSalaries[[#This Row],[Currency]],Sheet3!$A$2:$C$31,3,FALSE))*(VLOOKUP(tblSalaries[[#This Row],[Currency]],Sheet1!$N$4:$Q$186,4,FALSE))</f>
        <v>8400</v>
      </c>
      <c r="G1779" s="4">
        <f>IF(Dashboard!$J$5=VLOOKUP(tblSalaries[[#This Row],[Currency]],Sheet3!$A$2:$B$31,2,FALSE),tblSalaries[[#This Row],[clean Salary (in local currency)]],(tblSalaries[[#This Row],[PPP Adjusted  USD]]/VLOOKUP(Dashboard!$J$5,Sheet3!$B$2:$C$31,2,FALSE)))</f>
        <v>8400</v>
      </c>
      <c r="H1779" t="s">
        <v>3506</v>
      </c>
      <c r="I1779" t="s">
        <v>603</v>
      </c>
      <c r="J1779" t="s">
        <v>1758</v>
      </c>
      <c r="K1779" t="s">
        <v>605</v>
      </c>
      <c r="L1779">
        <v>14</v>
      </c>
    </row>
    <row r="1780" spans="2:12" ht="15" customHeight="1">
      <c r="B1780" t="s">
        <v>3722</v>
      </c>
      <c r="C1780">
        <v>8400</v>
      </c>
      <c r="D1780" t="s">
        <v>252</v>
      </c>
      <c r="E1780">
        <v>8400</v>
      </c>
      <c r="F1780" s="3">
        <f>(tblSalaries[[#This Row],[clean Salary (in local currency)]])*(VLOOKUP(tblSalaries[[#This Row],[Currency]],Sheet3!$A$2:$C$31,3,FALSE))*(VLOOKUP(tblSalaries[[#This Row],[Currency]],Sheet1!$N$4:$Q$186,4,FALSE))</f>
        <v>8400</v>
      </c>
      <c r="G1780" s="4">
        <f>IF(Dashboard!$J$5=VLOOKUP(tblSalaries[[#This Row],[Currency]],Sheet3!$A$2:$B$31,2,FALSE),tblSalaries[[#This Row],[clean Salary (in local currency)]],(tblSalaries[[#This Row],[PPP Adjusted  USD]]/VLOOKUP(Dashboard!$J$5,Sheet3!$B$2:$C$31,2,FALSE)))</f>
        <v>8400</v>
      </c>
      <c r="H1780" t="s">
        <v>603</v>
      </c>
      <c r="I1780" t="s">
        <v>603</v>
      </c>
      <c r="J1780" t="s">
        <v>3723</v>
      </c>
      <c r="K1780" t="s">
        <v>610</v>
      </c>
      <c r="L1780">
        <v>0.3</v>
      </c>
    </row>
    <row r="1781" spans="2:12" ht="15" customHeight="1">
      <c r="B1781" t="s">
        <v>3810</v>
      </c>
      <c r="C1781">
        <v>8400</v>
      </c>
      <c r="D1781" t="s">
        <v>252</v>
      </c>
      <c r="E1781">
        <v>8400</v>
      </c>
      <c r="F1781" s="3">
        <f>(tblSalaries[[#This Row],[clean Salary (in local currency)]])*(VLOOKUP(tblSalaries[[#This Row],[Currency]],Sheet3!$A$2:$C$31,3,FALSE))*(VLOOKUP(tblSalaries[[#This Row],[Currency]],Sheet1!$N$4:$Q$186,4,FALSE))</f>
        <v>8400</v>
      </c>
      <c r="G1781" s="4">
        <f>IF(Dashboard!$J$5=VLOOKUP(tblSalaries[[#This Row],[Currency]],Sheet3!$A$2:$B$31,2,FALSE),tblSalaries[[#This Row],[clean Salary (in local currency)]],(tblSalaries[[#This Row],[PPP Adjusted  USD]]/VLOOKUP(Dashboard!$J$5,Sheet3!$B$2:$C$31,2,FALSE)))</f>
        <v>8400</v>
      </c>
      <c r="H1781" t="s">
        <v>2063</v>
      </c>
      <c r="I1781" t="s">
        <v>658</v>
      </c>
      <c r="J1781" t="s">
        <v>604</v>
      </c>
      <c r="K1781" t="s">
        <v>610</v>
      </c>
      <c r="L1781">
        <v>6</v>
      </c>
    </row>
    <row r="1782" spans="2:12" ht="15" customHeight="1">
      <c r="B1782" t="s">
        <v>2062</v>
      </c>
      <c r="C1782">
        <v>170000</v>
      </c>
      <c r="D1782" t="s">
        <v>247</v>
      </c>
      <c r="E1782">
        <v>3027.3458368652364</v>
      </c>
      <c r="F1782" s="3">
        <f>(tblSalaries[[#This Row],[clean Salary (in local currency)]])*(VLOOKUP(tblSalaries[[#This Row],[Currency]],Sheet3!$A$2:$C$31,3,FALSE))*(VLOOKUP(tblSalaries[[#This Row],[Currency]],Sheet1!$N$4:$Q$186,4,FALSE))</f>
        <v>8051.3737992787364</v>
      </c>
      <c r="G1782" s="4">
        <f>IF(Dashboard!$J$5=VLOOKUP(tblSalaries[[#This Row],[Currency]],Sheet3!$A$2:$B$31,2,FALSE),tblSalaries[[#This Row],[clean Salary (in local currency)]],(tblSalaries[[#This Row],[PPP Adjusted  USD]]/VLOOKUP(Dashboard!$J$5,Sheet3!$B$2:$C$31,2,FALSE)))</f>
        <v>8051.3737992787364</v>
      </c>
      <c r="H1782" t="s">
        <v>2063</v>
      </c>
      <c r="I1782" t="s">
        <v>658</v>
      </c>
      <c r="J1782" t="s">
        <v>604</v>
      </c>
      <c r="K1782" t="s">
        <v>605</v>
      </c>
      <c r="L1782">
        <v>2</v>
      </c>
    </row>
    <row r="1783" spans="2:12" ht="15" customHeight="1">
      <c r="B1783" t="s">
        <v>1789</v>
      </c>
      <c r="C1783">
        <v>8000</v>
      </c>
      <c r="D1783" t="s">
        <v>252</v>
      </c>
      <c r="E1783">
        <v>8000</v>
      </c>
      <c r="F1783" s="3">
        <f>(tblSalaries[[#This Row],[clean Salary (in local currency)]])*(VLOOKUP(tblSalaries[[#This Row],[Currency]],Sheet3!$A$2:$C$31,3,FALSE))*(VLOOKUP(tblSalaries[[#This Row],[Currency]],Sheet1!$N$4:$Q$186,4,FALSE))</f>
        <v>8000</v>
      </c>
      <c r="G1783" s="4">
        <f>IF(Dashboard!$J$5=VLOOKUP(tblSalaries[[#This Row],[Currency]],Sheet3!$A$2:$B$31,2,FALSE),tblSalaries[[#This Row],[clean Salary (in local currency)]],(tblSalaries[[#This Row],[PPP Adjusted  USD]]/VLOOKUP(Dashboard!$J$5,Sheet3!$B$2:$C$31,2,FALSE)))</f>
        <v>8000</v>
      </c>
      <c r="H1783" t="s">
        <v>1790</v>
      </c>
      <c r="I1783" t="s">
        <v>625</v>
      </c>
      <c r="J1783" t="s">
        <v>1056</v>
      </c>
      <c r="K1783" t="s">
        <v>610</v>
      </c>
      <c r="L1783">
        <v>1</v>
      </c>
    </row>
    <row r="1784" spans="2:12" ht="15" customHeight="1">
      <c r="B1784" t="s">
        <v>1970</v>
      </c>
      <c r="C1784">
        <v>8000</v>
      </c>
      <c r="D1784" t="s">
        <v>252</v>
      </c>
      <c r="E1784">
        <v>8000</v>
      </c>
      <c r="F1784" s="3">
        <f>(tblSalaries[[#This Row],[clean Salary (in local currency)]])*(VLOOKUP(tblSalaries[[#This Row],[Currency]],Sheet3!$A$2:$C$31,3,FALSE))*(VLOOKUP(tblSalaries[[#This Row],[Currency]],Sheet1!$N$4:$Q$186,4,FALSE))</f>
        <v>8000</v>
      </c>
      <c r="G1784" s="4">
        <f>IF(Dashboard!$J$5=VLOOKUP(tblSalaries[[#This Row],[Currency]],Sheet3!$A$2:$B$31,2,FALSE),tblSalaries[[#This Row],[clean Salary (in local currency)]],(tblSalaries[[#This Row],[PPP Adjusted  USD]]/VLOOKUP(Dashboard!$J$5,Sheet3!$B$2:$C$31,2,FALSE)))</f>
        <v>8000</v>
      </c>
      <c r="H1784" t="s">
        <v>899</v>
      </c>
      <c r="I1784" t="s">
        <v>603</v>
      </c>
      <c r="J1784" t="s">
        <v>604</v>
      </c>
      <c r="K1784" t="s">
        <v>617</v>
      </c>
      <c r="L1784">
        <v>6</v>
      </c>
    </row>
    <row r="1785" spans="2:12" ht="15" customHeight="1">
      <c r="B1785" t="s">
        <v>2304</v>
      </c>
      <c r="C1785">
        <v>8000</v>
      </c>
      <c r="D1785" t="s">
        <v>252</v>
      </c>
      <c r="E1785">
        <v>8000</v>
      </c>
      <c r="F1785" s="3">
        <f>(tblSalaries[[#This Row],[clean Salary (in local currency)]])*(VLOOKUP(tblSalaries[[#This Row],[Currency]],Sheet3!$A$2:$C$31,3,FALSE))*(VLOOKUP(tblSalaries[[#This Row],[Currency]],Sheet1!$N$4:$Q$186,4,FALSE))</f>
        <v>8000</v>
      </c>
      <c r="G1785" s="4">
        <f>IF(Dashboard!$J$5=VLOOKUP(tblSalaries[[#This Row],[Currency]],Sheet3!$A$2:$B$31,2,FALSE),tblSalaries[[#This Row],[clean Salary (in local currency)]],(tblSalaries[[#This Row],[PPP Adjusted  USD]]/VLOOKUP(Dashboard!$J$5,Sheet3!$B$2:$C$31,2,FALSE)))</f>
        <v>8000</v>
      </c>
      <c r="H1785" t="s">
        <v>836</v>
      </c>
      <c r="I1785" t="s">
        <v>603</v>
      </c>
      <c r="J1785" t="s">
        <v>604</v>
      </c>
      <c r="K1785" t="s">
        <v>627</v>
      </c>
      <c r="L1785">
        <v>5</v>
      </c>
    </row>
    <row r="1786" spans="2:12" ht="15" customHeight="1">
      <c r="B1786" t="s">
        <v>2839</v>
      </c>
      <c r="C1786">
        <v>8000</v>
      </c>
      <c r="D1786" t="s">
        <v>252</v>
      </c>
      <c r="E1786">
        <v>8000</v>
      </c>
      <c r="F1786" s="3">
        <f>(tblSalaries[[#This Row],[clean Salary (in local currency)]])*(VLOOKUP(tblSalaries[[#This Row],[Currency]],Sheet3!$A$2:$C$31,3,FALSE))*(VLOOKUP(tblSalaries[[#This Row],[Currency]],Sheet1!$N$4:$Q$186,4,FALSE))</f>
        <v>8000</v>
      </c>
      <c r="G1786" s="4">
        <f>IF(Dashboard!$J$5=VLOOKUP(tblSalaries[[#This Row],[Currency]],Sheet3!$A$2:$B$31,2,FALSE),tblSalaries[[#This Row],[clean Salary (in local currency)]],(tblSalaries[[#This Row],[PPP Adjusted  USD]]/VLOOKUP(Dashboard!$J$5,Sheet3!$B$2:$C$31,2,FALSE)))</f>
        <v>8000</v>
      </c>
      <c r="H1786" t="s">
        <v>811</v>
      </c>
      <c r="I1786" t="s">
        <v>603</v>
      </c>
      <c r="J1786" t="s">
        <v>604</v>
      </c>
      <c r="K1786" t="s">
        <v>610</v>
      </c>
      <c r="L1786">
        <v>4</v>
      </c>
    </row>
    <row r="1787" spans="2:12" ht="15" customHeight="1">
      <c r="B1787" t="s">
        <v>3227</v>
      </c>
      <c r="C1787">
        <v>8000</v>
      </c>
      <c r="D1787" t="s">
        <v>252</v>
      </c>
      <c r="E1787">
        <v>8000</v>
      </c>
      <c r="F1787" s="3">
        <f>(tblSalaries[[#This Row],[clean Salary (in local currency)]])*(VLOOKUP(tblSalaries[[#This Row],[Currency]],Sheet3!$A$2:$C$31,3,FALSE))*(VLOOKUP(tblSalaries[[#This Row],[Currency]],Sheet1!$N$4:$Q$186,4,FALSE))</f>
        <v>8000</v>
      </c>
      <c r="G1787" s="4">
        <f>IF(Dashboard!$J$5=VLOOKUP(tblSalaries[[#This Row],[Currency]],Sheet3!$A$2:$B$31,2,FALSE),tblSalaries[[#This Row],[clean Salary (in local currency)]],(tblSalaries[[#This Row],[PPP Adjusted  USD]]/VLOOKUP(Dashboard!$J$5,Sheet3!$B$2:$C$31,2,FALSE)))</f>
        <v>8000</v>
      </c>
      <c r="H1787" t="s">
        <v>1322</v>
      </c>
      <c r="I1787" t="s">
        <v>633</v>
      </c>
      <c r="J1787" t="s">
        <v>604</v>
      </c>
      <c r="K1787" t="s">
        <v>605</v>
      </c>
      <c r="L1787">
        <v>18</v>
      </c>
    </row>
    <row r="1788" spans="2:12" ht="15" customHeight="1">
      <c r="B1788" t="s">
        <v>2510</v>
      </c>
      <c r="C1788">
        <v>7960</v>
      </c>
      <c r="D1788" t="s">
        <v>252</v>
      </c>
      <c r="E1788">
        <v>7960</v>
      </c>
      <c r="F1788" s="3">
        <f>(tblSalaries[[#This Row],[clean Salary (in local currency)]])*(VLOOKUP(tblSalaries[[#This Row],[Currency]],Sheet3!$A$2:$C$31,3,FALSE))*(VLOOKUP(tblSalaries[[#This Row],[Currency]],Sheet1!$N$4:$Q$186,4,FALSE))</f>
        <v>7960</v>
      </c>
      <c r="G1788" s="4">
        <f>IF(Dashboard!$J$5=VLOOKUP(tblSalaries[[#This Row],[Currency]],Sheet3!$A$2:$B$31,2,FALSE),tblSalaries[[#This Row],[clean Salary (in local currency)]],(tblSalaries[[#This Row],[PPP Adjusted  USD]]/VLOOKUP(Dashboard!$J$5,Sheet3!$B$2:$C$31,2,FALSE)))</f>
        <v>7960</v>
      </c>
      <c r="H1788" t="s">
        <v>1851</v>
      </c>
      <c r="I1788" t="s">
        <v>625</v>
      </c>
      <c r="J1788" t="s">
        <v>604</v>
      </c>
      <c r="K1788" t="s">
        <v>605</v>
      </c>
      <c r="L1788">
        <v>7</v>
      </c>
    </row>
    <row r="1789" spans="2:12" ht="15" customHeight="1">
      <c r="B1789" t="s">
        <v>1810</v>
      </c>
      <c r="C1789">
        <v>165000</v>
      </c>
      <c r="D1789" t="s">
        <v>247</v>
      </c>
      <c r="E1789">
        <v>2938.3062534280239</v>
      </c>
      <c r="F1789" s="3">
        <f>(tblSalaries[[#This Row],[clean Salary (in local currency)]])*(VLOOKUP(tblSalaries[[#This Row],[Currency]],Sheet3!$A$2:$C$31,3,FALSE))*(VLOOKUP(tblSalaries[[#This Row],[Currency]],Sheet1!$N$4:$Q$186,4,FALSE))</f>
        <v>7814.5686875352458</v>
      </c>
      <c r="G1789" s="4">
        <f>IF(Dashboard!$J$5=VLOOKUP(tblSalaries[[#This Row],[Currency]],Sheet3!$A$2:$B$31,2,FALSE),tblSalaries[[#This Row],[clean Salary (in local currency)]],(tblSalaries[[#This Row],[PPP Adjusted  USD]]/VLOOKUP(Dashboard!$J$5,Sheet3!$B$2:$C$31,2,FALSE)))</f>
        <v>7814.5686875352458</v>
      </c>
      <c r="H1789" t="s">
        <v>1811</v>
      </c>
      <c r="I1789" t="s">
        <v>625</v>
      </c>
      <c r="J1789" t="s">
        <v>604</v>
      </c>
      <c r="K1789" t="s">
        <v>610</v>
      </c>
      <c r="L1789">
        <v>11</v>
      </c>
    </row>
    <row r="1790" spans="2:12" ht="15" customHeight="1">
      <c r="B1790" t="s">
        <v>1136</v>
      </c>
      <c r="C1790">
        <v>7600</v>
      </c>
      <c r="D1790" t="s">
        <v>252</v>
      </c>
      <c r="E1790">
        <v>7600</v>
      </c>
      <c r="F1790" s="3">
        <f>(tblSalaries[[#This Row],[clean Salary (in local currency)]])*(VLOOKUP(tblSalaries[[#This Row],[Currency]],Sheet3!$A$2:$C$31,3,FALSE))*(VLOOKUP(tblSalaries[[#This Row],[Currency]],Sheet1!$N$4:$Q$186,4,FALSE))</f>
        <v>7600</v>
      </c>
      <c r="G1790" s="4">
        <f>IF(Dashboard!$J$5=VLOOKUP(tblSalaries[[#This Row],[Currency]],Sheet3!$A$2:$B$31,2,FALSE),tblSalaries[[#This Row],[clean Salary (in local currency)]],(tblSalaries[[#This Row],[PPP Adjusted  USD]]/VLOOKUP(Dashboard!$J$5,Sheet3!$B$2:$C$31,2,FALSE)))</f>
        <v>7600</v>
      </c>
      <c r="H1790" t="s">
        <v>1137</v>
      </c>
      <c r="I1790" t="s">
        <v>640</v>
      </c>
      <c r="J1790" t="s">
        <v>630</v>
      </c>
      <c r="K1790" t="s">
        <v>627</v>
      </c>
      <c r="L1790" t="s">
        <v>3847</v>
      </c>
    </row>
    <row r="1791" spans="2:12" ht="15" customHeight="1">
      <c r="B1791" t="s">
        <v>1746</v>
      </c>
      <c r="C1791">
        <v>160000</v>
      </c>
      <c r="D1791" t="s">
        <v>247</v>
      </c>
      <c r="E1791">
        <v>2849.2666699908109</v>
      </c>
      <c r="F1791" s="3">
        <f>(tblSalaries[[#This Row],[clean Salary (in local currency)]])*(VLOOKUP(tblSalaries[[#This Row],[Currency]],Sheet3!$A$2:$C$31,3,FALSE))*(VLOOKUP(tblSalaries[[#This Row],[Currency]],Sheet1!$N$4:$Q$186,4,FALSE))</f>
        <v>7577.7635757917524</v>
      </c>
      <c r="G1791" s="4">
        <f>IF(Dashboard!$J$5=VLOOKUP(tblSalaries[[#This Row],[Currency]],Sheet3!$A$2:$B$31,2,FALSE),tblSalaries[[#This Row],[clean Salary (in local currency)]],(tblSalaries[[#This Row],[PPP Adjusted  USD]]/VLOOKUP(Dashboard!$J$5,Sheet3!$B$2:$C$31,2,FALSE)))</f>
        <v>7577.7635757917524</v>
      </c>
      <c r="H1791" t="s">
        <v>1747</v>
      </c>
      <c r="I1791" t="s">
        <v>658</v>
      </c>
      <c r="J1791" t="s">
        <v>604</v>
      </c>
      <c r="K1791" t="s">
        <v>610</v>
      </c>
      <c r="L1791">
        <v>3</v>
      </c>
    </row>
    <row r="1792" spans="2:12" ht="15" customHeight="1">
      <c r="B1792" t="s">
        <v>733</v>
      </c>
      <c r="C1792">
        <v>7500</v>
      </c>
      <c r="D1792" t="s">
        <v>252</v>
      </c>
      <c r="E1792">
        <v>7500</v>
      </c>
      <c r="F1792" s="3">
        <f>(tblSalaries[[#This Row],[clean Salary (in local currency)]])*(VLOOKUP(tblSalaries[[#This Row],[Currency]],Sheet3!$A$2:$C$31,3,FALSE))*(VLOOKUP(tblSalaries[[#This Row],[Currency]],Sheet1!$N$4:$Q$186,4,FALSE))</f>
        <v>7500</v>
      </c>
      <c r="G1792" s="4">
        <f>IF(Dashboard!$J$5=VLOOKUP(tblSalaries[[#This Row],[Currency]],Sheet3!$A$2:$B$31,2,FALSE),tblSalaries[[#This Row],[clean Salary (in local currency)]],(tblSalaries[[#This Row],[PPP Adjusted  USD]]/VLOOKUP(Dashboard!$J$5,Sheet3!$B$2:$C$31,2,FALSE)))</f>
        <v>7500</v>
      </c>
      <c r="H1792" t="s">
        <v>603</v>
      </c>
      <c r="I1792" t="s">
        <v>603</v>
      </c>
      <c r="J1792" t="s">
        <v>604</v>
      </c>
      <c r="K1792" t="s">
        <v>605</v>
      </c>
      <c r="L1792" t="s">
        <v>3847</v>
      </c>
    </row>
    <row r="1793" spans="2:12" ht="15" customHeight="1">
      <c r="B1793" t="s">
        <v>1466</v>
      </c>
      <c r="C1793">
        <v>7500</v>
      </c>
      <c r="D1793" t="s">
        <v>252</v>
      </c>
      <c r="E1793">
        <v>7500</v>
      </c>
      <c r="F1793" s="3">
        <f>(tblSalaries[[#This Row],[clean Salary (in local currency)]])*(VLOOKUP(tblSalaries[[#This Row],[Currency]],Sheet3!$A$2:$C$31,3,FALSE))*(VLOOKUP(tblSalaries[[#This Row],[Currency]],Sheet1!$N$4:$Q$186,4,FALSE))</f>
        <v>7500</v>
      </c>
      <c r="G1793" s="4">
        <f>IF(Dashboard!$J$5=VLOOKUP(tblSalaries[[#This Row],[Currency]],Sheet3!$A$2:$B$31,2,FALSE),tblSalaries[[#This Row],[clean Salary (in local currency)]],(tblSalaries[[#This Row],[PPP Adjusted  USD]]/VLOOKUP(Dashboard!$J$5,Sheet3!$B$2:$C$31,2,FALSE)))</f>
        <v>7500</v>
      </c>
      <c r="H1793" t="s">
        <v>1467</v>
      </c>
      <c r="I1793" t="s">
        <v>603</v>
      </c>
      <c r="J1793" t="s">
        <v>1385</v>
      </c>
      <c r="K1793" t="s">
        <v>610</v>
      </c>
      <c r="L1793" t="s">
        <v>3847</v>
      </c>
    </row>
    <row r="1794" spans="2:12" ht="15" customHeight="1">
      <c r="B1794" t="s">
        <v>2405</v>
      </c>
      <c r="C1794">
        <v>300000</v>
      </c>
      <c r="D1794" t="s">
        <v>461</v>
      </c>
      <c r="E1794">
        <v>3184.2266150397395</v>
      </c>
      <c r="F1794" s="3">
        <f>(tblSalaries[[#This Row],[clean Salary (in local currency)]])*(VLOOKUP(tblSalaries[[#This Row],[Currency]],Sheet3!$A$2:$C$31,3,FALSE))*(VLOOKUP(tblSalaries[[#This Row],[Currency]],Sheet1!$N$4:$Q$186,4,FALSE))</f>
        <v>7388.4171213591735</v>
      </c>
      <c r="G1794" s="4">
        <f>IF(Dashboard!$J$5=VLOOKUP(tblSalaries[[#This Row],[Currency]],Sheet3!$A$2:$B$31,2,FALSE),tblSalaries[[#This Row],[clean Salary (in local currency)]],(tblSalaries[[#This Row],[PPP Adjusted  USD]]/VLOOKUP(Dashboard!$J$5,Sheet3!$B$2:$C$31,2,FALSE)))</f>
        <v>7388.4171213591735</v>
      </c>
      <c r="H1794" t="s">
        <v>2012</v>
      </c>
      <c r="I1794" t="s">
        <v>625</v>
      </c>
      <c r="J1794" t="s">
        <v>616</v>
      </c>
      <c r="K1794" t="s">
        <v>605</v>
      </c>
      <c r="L1794">
        <v>4</v>
      </c>
    </row>
    <row r="1795" spans="2:12" ht="15" customHeight="1">
      <c r="B1795" t="s">
        <v>2214</v>
      </c>
      <c r="C1795">
        <v>168000</v>
      </c>
      <c r="D1795" t="s">
        <v>473</v>
      </c>
      <c r="E1795">
        <v>3982.448779308334</v>
      </c>
      <c r="F1795" s="3">
        <f>(tblSalaries[[#This Row],[clean Salary (in local currency)]])*(VLOOKUP(tblSalaries[[#This Row],[Currency]],Sheet3!$A$2:$C$31,3,FALSE))*(VLOOKUP(tblSalaries[[#This Row],[Currency]],Sheet1!$N$4:$Q$186,4,FALSE))</f>
        <v>7295.0178672644652</v>
      </c>
      <c r="G1795" s="4">
        <f>IF(Dashboard!$J$5=VLOOKUP(tblSalaries[[#This Row],[Currency]],Sheet3!$A$2:$B$31,2,FALSE),tblSalaries[[#This Row],[clean Salary (in local currency)]],(tblSalaries[[#This Row],[PPP Adjusted  USD]]/VLOOKUP(Dashboard!$J$5,Sheet3!$B$2:$C$31,2,FALSE)))</f>
        <v>7295.0178672644652</v>
      </c>
      <c r="H1795" t="s">
        <v>2215</v>
      </c>
      <c r="I1795" t="s">
        <v>603</v>
      </c>
      <c r="J1795" t="s">
        <v>1146</v>
      </c>
      <c r="K1795" t="s">
        <v>605</v>
      </c>
      <c r="L1795">
        <v>10</v>
      </c>
    </row>
    <row r="1796" spans="2:12" ht="15" customHeight="1">
      <c r="B1796" t="s">
        <v>2398</v>
      </c>
      <c r="C1796">
        <v>7265</v>
      </c>
      <c r="D1796" t="s">
        <v>252</v>
      </c>
      <c r="E1796">
        <v>7265</v>
      </c>
      <c r="F1796" s="3">
        <f>(tblSalaries[[#This Row],[clean Salary (in local currency)]])*(VLOOKUP(tblSalaries[[#This Row],[Currency]],Sheet3!$A$2:$C$31,3,FALSE))*(VLOOKUP(tblSalaries[[#This Row],[Currency]],Sheet1!$N$4:$Q$186,4,FALSE))</f>
        <v>7265</v>
      </c>
      <c r="G1796" s="4">
        <f>IF(Dashboard!$J$5=VLOOKUP(tblSalaries[[#This Row],[Currency]],Sheet3!$A$2:$B$31,2,FALSE),tblSalaries[[#This Row],[clean Salary (in local currency)]],(tblSalaries[[#This Row],[PPP Adjusted  USD]]/VLOOKUP(Dashboard!$J$5,Sheet3!$B$2:$C$31,2,FALSE)))</f>
        <v>7265</v>
      </c>
      <c r="H1796" t="s">
        <v>2399</v>
      </c>
      <c r="I1796" t="s">
        <v>620</v>
      </c>
      <c r="J1796" t="s">
        <v>604</v>
      </c>
      <c r="K1796" t="s">
        <v>605</v>
      </c>
      <c r="L1796">
        <v>6</v>
      </c>
    </row>
    <row r="1797" spans="2:12" ht="15" customHeight="1">
      <c r="B1797" t="s">
        <v>2487</v>
      </c>
      <c r="C1797">
        <v>7200</v>
      </c>
      <c r="D1797" t="s">
        <v>252</v>
      </c>
      <c r="E1797">
        <v>7200</v>
      </c>
      <c r="F1797" s="3">
        <f>(tblSalaries[[#This Row],[clean Salary (in local currency)]])*(VLOOKUP(tblSalaries[[#This Row],[Currency]],Sheet3!$A$2:$C$31,3,FALSE))*(VLOOKUP(tblSalaries[[#This Row],[Currency]],Sheet1!$N$4:$Q$186,4,FALSE))</f>
        <v>7200</v>
      </c>
      <c r="G1797" s="4">
        <f>IF(Dashboard!$J$5=VLOOKUP(tblSalaries[[#This Row],[Currency]],Sheet3!$A$2:$B$31,2,FALSE),tblSalaries[[#This Row],[clean Salary (in local currency)]],(tblSalaries[[#This Row],[PPP Adjusted  USD]]/VLOOKUP(Dashboard!$J$5,Sheet3!$B$2:$C$31,2,FALSE)))</f>
        <v>7200</v>
      </c>
      <c r="H1797" t="s">
        <v>2488</v>
      </c>
      <c r="I1797" t="s">
        <v>603</v>
      </c>
      <c r="J1797" t="s">
        <v>604</v>
      </c>
      <c r="K1797" t="s">
        <v>610</v>
      </c>
      <c r="L1797">
        <v>10</v>
      </c>
    </row>
    <row r="1798" spans="2:12" ht="15" customHeight="1">
      <c r="B1798" t="s">
        <v>2672</v>
      </c>
      <c r="C1798">
        <v>7200</v>
      </c>
      <c r="D1798" t="s">
        <v>252</v>
      </c>
      <c r="E1798">
        <v>7200</v>
      </c>
      <c r="F1798" s="3">
        <f>(tblSalaries[[#This Row],[clean Salary (in local currency)]])*(VLOOKUP(tblSalaries[[#This Row],[Currency]],Sheet3!$A$2:$C$31,3,FALSE))*(VLOOKUP(tblSalaries[[#This Row],[Currency]],Sheet1!$N$4:$Q$186,4,FALSE))</f>
        <v>7200</v>
      </c>
      <c r="G1798" s="4">
        <f>IF(Dashboard!$J$5=VLOOKUP(tblSalaries[[#This Row],[Currency]],Sheet3!$A$2:$B$31,2,FALSE),tblSalaries[[#This Row],[clean Salary (in local currency)]],(tblSalaries[[#This Row],[PPP Adjusted  USD]]/VLOOKUP(Dashboard!$J$5,Sheet3!$B$2:$C$31,2,FALSE)))</f>
        <v>7200</v>
      </c>
      <c r="H1798" t="s">
        <v>2673</v>
      </c>
      <c r="I1798" t="s">
        <v>658</v>
      </c>
      <c r="J1798" t="s">
        <v>604</v>
      </c>
      <c r="K1798" t="s">
        <v>605</v>
      </c>
      <c r="L1798">
        <v>7</v>
      </c>
    </row>
    <row r="1799" spans="2:12" ht="15" customHeight="1">
      <c r="B1799" t="s">
        <v>3158</v>
      </c>
      <c r="C1799">
        <v>7200</v>
      </c>
      <c r="D1799" t="s">
        <v>252</v>
      </c>
      <c r="E1799">
        <v>7200</v>
      </c>
      <c r="F1799" s="3">
        <f>(tblSalaries[[#This Row],[clean Salary (in local currency)]])*(VLOOKUP(tblSalaries[[#This Row],[Currency]],Sheet3!$A$2:$C$31,3,FALSE))*(VLOOKUP(tblSalaries[[#This Row],[Currency]],Sheet1!$N$4:$Q$186,4,FALSE))</f>
        <v>7200</v>
      </c>
      <c r="G1799" s="4">
        <f>IF(Dashboard!$J$5=VLOOKUP(tblSalaries[[#This Row],[Currency]],Sheet3!$A$2:$B$31,2,FALSE),tblSalaries[[#This Row],[clean Salary (in local currency)]],(tblSalaries[[#This Row],[PPP Adjusted  USD]]/VLOOKUP(Dashboard!$J$5,Sheet3!$B$2:$C$31,2,FALSE)))</f>
        <v>7200</v>
      </c>
      <c r="H1799" t="s">
        <v>3159</v>
      </c>
      <c r="I1799" t="s">
        <v>608</v>
      </c>
      <c r="J1799" t="s">
        <v>859</v>
      </c>
      <c r="K1799" t="s">
        <v>605</v>
      </c>
      <c r="L1799">
        <v>8</v>
      </c>
    </row>
    <row r="1800" spans="2:12" ht="15" customHeight="1">
      <c r="B1800" t="s">
        <v>2570</v>
      </c>
      <c r="C1800">
        <v>150252</v>
      </c>
      <c r="D1800" t="s">
        <v>247</v>
      </c>
      <c r="E1800">
        <v>2675.675098121621</v>
      </c>
      <c r="F1800" s="3">
        <f>(tblSalaries[[#This Row],[clean Salary (in local currency)]])*(VLOOKUP(tblSalaries[[#This Row],[Currency]],Sheet3!$A$2:$C$31,3,FALSE))*(VLOOKUP(tblSalaries[[#This Row],[Currency]],Sheet1!$N$4:$Q$186,4,FALSE))</f>
        <v>7116.0883299366405</v>
      </c>
      <c r="G1800" s="4">
        <f>IF(Dashboard!$J$5=VLOOKUP(tblSalaries[[#This Row],[Currency]],Sheet3!$A$2:$B$31,2,FALSE),tblSalaries[[#This Row],[clean Salary (in local currency)]],(tblSalaries[[#This Row],[PPP Adjusted  USD]]/VLOOKUP(Dashboard!$J$5,Sheet3!$B$2:$C$31,2,FALSE)))</f>
        <v>7116.0883299366405</v>
      </c>
      <c r="H1800" t="s">
        <v>2571</v>
      </c>
      <c r="I1800" t="s">
        <v>625</v>
      </c>
      <c r="J1800" t="s">
        <v>604</v>
      </c>
      <c r="K1800" t="s">
        <v>617</v>
      </c>
      <c r="L1800">
        <v>5</v>
      </c>
    </row>
    <row r="1801" spans="2:12" ht="15" customHeight="1">
      <c r="B1801" t="s">
        <v>1791</v>
      </c>
      <c r="C1801">
        <v>150000</v>
      </c>
      <c r="D1801" t="s">
        <v>247</v>
      </c>
      <c r="E1801">
        <v>2671.1875031163854</v>
      </c>
      <c r="F1801" s="3">
        <f>(tblSalaries[[#This Row],[clean Salary (in local currency)]])*(VLOOKUP(tblSalaries[[#This Row],[Currency]],Sheet3!$A$2:$C$31,3,FALSE))*(VLOOKUP(tblSalaries[[#This Row],[Currency]],Sheet1!$N$4:$Q$186,4,FALSE))</f>
        <v>7104.1533523047692</v>
      </c>
      <c r="G1801" s="4">
        <f>IF(Dashboard!$J$5=VLOOKUP(tblSalaries[[#This Row],[Currency]],Sheet3!$A$2:$B$31,2,FALSE),tblSalaries[[#This Row],[clean Salary (in local currency)]],(tblSalaries[[#This Row],[PPP Adjusted  USD]]/VLOOKUP(Dashboard!$J$5,Sheet3!$B$2:$C$31,2,FALSE)))</f>
        <v>7104.1533523047692</v>
      </c>
      <c r="H1801" t="s">
        <v>1792</v>
      </c>
      <c r="I1801" t="s">
        <v>625</v>
      </c>
      <c r="J1801" t="s">
        <v>604</v>
      </c>
      <c r="K1801" t="s">
        <v>617</v>
      </c>
      <c r="L1801">
        <v>5</v>
      </c>
    </row>
    <row r="1802" spans="2:12" ht="15" customHeight="1">
      <c r="B1802" t="s">
        <v>1871</v>
      </c>
      <c r="C1802">
        <v>150000</v>
      </c>
      <c r="D1802" t="s">
        <v>247</v>
      </c>
      <c r="E1802">
        <v>2671.1875031163854</v>
      </c>
      <c r="F1802" s="3">
        <f>(tblSalaries[[#This Row],[clean Salary (in local currency)]])*(VLOOKUP(tblSalaries[[#This Row],[Currency]],Sheet3!$A$2:$C$31,3,FALSE))*(VLOOKUP(tblSalaries[[#This Row],[Currency]],Sheet1!$N$4:$Q$186,4,FALSE))</f>
        <v>7104.1533523047692</v>
      </c>
      <c r="G1802" s="4">
        <f>IF(Dashboard!$J$5=VLOOKUP(tblSalaries[[#This Row],[Currency]],Sheet3!$A$2:$B$31,2,FALSE),tblSalaries[[#This Row],[clean Salary (in local currency)]],(tblSalaries[[#This Row],[PPP Adjusted  USD]]/VLOOKUP(Dashboard!$J$5,Sheet3!$B$2:$C$31,2,FALSE)))</f>
        <v>7104.1533523047692</v>
      </c>
      <c r="H1802" t="s">
        <v>1872</v>
      </c>
      <c r="I1802" t="s">
        <v>633</v>
      </c>
      <c r="J1802" t="s">
        <v>604</v>
      </c>
      <c r="K1802" t="s">
        <v>605</v>
      </c>
      <c r="L1802">
        <v>4.5</v>
      </c>
    </row>
    <row r="1803" spans="2:12" ht="15" customHeight="1">
      <c r="B1803" t="s">
        <v>2036</v>
      </c>
      <c r="C1803">
        <v>150000</v>
      </c>
      <c r="D1803" t="s">
        <v>247</v>
      </c>
      <c r="E1803">
        <v>2671.1875031163854</v>
      </c>
      <c r="F1803" s="3">
        <f>(tblSalaries[[#This Row],[clean Salary (in local currency)]])*(VLOOKUP(tblSalaries[[#This Row],[Currency]],Sheet3!$A$2:$C$31,3,FALSE))*(VLOOKUP(tblSalaries[[#This Row],[Currency]],Sheet1!$N$4:$Q$186,4,FALSE))</f>
        <v>7104.1533523047692</v>
      </c>
      <c r="G1803" s="4">
        <f>IF(Dashboard!$J$5=VLOOKUP(tblSalaries[[#This Row],[Currency]],Sheet3!$A$2:$B$31,2,FALSE),tblSalaries[[#This Row],[clean Salary (in local currency)]],(tblSalaries[[#This Row],[PPP Adjusted  USD]]/VLOOKUP(Dashboard!$J$5,Sheet3!$B$2:$C$31,2,FALSE)))</f>
        <v>7104.1533523047692</v>
      </c>
      <c r="H1803" t="s">
        <v>2037</v>
      </c>
      <c r="I1803" t="s">
        <v>603</v>
      </c>
      <c r="J1803" t="s">
        <v>604</v>
      </c>
      <c r="K1803" t="s">
        <v>605</v>
      </c>
      <c r="L1803">
        <v>2</v>
      </c>
    </row>
    <row r="1804" spans="2:12" ht="15" customHeight="1">
      <c r="B1804" t="s">
        <v>3510</v>
      </c>
      <c r="C1804">
        <v>150000</v>
      </c>
      <c r="D1804" t="s">
        <v>247</v>
      </c>
      <c r="E1804">
        <v>2671.1875031163854</v>
      </c>
      <c r="F1804" s="3">
        <f>(tblSalaries[[#This Row],[clean Salary (in local currency)]])*(VLOOKUP(tblSalaries[[#This Row],[Currency]],Sheet3!$A$2:$C$31,3,FALSE))*(VLOOKUP(tblSalaries[[#This Row],[Currency]],Sheet1!$N$4:$Q$186,4,FALSE))</f>
        <v>7104.1533523047692</v>
      </c>
      <c r="G1804" s="4">
        <f>IF(Dashboard!$J$5=VLOOKUP(tblSalaries[[#This Row],[Currency]],Sheet3!$A$2:$B$31,2,FALSE),tblSalaries[[#This Row],[clean Salary (in local currency)]],(tblSalaries[[#This Row],[PPP Adjusted  USD]]/VLOOKUP(Dashboard!$J$5,Sheet3!$B$2:$C$31,2,FALSE)))</f>
        <v>7104.1533523047692</v>
      </c>
      <c r="H1804" t="s">
        <v>1747</v>
      </c>
      <c r="I1804" t="s">
        <v>658</v>
      </c>
      <c r="J1804" t="s">
        <v>604</v>
      </c>
      <c r="K1804" t="s">
        <v>610</v>
      </c>
      <c r="L1804">
        <v>3</v>
      </c>
    </row>
    <row r="1805" spans="2:12" ht="15" customHeight="1">
      <c r="B1805" t="s">
        <v>3609</v>
      </c>
      <c r="C1805">
        <v>150000</v>
      </c>
      <c r="D1805" t="s">
        <v>247</v>
      </c>
      <c r="E1805">
        <v>2671.1875031163854</v>
      </c>
      <c r="F1805" s="3">
        <f>(tblSalaries[[#This Row],[clean Salary (in local currency)]])*(VLOOKUP(tblSalaries[[#This Row],[Currency]],Sheet3!$A$2:$C$31,3,FALSE))*(VLOOKUP(tblSalaries[[#This Row],[Currency]],Sheet1!$N$4:$Q$186,4,FALSE))</f>
        <v>7104.1533523047692</v>
      </c>
      <c r="G1805" s="4">
        <f>IF(Dashboard!$J$5=VLOOKUP(tblSalaries[[#This Row],[Currency]],Sheet3!$A$2:$B$31,2,FALSE),tblSalaries[[#This Row],[clean Salary (in local currency)]],(tblSalaries[[#This Row],[PPP Adjusted  USD]]/VLOOKUP(Dashboard!$J$5,Sheet3!$B$2:$C$31,2,FALSE)))</f>
        <v>7104.1533523047692</v>
      </c>
      <c r="H1805" t="s">
        <v>1364</v>
      </c>
      <c r="I1805" t="s">
        <v>620</v>
      </c>
      <c r="J1805" t="s">
        <v>604</v>
      </c>
      <c r="K1805" t="s">
        <v>617</v>
      </c>
      <c r="L1805">
        <v>1</v>
      </c>
    </row>
    <row r="1806" spans="2:12" ht="15" customHeight="1">
      <c r="B1806" t="s">
        <v>1862</v>
      </c>
      <c r="C1806">
        <v>7000</v>
      </c>
      <c r="D1806" t="s">
        <v>252</v>
      </c>
      <c r="E1806">
        <v>7000</v>
      </c>
      <c r="F1806" s="3">
        <f>(tblSalaries[[#This Row],[clean Salary (in local currency)]])*(VLOOKUP(tblSalaries[[#This Row],[Currency]],Sheet3!$A$2:$C$31,3,FALSE))*(VLOOKUP(tblSalaries[[#This Row],[Currency]],Sheet1!$N$4:$Q$186,4,FALSE))</f>
        <v>7000</v>
      </c>
      <c r="G1806" s="4">
        <f>IF(Dashboard!$J$5=VLOOKUP(tblSalaries[[#This Row],[Currency]],Sheet3!$A$2:$B$31,2,FALSE),tblSalaries[[#This Row],[clean Salary (in local currency)]],(tblSalaries[[#This Row],[PPP Adjusted  USD]]/VLOOKUP(Dashboard!$J$5,Sheet3!$B$2:$C$31,2,FALSE)))</f>
        <v>7000</v>
      </c>
      <c r="H1806" t="s">
        <v>1863</v>
      </c>
      <c r="I1806" t="s">
        <v>625</v>
      </c>
      <c r="J1806" t="s">
        <v>604</v>
      </c>
      <c r="K1806" t="s">
        <v>605</v>
      </c>
      <c r="L1806">
        <v>23</v>
      </c>
    </row>
    <row r="1807" spans="2:12" ht="15" customHeight="1">
      <c r="B1807" t="s">
        <v>2478</v>
      </c>
      <c r="C1807">
        <v>7000</v>
      </c>
      <c r="D1807" t="s">
        <v>252</v>
      </c>
      <c r="E1807">
        <v>7000</v>
      </c>
      <c r="F1807" s="3">
        <f>(tblSalaries[[#This Row],[clean Salary (in local currency)]])*(VLOOKUP(tblSalaries[[#This Row],[Currency]],Sheet3!$A$2:$C$31,3,FALSE))*(VLOOKUP(tblSalaries[[#This Row],[Currency]],Sheet1!$N$4:$Q$186,4,FALSE))</f>
        <v>7000</v>
      </c>
      <c r="G1807" s="4">
        <f>IF(Dashboard!$J$5=VLOOKUP(tblSalaries[[#This Row],[Currency]],Sheet3!$A$2:$B$31,2,FALSE),tblSalaries[[#This Row],[clean Salary (in local currency)]],(tblSalaries[[#This Row],[PPP Adjusted  USD]]/VLOOKUP(Dashboard!$J$5,Sheet3!$B$2:$C$31,2,FALSE)))</f>
        <v>7000</v>
      </c>
      <c r="H1807" t="s">
        <v>1747</v>
      </c>
      <c r="I1807" t="s">
        <v>658</v>
      </c>
      <c r="J1807" t="s">
        <v>604</v>
      </c>
      <c r="K1807" t="s">
        <v>610</v>
      </c>
      <c r="L1807">
        <v>5</v>
      </c>
    </row>
    <row r="1808" spans="2:12" ht="15" customHeight="1">
      <c r="B1808" t="s">
        <v>3360</v>
      </c>
      <c r="C1808">
        <v>7000</v>
      </c>
      <c r="D1808" t="s">
        <v>252</v>
      </c>
      <c r="E1808">
        <v>7000</v>
      </c>
      <c r="F1808" s="3">
        <f>(tblSalaries[[#This Row],[clean Salary (in local currency)]])*(VLOOKUP(tblSalaries[[#This Row],[Currency]],Sheet3!$A$2:$C$31,3,FALSE))*(VLOOKUP(tblSalaries[[#This Row],[Currency]],Sheet1!$N$4:$Q$186,4,FALSE))</f>
        <v>7000</v>
      </c>
      <c r="G1808" s="4">
        <f>IF(Dashboard!$J$5=VLOOKUP(tblSalaries[[#This Row],[Currency]],Sheet3!$A$2:$B$31,2,FALSE),tblSalaries[[#This Row],[clean Salary (in local currency)]],(tblSalaries[[#This Row],[PPP Adjusted  USD]]/VLOOKUP(Dashboard!$J$5,Sheet3!$B$2:$C$31,2,FALSE)))</f>
        <v>7000</v>
      </c>
      <c r="H1808" t="s">
        <v>3361</v>
      </c>
      <c r="I1808" t="s">
        <v>658</v>
      </c>
      <c r="J1808" t="s">
        <v>604</v>
      </c>
      <c r="K1808" t="s">
        <v>605</v>
      </c>
      <c r="L1808">
        <v>1</v>
      </c>
    </row>
    <row r="1809" spans="2:12" ht="15" customHeight="1">
      <c r="B1809" t="s">
        <v>808</v>
      </c>
      <c r="C1809">
        <v>144000</v>
      </c>
      <c r="D1809" t="s">
        <v>247</v>
      </c>
      <c r="E1809">
        <v>2564.3400029917298</v>
      </c>
      <c r="F1809" s="3">
        <f>(tblSalaries[[#This Row],[clean Salary (in local currency)]])*(VLOOKUP(tblSalaries[[#This Row],[Currency]],Sheet3!$A$2:$C$31,3,FALSE))*(VLOOKUP(tblSalaries[[#This Row],[Currency]],Sheet1!$N$4:$Q$186,4,FALSE))</f>
        <v>6819.9872182125773</v>
      </c>
      <c r="G1809" s="4">
        <f>IF(Dashboard!$J$5=VLOOKUP(tblSalaries[[#This Row],[Currency]],Sheet3!$A$2:$B$31,2,FALSE),tblSalaries[[#This Row],[clean Salary (in local currency)]],(tblSalaries[[#This Row],[PPP Adjusted  USD]]/VLOOKUP(Dashboard!$J$5,Sheet3!$B$2:$C$31,2,FALSE)))</f>
        <v>6819.9872182125773</v>
      </c>
      <c r="H1809" t="s">
        <v>809</v>
      </c>
      <c r="I1809" t="s">
        <v>692</v>
      </c>
      <c r="J1809" t="s">
        <v>604</v>
      </c>
      <c r="K1809" t="s">
        <v>627</v>
      </c>
      <c r="L1809" t="s">
        <v>3847</v>
      </c>
    </row>
    <row r="1810" spans="2:12" ht="15" customHeight="1">
      <c r="B1810" t="s">
        <v>1850</v>
      </c>
      <c r="C1810">
        <v>144000</v>
      </c>
      <c r="D1810" t="s">
        <v>247</v>
      </c>
      <c r="E1810">
        <v>2564.3400029917298</v>
      </c>
      <c r="F1810" s="3">
        <f>(tblSalaries[[#This Row],[clean Salary (in local currency)]])*(VLOOKUP(tblSalaries[[#This Row],[Currency]],Sheet3!$A$2:$C$31,3,FALSE))*(VLOOKUP(tblSalaries[[#This Row],[Currency]],Sheet1!$N$4:$Q$186,4,FALSE))</f>
        <v>6819.9872182125773</v>
      </c>
      <c r="G1810" s="4">
        <f>IF(Dashboard!$J$5=VLOOKUP(tblSalaries[[#This Row],[Currency]],Sheet3!$A$2:$B$31,2,FALSE),tblSalaries[[#This Row],[clean Salary (in local currency)]],(tblSalaries[[#This Row],[PPP Adjusted  USD]]/VLOOKUP(Dashboard!$J$5,Sheet3!$B$2:$C$31,2,FALSE)))</f>
        <v>6819.9872182125773</v>
      </c>
      <c r="H1810" t="s">
        <v>1851</v>
      </c>
      <c r="I1810" t="s">
        <v>625</v>
      </c>
      <c r="J1810" t="s">
        <v>604</v>
      </c>
      <c r="K1810" t="s">
        <v>617</v>
      </c>
      <c r="L1810">
        <v>7</v>
      </c>
    </row>
    <row r="1811" spans="2:12" ht="15" customHeight="1">
      <c r="B1811" t="s">
        <v>2077</v>
      </c>
      <c r="C1811">
        <v>144000</v>
      </c>
      <c r="D1811" t="s">
        <v>247</v>
      </c>
      <c r="E1811">
        <v>2564.3400029917298</v>
      </c>
      <c r="F1811" s="3">
        <f>(tblSalaries[[#This Row],[clean Salary (in local currency)]])*(VLOOKUP(tblSalaries[[#This Row],[Currency]],Sheet3!$A$2:$C$31,3,FALSE))*(VLOOKUP(tblSalaries[[#This Row],[Currency]],Sheet1!$N$4:$Q$186,4,FALSE))</f>
        <v>6819.9872182125773</v>
      </c>
      <c r="G1811" s="4">
        <f>IF(Dashboard!$J$5=VLOOKUP(tblSalaries[[#This Row],[Currency]],Sheet3!$A$2:$B$31,2,FALSE),tblSalaries[[#This Row],[clean Salary (in local currency)]],(tblSalaries[[#This Row],[PPP Adjusted  USD]]/VLOOKUP(Dashboard!$J$5,Sheet3!$B$2:$C$31,2,FALSE)))</f>
        <v>6819.9872182125773</v>
      </c>
      <c r="H1811" t="s">
        <v>2078</v>
      </c>
      <c r="I1811" t="s">
        <v>603</v>
      </c>
      <c r="J1811" t="s">
        <v>604</v>
      </c>
      <c r="K1811" t="s">
        <v>610</v>
      </c>
      <c r="L1811">
        <v>1</v>
      </c>
    </row>
    <row r="1812" spans="2:12" ht="15" customHeight="1">
      <c r="B1812" t="s">
        <v>2174</v>
      </c>
      <c r="C1812">
        <v>144000</v>
      </c>
      <c r="D1812" t="s">
        <v>247</v>
      </c>
      <c r="E1812">
        <v>2564.3400029917298</v>
      </c>
      <c r="F1812" s="3">
        <f>(tblSalaries[[#This Row],[clean Salary (in local currency)]])*(VLOOKUP(tblSalaries[[#This Row],[Currency]],Sheet3!$A$2:$C$31,3,FALSE))*(VLOOKUP(tblSalaries[[#This Row],[Currency]],Sheet1!$N$4:$Q$186,4,FALSE))</f>
        <v>6819.9872182125773</v>
      </c>
      <c r="G1812" s="4">
        <f>IF(Dashboard!$J$5=VLOOKUP(tblSalaries[[#This Row],[Currency]],Sheet3!$A$2:$B$31,2,FALSE),tblSalaries[[#This Row],[clean Salary (in local currency)]],(tblSalaries[[#This Row],[PPP Adjusted  USD]]/VLOOKUP(Dashboard!$J$5,Sheet3!$B$2:$C$31,2,FALSE)))</f>
        <v>6819.9872182125773</v>
      </c>
      <c r="H1812" t="s">
        <v>2175</v>
      </c>
      <c r="I1812" t="s">
        <v>603</v>
      </c>
      <c r="J1812" t="s">
        <v>604</v>
      </c>
      <c r="K1812" t="s">
        <v>605</v>
      </c>
      <c r="L1812">
        <v>1</v>
      </c>
    </row>
    <row r="1813" spans="2:12" ht="15" customHeight="1">
      <c r="B1813" t="s">
        <v>2250</v>
      </c>
      <c r="C1813">
        <v>144000</v>
      </c>
      <c r="D1813" t="s">
        <v>247</v>
      </c>
      <c r="E1813">
        <v>2564.3400029917298</v>
      </c>
      <c r="F1813" s="3">
        <f>(tblSalaries[[#This Row],[clean Salary (in local currency)]])*(VLOOKUP(tblSalaries[[#This Row],[Currency]],Sheet3!$A$2:$C$31,3,FALSE))*(VLOOKUP(tblSalaries[[#This Row],[Currency]],Sheet1!$N$4:$Q$186,4,FALSE))</f>
        <v>6819.9872182125773</v>
      </c>
      <c r="G1813" s="4">
        <f>IF(Dashboard!$J$5=VLOOKUP(tblSalaries[[#This Row],[Currency]],Sheet3!$A$2:$B$31,2,FALSE),tblSalaries[[#This Row],[clean Salary (in local currency)]],(tblSalaries[[#This Row],[PPP Adjusted  USD]]/VLOOKUP(Dashboard!$J$5,Sheet3!$B$2:$C$31,2,FALSE)))</f>
        <v>6819.9872182125773</v>
      </c>
      <c r="H1813" t="s">
        <v>2251</v>
      </c>
      <c r="I1813" t="s">
        <v>608</v>
      </c>
      <c r="J1813" t="s">
        <v>604</v>
      </c>
      <c r="K1813" t="s">
        <v>605</v>
      </c>
      <c r="L1813">
        <v>4</v>
      </c>
    </row>
    <row r="1814" spans="2:12" ht="15" customHeight="1">
      <c r="B1814" t="s">
        <v>2758</v>
      </c>
      <c r="C1814">
        <v>48000000</v>
      </c>
      <c r="D1814" t="s">
        <v>362</v>
      </c>
      <c r="E1814">
        <v>5082.6943786459069</v>
      </c>
      <c r="F1814" s="3">
        <f>(tblSalaries[[#This Row],[clean Salary (in local currency)]])*(VLOOKUP(tblSalaries[[#This Row],[Currency]],Sheet3!$A$2:$C$31,3,FALSE))*(VLOOKUP(tblSalaries[[#This Row],[Currency]],Sheet1!$N$4:$Q$186,4,FALSE))</f>
        <v>6759.3500499594884</v>
      </c>
      <c r="G1814" s="4">
        <f>IF(Dashboard!$J$5=VLOOKUP(tblSalaries[[#This Row],[Currency]],Sheet3!$A$2:$B$31,2,FALSE),tblSalaries[[#This Row],[clean Salary (in local currency)]],(tblSalaries[[#This Row],[PPP Adjusted  USD]]/VLOOKUP(Dashboard!$J$5,Sheet3!$B$2:$C$31,2,FALSE)))</f>
        <v>6759.3500499594884</v>
      </c>
      <c r="H1814" t="s">
        <v>2759</v>
      </c>
      <c r="I1814" t="s">
        <v>603</v>
      </c>
      <c r="J1814" t="s">
        <v>1758</v>
      </c>
      <c r="K1814" t="s">
        <v>627</v>
      </c>
      <c r="L1814">
        <v>2</v>
      </c>
    </row>
    <row r="1815" spans="2:12" ht="15" customHeight="1">
      <c r="B1815" t="s">
        <v>2483</v>
      </c>
      <c r="C1815">
        <v>6720</v>
      </c>
      <c r="D1815" t="s">
        <v>252</v>
      </c>
      <c r="E1815">
        <v>6720</v>
      </c>
      <c r="F1815" s="3">
        <f>(tblSalaries[[#This Row],[clean Salary (in local currency)]])*(VLOOKUP(tblSalaries[[#This Row],[Currency]],Sheet3!$A$2:$C$31,3,FALSE))*(VLOOKUP(tblSalaries[[#This Row],[Currency]],Sheet1!$N$4:$Q$186,4,FALSE))</f>
        <v>6720</v>
      </c>
      <c r="G1815" s="4">
        <f>IF(Dashboard!$J$5=VLOOKUP(tblSalaries[[#This Row],[Currency]],Sheet3!$A$2:$B$31,2,FALSE),tblSalaries[[#This Row],[clean Salary (in local currency)]],(tblSalaries[[#This Row],[PPP Adjusted  USD]]/VLOOKUP(Dashboard!$J$5,Sheet3!$B$2:$C$31,2,FALSE)))</f>
        <v>6720</v>
      </c>
      <c r="H1815" t="s">
        <v>1747</v>
      </c>
      <c r="I1815" t="s">
        <v>658</v>
      </c>
      <c r="J1815" t="s">
        <v>604</v>
      </c>
      <c r="K1815" t="s">
        <v>605</v>
      </c>
      <c r="L1815">
        <v>6</v>
      </c>
    </row>
    <row r="1816" spans="2:12" ht="15" customHeight="1">
      <c r="B1816" t="s">
        <v>3702</v>
      </c>
      <c r="C1816">
        <v>6720</v>
      </c>
      <c r="D1816" t="s">
        <v>252</v>
      </c>
      <c r="E1816">
        <v>6720</v>
      </c>
      <c r="F1816" s="3">
        <f>(tblSalaries[[#This Row],[clean Salary (in local currency)]])*(VLOOKUP(tblSalaries[[#This Row],[Currency]],Sheet3!$A$2:$C$31,3,FALSE))*(VLOOKUP(tblSalaries[[#This Row],[Currency]],Sheet1!$N$4:$Q$186,4,FALSE))</f>
        <v>6720</v>
      </c>
      <c r="G1816" s="4">
        <f>IF(Dashboard!$J$5=VLOOKUP(tblSalaries[[#This Row],[Currency]],Sheet3!$A$2:$B$31,2,FALSE),tblSalaries[[#This Row],[clean Salary (in local currency)]],(tblSalaries[[#This Row],[PPP Adjusted  USD]]/VLOOKUP(Dashboard!$J$5,Sheet3!$B$2:$C$31,2,FALSE)))</f>
        <v>6720</v>
      </c>
      <c r="H1816" t="s">
        <v>3703</v>
      </c>
      <c r="I1816" t="s">
        <v>637</v>
      </c>
      <c r="J1816" t="s">
        <v>604</v>
      </c>
      <c r="K1816" t="s">
        <v>605</v>
      </c>
      <c r="L1816">
        <v>5</v>
      </c>
    </row>
    <row r="1817" spans="2:12" ht="15" customHeight="1">
      <c r="B1817" t="s">
        <v>2491</v>
      </c>
      <c r="C1817">
        <v>140000</v>
      </c>
      <c r="D1817" t="s">
        <v>247</v>
      </c>
      <c r="E1817">
        <v>2493.1083362419595</v>
      </c>
      <c r="F1817" s="3">
        <f>(tblSalaries[[#This Row],[clean Salary (in local currency)]])*(VLOOKUP(tblSalaries[[#This Row],[Currency]],Sheet3!$A$2:$C$31,3,FALSE))*(VLOOKUP(tblSalaries[[#This Row],[Currency]],Sheet1!$N$4:$Q$186,4,FALSE))</f>
        <v>6630.5431288177833</v>
      </c>
      <c r="G1817" s="4">
        <f>IF(Dashboard!$J$5=VLOOKUP(tblSalaries[[#This Row],[Currency]],Sheet3!$A$2:$B$31,2,FALSE),tblSalaries[[#This Row],[clean Salary (in local currency)]],(tblSalaries[[#This Row],[PPP Adjusted  USD]]/VLOOKUP(Dashboard!$J$5,Sheet3!$B$2:$C$31,2,FALSE)))</f>
        <v>6630.5431288177833</v>
      </c>
      <c r="H1817" t="s">
        <v>637</v>
      </c>
      <c r="I1817" t="s">
        <v>637</v>
      </c>
      <c r="J1817" t="s">
        <v>604</v>
      </c>
      <c r="K1817" t="s">
        <v>605</v>
      </c>
      <c r="L1817">
        <v>4</v>
      </c>
    </row>
    <row r="1818" spans="2:12" ht="15" customHeight="1">
      <c r="B1818" t="s">
        <v>3588</v>
      </c>
      <c r="C1818">
        <v>140000</v>
      </c>
      <c r="D1818" t="s">
        <v>247</v>
      </c>
      <c r="E1818">
        <v>2493.1083362419595</v>
      </c>
      <c r="F1818" s="3">
        <f>(tblSalaries[[#This Row],[clean Salary (in local currency)]])*(VLOOKUP(tblSalaries[[#This Row],[Currency]],Sheet3!$A$2:$C$31,3,FALSE))*(VLOOKUP(tblSalaries[[#This Row],[Currency]],Sheet1!$N$4:$Q$186,4,FALSE))</f>
        <v>6630.5431288177833</v>
      </c>
      <c r="G1818" s="4">
        <f>IF(Dashboard!$J$5=VLOOKUP(tblSalaries[[#This Row],[Currency]],Sheet3!$A$2:$B$31,2,FALSE),tblSalaries[[#This Row],[clean Salary (in local currency)]],(tblSalaries[[#This Row],[PPP Adjusted  USD]]/VLOOKUP(Dashboard!$J$5,Sheet3!$B$2:$C$31,2,FALSE)))</f>
        <v>6630.5431288177833</v>
      </c>
      <c r="H1818" t="s">
        <v>3589</v>
      </c>
      <c r="I1818" t="s">
        <v>713</v>
      </c>
      <c r="J1818" t="s">
        <v>604</v>
      </c>
      <c r="K1818" t="s">
        <v>605</v>
      </c>
      <c r="L1818">
        <v>5</v>
      </c>
    </row>
    <row r="1819" spans="2:12" ht="15" customHeight="1">
      <c r="B1819" t="s">
        <v>1427</v>
      </c>
      <c r="C1819">
        <v>6629</v>
      </c>
      <c r="D1819" t="s">
        <v>252</v>
      </c>
      <c r="E1819">
        <v>6629</v>
      </c>
      <c r="F1819" s="3">
        <f>(tblSalaries[[#This Row],[clean Salary (in local currency)]])*(VLOOKUP(tblSalaries[[#This Row],[Currency]],Sheet3!$A$2:$C$31,3,FALSE))*(VLOOKUP(tblSalaries[[#This Row],[Currency]],Sheet1!$N$4:$Q$186,4,FALSE))</f>
        <v>6629</v>
      </c>
      <c r="G1819" s="4">
        <f>IF(Dashboard!$J$5=VLOOKUP(tblSalaries[[#This Row],[Currency]],Sheet3!$A$2:$B$31,2,FALSE),tblSalaries[[#This Row],[clean Salary (in local currency)]],(tblSalaries[[#This Row],[PPP Adjusted  USD]]/VLOOKUP(Dashboard!$J$5,Sheet3!$B$2:$C$31,2,FALSE)))</f>
        <v>6629</v>
      </c>
      <c r="H1819" t="s">
        <v>620</v>
      </c>
      <c r="I1819" t="s">
        <v>620</v>
      </c>
      <c r="J1819" t="s">
        <v>1428</v>
      </c>
      <c r="K1819" t="s">
        <v>610</v>
      </c>
      <c r="L1819" t="s">
        <v>3847</v>
      </c>
    </row>
    <row r="1820" spans="2:12" ht="15" customHeight="1">
      <c r="B1820" t="s">
        <v>2921</v>
      </c>
      <c r="C1820">
        <v>6600</v>
      </c>
      <c r="D1820" t="s">
        <v>252</v>
      </c>
      <c r="E1820">
        <v>6600</v>
      </c>
      <c r="F1820" s="3">
        <f>(tblSalaries[[#This Row],[clean Salary (in local currency)]])*(VLOOKUP(tblSalaries[[#This Row],[Currency]],Sheet3!$A$2:$C$31,3,FALSE))*(VLOOKUP(tblSalaries[[#This Row],[Currency]],Sheet1!$N$4:$Q$186,4,FALSE))</f>
        <v>6600</v>
      </c>
      <c r="G1820" s="4">
        <f>IF(Dashboard!$J$5=VLOOKUP(tblSalaries[[#This Row],[Currency]],Sheet3!$A$2:$B$31,2,FALSE),tblSalaries[[#This Row],[clean Salary (in local currency)]],(tblSalaries[[#This Row],[PPP Adjusted  USD]]/VLOOKUP(Dashboard!$J$5,Sheet3!$B$2:$C$31,2,FALSE)))</f>
        <v>6600</v>
      </c>
      <c r="H1820" t="s">
        <v>2922</v>
      </c>
      <c r="I1820" t="s">
        <v>658</v>
      </c>
      <c r="J1820" t="s">
        <v>604</v>
      </c>
      <c r="K1820" t="s">
        <v>617</v>
      </c>
      <c r="L1820">
        <v>6.4</v>
      </c>
    </row>
    <row r="1821" spans="2:12" ht="15" customHeight="1">
      <c r="B1821" t="s">
        <v>2013</v>
      </c>
      <c r="C1821">
        <v>33600</v>
      </c>
      <c r="D1821" t="s">
        <v>553</v>
      </c>
      <c r="E1821">
        <v>9146.5655463031271</v>
      </c>
      <c r="F1821" s="3">
        <f>(tblSalaries[[#This Row],[clean Salary (in local currency)]])*(VLOOKUP(tblSalaries[[#This Row],[Currency]],Sheet3!$A$2:$C$31,3,FALSE))*(VLOOKUP(tblSalaries[[#This Row],[Currency]],Sheet1!$N$4:$Q$186,4,FALSE))</f>
        <v>6573.5161925547754</v>
      </c>
      <c r="G1821" s="4">
        <f>IF(Dashboard!$J$5=VLOOKUP(tblSalaries[[#This Row],[Currency]],Sheet3!$A$2:$B$31,2,FALSE),tblSalaries[[#This Row],[clean Salary (in local currency)]],(tblSalaries[[#This Row],[PPP Adjusted  USD]]/VLOOKUP(Dashboard!$J$5,Sheet3!$B$2:$C$31,2,FALSE)))</f>
        <v>6573.5161925547754</v>
      </c>
      <c r="H1821" t="s">
        <v>637</v>
      </c>
      <c r="I1821" t="s">
        <v>637</v>
      </c>
      <c r="J1821" t="s">
        <v>1164</v>
      </c>
      <c r="K1821" t="s">
        <v>627</v>
      </c>
      <c r="L1821">
        <v>7</v>
      </c>
    </row>
    <row r="1822" spans="2:12" ht="15" customHeight="1">
      <c r="B1822" t="s">
        <v>3386</v>
      </c>
      <c r="C1822">
        <v>6545</v>
      </c>
      <c r="D1822" t="s">
        <v>252</v>
      </c>
      <c r="E1822">
        <v>6545</v>
      </c>
      <c r="F1822" s="3">
        <f>(tblSalaries[[#This Row],[clean Salary (in local currency)]])*(VLOOKUP(tblSalaries[[#This Row],[Currency]],Sheet3!$A$2:$C$31,3,FALSE))*(VLOOKUP(tblSalaries[[#This Row],[Currency]],Sheet1!$N$4:$Q$186,4,FALSE))</f>
        <v>6545</v>
      </c>
      <c r="G1822" s="4">
        <f>IF(Dashboard!$J$5=VLOOKUP(tblSalaries[[#This Row],[Currency]],Sheet3!$A$2:$B$31,2,FALSE),tblSalaries[[#This Row],[clean Salary (in local currency)]],(tblSalaries[[#This Row],[PPP Adjusted  USD]]/VLOOKUP(Dashboard!$J$5,Sheet3!$B$2:$C$31,2,FALSE)))</f>
        <v>6545</v>
      </c>
      <c r="H1822" t="s">
        <v>1715</v>
      </c>
      <c r="I1822" t="s">
        <v>625</v>
      </c>
      <c r="J1822" t="s">
        <v>604</v>
      </c>
      <c r="K1822" t="s">
        <v>610</v>
      </c>
      <c r="L1822">
        <v>9</v>
      </c>
    </row>
    <row r="1823" spans="2:12" ht="15" customHeight="1">
      <c r="B1823" t="s">
        <v>1531</v>
      </c>
      <c r="C1823">
        <v>6000</v>
      </c>
      <c r="D1823" t="s">
        <v>252</v>
      </c>
      <c r="E1823">
        <v>6000</v>
      </c>
      <c r="F1823" s="3">
        <f>(tblSalaries[[#This Row],[clean Salary (in local currency)]])*(VLOOKUP(tblSalaries[[#This Row],[Currency]],Sheet3!$A$2:$C$31,3,FALSE))*(VLOOKUP(tblSalaries[[#This Row],[Currency]],Sheet1!$N$4:$Q$186,4,FALSE))</f>
        <v>6000</v>
      </c>
      <c r="G1823" s="4">
        <f>IF(Dashboard!$J$5=VLOOKUP(tblSalaries[[#This Row],[Currency]],Sheet3!$A$2:$B$31,2,FALSE),tblSalaries[[#This Row],[clean Salary (in local currency)]],(tblSalaries[[#This Row],[PPP Adjusted  USD]]/VLOOKUP(Dashboard!$J$5,Sheet3!$B$2:$C$31,2,FALSE)))</f>
        <v>6000</v>
      </c>
      <c r="H1823" t="s">
        <v>1166</v>
      </c>
      <c r="I1823" t="s">
        <v>658</v>
      </c>
      <c r="J1823" t="s">
        <v>604</v>
      </c>
      <c r="K1823" t="s">
        <v>610</v>
      </c>
      <c r="L1823" t="s">
        <v>3847</v>
      </c>
    </row>
    <row r="1824" spans="2:12" ht="15" customHeight="1">
      <c r="B1824" t="s">
        <v>1672</v>
      </c>
      <c r="C1824">
        <v>6000</v>
      </c>
      <c r="D1824" t="s">
        <v>252</v>
      </c>
      <c r="E1824">
        <v>6000</v>
      </c>
      <c r="F1824" s="3">
        <f>(tblSalaries[[#This Row],[clean Salary (in local currency)]])*(VLOOKUP(tblSalaries[[#This Row],[Currency]],Sheet3!$A$2:$C$31,3,FALSE))*(VLOOKUP(tblSalaries[[#This Row],[Currency]],Sheet1!$N$4:$Q$186,4,FALSE))</f>
        <v>6000</v>
      </c>
      <c r="G1824" s="4">
        <f>IF(Dashboard!$J$5=VLOOKUP(tblSalaries[[#This Row],[Currency]],Sheet3!$A$2:$B$31,2,FALSE),tblSalaries[[#This Row],[clean Salary (in local currency)]],(tblSalaries[[#This Row],[PPP Adjusted  USD]]/VLOOKUP(Dashboard!$J$5,Sheet3!$B$2:$C$31,2,FALSE)))</f>
        <v>6000</v>
      </c>
      <c r="H1824" t="s">
        <v>1673</v>
      </c>
      <c r="I1824" t="s">
        <v>625</v>
      </c>
      <c r="J1824" t="s">
        <v>1674</v>
      </c>
      <c r="K1824" t="s">
        <v>627</v>
      </c>
      <c r="L1824">
        <v>20</v>
      </c>
    </row>
    <row r="1825" spans="2:12" ht="15" customHeight="1">
      <c r="B1825" t="s">
        <v>1958</v>
      </c>
      <c r="C1825">
        <v>6000</v>
      </c>
      <c r="D1825" t="s">
        <v>252</v>
      </c>
      <c r="E1825">
        <v>6000</v>
      </c>
      <c r="F1825" s="3">
        <f>(tblSalaries[[#This Row],[clean Salary (in local currency)]])*(VLOOKUP(tblSalaries[[#This Row],[Currency]],Sheet3!$A$2:$C$31,3,FALSE))*(VLOOKUP(tblSalaries[[#This Row],[Currency]],Sheet1!$N$4:$Q$186,4,FALSE))</f>
        <v>6000</v>
      </c>
      <c r="G1825" s="4">
        <f>IF(Dashboard!$J$5=VLOOKUP(tblSalaries[[#This Row],[Currency]],Sheet3!$A$2:$B$31,2,FALSE),tblSalaries[[#This Row],[clean Salary (in local currency)]],(tblSalaries[[#This Row],[PPP Adjusted  USD]]/VLOOKUP(Dashboard!$J$5,Sheet3!$B$2:$C$31,2,FALSE)))</f>
        <v>6000</v>
      </c>
      <c r="H1825" t="s">
        <v>1959</v>
      </c>
      <c r="I1825" t="s">
        <v>625</v>
      </c>
      <c r="J1825" t="s">
        <v>604</v>
      </c>
      <c r="K1825" t="s">
        <v>617</v>
      </c>
      <c r="L1825">
        <v>6</v>
      </c>
    </row>
    <row r="1826" spans="2:12" ht="15" customHeight="1">
      <c r="B1826" t="s">
        <v>2113</v>
      </c>
      <c r="C1826">
        <v>6000</v>
      </c>
      <c r="D1826" t="s">
        <v>252</v>
      </c>
      <c r="E1826">
        <v>6000</v>
      </c>
      <c r="F1826" s="3">
        <f>(tblSalaries[[#This Row],[clean Salary (in local currency)]])*(VLOOKUP(tblSalaries[[#This Row],[Currency]],Sheet3!$A$2:$C$31,3,FALSE))*(VLOOKUP(tblSalaries[[#This Row],[Currency]],Sheet1!$N$4:$Q$186,4,FALSE))</f>
        <v>6000</v>
      </c>
      <c r="G1826" s="4">
        <f>IF(Dashboard!$J$5=VLOOKUP(tblSalaries[[#This Row],[Currency]],Sheet3!$A$2:$B$31,2,FALSE),tblSalaries[[#This Row],[clean Salary (in local currency)]],(tblSalaries[[#This Row],[PPP Adjusted  USD]]/VLOOKUP(Dashboard!$J$5,Sheet3!$B$2:$C$31,2,FALSE)))</f>
        <v>6000</v>
      </c>
      <c r="H1826" t="s">
        <v>2114</v>
      </c>
      <c r="I1826" t="s">
        <v>603</v>
      </c>
      <c r="J1826" t="s">
        <v>859</v>
      </c>
      <c r="K1826" t="s">
        <v>627</v>
      </c>
      <c r="L1826">
        <v>10</v>
      </c>
    </row>
    <row r="1827" spans="2:12" ht="15" customHeight="1">
      <c r="B1827" t="s">
        <v>2427</v>
      </c>
      <c r="C1827">
        <v>6000</v>
      </c>
      <c r="D1827" t="s">
        <v>252</v>
      </c>
      <c r="E1827">
        <v>6000</v>
      </c>
      <c r="F1827" s="3">
        <f>(tblSalaries[[#This Row],[clean Salary (in local currency)]])*(VLOOKUP(tblSalaries[[#This Row],[Currency]],Sheet3!$A$2:$C$31,3,FALSE))*(VLOOKUP(tblSalaries[[#This Row],[Currency]],Sheet1!$N$4:$Q$186,4,FALSE))</f>
        <v>6000</v>
      </c>
      <c r="G1827" s="4">
        <f>IF(Dashboard!$J$5=VLOOKUP(tblSalaries[[#This Row],[Currency]],Sheet3!$A$2:$B$31,2,FALSE),tblSalaries[[#This Row],[clean Salary (in local currency)]],(tblSalaries[[#This Row],[PPP Adjusted  USD]]/VLOOKUP(Dashboard!$J$5,Sheet3!$B$2:$C$31,2,FALSE)))</f>
        <v>6000</v>
      </c>
      <c r="H1827" t="s">
        <v>625</v>
      </c>
      <c r="I1827" t="s">
        <v>625</v>
      </c>
      <c r="J1827" t="s">
        <v>604</v>
      </c>
      <c r="K1827" t="s">
        <v>605</v>
      </c>
      <c r="L1827">
        <v>5</v>
      </c>
    </row>
    <row r="1828" spans="2:12" ht="15" customHeight="1">
      <c r="B1828" t="s">
        <v>2603</v>
      </c>
      <c r="C1828">
        <v>6000</v>
      </c>
      <c r="D1828" t="s">
        <v>252</v>
      </c>
      <c r="E1828">
        <v>6000</v>
      </c>
      <c r="F1828" s="3">
        <f>(tblSalaries[[#This Row],[clean Salary (in local currency)]])*(VLOOKUP(tblSalaries[[#This Row],[Currency]],Sheet3!$A$2:$C$31,3,FALSE))*(VLOOKUP(tblSalaries[[#This Row],[Currency]],Sheet1!$N$4:$Q$186,4,FALSE))</f>
        <v>6000</v>
      </c>
      <c r="G1828" s="4">
        <f>IF(Dashboard!$J$5=VLOOKUP(tblSalaries[[#This Row],[Currency]],Sheet3!$A$2:$B$31,2,FALSE),tblSalaries[[#This Row],[clean Salary (in local currency)]],(tblSalaries[[#This Row],[PPP Adjusted  USD]]/VLOOKUP(Dashboard!$J$5,Sheet3!$B$2:$C$31,2,FALSE)))</f>
        <v>6000</v>
      </c>
      <c r="H1828" t="s">
        <v>2604</v>
      </c>
      <c r="I1828" t="s">
        <v>637</v>
      </c>
      <c r="J1828" t="s">
        <v>2291</v>
      </c>
      <c r="K1828" t="s">
        <v>610</v>
      </c>
      <c r="L1828">
        <v>5</v>
      </c>
    </row>
    <row r="1829" spans="2:12" ht="15" customHeight="1">
      <c r="B1829" t="s">
        <v>2620</v>
      </c>
      <c r="C1829">
        <v>6000</v>
      </c>
      <c r="D1829" t="s">
        <v>252</v>
      </c>
      <c r="E1829">
        <v>6000</v>
      </c>
      <c r="F1829" s="3">
        <f>(tblSalaries[[#This Row],[clean Salary (in local currency)]])*(VLOOKUP(tblSalaries[[#This Row],[Currency]],Sheet3!$A$2:$C$31,3,FALSE))*(VLOOKUP(tblSalaries[[#This Row],[Currency]],Sheet1!$N$4:$Q$186,4,FALSE))</f>
        <v>6000</v>
      </c>
      <c r="G1829" s="4">
        <f>IF(Dashboard!$J$5=VLOOKUP(tblSalaries[[#This Row],[Currency]],Sheet3!$A$2:$B$31,2,FALSE),tblSalaries[[#This Row],[clean Salary (in local currency)]],(tblSalaries[[#This Row],[PPP Adjusted  USD]]/VLOOKUP(Dashboard!$J$5,Sheet3!$B$2:$C$31,2,FALSE)))</f>
        <v>6000</v>
      </c>
      <c r="H1829" t="s">
        <v>2621</v>
      </c>
      <c r="I1829" t="s">
        <v>625</v>
      </c>
      <c r="J1829" t="s">
        <v>604</v>
      </c>
      <c r="K1829" t="s">
        <v>605</v>
      </c>
      <c r="L1829">
        <v>6</v>
      </c>
    </row>
    <row r="1830" spans="2:12" ht="15" customHeight="1">
      <c r="B1830" t="s">
        <v>3330</v>
      </c>
      <c r="C1830">
        <v>6000</v>
      </c>
      <c r="D1830" t="s">
        <v>252</v>
      </c>
      <c r="E1830">
        <v>6000</v>
      </c>
      <c r="F1830" s="3">
        <f>(tblSalaries[[#This Row],[clean Salary (in local currency)]])*(VLOOKUP(tblSalaries[[#This Row],[Currency]],Sheet3!$A$2:$C$31,3,FALSE))*(VLOOKUP(tblSalaries[[#This Row],[Currency]],Sheet1!$N$4:$Q$186,4,FALSE))</f>
        <v>6000</v>
      </c>
      <c r="G1830" s="4">
        <f>IF(Dashboard!$J$5=VLOOKUP(tblSalaries[[#This Row],[Currency]],Sheet3!$A$2:$B$31,2,FALSE),tblSalaries[[#This Row],[clean Salary (in local currency)]],(tblSalaries[[#This Row],[PPP Adjusted  USD]]/VLOOKUP(Dashboard!$J$5,Sheet3!$B$2:$C$31,2,FALSE)))</f>
        <v>6000</v>
      </c>
      <c r="H1830" t="s">
        <v>899</v>
      </c>
      <c r="I1830" t="s">
        <v>603</v>
      </c>
      <c r="J1830" t="s">
        <v>604</v>
      </c>
      <c r="K1830" t="s">
        <v>605</v>
      </c>
      <c r="L1830">
        <v>2</v>
      </c>
    </row>
    <row r="1831" spans="2:12" ht="15" customHeight="1">
      <c r="B1831" t="s">
        <v>3526</v>
      </c>
      <c r="C1831">
        <v>6000</v>
      </c>
      <c r="D1831" t="s">
        <v>252</v>
      </c>
      <c r="E1831">
        <v>6000</v>
      </c>
      <c r="F1831" s="3">
        <f>(tblSalaries[[#This Row],[clean Salary (in local currency)]])*(VLOOKUP(tblSalaries[[#This Row],[Currency]],Sheet3!$A$2:$C$31,3,FALSE))*(VLOOKUP(tblSalaries[[#This Row],[Currency]],Sheet1!$N$4:$Q$186,4,FALSE))</f>
        <v>6000</v>
      </c>
      <c r="G1831" s="4">
        <f>IF(Dashboard!$J$5=VLOOKUP(tblSalaries[[#This Row],[Currency]],Sheet3!$A$2:$B$31,2,FALSE),tblSalaries[[#This Row],[clean Salary (in local currency)]],(tblSalaries[[#This Row],[PPP Adjusted  USD]]/VLOOKUP(Dashboard!$J$5,Sheet3!$B$2:$C$31,2,FALSE)))</f>
        <v>6000</v>
      </c>
      <c r="H1831" t="s">
        <v>3527</v>
      </c>
      <c r="I1831" t="s">
        <v>658</v>
      </c>
      <c r="J1831" t="s">
        <v>3528</v>
      </c>
      <c r="K1831" t="s">
        <v>610</v>
      </c>
      <c r="L1831">
        <v>5</v>
      </c>
    </row>
    <row r="1832" spans="2:12" ht="15" customHeight="1">
      <c r="B1832" t="s">
        <v>1493</v>
      </c>
      <c r="C1832">
        <v>125000</v>
      </c>
      <c r="D1832" t="s">
        <v>247</v>
      </c>
      <c r="E1832">
        <v>2225.989585930321</v>
      </c>
      <c r="F1832" s="3">
        <f>(tblSalaries[[#This Row],[clean Salary (in local currency)]])*(VLOOKUP(tblSalaries[[#This Row],[Currency]],Sheet3!$A$2:$C$31,3,FALSE))*(VLOOKUP(tblSalaries[[#This Row],[Currency]],Sheet1!$N$4:$Q$186,4,FALSE))</f>
        <v>5920.1277935873068</v>
      </c>
      <c r="G1832" s="4">
        <f>IF(Dashboard!$J$5=VLOOKUP(tblSalaries[[#This Row],[Currency]],Sheet3!$A$2:$B$31,2,FALSE),tblSalaries[[#This Row],[clean Salary (in local currency)]],(tblSalaries[[#This Row],[PPP Adjusted  USD]]/VLOOKUP(Dashboard!$J$5,Sheet3!$B$2:$C$31,2,FALSE)))</f>
        <v>5920.1277935873068</v>
      </c>
      <c r="H1832" t="s">
        <v>1494</v>
      </c>
      <c r="I1832" t="s">
        <v>603</v>
      </c>
      <c r="J1832" t="s">
        <v>604</v>
      </c>
      <c r="K1832" t="s">
        <v>605</v>
      </c>
      <c r="L1832" t="s">
        <v>3847</v>
      </c>
    </row>
    <row r="1833" spans="2:12" ht="15" customHeight="1">
      <c r="B1833" t="s">
        <v>3401</v>
      </c>
      <c r="C1833">
        <v>125000</v>
      </c>
      <c r="D1833" t="s">
        <v>247</v>
      </c>
      <c r="E1833">
        <v>2225.989585930321</v>
      </c>
      <c r="F1833" s="3">
        <f>(tblSalaries[[#This Row],[clean Salary (in local currency)]])*(VLOOKUP(tblSalaries[[#This Row],[Currency]],Sheet3!$A$2:$C$31,3,FALSE))*(VLOOKUP(tblSalaries[[#This Row],[Currency]],Sheet1!$N$4:$Q$186,4,FALSE))</f>
        <v>5920.1277935873068</v>
      </c>
      <c r="G1833" s="4">
        <f>IF(Dashboard!$J$5=VLOOKUP(tblSalaries[[#This Row],[Currency]],Sheet3!$A$2:$B$31,2,FALSE),tblSalaries[[#This Row],[clean Salary (in local currency)]],(tblSalaries[[#This Row],[PPP Adjusted  USD]]/VLOOKUP(Dashboard!$J$5,Sheet3!$B$2:$C$31,2,FALSE)))</f>
        <v>5920.1277935873068</v>
      </c>
      <c r="H1833" t="s">
        <v>3402</v>
      </c>
      <c r="I1833" t="s">
        <v>603</v>
      </c>
      <c r="J1833" t="s">
        <v>604</v>
      </c>
      <c r="K1833" t="s">
        <v>617</v>
      </c>
      <c r="L1833">
        <v>4</v>
      </c>
    </row>
    <row r="1834" spans="2:12" ht="15" customHeight="1">
      <c r="B1834" t="s">
        <v>601</v>
      </c>
      <c r="C1834">
        <v>5846</v>
      </c>
      <c r="D1834" t="s">
        <v>252</v>
      </c>
      <c r="E1834">
        <v>5846</v>
      </c>
      <c r="F1834" s="3">
        <f>(tblSalaries[[#This Row],[clean Salary (in local currency)]])*(VLOOKUP(tblSalaries[[#This Row],[Currency]],Sheet3!$A$2:$C$31,3,FALSE))*(VLOOKUP(tblSalaries[[#This Row],[Currency]],Sheet1!$N$4:$Q$186,4,FALSE))</f>
        <v>5846</v>
      </c>
      <c r="G1834" s="4">
        <f>IF(Dashboard!$J$5=VLOOKUP(tblSalaries[[#This Row],[Currency]],Sheet3!$A$2:$B$31,2,FALSE),tblSalaries[[#This Row],[clean Salary (in local currency)]],(tblSalaries[[#This Row],[PPP Adjusted  USD]]/VLOOKUP(Dashboard!$J$5,Sheet3!$B$2:$C$31,2,FALSE)))</f>
        <v>5846</v>
      </c>
      <c r="H1834" t="s">
        <v>602</v>
      </c>
      <c r="I1834" t="s">
        <v>603</v>
      </c>
      <c r="J1834" t="s">
        <v>604</v>
      </c>
      <c r="K1834" t="s">
        <v>605</v>
      </c>
      <c r="L1834" t="s">
        <v>3847</v>
      </c>
    </row>
    <row r="1835" spans="2:12" ht="15" customHeight="1">
      <c r="B1835" t="s">
        <v>1821</v>
      </c>
      <c r="C1835">
        <v>5800</v>
      </c>
      <c r="D1835" t="s">
        <v>252</v>
      </c>
      <c r="E1835">
        <v>5800</v>
      </c>
      <c r="F1835" s="3">
        <f>(tblSalaries[[#This Row],[clean Salary (in local currency)]])*(VLOOKUP(tblSalaries[[#This Row],[Currency]],Sheet3!$A$2:$C$31,3,FALSE))*(VLOOKUP(tblSalaries[[#This Row],[Currency]],Sheet1!$N$4:$Q$186,4,FALSE))</f>
        <v>5800</v>
      </c>
      <c r="G1835" s="4">
        <f>IF(Dashboard!$J$5=VLOOKUP(tblSalaries[[#This Row],[Currency]],Sheet3!$A$2:$B$31,2,FALSE),tblSalaries[[#This Row],[clean Salary (in local currency)]],(tblSalaries[[#This Row],[PPP Adjusted  USD]]/VLOOKUP(Dashboard!$J$5,Sheet3!$B$2:$C$31,2,FALSE)))</f>
        <v>5800</v>
      </c>
      <c r="H1835" t="s">
        <v>1822</v>
      </c>
      <c r="I1835" t="s">
        <v>625</v>
      </c>
      <c r="J1835" t="s">
        <v>604</v>
      </c>
      <c r="K1835" t="s">
        <v>610</v>
      </c>
      <c r="L1835">
        <v>8</v>
      </c>
    </row>
    <row r="1836" spans="2:12" ht="15" customHeight="1">
      <c r="B1836" t="s">
        <v>1848</v>
      </c>
      <c r="C1836">
        <v>120000</v>
      </c>
      <c r="D1836" t="s">
        <v>247</v>
      </c>
      <c r="E1836">
        <v>2136.9500024931081</v>
      </c>
      <c r="F1836" s="3">
        <f>(tblSalaries[[#This Row],[clean Salary (in local currency)]])*(VLOOKUP(tblSalaries[[#This Row],[Currency]],Sheet3!$A$2:$C$31,3,FALSE))*(VLOOKUP(tblSalaries[[#This Row],[Currency]],Sheet1!$N$4:$Q$186,4,FALSE))</f>
        <v>5683.3226818438143</v>
      </c>
      <c r="G1836" s="4">
        <f>IF(Dashboard!$J$5=VLOOKUP(tblSalaries[[#This Row],[Currency]],Sheet3!$A$2:$B$31,2,FALSE),tblSalaries[[#This Row],[clean Salary (in local currency)]],(tblSalaries[[#This Row],[PPP Adjusted  USD]]/VLOOKUP(Dashboard!$J$5,Sheet3!$B$2:$C$31,2,FALSE)))</f>
        <v>5683.3226818438143</v>
      </c>
      <c r="H1836" t="s">
        <v>811</v>
      </c>
      <c r="I1836" t="s">
        <v>603</v>
      </c>
      <c r="J1836" t="s">
        <v>604</v>
      </c>
      <c r="K1836" t="s">
        <v>617</v>
      </c>
      <c r="L1836">
        <v>3</v>
      </c>
    </row>
    <row r="1837" spans="2:12" ht="15" customHeight="1">
      <c r="B1837" t="s">
        <v>1887</v>
      </c>
      <c r="C1837">
        <v>120000</v>
      </c>
      <c r="D1837" t="s">
        <v>247</v>
      </c>
      <c r="E1837">
        <v>2136.9500024931081</v>
      </c>
      <c r="F1837" s="3">
        <f>(tblSalaries[[#This Row],[clean Salary (in local currency)]])*(VLOOKUP(tblSalaries[[#This Row],[Currency]],Sheet3!$A$2:$C$31,3,FALSE))*(VLOOKUP(tblSalaries[[#This Row],[Currency]],Sheet1!$N$4:$Q$186,4,FALSE))</f>
        <v>5683.3226818438143</v>
      </c>
      <c r="G1837" s="4">
        <f>IF(Dashboard!$J$5=VLOOKUP(tblSalaries[[#This Row],[Currency]],Sheet3!$A$2:$B$31,2,FALSE),tblSalaries[[#This Row],[clean Salary (in local currency)]],(tblSalaries[[#This Row],[PPP Adjusted  USD]]/VLOOKUP(Dashboard!$J$5,Sheet3!$B$2:$C$31,2,FALSE)))</f>
        <v>5683.3226818438143</v>
      </c>
      <c r="H1837" t="s">
        <v>1888</v>
      </c>
      <c r="I1837" t="s">
        <v>603</v>
      </c>
      <c r="J1837" t="s">
        <v>604</v>
      </c>
      <c r="K1837" t="s">
        <v>627</v>
      </c>
      <c r="L1837">
        <v>0</v>
      </c>
    </row>
    <row r="1838" spans="2:12" ht="15" customHeight="1">
      <c r="B1838" t="s">
        <v>1989</v>
      </c>
      <c r="C1838">
        <v>120000</v>
      </c>
      <c r="D1838" t="s">
        <v>247</v>
      </c>
      <c r="E1838">
        <v>2136.9500024931081</v>
      </c>
      <c r="F1838" s="3">
        <f>(tblSalaries[[#This Row],[clean Salary (in local currency)]])*(VLOOKUP(tblSalaries[[#This Row],[Currency]],Sheet3!$A$2:$C$31,3,FALSE))*(VLOOKUP(tblSalaries[[#This Row],[Currency]],Sheet1!$N$4:$Q$186,4,FALSE))</f>
        <v>5683.3226818438143</v>
      </c>
      <c r="G1838" s="4">
        <f>IF(Dashboard!$J$5=VLOOKUP(tblSalaries[[#This Row],[Currency]],Sheet3!$A$2:$B$31,2,FALSE),tblSalaries[[#This Row],[clean Salary (in local currency)]],(tblSalaries[[#This Row],[PPP Adjusted  USD]]/VLOOKUP(Dashboard!$J$5,Sheet3!$B$2:$C$31,2,FALSE)))</f>
        <v>5683.3226818438143</v>
      </c>
      <c r="H1838" t="s">
        <v>1990</v>
      </c>
      <c r="I1838" t="s">
        <v>637</v>
      </c>
      <c r="J1838" t="s">
        <v>604</v>
      </c>
      <c r="K1838" t="s">
        <v>617</v>
      </c>
      <c r="L1838">
        <v>2</v>
      </c>
    </row>
    <row r="1839" spans="2:12" ht="15" customHeight="1">
      <c r="B1839" t="s">
        <v>2208</v>
      </c>
      <c r="C1839">
        <v>120000</v>
      </c>
      <c r="D1839" t="s">
        <v>247</v>
      </c>
      <c r="E1839">
        <v>2136.9500024931081</v>
      </c>
      <c r="F1839" s="3">
        <f>(tblSalaries[[#This Row],[clean Salary (in local currency)]])*(VLOOKUP(tblSalaries[[#This Row],[Currency]],Sheet3!$A$2:$C$31,3,FALSE))*(VLOOKUP(tblSalaries[[#This Row],[Currency]],Sheet1!$N$4:$Q$186,4,FALSE))</f>
        <v>5683.3226818438143</v>
      </c>
      <c r="G1839" s="4">
        <f>IF(Dashboard!$J$5=VLOOKUP(tblSalaries[[#This Row],[Currency]],Sheet3!$A$2:$B$31,2,FALSE),tblSalaries[[#This Row],[clean Salary (in local currency)]],(tblSalaries[[#This Row],[PPP Adjusted  USD]]/VLOOKUP(Dashboard!$J$5,Sheet3!$B$2:$C$31,2,FALSE)))</f>
        <v>5683.3226818438143</v>
      </c>
      <c r="H1839" t="s">
        <v>2209</v>
      </c>
      <c r="I1839" t="s">
        <v>625</v>
      </c>
      <c r="J1839" t="s">
        <v>604</v>
      </c>
      <c r="K1839" t="s">
        <v>605</v>
      </c>
      <c r="L1839">
        <v>5</v>
      </c>
    </row>
    <row r="1840" spans="2:12" ht="15" customHeight="1">
      <c r="B1840" t="s">
        <v>2410</v>
      </c>
      <c r="C1840">
        <v>120000</v>
      </c>
      <c r="D1840" t="s">
        <v>247</v>
      </c>
      <c r="E1840">
        <v>2136.9500024931081</v>
      </c>
      <c r="F1840" s="3">
        <f>(tblSalaries[[#This Row],[clean Salary (in local currency)]])*(VLOOKUP(tblSalaries[[#This Row],[Currency]],Sheet3!$A$2:$C$31,3,FALSE))*(VLOOKUP(tblSalaries[[#This Row],[Currency]],Sheet1!$N$4:$Q$186,4,FALSE))</f>
        <v>5683.3226818438143</v>
      </c>
      <c r="G1840" s="4">
        <f>IF(Dashboard!$J$5=VLOOKUP(tblSalaries[[#This Row],[Currency]],Sheet3!$A$2:$B$31,2,FALSE),tblSalaries[[#This Row],[clean Salary (in local currency)]],(tblSalaries[[#This Row],[PPP Adjusted  USD]]/VLOOKUP(Dashboard!$J$5,Sheet3!$B$2:$C$31,2,FALSE)))</f>
        <v>5683.3226818438143</v>
      </c>
      <c r="H1840" t="s">
        <v>2411</v>
      </c>
      <c r="I1840" t="s">
        <v>603</v>
      </c>
      <c r="J1840" t="s">
        <v>604</v>
      </c>
      <c r="K1840" t="s">
        <v>617</v>
      </c>
      <c r="L1840">
        <v>3.5</v>
      </c>
    </row>
    <row r="1841" spans="2:12" ht="15" customHeight="1">
      <c r="B1841" t="s">
        <v>1800</v>
      </c>
      <c r="C1841">
        <v>5400</v>
      </c>
      <c r="D1841" t="s">
        <v>252</v>
      </c>
      <c r="E1841">
        <v>5400</v>
      </c>
      <c r="F1841" s="3">
        <f>(tblSalaries[[#This Row],[clean Salary (in local currency)]])*(VLOOKUP(tblSalaries[[#This Row],[Currency]],Sheet3!$A$2:$C$31,3,FALSE))*(VLOOKUP(tblSalaries[[#This Row],[Currency]],Sheet1!$N$4:$Q$186,4,FALSE))</f>
        <v>5400</v>
      </c>
      <c r="G1841" s="4">
        <f>IF(Dashboard!$J$5=VLOOKUP(tblSalaries[[#This Row],[Currency]],Sheet3!$A$2:$B$31,2,FALSE),tblSalaries[[#This Row],[clean Salary (in local currency)]],(tblSalaries[[#This Row],[PPP Adjusted  USD]]/VLOOKUP(Dashboard!$J$5,Sheet3!$B$2:$C$31,2,FALSE)))</f>
        <v>5400</v>
      </c>
      <c r="H1841" t="s">
        <v>1603</v>
      </c>
      <c r="I1841" t="s">
        <v>625</v>
      </c>
      <c r="J1841" t="s">
        <v>604</v>
      </c>
      <c r="K1841" t="s">
        <v>610</v>
      </c>
      <c r="L1841">
        <v>3</v>
      </c>
    </row>
    <row r="1842" spans="2:12" ht="15" customHeight="1">
      <c r="B1842" t="s">
        <v>3585</v>
      </c>
      <c r="C1842">
        <v>5320</v>
      </c>
      <c r="D1842" t="s">
        <v>252</v>
      </c>
      <c r="E1842">
        <v>5320</v>
      </c>
      <c r="F1842" s="3">
        <f>(tblSalaries[[#This Row],[clean Salary (in local currency)]])*(VLOOKUP(tblSalaries[[#This Row],[Currency]],Sheet3!$A$2:$C$31,3,FALSE))*(VLOOKUP(tblSalaries[[#This Row],[Currency]],Sheet1!$N$4:$Q$186,4,FALSE))</f>
        <v>5320</v>
      </c>
      <c r="G1842" s="4">
        <f>IF(Dashboard!$J$5=VLOOKUP(tblSalaries[[#This Row],[Currency]],Sheet3!$A$2:$B$31,2,FALSE),tblSalaries[[#This Row],[clean Salary (in local currency)]],(tblSalaries[[#This Row],[PPP Adjusted  USD]]/VLOOKUP(Dashboard!$J$5,Sheet3!$B$2:$C$31,2,FALSE)))</f>
        <v>5320</v>
      </c>
      <c r="H1842" t="s">
        <v>3586</v>
      </c>
      <c r="I1842" t="s">
        <v>625</v>
      </c>
      <c r="J1842" t="s">
        <v>604</v>
      </c>
      <c r="K1842" t="s">
        <v>617</v>
      </c>
      <c r="L1842">
        <v>5</v>
      </c>
    </row>
    <row r="1843" spans="2:12" ht="15" customHeight="1">
      <c r="B1843" t="s">
        <v>2925</v>
      </c>
      <c r="C1843">
        <v>5300</v>
      </c>
      <c r="D1843" t="s">
        <v>252</v>
      </c>
      <c r="E1843">
        <v>5300</v>
      </c>
      <c r="F1843" s="3">
        <f>(tblSalaries[[#This Row],[clean Salary (in local currency)]])*(VLOOKUP(tblSalaries[[#This Row],[Currency]],Sheet3!$A$2:$C$31,3,FALSE))*(VLOOKUP(tblSalaries[[#This Row],[Currency]],Sheet1!$N$4:$Q$186,4,FALSE))</f>
        <v>5300</v>
      </c>
      <c r="G1843" s="4">
        <f>IF(Dashboard!$J$5=VLOOKUP(tblSalaries[[#This Row],[Currency]],Sheet3!$A$2:$B$31,2,FALSE),tblSalaries[[#This Row],[clean Salary (in local currency)]],(tblSalaries[[#This Row],[PPP Adjusted  USD]]/VLOOKUP(Dashboard!$J$5,Sheet3!$B$2:$C$31,2,FALSE)))</f>
        <v>5300</v>
      </c>
      <c r="H1843" t="s">
        <v>2926</v>
      </c>
      <c r="I1843" t="s">
        <v>625</v>
      </c>
      <c r="J1843" t="s">
        <v>616</v>
      </c>
      <c r="K1843" t="s">
        <v>605</v>
      </c>
      <c r="L1843">
        <v>5</v>
      </c>
    </row>
    <row r="1844" spans="2:12" ht="15" customHeight="1">
      <c r="B1844" t="s">
        <v>1488</v>
      </c>
      <c r="C1844">
        <v>5250</v>
      </c>
      <c r="D1844" t="s">
        <v>252</v>
      </c>
      <c r="E1844">
        <v>5250</v>
      </c>
      <c r="F1844" s="3">
        <f>(tblSalaries[[#This Row],[clean Salary (in local currency)]])*(VLOOKUP(tblSalaries[[#This Row],[Currency]],Sheet3!$A$2:$C$31,3,FALSE))*(VLOOKUP(tblSalaries[[#This Row],[Currency]],Sheet1!$N$4:$Q$186,4,FALSE))</f>
        <v>5250</v>
      </c>
      <c r="G1844" s="4">
        <f>IF(Dashboard!$J$5=VLOOKUP(tblSalaries[[#This Row],[Currency]],Sheet3!$A$2:$B$31,2,FALSE),tblSalaries[[#This Row],[clean Salary (in local currency)]],(tblSalaries[[#This Row],[PPP Adjusted  USD]]/VLOOKUP(Dashboard!$J$5,Sheet3!$B$2:$C$31,2,FALSE)))</f>
        <v>5250</v>
      </c>
      <c r="H1844" t="s">
        <v>1489</v>
      </c>
      <c r="I1844" t="s">
        <v>640</v>
      </c>
      <c r="J1844" t="s">
        <v>1490</v>
      </c>
      <c r="K1844" t="s">
        <v>605</v>
      </c>
      <c r="L1844" t="s">
        <v>3847</v>
      </c>
    </row>
    <row r="1845" spans="2:12" ht="15" customHeight="1">
      <c r="B1845" t="s">
        <v>2469</v>
      </c>
      <c r="C1845">
        <v>5100</v>
      </c>
      <c r="D1845" t="s">
        <v>252</v>
      </c>
      <c r="E1845">
        <v>5100</v>
      </c>
      <c r="F1845" s="3">
        <f>(tblSalaries[[#This Row],[clean Salary (in local currency)]])*(VLOOKUP(tblSalaries[[#This Row],[Currency]],Sheet3!$A$2:$C$31,3,FALSE))*(VLOOKUP(tblSalaries[[#This Row],[Currency]],Sheet1!$N$4:$Q$186,4,FALSE))</f>
        <v>5100</v>
      </c>
      <c r="G1845" s="4">
        <f>IF(Dashboard!$J$5=VLOOKUP(tblSalaries[[#This Row],[Currency]],Sheet3!$A$2:$B$31,2,FALSE),tblSalaries[[#This Row],[clean Salary (in local currency)]],(tblSalaries[[#This Row],[PPP Adjusted  USD]]/VLOOKUP(Dashboard!$J$5,Sheet3!$B$2:$C$31,2,FALSE)))</f>
        <v>5100</v>
      </c>
      <c r="H1845" t="s">
        <v>1747</v>
      </c>
      <c r="I1845" t="s">
        <v>658</v>
      </c>
      <c r="J1845" t="s">
        <v>604</v>
      </c>
      <c r="K1845" t="s">
        <v>610</v>
      </c>
      <c r="L1845">
        <v>8</v>
      </c>
    </row>
    <row r="1846" spans="2:12" ht="15" customHeight="1">
      <c r="B1846" t="s">
        <v>1912</v>
      </c>
      <c r="C1846">
        <v>204000</v>
      </c>
      <c r="D1846" t="s">
        <v>461</v>
      </c>
      <c r="E1846">
        <v>2165.2740982270229</v>
      </c>
      <c r="F1846" s="3">
        <f>(tblSalaries[[#This Row],[clean Salary (in local currency)]])*(VLOOKUP(tblSalaries[[#This Row],[Currency]],Sheet3!$A$2:$C$31,3,FALSE))*(VLOOKUP(tblSalaries[[#This Row],[Currency]],Sheet1!$N$4:$Q$186,4,FALSE))</f>
        <v>5024.1236425242387</v>
      </c>
      <c r="G1846" s="4">
        <f>IF(Dashboard!$J$5=VLOOKUP(tblSalaries[[#This Row],[Currency]],Sheet3!$A$2:$B$31,2,FALSE),tblSalaries[[#This Row],[clean Salary (in local currency)]],(tblSalaries[[#This Row],[PPP Adjusted  USD]]/VLOOKUP(Dashboard!$J$5,Sheet3!$B$2:$C$31,2,FALSE)))</f>
        <v>5024.1236425242387</v>
      </c>
      <c r="H1846" t="s">
        <v>1913</v>
      </c>
      <c r="I1846" t="s">
        <v>625</v>
      </c>
      <c r="J1846" t="s">
        <v>616</v>
      </c>
      <c r="K1846" t="s">
        <v>610</v>
      </c>
      <c r="L1846">
        <v>2</v>
      </c>
    </row>
    <row r="1847" spans="2:12" ht="15" customHeight="1">
      <c r="B1847" t="s">
        <v>1935</v>
      </c>
      <c r="C1847">
        <v>5022</v>
      </c>
      <c r="D1847" t="s">
        <v>252</v>
      </c>
      <c r="E1847">
        <v>5022</v>
      </c>
      <c r="F1847" s="3">
        <f>(tblSalaries[[#This Row],[clean Salary (in local currency)]])*(VLOOKUP(tblSalaries[[#This Row],[Currency]],Sheet3!$A$2:$C$31,3,FALSE))*(VLOOKUP(tblSalaries[[#This Row],[Currency]],Sheet1!$N$4:$Q$186,4,FALSE))</f>
        <v>5022</v>
      </c>
      <c r="G1847" s="4">
        <f>IF(Dashboard!$J$5=VLOOKUP(tblSalaries[[#This Row],[Currency]],Sheet3!$A$2:$B$31,2,FALSE),tblSalaries[[#This Row],[clean Salary (in local currency)]],(tblSalaries[[#This Row],[PPP Adjusted  USD]]/VLOOKUP(Dashboard!$J$5,Sheet3!$B$2:$C$31,2,FALSE)))</f>
        <v>5022</v>
      </c>
      <c r="H1847" t="s">
        <v>1936</v>
      </c>
      <c r="I1847" t="s">
        <v>603</v>
      </c>
      <c r="J1847" t="s">
        <v>616</v>
      </c>
      <c r="K1847" t="s">
        <v>605</v>
      </c>
      <c r="L1847">
        <v>15</v>
      </c>
    </row>
    <row r="1848" spans="2:12" ht="15" customHeight="1">
      <c r="B1848" t="s">
        <v>1454</v>
      </c>
      <c r="C1848">
        <v>5000</v>
      </c>
      <c r="D1848" t="s">
        <v>252</v>
      </c>
      <c r="E1848">
        <v>5000</v>
      </c>
      <c r="F1848" s="3">
        <f>(tblSalaries[[#This Row],[clean Salary (in local currency)]])*(VLOOKUP(tblSalaries[[#This Row],[Currency]],Sheet3!$A$2:$C$31,3,FALSE))*(VLOOKUP(tblSalaries[[#This Row],[Currency]],Sheet1!$N$4:$Q$186,4,FALSE))</f>
        <v>5000</v>
      </c>
      <c r="G1848" s="4">
        <f>IF(Dashboard!$J$5=VLOOKUP(tblSalaries[[#This Row],[Currency]],Sheet3!$A$2:$B$31,2,FALSE),tblSalaries[[#This Row],[clean Salary (in local currency)]],(tblSalaries[[#This Row],[PPP Adjusted  USD]]/VLOOKUP(Dashboard!$J$5,Sheet3!$B$2:$C$31,2,FALSE)))</f>
        <v>5000</v>
      </c>
      <c r="H1848" t="s">
        <v>1455</v>
      </c>
      <c r="I1848" t="s">
        <v>658</v>
      </c>
      <c r="J1848" t="s">
        <v>604</v>
      </c>
      <c r="K1848" t="s">
        <v>605</v>
      </c>
      <c r="L1848" t="s">
        <v>3847</v>
      </c>
    </row>
    <row r="1849" spans="2:12" ht="15" customHeight="1">
      <c r="B1849" t="s">
        <v>2120</v>
      </c>
      <c r="C1849">
        <v>5000</v>
      </c>
      <c r="D1849" t="s">
        <v>252</v>
      </c>
      <c r="E1849">
        <v>5000</v>
      </c>
      <c r="F1849" s="3">
        <f>(tblSalaries[[#This Row],[clean Salary (in local currency)]])*(VLOOKUP(tblSalaries[[#This Row],[Currency]],Sheet3!$A$2:$C$31,3,FALSE))*(VLOOKUP(tblSalaries[[#This Row],[Currency]],Sheet1!$N$4:$Q$186,4,FALSE))</f>
        <v>5000</v>
      </c>
      <c r="G1849" s="4">
        <f>IF(Dashboard!$J$5=VLOOKUP(tblSalaries[[#This Row],[Currency]],Sheet3!$A$2:$B$31,2,FALSE),tblSalaries[[#This Row],[clean Salary (in local currency)]],(tblSalaries[[#This Row],[PPP Adjusted  USD]]/VLOOKUP(Dashboard!$J$5,Sheet3!$B$2:$C$31,2,FALSE)))</f>
        <v>5000</v>
      </c>
      <c r="H1849" t="s">
        <v>2121</v>
      </c>
      <c r="I1849" t="s">
        <v>625</v>
      </c>
      <c r="J1849" t="s">
        <v>604</v>
      </c>
      <c r="K1849" t="s">
        <v>605</v>
      </c>
      <c r="L1849">
        <v>1</v>
      </c>
    </row>
    <row r="1850" spans="2:12" ht="15" customHeight="1">
      <c r="B1850" t="s">
        <v>2145</v>
      </c>
      <c r="C1850">
        <v>5000</v>
      </c>
      <c r="D1850" t="s">
        <v>252</v>
      </c>
      <c r="E1850">
        <v>5000</v>
      </c>
      <c r="F1850" s="3">
        <f>(tblSalaries[[#This Row],[clean Salary (in local currency)]])*(VLOOKUP(tblSalaries[[#This Row],[Currency]],Sheet3!$A$2:$C$31,3,FALSE))*(VLOOKUP(tblSalaries[[#This Row],[Currency]],Sheet1!$N$4:$Q$186,4,FALSE))</f>
        <v>5000</v>
      </c>
      <c r="G1850" s="4">
        <f>IF(Dashboard!$J$5=VLOOKUP(tblSalaries[[#This Row],[Currency]],Sheet3!$A$2:$B$31,2,FALSE),tblSalaries[[#This Row],[clean Salary (in local currency)]],(tblSalaries[[#This Row],[PPP Adjusted  USD]]/VLOOKUP(Dashboard!$J$5,Sheet3!$B$2:$C$31,2,FALSE)))</f>
        <v>5000</v>
      </c>
      <c r="H1850" t="s">
        <v>2146</v>
      </c>
      <c r="I1850" t="s">
        <v>692</v>
      </c>
      <c r="J1850" t="s">
        <v>2147</v>
      </c>
      <c r="K1850" t="s">
        <v>627</v>
      </c>
      <c r="L1850">
        <v>13</v>
      </c>
    </row>
    <row r="1851" spans="2:12" ht="15" customHeight="1">
      <c r="B1851" t="s">
        <v>3163</v>
      </c>
      <c r="C1851">
        <v>5000</v>
      </c>
      <c r="D1851" t="s">
        <v>252</v>
      </c>
      <c r="E1851">
        <v>5000</v>
      </c>
      <c r="F1851" s="3">
        <f>(tblSalaries[[#This Row],[clean Salary (in local currency)]])*(VLOOKUP(tblSalaries[[#This Row],[Currency]],Sheet3!$A$2:$C$31,3,FALSE))*(VLOOKUP(tblSalaries[[#This Row],[Currency]],Sheet1!$N$4:$Q$186,4,FALSE))</f>
        <v>5000</v>
      </c>
      <c r="G1851" s="4">
        <f>IF(Dashboard!$J$5=VLOOKUP(tblSalaries[[#This Row],[Currency]],Sheet3!$A$2:$B$31,2,FALSE),tblSalaries[[#This Row],[clean Salary (in local currency)]],(tblSalaries[[#This Row],[PPP Adjusted  USD]]/VLOOKUP(Dashboard!$J$5,Sheet3!$B$2:$C$31,2,FALSE)))</f>
        <v>5000</v>
      </c>
      <c r="H1851" t="s">
        <v>3164</v>
      </c>
      <c r="I1851" t="s">
        <v>625</v>
      </c>
      <c r="J1851" t="s">
        <v>604</v>
      </c>
      <c r="K1851" t="s">
        <v>610</v>
      </c>
      <c r="L1851">
        <v>4</v>
      </c>
    </row>
    <row r="1852" spans="2:12" ht="15" customHeight="1">
      <c r="B1852" t="s">
        <v>3766</v>
      </c>
      <c r="C1852">
        <v>5000</v>
      </c>
      <c r="D1852" t="s">
        <v>252</v>
      </c>
      <c r="E1852">
        <v>5000</v>
      </c>
      <c r="F1852" s="3">
        <f>(tblSalaries[[#This Row],[clean Salary (in local currency)]])*(VLOOKUP(tblSalaries[[#This Row],[Currency]],Sheet3!$A$2:$C$31,3,FALSE))*(VLOOKUP(tblSalaries[[#This Row],[Currency]],Sheet1!$N$4:$Q$186,4,FALSE))</f>
        <v>5000</v>
      </c>
      <c r="G1852" s="4">
        <f>IF(Dashboard!$J$5=VLOOKUP(tblSalaries[[#This Row],[Currency]],Sheet3!$A$2:$B$31,2,FALSE),tblSalaries[[#This Row],[clean Salary (in local currency)]],(tblSalaries[[#This Row],[PPP Adjusted  USD]]/VLOOKUP(Dashboard!$J$5,Sheet3!$B$2:$C$31,2,FALSE)))</f>
        <v>5000</v>
      </c>
      <c r="H1852" t="s">
        <v>3504</v>
      </c>
      <c r="I1852" t="s">
        <v>603</v>
      </c>
      <c r="J1852" t="s">
        <v>604</v>
      </c>
      <c r="K1852" t="s">
        <v>617</v>
      </c>
      <c r="L1852">
        <v>10</v>
      </c>
    </row>
    <row r="1853" spans="2:12" ht="15" customHeight="1">
      <c r="B1853" t="s">
        <v>3774</v>
      </c>
      <c r="C1853">
        <v>5000</v>
      </c>
      <c r="D1853" t="s">
        <v>252</v>
      </c>
      <c r="E1853">
        <v>5000</v>
      </c>
      <c r="F1853" s="3">
        <f>(tblSalaries[[#This Row],[clean Salary (in local currency)]])*(VLOOKUP(tblSalaries[[#This Row],[Currency]],Sheet3!$A$2:$C$31,3,FALSE))*(VLOOKUP(tblSalaries[[#This Row],[Currency]],Sheet1!$N$4:$Q$186,4,FALSE))</f>
        <v>5000</v>
      </c>
      <c r="G1853" s="4">
        <f>IF(Dashboard!$J$5=VLOOKUP(tblSalaries[[#This Row],[Currency]],Sheet3!$A$2:$B$31,2,FALSE),tblSalaries[[#This Row],[clean Salary (in local currency)]],(tblSalaries[[#This Row],[PPP Adjusted  USD]]/VLOOKUP(Dashboard!$J$5,Sheet3!$B$2:$C$31,2,FALSE)))</f>
        <v>5000</v>
      </c>
      <c r="H1853" t="s">
        <v>3775</v>
      </c>
      <c r="I1853" t="s">
        <v>603</v>
      </c>
      <c r="J1853" t="s">
        <v>604</v>
      </c>
      <c r="K1853" t="s">
        <v>610</v>
      </c>
      <c r="L1853">
        <v>2</v>
      </c>
    </row>
    <row r="1854" spans="2:12" ht="15" customHeight="1">
      <c r="B1854" t="s">
        <v>3803</v>
      </c>
      <c r="C1854">
        <v>5000</v>
      </c>
      <c r="D1854" t="s">
        <v>252</v>
      </c>
      <c r="E1854">
        <v>5000</v>
      </c>
      <c r="F1854" s="3">
        <f>(tblSalaries[[#This Row],[clean Salary (in local currency)]])*(VLOOKUP(tblSalaries[[#This Row],[Currency]],Sheet3!$A$2:$C$31,3,FALSE))*(VLOOKUP(tblSalaries[[#This Row],[Currency]],Sheet1!$N$4:$Q$186,4,FALSE))</f>
        <v>5000</v>
      </c>
      <c r="G1854" s="4">
        <f>IF(Dashboard!$J$5=VLOOKUP(tblSalaries[[#This Row],[Currency]],Sheet3!$A$2:$B$31,2,FALSE),tblSalaries[[#This Row],[clean Salary (in local currency)]],(tblSalaries[[#This Row],[PPP Adjusted  USD]]/VLOOKUP(Dashboard!$J$5,Sheet3!$B$2:$C$31,2,FALSE)))</f>
        <v>5000</v>
      </c>
      <c r="H1854" t="s">
        <v>3804</v>
      </c>
      <c r="I1854" t="s">
        <v>713</v>
      </c>
      <c r="J1854" t="s">
        <v>604</v>
      </c>
      <c r="K1854" t="s">
        <v>605</v>
      </c>
      <c r="L1854">
        <v>3</v>
      </c>
    </row>
    <row r="1855" spans="2:12" ht="15" customHeight="1">
      <c r="B1855" t="s">
        <v>1806</v>
      </c>
      <c r="C1855">
        <v>200000</v>
      </c>
      <c r="D1855" t="s">
        <v>461</v>
      </c>
      <c r="E1855">
        <v>2122.8177433598262</v>
      </c>
      <c r="F1855" s="3">
        <f>(tblSalaries[[#This Row],[clean Salary (in local currency)]])*(VLOOKUP(tblSalaries[[#This Row],[Currency]],Sheet3!$A$2:$C$31,3,FALSE))*(VLOOKUP(tblSalaries[[#This Row],[Currency]],Sheet1!$N$4:$Q$186,4,FALSE))</f>
        <v>4925.611414239449</v>
      </c>
      <c r="G1855" s="4">
        <f>IF(Dashboard!$J$5=VLOOKUP(tblSalaries[[#This Row],[Currency]],Sheet3!$A$2:$B$31,2,FALSE),tblSalaries[[#This Row],[clean Salary (in local currency)]],(tblSalaries[[#This Row],[PPP Adjusted  USD]]/VLOOKUP(Dashboard!$J$5,Sheet3!$B$2:$C$31,2,FALSE)))</f>
        <v>4925.611414239449</v>
      </c>
      <c r="H1855" t="s">
        <v>1807</v>
      </c>
      <c r="I1855" t="s">
        <v>637</v>
      </c>
      <c r="J1855" t="s">
        <v>616</v>
      </c>
      <c r="K1855" t="s">
        <v>617</v>
      </c>
      <c r="L1855">
        <v>2</v>
      </c>
    </row>
    <row r="1856" spans="2:12" ht="15" customHeight="1">
      <c r="B1856" t="s">
        <v>1943</v>
      </c>
      <c r="C1856">
        <v>4800</v>
      </c>
      <c r="D1856" t="s">
        <v>252</v>
      </c>
      <c r="E1856">
        <v>4800</v>
      </c>
      <c r="F1856" s="3">
        <f>(tblSalaries[[#This Row],[clean Salary (in local currency)]])*(VLOOKUP(tblSalaries[[#This Row],[Currency]],Sheet3!$A$2:$C$31,3,FALSE))*(VLOOKUP(tblSalaries[[#This Row],[Currency]],Sheet1!$N$4:$Q$186,4,FALSE))</f>
        <v>4800</v>
      </c>
      <c r="G1856" s="4">
        <f>IF(Dashboard!$J$5=VLOOKUP(tblSalaries[[#This Row],[Currency]],Sheet3!$A$2:$B$31,2,FALSE),tblSalaries[[#This Row],[clean Salary (in local currency)]],(tblSalaries[[#This Row],[PPP Adjusted  USD]]/VLOOKUP(Dashboard!$J$5,Sheet3!$B$2:$C$31,2,FALSE)))</f>
        <v>4800</v>
      </c>
      <c r="H1856" t="s">
        <v>1944</v>
      </c>
      <c r="I1856" t="s">
        <v>603</v>
      </c>
      <c r="J1856" t="s">
        <v>1945</v>
      </c>
      <c r="K1856" t="s">
        <v>605</v>
      </c>
      <c r="L1856">
        <v>2</v>
      </c>
    </row>
    <row r="1857" spans="2:12" ht="15" customHeight="1">
      <c r="B1857" t="s">
        <v>2707</v>
      </c>
      <c r="C1857">
        <v>4800</v>
      </c>
      <c r="D1857" t="s">
        <v>252</v>
      </c>
      <c r="E1857">
        <v>4800</v>
      </c>
      <c r="F1857" s="3">
        <f>(tblSalaries[[#This Row],[clean Salary (in local currency)]])*(VLOOKUP(tblSalaries[[#This Row],[Currency]],Sheet3!$A$2:$C$31,3,FALSE))*(VLOOKUP(tblSalaries[[#This Row],[Currency]],Sheet1!$N$4:$Q$186,4,FALSE))</f>
        <v>4800</v>
      </c>
      <c r="G1857" s="4">
        <f>IF(Dashboard!$J$5=VLOOKUP(tblSalaries[[#This Row],[Currency]],Sheet3!$A$2:$B$31,2,FALSE),tblSalaries[[#This Row],[clean Salary (in local currency)]],(tblSalaries[[#This Row],[PPP Adjusted  USD]]/VLOOKUP(Dashboard!$J$5,Sheet3!$B$2:$C$31,2,FALSE)))</f>
        <v>4800</v>
      </c>
      <c r="H1857" t="s">
        <v>612</v>
      </c>
      <c r="I1857" t="s">
        <v>603</v>
      </c>
      <c r="J1857" t="s">
        <v>604</v>
      </c>
      <c r="K1857" t="s">
        <v>605</v>
      </c>
      <c r="L1857">
        <v>5</v>
      </c>
    </row>
    <row r="1858" spans="2:12" ht="15" customHeight="1">
      <c r="B1858" t="s">
        <v>3658</v>
      </c>
      <c r="C1858">
        <v>4800</v>
      </c>
      <c r="D1858" t="s">
        <v>252</v>
      </c>
      <c r="E1858">
        <v>4800</v>
      </c>
      <c r="F1858" s="3">
        <f>(tblSalaries[[#This Row],[clean Salary (in local currency)]])*(VLOOKUP(tblSalaries[[#This Row],[Currency]],Sheet3!$A$2:$C$31,3,FALSE))*(VLOOKUP(tblSalaries[[#This Row],[Currency]],Sheet1!$N$4:$Q$186,4,FALSE))</f>
        <v>4800</v>
      </c>
      <c r="G1858" s="4">
        <f>IF(Dashboard!$J$5=VLOOKUP(tblSalaries[[#This Row],[Currency]],Sheet3!$A$2:$B$31,2,FALSE),tblSalaries[[#This Row],[clean Salary (in local currency)]],(tblSalaries[[#This Row],[PPP Adjusted  USD]]/VLOOKUP(Dashboard!$J$5,Sheet3!$B$2:$C$31,2,FALSE)))</f>
        <v>4800</v>
      </c>
      <c r="H1858" t="s">
        <v>3659</v>
      </c>
      <c r="I1858" t="s">
        <v>625</v>
      </c>
      <c r="J1858" t="s">
        <v>604</v>
      </c>
      <c r="K1858" t="s">
        <v>610</v>
      </c>
      <c r="L1858">
        <v>3</v>
      </c>
    </row>
    <row r="1859" spans="2:12" ht="15" customHeight="1">
      <c r="B1859" t="s">
        <v>1229</v>
      </c>
      <c r="C1859">
        <v>4545</v>
      </c>
      <c r="D1859" t="s">
        <v>252</v>
      </c>
      <c r="E1859">
        <v>4545</v>
      </c>
      <c r="F1859" s="3">
        <f>(tblSalaries[[#This Row],[clean Salary (in local currency)]])*(VLOOKUP(tblSalaries[[#This Row],[Currency]],Sheet3!$A$2:$C$31,3,FALSE))*(VLOOKUP(tblSalaries[[#This Row],[Currency]],Sheet1!$N$4:$Q$186,4,FALSE))</f>
        <v>4545</v>
      </c>
      <c r="G1859" s="4">
        <f>IF(Dashboard!$J$5=VLOOKUP(tblSalaries[[#This Row],[Currency]],Sheet3!$A$2:$B$31,2,FALSE),tblSalaries[[#This Row],[clean Salary (in local currency)]],(tblSalaries[[#This Row],[PPP Adjusted  USD]]/VLOOKUP(Dashboard!$J$5,Sheet3!$B$2:$C$31,2,FALSE)))</f>
        <v>4545</v>
      </c>
      <c r="H1859" t="s">
        <v>1230</v>
      </c>
      <c r="I1859" t="s">
        <v>603</v>
      </c>
      <c r="J1859" t="s">
        <v>748</v>
      </c>
      <c r="K1859" t="s">
        <v>610</v>
      </c>
      <c r="L1859" t="s">
        <v>3847</v>
      </c>
    </row>
    <row r="1860" spans="2:12" ht="15" customHeight="1">
      <c r="B1860" t="s">
        <v>2161</v>
      </c>
      <c r="C1860">
        <v>4500</v>
      </c>
      <c r="D1860" t="s">
        <v>252</v>
      </c>
      <c r="E1860">
        <v>4500</v>
      </c>
      <c r="F1860" s="3">
        <f>(tblSalaries[[#This Row],[clean Salary (in local currency)]])*(VLOOKUP(tblSalaries[[#This Row],[Currency]],Sheet3!$A$2:$C$31,3,FALSE))*(VLOOKUP(tblSalaries[[#This Row],[Currency]],Sheet1!$N$4:$Q$186,4,FALSE))</f>
        <v>4500</v>
      </c>
      <c r="G1860" s="4">
        <f>IF(Dashboard!$J$5=VLOOKUP(tblSalaries[[#This Row],[Currency]],Sheet3!$A$2:$B$31,2,FALSE),tblSalaries[[#This Row],[clean Salary (in local currency)]],(tblSalaries[[#This Row],[PPP Adjusted  USD]]/VLOOKUP(Dashboard!$J$5,Sheet3!$B$2:$C$31,2,FALSE)))</f>
        <v>4500</v>
      </c>
      <c r="H1860" t="s">
        <v>2162</v>
      </c>
      <c r="I1860" t="s">
        <v>603</v>
      </c>
      <c r="J1860" t="s">
        <v>1758</v>
      </c>
      <c r="K1860" t="s">
        <v>617</v>
      </c>
      <c r="L1860">
        <v>4</v>
      </c>
    </row>
    <row r="1861" spans="2:12" ht="15" customHeight="1">
      <c r="B1861" t="s">
        <v>3316</v>
      </c>
      <c r="C1861">
        <v>4500</v>
      </c>
      <c r="D1861" t="s">
        <v>252</v>
      </c>
      <c r="E1861">
        <v>4500</v>
      </c>
      <c r="F1861" s="3">
        <f>(tblSalaries[[#This Row],[clean Salary (in local currency)]])*(VLOOKUP(tblSalaries[[#This Row],[Currency]],Sheet3!$A$2:$C$31,3,FALSE))*(VLOOKUP(tblSalaries[[#This Row],[Currency]],Sheet1!$N$4:$Q$186,4,FALSE))</f>
        <v>4500</v>
      </c>
      <c r="G1861" s="4">
        <f>IF(Dashboard!$J$5=VLOOKUP(tblSalaries[[#This Row],[Currency]],Sheet3!$A$2:$B$31,2,FALSE),tblSalaries[[#This Row],[clean Salary (in local currency)]],(tblSalaries[[#This Row],[PPP Adjusted  USD]]/VLOOKUP(Dashboard!$J$5,Sheet3!$B$2:$C$31,2,FALSE)))</f>
        <v>4500</v>
      </c>
      <c r="H1861" t="s">
        <v>3317</v>
      </c>
      <c r="I1861" t="s">
        <v>603</v>
      </c>
      <c r="J1861" t="s">
        <v>616</v>
      </c>
      <c r="K1861" t="s">
        <v>605</v>
      </c>
      <c r="L1861">
        <v>6</v>
      </c>
    </row>
    <row r="1862" spans="2:12" ht="15" customHeight="1">
      <c r="B1862" t="s">
        <v>2016</v>
      </c>
      <c r="C1862">
        <v>180000</v>
      </c>
      <c r="D1862" t="s">
        <v>461</v>
      </c>
      <c r="E1862">
        <v>1910.5359690238436</v>
      </c>
      <c r="F1862" s="3">
        <f>(tblSalaries[[#This Row],[clean Salary (in local currency)]])*(VLOOKUP(tblSalaries[[#This Row],[Currency]],Sheet3!$A$2:$C$31,3,FALSE))*(VLOOKUP(tblSalaries[[#This Row],[Currency]],Sheet1!$N$4:$Q$186,4,FALSE))</f>
        <v>4433.0502728155043</v>
      </c>
      <c r="G1862" s="4">
        <f>IF(Dashboard!$J$5=VLOOKUP(tblSalaries[[#This Row],[Currency]],Sheet3!$A$2:$B$31,2,FALSE),tblSalaries[[#This Row],[clean Salary (in local currency)]],(tblSalaries[[#This Row],[PPP Adjusted  USD]]/VLOOKUP(Dashboard!$J$5,Sheet3!$B$2:$C$31,2,FALSE)))</f>
        <v>4433.0502728155043</v>
      </c>
      <c r="H1862" t="s">
        <v>2017</v>
      </c>
      <c r="I1862" t="s">
        <v>658</v>
      </c>
      <c r="J1862" t="s">
        <v>616</v>
      </c>
      <c r="K1862" t="s">
        <v>610</v>
      </c>
      <c r="L1862">
        <v>7</v>
      </c>
    </row>
    <row r="1863" spans="2:12" ht="15" customHeight="1">
      <c r="B1863" t="s">
        <v>2721</v>
      </c>
      <c r="C1863">
        <v>4400</v>
      </c>
      <c r="D1863" t="s">
        <v>252</v>
      </c>
      <c r="E1863">
        <v>4400</v>
      </c>
      <c r="F1863" s="3">
        <f>(tblSalaries[[#This Row],[clean Salary (in local currency)]])*(VLOOKUP(tblSalaries[[#This Row],[Currency]],Sheet3!$A$2:$C$31,3,FALSE))*(VLOOKUP(tblSalaries[[#This Row],[Currency]],Sheet1!$N$4:$Q$186,4,FALSE))</f>
        <v>4400</v>
      </c>
      <c r="G1863" s="4">
        <f>IF(Dashboard!$J$5=VLOOKUP(tblSalaries[[#This Row],[Currency]],Sheet3!$A$2:$B$31,2,FALSE),tblSalaries[[#This Row],[clean Salary (in local currency)]],(tblSalaries[[#This Row],[PPP Adjusted  USD]]/VLOOKUP(Dashboard!$J$5,Sheet3!$B$2:$C$31,2,FALSE)))</f>
        <v>4400</v>
      </c>
      <c r="H1863" t="s">
        <v>2722</v>
      </c>
      <c r="I1863" t="s">
        <v>625</v>
      </c>
      <c r="J1863" t="s">
        <v>2723</v>
      </c>
      <c r="K1863" t="s">
        <v>617</v>
      </c>
      <c r="L1863">
        <v>5</v>
      </c>
    </row>
    <row r="1864" spans="2:12" ht="15" customHeight="1">
      <c r="B1864" t="s">
        <v>3086</v>
      </c>
      <c r="C1864">
        <v>4356</v>
      </c>
      <c r="D1864" t="s">
        <v>252</v>
      </c>
      <c r="E1864">
        <v>4356</v>
      </c>
      <c r="F1864" s="3">
        <f>(tblSalaries[[#This Row],[clean Salary (in local currency)]])*(VLOOKUP(tblSalaries[[#This Row],[Currency]],Sheet3!$A$2:$C$31,3,FALSE))*(VLOOKUP(tblSalaries[[#This Row],[Currency]],Sheet1!$N$4:$Q$186,4,FALSE))</f>
        <v>4356</v>
      </c>
      <c r="G1864" s="4">
        <f>IF(Dashboard!$J$5=VLOOKUP(tblSalaries[[#This Row],[Currency]],Sheet3!$A$2:$B$31,2,FALSE),tblSalaries[[#This Row],[clean Salary (in local currency)]],(tblSalaries[[#This Row],[PPP Adjusted  USD]]/VLOOKUP(Dashboard!$J$5,Sheet3!$B$2:$C$31,2,FALSE)))</f>
        <v>4356</v>
      </c>
      <c r="H1864" t="s">
        <v>899</v>
      </c>
      <c r="I1864" t="s">
        <v>603</v>
      </c>
      <c r="J1864" t="s">
        <v>604</v>
      </c>
      <c r="K1864" t="s">
        <v>605</v>
      </c>
      <c r="L1864">
        <v>5</v>
      </c>
    </row>
    <row r="1865" spans="2:12" ht="15" customHeight="1">
      <c r="B1865" t="s">
        <v>730</v>
      </c>
      <c r="C1865">
        <v>4320</v>
      </c>
      <c r="D1865" t="s">
        <v>252</v>
      </c>
      <c r="E1865">
        <v>4320</v>
      </c>
      <c r="F1865" s="3">
        <f>(tblSalaries[[#This Row],[clean Salary (in local currency)]])*(VLOOKUP(tblSalaries[[#This Row],[Currency]],Sheet3!$A$2:$C$31,3,FALSE))*(VLOOKUP(tblSalaries[[#This Row],[Currency]],Sheet1!$N$4:$Q$186,4,FALSE))</f>
        <v>4320</v>
      </c>
      <c r="G1865" s="4">
        <f>IF(Dashboard!$J$5=VLOOKUP(tblSalaries[[#This Row],[Currency]],Sheet3!$A$2:$B$31,2,FALSE),tblSalaries[[#This Row],[clean Salary (in local currency)]],(tblSalaries[[#This Row],[PPP Adjusted  USD]]/VLOOKUP(Dashboard!$J$5,Sheet3!$B$2:$C$31,2,FALSE)))</f>
        <v>4320</v>
      </c>
      <c r="H1865" t="s">
        <v>731</v>
      </c>
      <c r="I1865" t="s">
        <v>637</v>
      </c>
      <c r="J1865" t="s">
        <v>604</v>
      </c>
      <c r="K1865" t="s">
        <v>617</v>
      </c>
      <c r="L1865" t="s">
        <v>3847</v>
      </c>
    </row>
    <row r="1866" spans="2:12" ht="15" customHeight="1">
      <c r="B1866" t="s">
        <v>1670</v>
      </c>
      <c r="C1866">
        <v>4285</v>
      </c>
      <c r="D1866" t="s">
        <v>252</v>
      </c>
      <c r="E1866">
        <v>4285</v>
      </c>
      <c r="F1866" s="3">
        <f>(tblSalaries[[#This Row],[clean Salary (in local currency)]])*(VLOOKUP(tblSalaries[[#This Row],[Currency]],Sheet3!$A$2:$C$31,3,FALSE))*(VLOOKUP(tblSalaries[[#This Row],[Currency]],Sheet1!$N$4:$Q$186,4,FALSE))</f>
        <v>4285</v>
      </c>
      <c r="G1866" s="4">
        <f>IF(Dashboard!$J$5=VLOOKUP(tblSalaries[[#This Row],[Currency]],Sheet3!$A$2:$B$31,2,FALSE),tblSalaries[[#This Row],[clean Salary (in local currency)]],(tblSalaries[[#This Row],[PPP Adjusted  USD]]/VLOOKUP(Dashboard!$J$5,Sheet3!$B$2:$C$31,2,FALSE)))</f>
        <v>4285</v>
      </c>
      <c r="H1866" t="s">
        <v>1671</v>
      </c>
      <c r="I1866" t="s">
        <v>603</v>
      </c>
      <c r="J1866" t="s">
        <v>604</v>
      </c>
      <c r="K1866" t="s">
        <v>610</v>
      </c>
      <c r="L1866">
        <v>6</v>
      </c>
    </row>
    <row r="1867" spans="2:12" ht="15" customHeight="1">
      <c r="B1867" t="s">
        <v>1759</v>
      </c>
      <c r="C1867">
        <v>4200</v>
      </c>
      <c r="D1867" t="s">
        <v>252</v>
      </c>
      <c r="E1867">
        <v>4200</v>
      </c>
      <c r="F1867" s="3">
        <f>(tblSalaries[[#This Row],[clean Salary (in local currency)]])*(VLOOKUP(tblSalaries[[#This Row],[Currency]],Sheet3!$A$2:$C$31,3,FALSE))*(VLOOKUP(tblSalaries[[#This Row],[Currency]],Sheet1!$N$4:$Q$186,4,FALSE))</f>
        <v>4200</v>
      </c>
      <c r="G1867" s="4">
        <f>IF(Dashboard!$J$5=VLOOKUP(tblSalaries[[#This Row],[Currency]],Sheet3!$A$2:$B$31,2,FALSE),tblSalaries[[#This Row],[clean Salary (in local currency)]],(tblSalaries[[#This Row],[PPP Adjusted  USD]]/VLOOKUP(Dashboard!$J$5,Sheet3!$B$2:$C$31,2,FALSE)))</f>
        <v>4200</v>
      </c>
      <c r="H1867" t="s">
        <v>1747</v>
      </c>
      <c r="I1867" t="s">
        <v>658</v>
      </c>
      <c r="J1867" t="s">
        <v>604</v>
      </c>
      <c r="K1867" t="s">
        <v>610</v>
      </c>
      <c r="L1867">
        <v>4</v>
      </c>
    </row>
    <row r="1868" spans="2:12" ht="15" customHeight="1">
      <c r="B1868" t="s">
        <v>2609</v>
      </c>
      <c r="C1868">
        <v>168000</v>
      </c>
      <c r="D1868" t="s">
        <v>461</v>
      </c>
      <c r="E1868">
        <v>1783.166904422254</v>
      </c>
      <c r="F1868" s="3">
        <f>(tblSalaries[[#This Row],[clean Salary (in local currency)]])*(VLOOKUP(tblSalaries[[#This Row],[Currency]],Sheet3!$A$2:$C$31,3,FALSE))*(VLOOKUP(tblSalaries[[#This Row],[Currency]],Sheet1!$N$4:$Q$186,4,FALSE))</f>
        <v>4137.5135879611371</v>
      </c>
      <c r="G1868" s="4">
        <f>IF(Dashboard!$J$5=VLOOKUP(tblSalaries[[#This Row],[Currency]],Sheet3!$A$2:$B$31,2,FALSE),tblSalaries[[#This Row],[clean Salary (in local currency)]],(tblSalaries[[#This Row],[PPP Adjusted  USD]]/VLOOKUP(Dashboard!$J$5,Sheet3!$B$2:$C$31,2,FALSE)))</f>
        <v>4137.5135879611371</v>
      </c>
      <c r="H1868" t="s">
        <v>2610</v>
      </c>
      <c r="I1868" t="s">
        <v>637</v>
      </c>
      <c r="J1868" t="s">
        <v>616</v>
      </c>
      <c r="K1868" t="s">
        <v>605</v>
      </c>
      <c r="L1868">
        <v>10</v>
      </c>
    </row>
    <row r="1869" spans="2:12" ht="15" customHeight="1">
      <c r="B1869" t="s">
        <v>3393</v>
      </c>
      <c r="C1869">
        <v>4019</v>
      </c>
      <c r="D1869" t="s">
        <v>252</v>
      </c>
      <c r="E1869">
        <v>4019</v>
      </c>
      <c r="F1869" s="3">
        <f>(tblSalaries[[#This Row],[clean Salary (in local currency)]])*(VLOOKUP(tblSalaries[[#This Row],[Currency]],Sheet3!$A$2:$C$31,3,FALSE))*(VLOOKUP(tblSalaries[[#This Row],[Currency]],Sheet1!$N$4:$Q$186,4,FALSE))</f>
        <v>4019</v>
      </c>
      <c r="G1869" s="4">
        <f>IF(Dashboard!$J$5=VLOOKUP(tblSalaries[[#This Row],[Currency]],Sheet3!$A$2:$B$31,2,FALSE),tblSalaries[[#This Row],[clean Salary (in local currency)]],(tblSalaries[[#This Row],[PPP Adjusted  USD]]/VLOOKUP(Dashboard!$J$5,Sheet3!$B$2:$C$31,2,FALSE)))</f>
        <v>4019</v>
      </c>
      <c r="H1869" t="s">
        <v>3394</v>
      </c>
      <c r="I1869" t="s">
        <v>640</v>
      </c>
      <c r="J1869" t="s">
        <v>1146</v>
      </c>
      <c r="K1869" t="s">
        <v>617</v>
      </c>
      <c r="L1869">
        <v>3</v>
      </c>
    </row>
    <row r="1870" spans="2:12" ht="15" customHeight="1">
      <c r="B1870" t="s">
        <v>1753</v>
      </c>
      <c r="C1870">
        <v>4000</v>
      </c>
      <c r="D1870" t="s">
        <v>252</v>
      </c>
      <c r="E1870">
        <v>4000</v>
      </c>
      <c r="F1870" s="3">
        <f>(tblSalaries[[#This Row],[clean Salary (in local currency)]])*(VLOOKUP(tblSalaries[[#This Row],[Currency]],Sheet3!$A$2:$C$31,3,FALSE))*(VLOOKUP(tblSalaries[[#This Row],[Currency]],Sheet1!$N$4:$Q$186,4,FALSE))</f>
        <v>4000</v>
      </c>
      <c r="G1870" s="4">
        <f>IF(Dashboard!$J$5=VLOOKUP(tblSalaries[[#This Row],[Currency]],Sheet3!$A$2:$B$31,2,FALSE),tblSalaries[[#This Row],[clean Salary (in local currency)]],(tblSalaries[[#This Row],[PPP Adjusted  USD]]/VLOOKUP(Dashboard!$J$5,Sheet3!$B$2:$C$31,2,FALSE)))</f>
        <v>4000</v>
      </c>
      <c r="H1870" t="s">
        <v>1747</v>
      </c>
      <c r="I1870" t="s">
        <v>658</v>
      </c>
      <c r="J1870" t="s">
        <v>604</v>
      </c>
      <c r="K1870" t="s">
        <v>610</v>
      </c>
      <c r="L1870">
        <v>6</v>
      </c>
    </row>
    <row r="1871" spans="2:12" ht="15" customHeight="1">
      <c r="B1871" t="s">
        <v>1788</v>
      </c>
      <c r="C1871">
        <v>4000</v>
      </c>
      <c r="D1871" t="s">
        <v>252</v>
      </c>
      <c r="E1871">
        <v>4000</v>
      </c>
      <c r="F1871" s="3">
        <f>(tblSalaries[[#This Row],[clean Salary (in local currency)]])*(VLOOKUP(tblSalaries[[#This Row],[Currency]],Sheet3!$A$2:$C$31,3,FALSE))*(VLOOKUP(tblSalaries[[#This Row],[Currency]],Sheet1!$N$4:$Q$186,4,FALSE))</f>
        <v>4000</v>
      </c>
      <c r="G1871" s="4">
        <f>IF(Dashboard!$J$5=VLOOKUP(tblSalaries[[#This Row],[Currency]],Sheet3!$A$2:$B$31,2,FALSE),tblSalaries[[#This Row],[clean Salary (in local currency)]],(tblSalaries[[#This Row],[PPP Adjusted  USD]]/VLOOKUP(Dashboard!$J$5,Sheet3!$B$2:$C$31,2,FALSE)))</f>
        <v>4000</v>
      </c>
      <c r="H1871" t="s">
        <v>1747</v>
      </c>
      <c r="I1871" t="s">
        <v>658</v>
      </c>
      <c r="J1871" t="s">
        <v>604</v>
      </c>
      <c r="K1871" t="s">
        <v>610</v>
      </c>
      <c r="L1871">
        <v>4</v>
      </c>
    </row>
    <row r="1872" spans="2:12" ht="15" customHeight="1">
      <c r="B1872" t="s">
        <v>1798</v>
      </c>
      <c r="C1872">
        <v>4000</v>
      </c>
      <c r="D1872" t="s">
        <v>252</v>
      </c>
      <c r="E1872">
        <v>4000</v>
      </c>
      <c r="F1872" s="3">
        <f>(tblSalaries[[#This Row],[clean Salary (in local currency)]])*(VLOOKUP(tblSalaries[[#This Row],[Currency]],Sheet3!$A$2:$C$31,3,FALSE))*(VLOOKUP(tblSalaries[[#This Row],[Currency]],Sheet1!$N$4:$Q$186,4,FALSE))</f>
        <v>4000</v>
      </c>
      <c r="G1872" s="4">
        <f>IF(Dashboard!$J$5=VLOOKUP(tblSalaries[[#This Row],[Currency]],Sheet3!$A$2:$B$31,2,FALSE),tblSalaries[[#This Row],[clean Salary (in local currency)]],(tblSalaries[[#This Row],[PPP Adjusted  USD]]/VLOOKUP(Dashboard!$J$5,Sheet3!$B$2:$C$31,2,FALSE)))</f>
        <v>4000</v>
      </c>
      <c r="H1872" t="s">
        <v>1799</v>
      </c>
      <c r="I1872" t="s">
        <v>625</v>
      </c>
      <c r="J1872" t="s">
        <v>604</v>
      </c>
      <c r="K1872" t="s">
        <v>610</v>
      </c>
      <c r="L1872">
        <v>8</v>
      </c>
    </row>
    <row r="1873" spans="2:12" ht="15" customHeight="1">
      <c r="B1873" t="s">
        <v>3135</v>
      </c>
      <c r="C1873">
        <v>4000</v>
      </c>
      <c r="D1873" t="s">
        <v>252</v>
      </c>
      <c r="E1873">
        <v>4000</v>
      </c>
      <c r="F1873" s="3">
        <f>(tblSalaries[[#This Row],[clean Salary (in local currency)]])*(VLOOKUP(tblSalaries[[#This Row],[Currency]],Sheet3!$A$2:$C$31,3,FALSE))*(VLOOKUP(tblSalaries[[#This Row],[Currency]],Sheet1!$N$4:$Q$186,4,FALSE))</f>
        <v>4000</v>
      </c>
      <c r="G1873" s="4">
        <f>IF(Dashboard!$J$5=VLOOKUP(tblSalaries[[#This Row],[Currency]],Sheet3!$A$2:$B$31,2,FALSE),tblSalaries[[#This Row],[clean Salary (in local currency)]],(tblSalaries[[#This Row],[PPP Adjusted  USD]]/VLOOKUP(Dashboard!$J$5,Sheet3!$B$2:$C$31,2,FALSE)))</f>
        <v>4000</v>
      </c>
      <c r="H1873" t="s">
        <v>3136</v>
      </c>
      <c r="I1873" t="s">
        <v>603</v>
      </c>
      <c r="J1873" t="s">
        <v>604</v>
      </c>
      <c r="K1873" t="s">
        <v>610</v>
      </c>
      <c r="L1873">
        <v>6</v>
      </c>
    </row>
    <row r="1874" spans="2:12" ht="15" customHeight="1">
      <c r="B1874" t="s">
        <v>3789</v>
      </c>
      <c r="C1874">
        <v>4000</v>
      </c>
      <c r="D1874" t="s">
        <v>252</v>
      </c>
      <c r="E1874">
        <v>4000</v>
      </c>
      <c r="F1874" s="3">
        <f>(tblSalaries[[#This Row],[clean Salary (in local currency)]])*(VLOOKUP(tblSalaries[[#This Row],[Currency]],Sheet3!$A$2:$C$31,3,FALSE))*(VLOOKUP(tblSalaries[[#This Row],[Currency]],Sheet1!$N$4:$Q$186,4,FALSE))</f>
        <v>4000</v>
      </c>
      <c r="G1874" s="4">
        <f>IF(Dashboard!$J$5=VLOOKUP(tblSalaries[[#This Row],[Currency]],Sheet3!$A$2:$B$31,2,FALSE),tblSalaries[[#This Row],[clean Salary (in local currency)]],(tblSalaries[[#This Row],[PPP Adjusted  USD]]/VLOOKUP(Dashboard!$J$5,Sheet3!$B$2:$C$31,2,FALSE)))</f>
        <v>4000</v>
      </c>
      <c r="H1874" t="s">
        <v>3790</v>
      </c>
      <c r="I1874" t="s">
        <v>603</v>
      </c>
      <c r="J1874" t="s">
        <v>604</v>
      </c>
      <c r="K1874" t="s">
        <v>617</v>
      </c>
      <c r="L1874">
        <v>4</v>
      </c>
    </row>
    <row r="1875" spans="2:12" ht="15" customHeight="1">
      <c r="B1875" t="s">
        <v>1271</v>
      </c>
      <c r="C1875">
        <v>3800</v>
      </c>
      <c r="D1875" t="s">
        <v>252</v>
      </c>
      <c r="E1875">
        <v>3800</v>
      </c>
      <c r="F1875" s="3">
        <f>(tblSalaries[[#This Row],[clean Salary (in local currency)]])*(VLOOKUP(tblSalaries[[#This Row],[Currency]],Sheet3!$A$2:$C$31,3,FALSE))*(VLOOKUP(tblSalaries[[#This Row],[Currency]],Sheet1!$N$4:$Q$186,4,FALSE))</f>
        <v>3800</v>
      </c>
      <c r="G1875" s="4">
        <f>IF(Dashboard!$J$5=VLOOKUP(tblSalaries[[#This Row],[Currency]],Sheet3!$A$2:$B$31,2,FALSE),tblSalaries[[#This Row],[clean Salary (in local currency)]],(tblSalaries[[#This Row],[PPP Adjusted  USD]]/VLOOKUP(Dashboard!$J$5,Sheet3!$B$2:$C$31,2,FALSE)))</f>
        <v>3800</v>
      </c>
      <c r="H1875" t="s">
        <v>1272</v>
      </c>
      <c r="I1875" t="s">
        <v>658</v>
      </c>
      <c r="J1875" t="s">
        <v>604</v>
      </c>
      <c r="K1875" t="s">
        <v>605</v>
      </c>
      <c r="L1875" t="s">
        <v>3847</v>
      </c>
    </row>
    <row r="1876" spans="2:12" ht="15" customHeight="1">
      <c r="B1876" t="s">
        <v>3624</v>
      </c>
      <c r="C1876">
        <v>3600</v>
      </c>
      <c r="D1876" t="s">
        <v>252</v>
      </c>
      <c r="E1876">
        <v>3600</v>
      </c>
      <c r="F1876" s="3">
        <f>(tblSalaries[[#This Row],[clean Salary (in local currency)]])*(VLOOKUP(tblSalaries[[#This Row],[Currency]],Sheet3!$A$2:$C$31,3,FALSE))*(VLOOKUP(tblSalaries[[#This Row],[Currency]],Sheet1!$N$4:$Q$186,4,FALSE))</f>
        <v>3600</v>
      </c>
      <c r="G1876" s="4">
        <f>IF(Dashboard!$J$5=VLOOKUP(tblSalaries[[#This Row],[Currency]],Sheet3!$A$2:$B$31,2,FALSE),tblSalaries[[#This Row],[clean Salary (in local currency)]],(tblSalaries[[#This Row],[PPP Adjusted  USD]]/VLOOKUP(Dashboard!$J$5,Sheet3!$B$2:$C$31,2,FALSE)))</f>
        <v>3600</v>
      </c>
      <c r="H1876" t="s">
        <v>603</v>
      </c>
      <c r="I1876" t="s">
        <v>603</v>
      </c>
      <c r="J1876" t="s">
        <v>604</v>
      </c>
      <c r="K1876" t="s">
        <v>605</v>
      </c>
      <c r="L1876">
        <v>1</v>
      </c>
    </row>
    <row r="1877" spans="2:12" ht="15" customHeight="1">
      <c r="B1877" t="s">
        <v>2386</v>
      </c>
      <c r="C1877">
        <v>240000</v>
      </c>
      <c r="D1877" t="s">
        <v>514</v>
      </c>
      <c r="E1877">
        <v>1805.7739622442759</v>
      </c>
      <c r="F1877" s="3">
        <f>(tblSalaries[[#This Row],[clean Salary (in local currency)]])*(VLOOKUP(tblSalaries[[#This Row],[Currency]],Sheet3!$A$2:$C$31,3,FALSE))*(VLOOKUP(tblSalaries[[#This Row],[Currency]],Sheet1!$N$4:$Q$186,4,FALSE))</f>
        <v>3561.159206936461</v>
      </c>
      <c r="G1877" s="4">
        <f>IF(Dashboard!$J$5=VLOOKUP(tblSalaries[[#This Row],[Currency]],Sheet3!$A$2:$B$31,2,FALSE),tblSalaries[[#This Row],[clean Salary (in local currency)]],(tblSalaries[[#This Row],[PPP Adjusted  USD]]/VLOOKUP(Dashboard!$J$5,Sheet3!$B$2:$C$31,2,FALSE)))</f>
        <v>3561.159206936461</v>
      </c>
      <c r="H1877" t="s">
        <v>2074</v>
      </c>
      <c r="I1877" t="s">
        <v>625</v>
      </c>
      <c r="J1877" t="s">
        <v>1738</v>
      </c>
      <c r="K1877" t="s">
        <v>605</v>
      </c>
      <c r="L1877">
        <v>3</v>
      </c>
    </row>
    <row r="1878" spans="2:12" ht="15" customHeight="1">
      <c r="B1878" t="s">
        <v>2526</v>
      </c>
      <c r="C1878">
        <v>3500</v>
      </c>
      <c r="D1878" t="s">
        <v>252</v>
      </c>
      <c r="E1878">
        <v>3500</v>
      </c>
      <c r="F1878" s="3">
        <f>(tblSalaries[[#This Row],[clean Salary (in local currency)]])*(VLOOKUP(tblSalaries[[#This Row],[Currency]],Sheet3!$A$2:$C$31,3,FALSE))*(VLOOKUP(tblSalaries[[#This Row],[Currency]],Sheet1!$N$4:$Q$186,4,FALSE))</f>
        <v>3500</v>
      </c>
      <c r="G1878" s="4">
        <f>IF(Dashboard!$J$5=VLOOKUP(tblSalaries[[#This Row],[Currency]],Sheet3!$A$2:$B$31,2,FALSE),tblSalaries[[#This Row],[clean Salary (in local currency)]],(tblSalaries[[#This Row],[PPP Adjusted  USD]]/VLOOKUP(Dashboard!$J$5,Sheet3!$B$2:$C$31,2,FALSE)))</f>
        <v>3500</v>
      </c>
      <c r="H1878" t="s">
        <v>2527</v>
      </c>
      <c r="I1878" t="s">
        <v>625</v>
      </c>
      <c r="J1878" t="s">
        <v>616</v>
      </c>
      <c r="K1878" t="s">
        <v>605</v>
      </c>
      <c r="L1878">
        <v>4</v>
      </c>
    </row>
    <row r="1879" spans="2:12" ht="15" customHeight="1">
      <c r="B1879" t="s">
        <v>2275</v>
      </c>
      <c r="C1879">
        <v>3480</v>
      </c>
      <c r="D1879" t="s">
        <v>252</v>
      </c>
      <c r="E1879">
        <v>3480</v>
      </c>
      <c r="F1879" s="3">
        <f>(tblSalaries[[#This Row],[clean Salary (in local currency)]])*(VLOOKUP(tblSalaries[[#This Row],[Currency]],Sheet3!$A$2:$C$31,3,FALSE))*(VLOOKUP(tblSalaries[[#This Row],[Currency]],Sheet1!$N$4:$Q$186,4,FALSE))</f>
        <v>3480</v>
      </c>
      <c r="G1879" s="4">
        <f>IF(Dashboard!$J$5=VLOOKUP(tblSalaries[[#This Row],[Currency]],Sheet3!$A$2:$B$31,2,FALSE),tblSalaries[[#This Row],[clean Salary (in local currency)]],(tblSalaries[[#This Row],[PPP Adjusted  USD]]/VLOOKUP(Dashboard!$J$5,Sheet3!$B$2:$C$31,2,FALSE)))</f>
        <v>3480</v>
      </c>
      <c r="H1879" t="s">
        <v>2276</v>
      </c>
      <c r="I1879" t="s">
        <v>625</v>
      </c>
      <c r="J1879" t="s">
        <v>616</v>
      </c>
      <c r="K1879" t="s">
        <v>610</v>
      </c>
      <c r="L1879">
        <v>6</v>
      </c>
    </row>
    <row r="1880" spans="2:12" ht="15" customHeight="1">
      <c r="B1880" t="s">
        <v>3405</v>
      </c>
      <c r="C1880">
        <v>3360</v>
      </c>
      <c r="D1880" t="s">
        <v>252</v>
      </c>
      <c r="E1880">
        <v>3360</v>
      </c>
      <c r="F1880" s="3">
        <f>(tblSalaries[[#This Row],[clean Salary (in local currency)]])*(VLOOKUP(tblSalaries[[#This Row],[Currency]],Sheet3!$A$2:$C$31,3,FALSE))*(VLOOKUP(tblSalaries[[#This Row],[Currency]],Sheet1!$N$4:$Q$186,4,FALSE))</f>
        <v>3360</v>
      </c>
      <c r="G1880" s="4">
        <f>IF(Dashboard!$J$5=VLOOKUP(tblSalaries[[#This Row],[Currency]],Sheet3!$A$2:$B$31,2,FALSE),tblSalaries[[#This Row],[clean Salary (in local currency)]],(tblSalaries[[#This Row],[PPP Adjusted  USD]]/VLOOKUP(Dashboard!$J$5,Sheet3!$B$2:$C$31,2,FALSE)))</f>
        <v>3360</v>
      </c>
      <c r="H1880" t="s">
        <v>3406</v>
      </c>
      <c r="I1880" t="s">
        <v>603</v>
      </c>
      <c r="J1880" t="s">
        <v>604</v>
      </c>
      <c r="K1880" t="s">
        <v>627</v>
      </c>
      <c r="L1880">
        <v>3</v>
      </c>
    </row>
    <row r="1881" spans="2:12" ht="15" customHeight="1">
      <c r="B1881" t="s">
        <v>3139</v>
      </c>
      <c r="C1881">
        <v>3200</v>
      </c>
      <c r="D1881" t="s">
        <v>252</v>
      </c>
      <c r="E1881">
        <v>3200</v>
      </c>
      <c r="F1881" s="3">
        <f>(tblSalaries[[#This Row],[clean Salary (in local currency)]])*(VLOOKUP(tblSalaries[[#This Row],[Currency]],Sheet3!$A$2:$C$31,3,FALSE))*(VLOOKUP(tblSalaries[[#This Row],[Currency]],Sheet1!$N$4:$Q$186,4,FALSE))</f>
        <v>3200</v>
      </c>
      <c r="G1881" s="4">
        <f>IF(Dashboard!$J$5=VLOOKUP(tblSalaries[[#This Row],[Currency]],Sheet3!$A$2:$B$31,2,FALSE),tblSalaries[[#This Row],[clean Salary (in local currency)]],(tblSalaries[[#This Row],[PPP Adjusted  USD]]/VLOOKUP(Dashboard!$J$5,Sheet3!$B$2:$C$31,2,FALSE)))</f>
        <v>3200</v>
      </c>
      <c r="H1881" t="s">
        <v>3140</v>
      </c>
      <c r="I1881" t="s">
        <v>625</v>
      </c>
      <c r="J1881" t="s">
        <v>604</v>
      </c>
      <c r="K1881" t="s">
        <v>610</v>
      </c>
      <c r="L1881">
        <v>19</v>
      </c>
    </row>
    <row r="1882" spans="2:12" ht="15" customHeight="1">
      <c r="B1882" t="s">
        <v>1866</v>
      </c>
      <c r="C1882">
        <v>3000</v>
      </c>
      <c r="D1882" t="s">
        <v>252</v>
      </c>
      <c r="E1882">
        <v>3000</v>
      </c>
      <c r="F1882" s="3">
        <f>(tblSalaries[[#This Row],[clean Salary (in local currency)]])*(VLOOKUP(tblSalaries[[#This Row],[Currency]],Sheet3!$A$2:$C$31,3,FALSE))*(VLOOKUP(tblSalaries[[#This Row],[Currency]],Sheet1!$N$4:$Q$186,4,FALSE))</f>
        <v>3000</v>
      </c>
      <c r="G1882" s="4">
        <f>IF(Dashboard!$J$5=VLOOKUP(tblSalaries[[#This Row],[Currency]],Sheet3!$A$2:$B$31,2,FALSE),tblSalaries[[#This Row],[clean Salary (in local currency)]],(tblSalaries[[#This Row],[PPP Adjusted  USD]]/VLOOKUP(Dashboard!$J$5,Sheet3!$B$2:$C$31,2,FALSE)))</f>
        <v>3000</v>
      </c>
      <c r="H1882" t="s">
        <v>1867</v>
      </c>
      <c r="I1882" t="s">
        <v>692</v>
      </c>
      <c r="J1882" t="s">
        <v>1868</v>
      </c>
      <c r="K1882" t="s">
        <v>617</v>
      </c>
      <c r="L1882">
        <v>2</v>
      </c>
    </row>
    <row r="1883" spans="2:12" ht="15" customHeight="1">
      <c r="B1883" t="s">
        <v>2138</v>
      </c>
      <c r="C1883">
        <v>3000</v>
      </c>
      <c r="D1883" t="s">
        <v>252</v>
      </c>
      <c r="E1883">
        <v>3000</v>
      </c>
      <c r="F1883" s="3">
        <f>(tblSalaries[[#This Row],[clean Salary (in local currency)]])*(VLOOKUP(tblSalaries[[#This Row],[Currency]],Sheet3!$A$2:$C$31,3,FALSE))*(VLOOKUP(tblSalaries[[#This Row],[Currency]],Sheet1!$N$4:$Q$186,4,FALSE))</f>
        <v>3000</v>
      </c>
      <c r="G1883" s="4">
        <f>IF(Dashboard!$J$5=VLOOKUP(tblSalaries[[#This Row],[Currency]],Sheet3!$A$2:$B$31,2,FALSE),tblSalaries[[#This Row],[clean Salary (in local currency)]],(tblSalaries[[#This Row],[PPP Adjusted  USD]]/VLOOKUP(Dashboard!$J$5,Sheet3!$B$2:$C$31,2,FALSE)))</f>
        <v>3000</v>
      </c>
      <c r="H1883" t="s">
        <v>776</v>
      </c>
      <c r="I1883" t="s">
        <v>603</v>
      </c>
      <c r="J1883" t="s">
        <v>616</v>
      </c>
      <c r="K1883" t="s">
        <v>617</v>
      </c>
      <c r="L1883">
        <v>2</v>
      </c>
    </row>
    <row r="1884" spans="2:12" ht="15" customHeight="1">
      <c r="B1884" t="s">
        <v>2875</v>
      </c>
      <c r="C1884">
        <v>3000</v>
      </c>
      <c r="D1884" t="s">
        <v>252</v>
      </c>
      <c r="E1884">
        <v>3000</v>
      </c>
      <c r="F1884" s="3">
        <f>(tblSalaries[[#This Row],[clean Salary (in local currency)]])*(VLOOKUP(tblSalaries[[#This Row],[Currency]],Sheet3!$A$2:$C$31,3,FALSE))*(VLOOKUP(tblSalaries[[#This Row],[Currency]],Sheet1!$N$4:$Q$186,4,FALSE))</f>
        <v>3000</v>
      </c>
      <c r="G1884" s="4">
        <f>IF(Dashboard!$J$5=VLOOKUP(tblSalaries[[#This Row],[Currency]],Sheet3!$A$2:$B$31,2,FALSE),tblSalaries[[#This Row],[clean Salary (in local currency)]],(tblSalaries[[#This Row],[PPP Adjusted  USD]]/VLOOKUP(Dashboard!$J$5,Sheet3!$B$2:$C$31,2,FALSE)))</f>
        <v>3000</v>
      </c>
      <c r="H1884" t="s">
        <v>2876</v>
      </c>
      <c r="I1884" t="s">
        <v>637</v>
      </c>
      <c r="J1884" t="s">
        <v>1738</v>
      </c>
      <c r="K1884" t="s">
        <v>605</v>
      </c>
      <c r="L1884">
        <v>2</v>
      </c>
    </row>
    <row r="1885" spans="2:12" ht="15" customHeight="1">
      <c r="B1885" t="s">
        <v>3621</v>
      </c>
      <c r="C1885">
        <v>3000</v>
      </c>
      <c r="D1885" t="s">
        <v>252</v>
      </c>
      <c r="E1885">
        <v>3000</v>
      </c>
      <c r="F1885" s="3">
        <f>(tblSalaries[[#This Row],[clean Salary (in local currency)]])*(VLOOKUP(tblSalaries[[#This Row],[Currency]],Sheet3!$A$2:$C$31,3,FALSE))*(VLOOKUP(tblSalaries[[#This Row],[Currency]],Sheet1!$N$4:$Q$186,4,FALSE))</f>
        <v>3000</v>
      </c>
      <c r="G1885" s="4">
        <f>IF(Dashboard!$J$5=VLOOKUP(tblSalaries[[#This Row],[Currency]],Sheet3!$A$2:$B$31,2,FALSE),tblSalaries[[#This Row],[clean Salary (in local currency)]],(tblSalaries[[#This Row],[PPP Adjusted  USD]]/VLOOKUP(Dashboard!$J$5,Sheet3!$B$2:$C$31,2,FALSE)))</f>
        <v>3000</v>
      </c>
      <c r="H1885" t="s">
        <v>1757</v>
      </c>
      <c r="I1885" t="s">
        <v>603</v>
      </c>
      <c r="J1885" t="s">
        <v>1362</v>
      </c>
      <c r="K1885" t="s">
        <v>627</v>
      </c>
      <c r="L1885">
        <v>12</v>
      </c>
    </row>
    <row r="1886" spans="2:12" ht="15" customHeight="1">
      <c r="B1886" t="s">
        <v>2444</v>
      </c>
      <c r="C1886">
        <v>2400</v>
      </c>
      <c r="D1886" t="s">
        <v>252</v>
      </c>
      <c r="E1886">
        <v>2400</v>
      </c>
      <c r="F1886" s="3">
        <f>(tblSalaries[[#This Row],[clean Salary (in local currency)]])*(VLOOKUP(tblSalaries[[#This Row],[Currency]],Sheet3!$A$2:$C$31,3,FALSE))*(VLOOKUP(tblSalaries[[#This Row],[Currency]],Sheet1!$N$4:$Q$186,4,FALSE))</f>
        <v>2400</v>
      </c>
      <c r="G1886" s="4">
        <f>IF(Dashboard!$J$5=VLOOKUP(tblSalaries[[#This Row],[Currency]],Sheet3!$A$2:$B$31,2,FALSE),tblSalaries[[#This Row],[clean Salary (in local currency)]],(tblSalaries[[#This Row],[PPP Adjusted  USD]]/VLOOKUP(Dashboard!$J$5,Sheet3!$B$2:$C$31,2,FALSE)))</f>
        <v>2400</v>
      </c>
      <c r="H1886" t="s">
        <v>1807</v>
      </c>
      <c r="I1886" t="s">
        <v>637</v>
      </c>
      <c r="J1886" t="s">
        <v>616</v>
      </c>
      <c r="K1886" t="s">
        <v>617</v>
      </c>
      <c r="L1886">
        <v>15</v>
      </c>
    </row>
    <row r="1887" spans="2:12" ht="15" customHeight="1">
      <c r="B1887" t="s">
        <v>3619</v>
      </c>
      <c r="C1887">
        <v>2400</v>
      </c>
      <c r="D1887" t="s">
        <v>252</v>
      </c>
      <c r="E1887">
        <v>2400</v>
      </c>
      <c r="F1887" s="3">
        <f>(tblSalaries[[#This Row],[clean Salary (in local currency)]])*(VLOOKUP(tblSalaries[[#This Row],[Currency]],Sheet3!$A$2:$C$31,3,FALSE))*(VLOOKUP(tblSalaries[[#This Row],[Currency]],Sheet1!$N$4:$Q$186,4,FALSE))</f>
        <v>2400</v>
      </c>
      <c r="G1887" s="4">
        <f>IF(Dashboard!$J$5=VLOOKUP(tblSalaries[[#This Row],[Currency]],Sheet3!$A$2:$B$31,2,FALSE),tblSalaries[[#This Row],[clean Salary (in local currency)]],(tblSalaries[[#This Row],[PPP Adjusted  USD]]/VLOOKUP(Dashboard!$J$5,Sheet3!$B$2:$C$31,2,FALSE)))</f>
        <v>2400</v>
      </c>
      <c r="H1887" t="s">
        <v>3620</v>
      </c>
      <c r="I1887" t="s">
        <v>603</v>
      </c>
      <c r="J1887" t="s">
        <v>604</v>
      </c>
      <c r="K1887" t="s">
        <v>617</v>
      </c>
      <c r="L1887">
        <v>3</v>
      </c>
    </row>
    <row r="1888" spans="2:12" ht="15" customHeight="1">
      <c r="B1888" t="s">
        <v>1697</v>
      </c>
      <c r="C1888">
        <v>96000</v>
      </c>
      <c r="D1888" t="s">
        <v>285</v>
      </c>
      <c r="E1888">
        <v>15092.18020692008</v>
      </c>
      <c r="F1888" s="3">
        <f>(tblSalaries[[#This Row],[clean Salary (in local currency)]])*(VLOOKUP(tblSalaries[[#This Row],[Currency]],Sheet3!$A$2:$C$31,3,FALSE))*(VLOOKUP(tblSalaries[[#This Row],[Currency]],Sheet1!$N$4:$Q$186,4,FALSE))</f>
        <v>2336.773068872194</v>
      </c>
      <c r="G1888" s="4">
        <f>IF(Dashboard!$J$5=VLOOKUP(tblSalaries[[#This Row],[Currency]],Sheet3!$A$2:$B$31,2,FALSE),tblSalaries[[#This Row],[clean Salary (in local currency)]],(tblSalaries[[#This Row],[PPP Adjusted  USD]]/VLOOKUP(Dashboard!$J$5,Sheet3!$B$2:$C$31,2,FALSE)))</f>
        <v>2336.773068872194</v>
      </c>
      <c r="H1888" t="s">
        <v>1698</v>
      </c>
      <c r="I1888" t="s">
        <v>637</v>
      </c>
      <c r="J1888" t="s">
        <v>1699</v>
      </c>
      <c r="K1888" t="s">
        <v>605</v>
      </c>
      <c r="L1888">
        <v>10</v>
      </c>
    </row>
    <row r="1894" spans="2:13">
      <c r="B1894" t="s">
        <v>3849</v>
      </c>
    </row>
    <row r="1896" spans="2:13">
      <c r="B1896" t="s">
        <v>3841</v>
      </c>
      <c r="C1896" s="8" t="s">
        <v>3840</v>
      </c>
      <c r="D1896" t="s">
        <v>3850</v>
      </c>
      <c r="E1896" t="s">
        <v>3841</v>
      </c>
      <c r="G1896" t="s">
        <v>3836</v>
      </c>
      <c r="H1896" t="s">
        <v>3854</v>
      </c>
      <c r="I1896" s="28" t="s">
        <v>627</v>
      </c>
      <c r="J1896" s="28" t="s">
        <v>617</v>
      </c>
      <c r="K1896" s="28" t="s">
        <v>605</v>
      </c>
      <c r="L1896" s="27" t="s">
        <v>610</v>
      </c>
      <c r="M1896" s="27" t="s">
        <v>862</v>
      </c>
    </row>
    <row r="1897" spans="2:13">
      <c r="B1897" t="s">
        <v>637</v>
      </c>
      <c r="C1897" s="7">
        <f t="array" ref="C1897">MEDIAN(IF(I13:I1888=B1897,G13:G1888))</f>
        <v>44026.115439202084</v>
      </c>
      <c r="D1897" s="6">
        <f t="array" ref="D1897">COUNTIF($I$13:$I$1888,B1897)</f>
        <v>135</v>
      </c>
      <c r="E1897" t="s">
        <v>637</v>
      </c>
      <c r="G1897" t="s">
        <v>613</v>
      </c>
      <c r="H1897">
        <f t="array" ref="H1897">COUNTIF($J$13:$J$1888,G1897)</f>
        <v>617</v>
      </c>
      <c r="I1897">
        <f>COUNTIFS($J$13:$J$1888,G1897,$K$13:$K$1888,$I$1896)</f>
        <v>43</v>
      </c>
      <c r="J1897">
        <f>COUNTIFS($J$13:$J$1888,G1897,$K$13:$K$1888,$J$1896)</f>
        <v>155</v>
      </c>
      <c r="K1897">
        <f>COUNTIFS($J$13:$J$1888,G1897,$K$13:$K$1888,$K$1896)</f>
        <v>282</v>
      </c>
      <c r="L1897">
        <f>COUNTIFS($J$13:$J$1888,G1897,$K$13:$K$1888,$L$1896)</f>
        <v>134</v>
      </c>
      <c r="M1897">
        <f>COUNTIFS($J$13:$J$1888,G1897,$K$13:$K$1888,$M$1896)</f>
        <v>3</v>
      </c>
    </row>
    <row r="1898" spans="2:13">
      <c r="B1898" t="s">
        <v>603</v>
      </c>
      <c r="C1898" s="7">
        <f t="array" ref="C1898">MEDIAN(IF(I13:I1888=B1898,G13:G1888))</f>
        <v>44219.136149412829</v>
      </c>
      <c r="D1898" s="6">
        <f t="array" ref="D1898">COUNTIF($I$13:$I$1888,B1898)</f>
        <v>740</v>
      </c>
      <c r="E1898" t="s">
        <v>603</v>
      </c>
      <c r="G1898" t="s">
        <v>604</v>
      </c>
      <c r="H1898">
        <f t="array" ref="H1898">COUNTIF($J$13:$J$1888,G1898)</f>
        <v>565</v>
      </c>
      <c r="I1898">
        <f t="shared" ref="I1898:I1961" si="0">COUNTIFS($J$13:$J$1888,G1898,$K$13:$K$1888,$I$1896)</f>
        <v>62</v>
      </c>
      <c r="J1898">
        <f t="shared" ref="J1898:J1961" si="1">COUNTIFS($J$13:$J$1888,G1898,$K$13:$K$1888,$J$1896)</f>
        <v>136</v>
      </c>
      <c r="K1898">
        <f t="shared" ref="K1898:K1961" si="2">COUNTIFS($J$13:$J$1888,G1898,$K$13:$K$1888,$K$1896)</f>
        <v>202</v>
      </c>
      <c r="L1898">
        <f t="shared" ref="L1898:L1961" si="3">COUNTIFS($J$13:$J$1888,G1898,$K$13:$K$1888,$L$1896)</f>
        <v>163</v>
      </c>
      <c r="M1898">
        <f t="shared" ref="M1898:M1961" si="4">COUNTIFS($J$13:$J$1888,G1898,$K$13:$K$1888,$M$1896)</f>
        <v>2</v>
      </c>
    </row>
    <row r="1899" spans="2:13">
      <c r="B1899" t="s">
        <v>692</v>
      </c>
      <c r="C1899" s="7">
        <f t="array" ref="C1899">MEDIAN(IF(I13:I1888=B1899,G13:G1888))</f>
        <v>52957.337917782628</v>
      </c>
      <c r="D1899" s="6">
        <f t="array" ref="D1899">COUNTIF($I$13:$I$1888,B1899)</f>
        <v>90</v>
      </c>
      <c r="E1899" t="s">
        <v>692</v>
      </c>
      <c r="G1899" t="s">
        <v>687</v>
      </c>
      <c r="H1899">
        <f t="array" ref="H1899">COUNTIF($J$13:$J$1888,G1899)</f>
        <v>154</v>
      </c>
      <c r="I1899">
        <f t="shared" si="0"/>
        <v>8</v>
      </c>
      <c r="J1899">
        <f t="shared" si="1"/>
        <v>40</v>
      </c>
      <c r="K1899">
        <f t="shared" si="2"/>
        <v>69</v>
      </c>
      <c r="L1899">
        <f t="shared" si="3"/>
        <v>36</v>
      </c>
      <c r="M1899">
        <f t="shared" si="4"/>
        <v>1</v>
      </c>
    </row>
    <row r="1900" spans="2:13">
      <c r="B1900" t="s">
        <v>608</v>
      </c>
      <c r="C1900" s="7">
        <f t="array" ref="C1900">MEDIAN(IF(I13:I1888=B1900,G13:G1888))</f>
        <v>55032.644299002604</v>
      </c>
      <c r="D1900" s="6">
        <f t="array" ref="D1900">COUNTIF($I$13:$I$1888,B1900)</f>
        <v>67</v>
      </c>
      <c r="E1900" t="s">
        <v>608</v>
      </c>
      <c r="G1900" t="s">
        <v>703</v>
      </c>
      <c r="H1900">
        <f t="array" ref="H1900">COUNTIF($J$13:$J$1888,G1900)</f>
        <v>81</v>
      </c>
      <c r="I1900">
        <f t="shared" si="0"/>
        <v>10</v>
      </c>
      <c r="J1900">
        <f t="shared" si="1"/>
        <v>26</v>
      </c>
      <c r="K1900">
        <f t="shared" si="2"/>
        <v>34</v>
      </c>
      <c r="L1900">
        <f t="shared" si="3"/>
        <v>11</v>
      </c>
      <c r="M1900">
        <f t="shared" si="4"/>
        <v>0</v>
      </c>
    </row>
    <row r="1901" spans="2:13">
      <c r="B1901" t="s">
        <v>633</v>
      </c>
      <c r="C1901" s="7">
        <f t="array" ref="C1901">MEDIAN(IF(I13:I1888=B1901,G13:G1888))</f>
        <v>95000</v>
      </c>
      <c r="D1901" s="6">
        <f t="array" ref="D1901">COUNTIF($I$13:$I$1888,B1901)</f>
        <v>75</v>
      </c>
      <c r="E1901" t="s">
        <v>633</v>
      </c>
      <c r="G1901" t="s">
        <v>708</v>
      </c>
      <c r="H1901">
        <f t="array" ref="H1901">COUNTIF($J$13:$J$1888,G1901)</f>
        <v>58</v>
      </c>
      <c r="I1901">
        <f t="shared" si="0"/>
        <v>7</v>
      </c>
      <c r="J1901">
        <f t="shared" si="1"/>
        <v>13</v>
      </c>
      <c r="K1901">
        <f t="shared" si="2"/>
        <v>25</v>
      </c>
      <c r="L1901">
        <f t="shared" si="3"/>
        <v>12</v>
      </c>
      <c r="M1901">
        <f t="shared" si="4"/>
        <v>1</v>
      </c>
    </row>
    <row r="1902" spans="2:13">
      <c r="B1902" t="s">
        <v>620</v>
      </c>
      <c r="C1902" s="7">
        <f t="array" ref="C1902">MEDIAN(IF(I13:I1888=B1902,G13:G1888))</f>
        <v>45409.937839787694</v>
      </c>
      <c r="D1902" s="6">
        <f t="array" ref="D1902">COUNTIF($I$13:$I$1888,B1902)</f>
        <v>74</v>
      </c>
      <c r="E1902" t="s">
        <v>620</v>
      </c>
      <c r="G1902" t="s">
        <v>616</v>
      </c>
      <c r="H1902">
        <f t="array" ref="H1902">COUNTIF($J$13:$J$1888,G1902)</f>
        <v>29</v>
      </c>
      <c r="I1902">
        <f t="shared" si="0"/>
        <v>2</v>
      </c>
      <c r="J1902">
        <f t="shared" si="1"/>
        <v>5</v>
      </c>
      <c r="K1902">
        <f t="shared" si="2"/>
        <v>13</v>
      </c>
      <c r="L1902">
        <f t="shared" si="3"/>
        <v>9</v>
      </c>
      <c r="M1902">
        <f t="shared" si="4"/>
        <v>0</v>
      </c>
    </row>
    <row r="1903" spans="2:13">
      <c r="B1903" t="s">
        <v>625</v>
      </c>
      <c r="C1903" s="7">
        <f t="array" ref="C1903">MEDIAN(IF(I13:I1888=B1903,G13:G1888))</f>
        <v>43934.992036951386</v>
      </c>
      <c r="D1903" s="6">
        <f t="array" ref="D1903">COUNTIF($I$13:$I$1888,B1903)</f>
        <v>554</v>
      </c>
      <c r="E1903" t="s">
        <v>625</v>
      </c>
      <c r="G1903" t="s">
        <v>722</v>
      </c>
      <c r="H1903">
        <f t="array" ref="H1903">COUNTIF($J$13:$J$1888,G1903)</f>
        <v>23</v>
      </c>
      <c r="I1903">
        <f t="shared" si="0"/>
        <v>4</v>
      </c>
      <c r="J1903">
        <f t="shared" si="1"/>
        <v>3</v>
      </c>
      <c r="K1903">
        <f t="shared" si="2"/>
        <v>11</v>
      </c>
      <c r="L1903">
        <f t="shared" si="3"/>
        <v>5</v>
      </c>
      <c r="M1903">
        <f t="shared" si="4"/>
        <v>0</v>
      </c>
    </row>
    <row r="1904" spans="2:13">
      <c r="B1904" t="s">
        <v>713</v>
      </c>
      <c r="C1904" s="7">
        <f t="array" ref="C1904">MEDIAN(IF(I13:I1888=B1904,G13:G1888))</f>
        <v>74461</v>
      </c>
      <c r="D1904" s="6">
        <f t="array" ref="D1904">COUNTIF($I$13:$I$1888,B1904)</f>
        <v>7</v>
      </c>
      <c r="E1904" t="s">
        <v>713</v>
      </c>
      <c r="G1904" t="s">
        <v>659</v>
      </c>
      <c r="H1904">
        <f t="array" ref="H1904">COUNTIF($J$13:$J$1888,G1904)</f>
        <v>19</v>
      </c>
      <c r="I1904">
        <f t="shared" si="0"/>
        <v>0</v>
      </c>
      <c r="J1904">
        <f t="shared" si="1"/>
        <v>2</v>
      </c>
      <c r="K1904">
        <f t="shared" si="2"/>
        <v>9</v>
      </c>
      <c r="L1904">
        <f t="shared" si="3"/>
        <v>8</v>
      </c>
      <c r="M1904">
        <f t="shared" si="4"/>
        <v>0</v>
      </c>
    </row>
    <row r="1905" spans="2:13">
      <c r="B1905" t="s">
        <v>658</v>
      </c>
      <c r="C1905" s="7">
        <f t="array" ref="C1905">MEDIAN(IF(I13:I1888=B1905,G13:G1888))</f>
        <v>13071.642168240774</v>
      </c>
      <c r="D1905" s="6">
        <f t="array" ref="D1905">COUNTIF($I$13:$I$1888,B1905)</f>
        <v>83</v>
      </c>
      <c r="E1905" t="s">
        <v>658</v>
      </c>
      <c r="G1905" t="s">
        <v>770</v>
      </c>
      <c r="H1905">
        <f t="array" ref="H1905">COUNTIF($J$13:$J$1888,G1905)</f>
        <v>19</v>
      </c>
      <c r="I1905">
        <f t="shared" si="0"/>
        <v>1</v>
      </c>
      <c r="J1905">
        <f t="shared" si="1"/>
        <v>6</v>
      </c>
      <c r="K1905">
        <f t="shared" si="2"/>
        <v>7</v>
      </c>
      <c r="L1905">
        <f t="shared" si="3"/>
        <v>5</v>
      </c>
      <c r="M1905">
        <f t="shared" si="4"/>
        <v>0</v>
      </c>
    </row>
    <row r="1906" spans="2:13">
      <c r="B1906" t="s">
        <v>640</v>
      </c>
      <c r="C1906" s="7">
        <f t="array" ref="C1906">MEDIAN(IF(I13:I1888=B1906,G13:G1888))</f>
        <v>47361.022348698454</v>
      </c>
      <c r="D1906" s="6">
        <f t="array" ref="D1906">COUNTIF($I$13:$I$1888,B1906)</f>
        <v>51</v>
      </c>
      <c r="E1906" t="s">
        <v>640</v>
      </c>
      <c r="G1906" t="s">
        <v>795</v>
      </c>
      <c r="H1906">
        <f t="array" ref="H1906">COUNTIF($J$13:$J$1888,G1906)</f>
        <v>17</v>
      </c>
      <c r="I1906">
        <f t="shared" si="0"/>
        <v>4</v>
      </c>
      <c r="J1906">
        <f t="shared" si="1"/>
        <v>1</v>
      </c>
      <c r="K1906">
        <f t="shared" si="2"/>
        <v>5</v>
      </c>
      <c r="L1906">
        <f t="shared" si="3"/>
        <v>7</v>
      </c>
      <c r="M1906">
        <f t="shared" si="4"/>
        <v>0</v>
      </c>
    </row>
    <row r="1907" spans="2:13">
      <c r="E1907" t="s">
        <v>3851</v>
      </c>
      <c r="G1907" t="s">
        <v>626</v>
      </c>
      <c r="H1907">
        <f t="array" ref="H1907">COUNTIF($J$13:$J$1888,G1907)</f>
        <v>17</v>
      </c>
      <c r="I1907">
        <f t="shared" si="0"/>
        <v>4</v>
      </c>
      <c r="J1907">
        <f t="shared" si="1"/>
        <v>5</v>
      </c>
      <c r="K1907">
        <f t="shared" si="2"/>
        <v>3</v>
      </c>
      <c r="L1907">
        <f t="shared" si="3"/>
        <v>5</v>
      </c>
      <c r="M1907">
        <f t="shared" si="4"/>
        <v>0</v>
      </c>
    </row>
    <row r="1908" spans="2:13">
      <c r="G1908" t="s">
        <v>1604</v>
      </c>
      <c r="H1908">
        <f t="array" ref="H1908">COUNTIF($J$13:$J$1888,G1908)</f>
        <v>15</v>
      </c>
      <c r="I1908">
        <f t="shared" si="0"/>
        <v>0</v>
      </c>
      <c r="J1908">
        <f t="shared" si="1"/>
        <v>3</v>
      </c>
      <c r="K1908">
        <f t="shared" si="2"/>
        <v>9</v>
      </c>
      <c r="L1908">
        <f t="shared" si="3"/>
        <v>3</v>
      </c>
      <c r="M1908">
        <f t="shared" si="4"/>
        <v>0</v>
      </c>
    </row>
    <row r="1909" spans="2:13">
      <c r="G1909" t="s">
        <v>1035</v>
      </c>
      <c r="H1909">
        <f t="array" ref="H1909">COUNTIF($J$13:$J$1888,G1909)</f>
        <v>12</v>
      </c>
      <c r="I1909">
        <f t="shared" si="0"/>
        <v>2</v>
      </c>
      <c r="J1909">
        <f t="shared" si="1"/>
        <v>2</v>
      </c>
      <c r="K1909">
        <f t="shared" si="2"/>
        <v>2</v>
      </c>
      <c r="L1909">
        <f t="shared" si="3"/>
        <v>6</v>
      </c>
      <c r="M1909">
        <f t="shared" si="4"/>
        <v>0</v>
      </c>
    </row>
    <row r="1910" spans="2:13">
      <c r="G1910" t="s">
        <v>1146</v>
      </c>
      <c r="H1910">
        <f t="array" ref="H1910">COUNTIF($J$13:$J$1888,G1910)</f>
        <v>11</v>
      </c>
      <c r="I1910">
        <f t="shared" si="0"/>
        <v>0</v>
      </c>
      <c r="J1910">
        <f t="shared" si="1"/>
        <v>2</v>
      </c>
      <c r="K1910">
        <f t="shared" si="2"/>
        <v>7</v>
      </c>
      <c r="L1910">
        <f t="shared" si="3"/>
        <v>2</v>
      </c>
      <c r="M1910">
        <f t="shared" si="4"/>
        <v>0</v>
      </c>
    </row>
    <row r="1911" spans="2:13">
      <c r="G1911" t="s">
        <v>780</v>
      </c>
      <c r="H1911">
        <f t="array" ref="H1911">COUNTIF($J$13:$J$1888,G1911)</f>
        <v>11</v>
      </c>
      <c r="I1911">
        <f t="shared" si="0"/>
        <v>0</v>
      </c>
      <c r="J1911">
        <f t="shared" si="1"/>
        <v>1</v>
      </c>
      <c r="K1911">
        <f t="shared" si="2"/>
        <v>6</v>
      </c>
      <c r="L1911">
        <f t="shared" si="3"/>
        <v>4</v>
      </c>
      <c r="M1911">
        <f t="shared" si="4"/>
        <v>0</v>
      </c>
    </row>
    <row r="1912" spans="2:13">
      <c r="D1912" t="s">
        <v>613</v>
      </c>
      <c r="E1912">
        <v>134</v>
      </c>
      <c r="G1912" t="s">
        <v>833</v>
      </c>
      <c r="H1912">
        <f t="array" ref="H1912">COUNTIF($J$13:$J$1888,G1912)</f>
        <v>10</v>
      </c>
      <c r="I1912">
        <f t="shared" si="0"/>
        <v>0</v>
      </c>
      <c r="J1912">
        <f t="shared" si="1"/>
        <v>0</v>
      </c>
      <c r="K1912">
        <f t="shared" si="2"/>
        <v>5</v>
      </c>
      <c r="L1912">
        <f t="shared" si="3"/>
        <v>5</v>
      </c>
      <c r="M1912">
        <f t="shared" si="4"/>
        <v>0</v>
      </c>
    </row>
    <row r="1913" spans="2:13">
      <c r="D1913" t="s">
        <v>604</v>
      </c>
      <c r="E1913">
        <v>163</v>
      </c>
      <c r="G1913" t="s">
        <v>634</v>
      </c>
      <c r="H1913">
        <f t="array" ref="H1913">COUNTIF($J$13:$J$1888,G1913)</f>
        <v>10</v>
      </c>
      <c r="I1913">
        <f t="shared" si="0"/>
        <v>1</v>
      </c>
      <c r="J1913">
        <f t="shared" si="1"/>
        <v>3</v>
      </c>
      <c r="K1913">
        <f t="shared" si="2"/>
        <v>4</v>
      </c>
      <c r="L1913">
        <f t="shared" si="3"/>
        <v>2</v>
      </c>
      <c r="M1913">
        <f t="shared" si="4"/>
        <v>0</v>
      </c>
    </row>
    <row r="1914" spans="2:13">
      <c r="D1914" t="s">
        <v>687</v>
      </c>
      <c r="E1914">
        <v>36</v>
      </c>
      <c r="G1914" t="s">
        <v>1557</v>
      </c>
      <c r="H1914">
        <f t="array" ref="H1914">COUNTIF($J$13:$J$1888,G1914)</f>
        <v>10</v>
      </c>
      <c r="I1914">
        <f t="shared" si="0"/>
        <v>2</v>
      </c>
      <c r="J1914">
        <f t="shared" si="1"/>
        <v>3</v>
      </c>
      <c r="K1914">
        <f t="shared" si="2"/>
        <v>4</v>
      </c>
      <c r="L1914">
        <f t="shared" si="3"/>
        <v>1</v>
      </c>
      <c r="M1914">
        <f t="shared" si="4"/>
        <v>0</v>
      </c>
    </row>
    <row r="1915" spans="2:13">
      <c r="D1915" t="s">
        <v>703</v>
      </c>
      <c r="E1915">
        <v>11</v>
      </c>
      <c r="G1915" t="s">
        <v>683</v>
      </c>
      <c r="H1915">
        <f t="array" ref="H1915">COUNTIF($J$13:$J$1888,G1915)</f>
        <v>9</v>
      </c>
      <c r="I1915">
        <f t="shared" si="0"/>
        <v>0</v>
      </c>
      <c r="J1915">
        <f t="shared" si="1"/>
        <v>1</v>
      </c>
      <c r="K1915">
        <f t="shared" si="2"/>
        <v>4</v>
      </c>
      <c r="L1915">
        <f t="shared" si="3"/>
        <v>4</v>
      </c>
      <c r="M1915">
        <f t="shared" si="4"/>
        <v>0</v>
      </c>
    </row>
    <row r="1916" spans="2:13">
      <c r="D1916" t="s">
        <v>708</v>
      </c>
      <c r="E1916">
        <v>12</v>
      </c>
      <c r="G1916" t="s">
        <v>1758</v>
      </c>
      <c r="H1916">
        <f t="array" ref="H1916">COUNTIF($J$13:$J$1888,G1916)</f>
        <v>8</v>
      </c>
      <c r="I1916">
        <f t="shared" si="0"/>
        <v>1</v>
      </c>
      <c r="J1916">
        <f t="shared" si="1"/>
        <v>4</v>
      </c>
      <c r="K1916">
        <f t="shared" si="2"/>
        <v>3</v>
      </c>
      <c r="L1916">
        <f t="shared" si="3"/>
        <v>0</v>
      </c>
      <c r="M1916">
        <f t="shared" si="4"/>
        <v>0</v>
      </c>
    </row>
    <row r="1917" spans="2:13">
      <c r="G1917" t="s">
        <v>2345</v>
      </c>
      <c r="H1917">
        <f t="array" ref="H1917">COUNTIF($J$13:$J$1888,G1917)</f>
        <v>7</v>
      </c>
      <c r="I1917">
        <f t="shared" si="0"/>
        <v>2</v>
      </c>
      <c r="J1917">
        <f t="shared" si="1"/>
        <v>1</v>
      </c>
      <c r="K1917">
        <f t="shared" si="2"/>
        <v>3</v>
      </c>
      <c r="L1917">
        <f t="shared" si="3"/>
        <v>1</v>
      </c>
      <c r="M1917">
        <f t="shared" si="4"/>
        <v>0</v>
      </c>
    </row>
    <row r="1918" spans="2:13">
      <c r="G1918" t="s">
        <v>1519</v>
      </c>
      <c r="H1918">
        <f t="array" ref="H1918">COUNTIF($J$13:$J$1888,G1918)</f>
        <v>7</v>
      </c>
      <c r="I1918">
        <f t="shared" si="0"/>
        <v>1</v>
      </c>
      <c r="J1918">
        <f t="shared" si="1"/>
        <v>1</v>
      </c>
      <c r="K1918">
        <f t="shared" si="2"/>
        <v>3</v>
      </c>
      <c r="L1918">
        <f t="shared" si="3"/>
        <v>2</v>
      </c>
      <c r="M1918">
        <f t="shared" si="4"/>
        <v>0</v>
      </c>
    </row>
    <row r="1919" spans="2:13">
      <c r="B1919" t="s">
        <v>3859</v>
      </c>
      <c r="G1919" t="s">
        <v>1984</v>
      </c>
      <c r="H1919">
        <f t="array" ref="H1919">COUNTIF($J$13:$J$1888,G1919)</f>
        <v>6</v>
      </c>
      <c r="I1919">
        <f t="shared" si="0"/>
        <v>1</v>
      </c>
      <c r="J1919">
        <f t="shared" si="1"/>
        <v>2</v>
      </c>
      <c r="K1919">
        <f t="shared" si="2"/>
        <v>2</v>
      </c>
      <c r="L1919">
        <f t="shared" si="3"/>
        <v>1</v>
      </c>
      <c r="M1919">
        <f t="shared" si="4"/>
        <v>0</v>
      </c>
    </row>
    <row r="1920" spans="2:13">
      <c r="B1920" t="s">
        <v>3860</v>
      </c>
      <c r="C1920" t="s">
        <v>3861</v>
      </c>
      <c r="G1920" t="s">
        <v>738</v>
      </c>
      <c r="H1920">
        <f t="array" ref="H1920">COUNTIF($J$13:$J$1888,G1920)</f>
        <v>6</v>
      </c>
      <c r="I1920">
        <f t="shared" si="0"/>
        <v>0</v>
      </c>
      <c r="J1920">
        <f t="shared" si="1"/>
        <v>1</v>
      </c>
      <c r="K1920">
        <f t="shared" si="2"/>
        <v>4</v>
      </c>
      <c r="L1920">
        <f t="shared" si="3"/>
        <v>1</v>
      </c>
      <c r="M1920">
        <f t="shared" si="4"/>
        <v>0</v>
      </c>
    </row>
    <row r="1921" spans="2:13">
      <c r="B1921" s="28" t="s">
        <v>627</v>
      </c>
      <c r="C1921" s="7">
        <f t="array" ref="C1921">MEDIAN(IF($K$13:$K$1888=$B1921,$G$13:$G$1888))</f>
        <v>42624.920113828608</v>
      </c>
      <c r="G1921" t="s">
        <v>2010</v>
      </c>
      <c r="H1921">
        <f t="array" ref="H1921">COUNTIF($J$13:$J$1888,G1921)</f>
        <v>6</v>
      </c>
      <c r="I1921">
        <f t="shared" si="0"/>
        <v>0</v>
      </c>
      <c r="J1921">
        <f t="shared" si="1"/>
        <v>1</v>
      </c>
      <c r="K1921">
        <f t="shared" si="2"/>
        <v>3</v>
      </c>
      <c r="L1921">
        <f t="shared" si="3"/>
        <v>2</v>
      </c>
      <c r="M1921">
        <f t="shared" si="4"/>
        <v>0</v>
      </c>
    </row>
    <row r="1922" spans="2:13">
      <c r="B1922" s="28" t="s">
        <v>617</v>
      </c>
      <c r="C1922" s="7">
        <f t="array" ref="C1922">MEDIAN(IF($K$13:$K$1888=$B1922,$G$13:$G$1888))</f>
        <v>47939.20027006614</v>
      </c>
      <c r="G1922" t="s">
        <v>689</v>
      </c>
      <c r="H1922">
        <f t="array" ref="H1922">COUNTIF($J$13:$J$1888,G1922)</f>
        <v>6</v>
      </c>
      <c r="I1922">
        <f t="shared" si="0"/>
        <v>0</v>
      </c>
      <c r="J1922">
        <f t="shared" si="1"/>
        <v>2</v>
      </c>
      <c r="K1922">
        <f t="shared" si="2"/>
        <v>3</v>
      </c>
      <c r="L1922">
        <f t="shared" si="3"/>
        <v>1</v>
      </c>
      <c r="M1922">
        <f t="shared" si="4"/>
        <v>0</v>
      </c>
    </row>
    <row r="1923" spans="2:13">
      <c r="B1923" s="28" t="s">
        <v>605</v>
      </c>
      <c r="C1923" s="7">
        <f t="array" ref="C1923">MEDIAN(IF($K$13:$K$1888=$B1923,$G$13:$G$1888))</f>
        <v>45616</v>
      </c>
      <c r="G1923" t="s">
        <v>1385</v>
      </c>
      <c r="H1923">
        <f t="array" ref="H1923">COUNTIF($J$13:$J$1888,G1923)</f>
        <v>6</v>
      </c>
      <c r="I1923">
        <f t="shared" si="0"/>
        <v>1</v>
      </c>
      <c r="J1923">
        <f t="shared" si="1"/>
        <v>2</v>
      </c>
      <c r="K1923">
        <f t="shared" si="2"/>
        <v>1</v>
      </c>
      <c r="L1923">
        <f t="shared" si="3"/>
        <v>2</v>
      </c>
      <c r="M1923">
        <f t="shared" si="4"/>
        <v>0</v>
      </c>
    </row>
    <row r="1924" spans="2:13">
      <c r="B1924" s="27" t="s">
        <v>610</v>
      </c>
      <c r="C1924" s="7">
        <f t="array" ref="C1924">MEDIAN(IF($K$13:$K$1888=$B1924,$G$13:$G$1888))</f>
        <v>38594.425504650913</v>
      </c>
      <c r="G1924" t="s">
        <v>859</v>
      </c>
      <c r="H1924">
        <f t="array" ref="H1924">COUNTIF($J$13:$J$1888,G1924)</f>
        <v>5</v>
      </c>
      <c r="I1924">
        <f t="shared" si="0"/>
        <v>2</v>
      </c>
      <c r="J1924">
        <f t="shared" si="1"/>
        <v>0</v>
      </c>
      <c r="K1924">
        <f t="shared" si="2"/>
        <v>1</v>
      </c>
      <c r="L1924">
        <f t="shared" si="3"/>
        <v>2</v>
      </c>
      <c r="M1924">
        <f t="shared" si="4"/>
        <v>0</v>
      </c>
    </row>
    <row r="1925" spans="2:13">
      <c r="B1925" s="27" t="s">
        <v>862</v>
      </c>
      <c r="C1925" s="7">
        <f t="array" ref="C1925">MEDIAN(IF($K$13:$K$1888=$B1925,$G$13:$G$1888))</f>
        <v>47426.772192140677</v>
      </c>
      <c r="G1925" t="s">
        <v>2999</v>
      </c>
      <c r="H1925">
        <f t="array" ref="H1925">COUNTIF($J$13:$J$1888,G1925)</f>
        <v>5</v>
      </c>
      <c r="I1925">
        <f t="shared" si="0"/>
        <v>1</v>
      </c>
      <c r="J1925">
        <f t="shared" si="1"/>
        <v>2</v>
      </c>
      <c r="K1925">
        <f t="shared" si="2"/>
        <v>2</v>
      </c>
      <c r="L1925">
        <f t="shared" si="3"/>
        <v>0</v>
      </c>
      <c r="M1925">
        <f t="shared" si="4"/>
        <v>0</v>
      </c>
    </row>
    <row r="1926" spans="2:13">
      <c r="G1926" t="s">
        <v>644</v>
      </c>
      <c r="H1926">
        <f t="array" ref="H1926">COUNTIF($J$13:$J$1888,G1926)</f>
        <v>5</v>
      </c>
      <c r="I1926">
        <f t="shared" si="0"/>
        <v>0</v>
      </c>
      <c r="J1926">
        <f t="shared" si="1"/>
        <v>1</v>
      </c>
      <c r="K1926">
        <f t="shared" si="2"/>
        <v>3</v>
      </c>
      <c r="L1926">
        <f t="shared" si="3"/>
        <v>1</v>
      </c>
      <c r="M1926">
        <f t="shared" si="4"/>
        <v>0</v>
      </c>
    </row>
    <row r="1927" spans="2:13">
      <c r="G1927" t="s">
        <v>641</v>
      </c>
      <c r="H1927">
        <f t="array" ref="H1927">COUNTIF($J$13:$J$1888,G1927)</f>
        <v>5</v>
      </c>
      <c r="I1927">
        <f t="shared" si="0"/>
        <v>0</v>
      </c>
      <c r="J1927">
        <f t="shared" si="1"/>
        <v>3</v>
      </c>
      <c r="K1927">
        <f t="shared" si="2"/>
        <v>1</v>
      </c>
      <c r="L1927">
        <f t="shared" si="3"/>
        <v>1</v>
      </c>
      <c r="M1927">
        <f t="shared" si="4"/>
        <v>0</v>
      </c>
    </row>
    <row r="1928" spans="2:13">
      <c r="G1928" t="s">
        <v>1255</v>
      </c>
      <c r="H1928">
        <f t="array" ref="H1928">COUNTIF($J$13:$J$1888,G1928)</f>
        <v>5</v>
      </c>
      <c r="I1928">
        <f t="shared" si="0"/>
        <v>0</v>
      </c>
      <c r="J1928">
        <f t="shared" si="1"/>
        <v>1</v>
      </c>
      <c r="K1928">
        <f t="shared" si="2"/>
        <v>3</v>
      </c>
      <c r="L1928">
        <f t="shared" si="3"/>
        <v>1</v>
      </c>
      <c r="M1928">
        <f t="shared" si="4"/>
        <v>0</v>
      </c>
    </row>
    <row r="1929" spans="2:13">
      <c r="G1929" t="s">
        <v>1738</v>
      </c>
      <c r="H1929">
        <f t="array" ref="H1929">COUNTIF($J$13:$J$1888,G1929)</f>
        <v>5</v>
      </c>
      <c r="I1929">
        <f t="shared" si="0"/>
        <v>0</v>
      </c>
      <c r="J1929">
        <f t="shared" si="1"/>
        <v>0</v>
      </c>
      <c r="K1929">
        <f t="shared" si="2"/>
        <v>3</v>
      </c>
      <c r="L1929">
        <f t="shared" si="3"/>
        <v>2</v>
      </c>
      <c r="M1929">
        <f t="shared" si="4"/>
        <v>0</v>
      </c>
    </row>
    <row r="1930" spans="2:13">
      <c r="G1930" t="s">
        <v>676</v>
      </c>
      <c r="H1930">
        <f t="array" ref="H1930">COUNTIF($J$13:$J$1888,G1930)</f>
        <v>4</v>
      </c>
      <c r="I1930">
        <f t="shared" si="0"/>
        <v>1</v>
      </c>
      <c r="J1930">
        <f t="shared" si="1"/>
        <v>1</v>
      </c>
      <c r="K1930">
        <f t="shared" si="2"/>
        <v>2</v>
      </c>
      <c r="L1930">
        <f t="shared" si="3"/>
        <v>0</v>
      </c>
      <c r="M1930">
        <f t="shared" si="4"/>
        <v>0</v>
      </c>
    </row>
    <row r="1931" spans="2:13">
      <c r="G1931" t="s">
        <v>1164</v>
      </c>
      <c r="H1931">
        <f t="array" ref="H1931">COUNTIF($J$13:$J$1888,G1931)</f>
        <v>4</v>
      </c>
      <c r="I1931">
        <f t="shared" si="0"/>
        <v>2</v>
      </c>
      <c r="J1931">
        <f t="shared" si="1"/>
        <v>0</v>
      </c>
      <c r="K1931">
        <f t="shared" si="2"/>
        <v>2</v>
      </c>
      <c r="L1931">
        <f t="shared" si="3"/>
        <v>0</v>
      </c>
      <c r="M1931">
        <f t="shared" si="4"/>
        <v>0</v>
      </c>
    </row>
    <row r="1932" spans="2:13">
      <c r="G1932" t="s">
        <v>655</v>
      </c>
      <c r="H1932">
        <f t="array" ref="H1932">COUNTIF($J$13:$J$1888,G1932)</f>
        <v>4</v>
      </c>
      <c r="I1932">
        <f t="shared" si="0"/>
        <v>1</v>
      </c>
      <c r="J1932">
        <f t="shared" si="1"/>
        <v>1</v>
      </c>
      <c r="K1932">
        <f t="shared" si="2"/>
        <v>1</v>
      </c>
      <c r="L1932">
        <f t="shared" si="3"/>
        <v>1</v>
      </c>
      <c r="M1932">
        <f t="shared" si="4"/>
        <v>0</v>
      </c>
    </row>
    <row r="1933" spans="2:13">
      <c r="G1933" t="s">
        <v>630</v>
      </c>
      <c r="H1933">
        <f t="array" ref="H1933">COUNTIF($J$13:$J$1888,G1933)</f>
        <v>4</v>
      </c>
      <c r="I1933">
        <f t="shared" si="0"/>
        <v>1</v>
      </c>
      <c r="J1933">
        <f t="shared" si="1"/>
        <v>1</v>
      </c>
      <c r="K1933">
        <f t="shared" si="2"/>
        <v>1</v>
      </c>
      <c r="L1933">
        <f t="shared" si="3"/>
        <v>1</v>
      </c>
      <c r="M1933">
        <f t="shared" si="4"/>
        <v>0</v>
      </c>
    </row>
    <row r="1934" spans="2:13">
      <c r="G1934" t="s">
        <v>748</v>
      </c>
      <c r="H1934">
        <f t="array" ref="H1934">COUNTIF($J$13:$J$1888,G1934)</f>
        <v>3</v>
      </c>
      <c r="I1934">
        <f t="shared" si="0"/>
        <v>0</v>
      </c>
      <c r="J1934">
        <f t="shared" si="1"/>
        <v>0</v>
      </c>
      <c r="K1934">
        <f t="shared" si="2"/>
        <v>0</v>
      </c>
      <c r="L1934">
        <f t="shared" si="3"/>
        <v>3</v>
      </c>
      <c r="M1934">
        <f t="shared" si="4"/>
        <v>0</v>
      </c>
    </row>
    <row r="1935" spans="2:13">
      <c r="G1935" t="s">
        <v>609</v>
      </c>
      <c r="H1935">
        <f t="array" ref="H1935">COUNTIF($J$13:$J$1888,G1935)</f>
        <v>3</v>
      </c>
      <c r="I1935">
        <f t="shared" si="0"/>
        <v>1</v>
      </c>
      <c r="J1935">
        <f t="shared" si="1"/>
        <v>1</v>
      </c>
      <c r="K1935">
        <f t="shared" si="2"/>
        <v>0</v>
      </c>
      <c r="L1935">
        <f t="shared" si="3"/>
        <v>1</v>
      </c>
      <c r="M1935">
        <f t="shared" si="4"/>
        <v>0</v>
      </c>
    </row>
    <row r="1936" spans="2:13">
      <c r="G1936" t="s">
        <v>1414</v>
      </c>
      <c r="H1936">
        <f t="array" ref="H1936">COUNTIF($J$13:$J$1888,G1936)</f>
        <v>3</v>
      </c>
      <c r="I1936">
        <f t="shared" si="0"/>
        <v>1</v>
      </c>
      <c r="J1936">
        <f t="shared" si="1"/>
        <v>0</v>
      </c>
      <c r="K1936">
        <f t="shared" si="2"/>
        <v>0</v>
      </c>
      <c r="L1936">
        <f t="shared" si="3"/>
        <v>2</v>
      </c>
      <c r="M1936">
        <f t="shared" si="4"/>
        <v>0</v>
      </c>
    </row>
    <row r="1937" spans="7:13">
      <c r="G1937" t="s">
        <v>840</v>
      </c>
      <c r="H1937">
        <f t="array" ref="H1937">COUNTIF($J$13:$J$1888,G1937)</f>
        <v>3</v>
      </c>
      <c r="I1937">
        <f t="shared" si="0"/>
        <v>1</v>
      </c>
      <c r="J1937">
        <f t="shared" si="1"/>
        <v>0</v>
      </c>
      <c r="K1937">
        <f t="shared" si="2"/>
        <v>1</v>
      </c>
      <c r="L1937">
        <f t="shared" si="3"/>
        <v>1</v>
      </c>
      <c r="M1937">
        <f t="shared" si="4"/>
        <v>0</v>
      </c>
    </row>
    <row r="1938" spans="7:13">
      <c r="G1938" t="s">
        <v>1410</v>
      </c>
      <c r="H1938">
        <f t="array" ref="H1938">COUNTIF($J$13:$J$1888,G1938)</f>
        <v>3</v>
      </c>
      <c r="I1938">
        <f t="shared" si="0"/>
        <v>0</v>
      </c>
      <c r="J1938">
        <f t="shared" si="1"/>
        <v>2</v>
      </c>
      <c r="K1938">
        <f t="shared" si="2"/>
        <v>1</v>
      </c>
      <c r="L1938">
        <f t="shared" si="3"/>
        <v>0</v>
      </c>
      <c r="M1938">
        <f t="shared" si="4"/>
        <v>0</v>
      </c>
    </row>
    <row r="1939" spans="7:13">
      <c r="G1939" t="s">
        <v>1635</v>
      </c>
      <c r="H1939">
        <f t="array" ref="H1939">COUNTIF($J$13:$J$1888,G1939)</f>
        <v>3</v>
      </c>
      <c r="I1939">
        <f t="shared" si="0"/>
        <v>0</v>
      </c>
      <c r="J1939">
        <f t="shared" si="1"/>
        <v>1</v>
      </c>
      <c r="K1939">
        <f t="shared" si="2"/>
        <v>1</v>
      </c>
      <c r="L1939">
        <f t="shared" si="3"/>
        <v>1</v>
      </c>
      <c r="M1939">
        <f t="shared" si="4"/>
        <v>0</v>
      </c>
    </row>
    <row r="1940" spans="7:13">
      <c r="G1940" t="s">
        <v>2424</v>
      </c>
      <c r="H1940">
        <f t="array" ref="H1940">COUNTIF($J$13:$J$1888,G1940)</f>
        <v>3</v>
      </c>
      <c r="I1940">
        <f t="shared" si="0"/>
        <v>0</v>
      </c>
      <c r="J1940">
        <f t="shared" si="1"/>
        <v>1</v>
      </c>
      <c r="K1940">
        <f t="shared" si="2"/>
        <v>1</v>
      </c>
      <c r="L1940">
        <f t="shared" si="3"/>
        <v>1</v>
      </c>
      <c r="M1940">
        <f t="shared" si="4"/>
        <v>0</v>
      </c>
    </row>
    <row r="1941" spans="7:13">
      <c r="G1941" t="s">
        <v>2178</v>
      </c>
      <c r="H1941">
        <f t="array" ref="H1941">COUNTIF($J$13:$J$1888,G1941)</f>
        <v>3</v>
      </c>
      <c r="I1941">
        <f t="shared" si="0"/>
        <v>0</v>
      </c>
      <c r="J1941">
        <f t="shared" si="1"/>
        <v>2</v>
      </c>
      <c r="K1941">
        <f t="shared" si="2"/>
        <v>0</v>
      </c>
      <c r="L1941">
        <f t="shared" si="3"/>
        <v>1</v>
      </c>
      <c r="M1941">
        <f t="shared" si="4"/>
        <v>0</v>
      </c>
    </row>
    <row r="1942" spans="7:13">
      <c r="G1942" t="s">
        <v>1362</v>
      </c>
      <c r="H1942">
        <f t="array" ref="H1942">COUNTIF($J$13:$J$1888,G1942)</f>
        <v>2</v>
      </c>
      <c r="I1942">
        <f t="shared" si="0"/>
        <v>1</v>
      </c>
      <c r="J1942">
        <f t="shared" si="1"/>
        <v>1</v>
      </c>
      <c r="K1942">
        <f t="shared" si="2"/>
        <v>0</v>
      </c>
      <c r="L1942">
        <f t="shared" si="3"/>
        <v>0</v>
      </c>
      <c r="M1942">
        <f t="shared" si="4"/>
        <v>0</v>
      </c>
    </row>
    <row r="1943" spans="7:13">
      <c r="G1943" t="s">
        <v>2596</v>
      </c>
      <c r="H1943">
        <f t="array" ref="H1943">COUNTIF($J$13:$J$1888,G1943)</f>
        <v>2</v>
      </c>
      <c r="I1943">
        <f t="shared" si="0"/>
        <v>0</v>
      </c>
      <c r="J1943">
        <f t="shared" si="1"/>
        <v>1</v>
      </c>
      <c r="K1943">
        <f t="shared" si="2"/>
        <v>0</v>
      </c>
      <c r="L1943">
        <f t="shared" si="3"/>
        <v>1</v>
      </c>
      <c r="M1943">
        <f t="shared" si="4"/>
        <v>0</v>
      </c>
    </row>
    <row r="1944" spans="7:13">
      <c r="G1944" t="s">
        <v>1699</v>
      </c>
      <c r="H1944">
        <f t="array" ref="H1944">COUNTIF($J$13:$J$1888,G1944)</f>
        <v>2</v>
      </c>
      <c r="I1944">
        <f t="shared" si="0"/>
        <v>0</v>
      </c>
      <c r="J1944">
        <f t="shared" si="1"/>
        <v>0</v>
      </c>
      <c r="K1944">
        <f t="shared" si="2"/>
        <v>2</v>
      </c>
      <c r="L1944">
        <f t="shared" si="3"/>
        <v>0</v>
      </c>
      <c r="M1944">
        <f t="shared" si="4"/>
        <v>0</v>
      </c>
    </row>
    <row r="1945" spans="7:13">
      <c r="G1945" t="s">
        <v>2836</v>
      </c>
      <c r="H1945">
        <f t="array" ref="H1945">COUNTIF($J$13:$J$1888,G1945)</f>
        <v>2</v>
      </c>
      <c r="I1945">
        <f t="shared" si="0"/>
        <v>1</v>
      </c>
      <c r="J1945">
        <f t="shared" si="1"/>
        <v>0</v>
      </c>
      <c r="K1945">
        <f t="shared" si="2"/>
        <v>1</v>
      </c>
      <c r="L1945">
        <f t="shared" si="3"/>
        <v>0</v>
      </c>
      <c r="M1945">
        <f t="shared" si="4"/>
        <v>0</v>
      </c>
    </row>
    <row r="1946" spans="7:13">
      <c r="G1946" t="s">
        <v>785</v>
      </c>
      <c r="H1946">
        <f t="array" ref="H1946">COUNTIF($J$13:$J$1888,G1946)</f>
        <v>2</v>
      </c>
      <c r="I1946">
        <f t="shared" si="0"/>
        <v>0</v>
      </c>
      <c r="J1946">
        <f t="shared" si="1"/>
        <v>1</v>
      </c>
      <c r="K1946">
        <f t="shared" si="2"/>
        <v>0</v>
      </c>
      <c r="L1946">
        <f t="shared" si="3"/>
        <v>1</v>
      </c>
      <c r="M1946">
        <f t="shared" si="4"/>
        <v>0</v>
      </c>
    </row>
    <row r="1947" spans="7:13">
      <c r="G1947" t="s">
        <v>1301</v>
      </c>
      <c r="H1947">
        <f t="array" ref="H1947">COUNTIF($J$13:$J$1888,G1947)</f>
        <v>2</v>
      </c>
      <c r="I1947">
        <f t="shared" si="0"/>
        <v>1</v>
      </c>
      <c r="J1947">
        <f t="shared" si="1"/>
        <v>1</v>
      </c>
      <c r="K1947">
        <f t="shared" si="2"/>
        <v>0</v>
      </c>
      <c r="L1947">
        <f t="shared" si="3"/>
        <v>0</v>
      </c>
      <c r="M1947">
        <f t="shared" si="4"/>
        <v>0</v>
      </c>
    </row>
    <row r="1948" spans="7:13">
      <c r="G1948" t="s">
        <v>1056</v>
      </c>
      <c r="H1948">
        <f t="array" ref="H1948">COUNTIF($J$13:$J$1888,G1948)</f>
        <v>2</v>
      </c>
      <c r="I1948">
        <f t="shared" si="0"/>
        <v>0</v>
      </c>
      <c r="J1948">
        <f t="shared" si="1"/>
        <v>0</v>
      </c>
      <c r="K1948">
        <f t="shared" si="2"/>
        <v>1</v>
      </c>
      <c r="L1948">
        <f t="shared" si="3"/>
        <v>1</v>
      </c>
      <c r="M1948">
        <f t="shared" si="4"/>
        <v>0</v>
      </c>
    </row>
    <row r="1949" spans="7:13">
      <c r="G1949" t="s">
        <v>880</v>
      </c>
      <c r="H1949">
        <f t="array" ref="H1949">COUNTIF($J$13:$J$1888,G1949)</f>
        <v>2</v>
      </c>
      <c r="I1949">
        <f t="shared" si="0"/>
        <v>0</v>
      </c>
      <c r="J1949">
        <f t="shared" si="1"/>
        <v>1</v>
      </c>
      <c r="K1949">
        <f t="shared" si="2"/>
        <v>1</v>
      </c>
      <c r="L1949">
        <f t="shared" si="3"/>
        <v>0</v>
      </c>
      <c r="M1949">
        <f t="shared" si="4"/>
        <v>0</v>
      </c>
    </row>
    <row r="1950" spans="7:13">
      <c r="G1950" t="s">
        <v>2291</v>
      </c>
      <c r="H1950">
        <f t="array" ref="H1950">COUNTIF($J$13:$J$1888,G1950)</f>
        <v>2</v>
      </c>
      <c r="I1950">
        <f t="shared" si="0"/>
        <v>0</v>
      </c>
      <c r="J1950">
        <f t="shared" si="1"/>
        <v>0</v>
      </c>
      <c r="K1950">
        <f t="shared" si="2"/>
        <v>0</v>
      </c>
      <c r="L1950">
        <f t="shared" si="3"/>
        <v>2</v>
      </c>
      <c r="M1950">
        <f t="shared" si="4"/>
        <v>0</v>
      </c>
    </row>
    <row r="1951" spans="7:13">
      <c r="G1951" t="s">
        <v>2274</v>
      </c>
      <c r="H1951">
        <f t="array" ref="H1951">COUNTIF($J$13:$J$1888,G1951)</f>
        <v>1</v>
      </c>
      <c r="I1951">
        <f t="shared" si="0"/>
        <v>0</v>
      </c>
      <c r="J1951">
        <f t="shared" si="1"/>
        <v>0</v>
      </c>
      <c r="K1951">
        <f t="shared" si="2"/>
        <v>1</v>
      </c>
      <c r="L1951">
        <f t="shared" si="3"/>
        <v>0</v>
      </c>
      <c r="M1951">
        <f t="shared" si="4"/>
        <v>0</v>
      </c>
    </row>
    <row r="1952" spans="7:13">
      <c r="G1952" t="s">
        <v>828</v>
      </c>
      <c r="H1952">
        <f t="array" ref="H1952">COUNTIF($J$13:$J$1888,G1952)</f>
        <v>1</v>
      </c>
      <c r="I1952">
        <f t="shared" si="0"/>
        <v>1</v>
      </c>
      <c r="J1952">
        <f t="shared" si="1"/>
        <v>0</v>
      </c>
      <c r="K1952">
        <f t="shared" si="2"/>
        <v>0</v>
      </c>
      <c r="L1952">
        <f t="shared" si="3"/>
        <v>0</v>
      </c>
      <c r="M1952">
        <f t="shared" si="4"/>
        <v>0</v>
      </c>
    </row>
    <row r="1953" spans="7:13">
      <c r="G1953" t="s">
        <v>2664</v>
      </c>
      <c r="H1953">
        <f t="array" ref="H1953">COUNTIF($J$13:$J$1888,G1953)</f>
        <v>1</v>
      </c>
      <c r="I1953">
        <f t="shared" si="0"/>
        <v>0</v>
      </c>
      <c r="J1953">
        <f t="shared" si="1"/>
        <v>0</v>
      </c>
      <c r="K1953">
        <f t="shared" si="2"/>
        <v>1</v>
      </c>
      <c r="L1953">
        <f t="shared" si="3"/>
        <v>0</v>
      </c>
      <c r="M1953">
        <f t="shared" si="4"/>
        <v>0</v>
      </c>
    </row>
    <row r="1954" spans="7:13">
      <c r="G1954" t="s">
        <v>3528</v>
      </c>
      <c r="H1954">
        <f t="array" ref="H1954">COUNTIF($J$13:$J$1888,G1954)</f>
        <v>1</v>
      </c>
      <c r="I1954">
        <f t="shared" si="0"/>
        <v>0</v>
      </c>
      <c r="J1954">
        <f t="shared" si="1"/>
        <v>0</v>
      </c>
      <c r="K1954">
        <f t="shared" si="2"/>
        <v>0</v>
      </c>
      <c r="L1954">
        <f t="shared" si="3"/>
        <v>1</v>
      </c>
      <c r="M1954">
        <f t="shared" si="4"/>
        <v>0</v>
      </c>
    </row>
    <row r="1955" spans="7:13">
      <c r="G1955" t="s">
        <v>2147</v>
      </c>
      <c r="H1955">
        <f t="array" ref="H1955">COUNTIF($J$13:$J$1888,G1955)</f>
        <v>1</v>
      </c>
      <c r="I1955">
        <f t="shared" si="0"/>
        <v>1</v>
      </c>
      <c r="J1955">
        <f t="shared" si="1"/>
        <v>0</v>
      </c>
      <c r="K1955">
        <f t="shared" si="2"/>
        <v>0</v>
      </c>
      <c r="L1955">
        <f t="shared" si="3"/>
        <v>0</v>
      </c>
      <c r="M1955">
        <f t="shared" si="4"/>
        <v>0</v>
      </c>
    </row>
    <row r="1956" spans="7:13">
      <c r="G1956" t="s">
        <v>2359</v>
      </c>
      <c r="H1956">
        <f t="array" ref="H1956">COUNTIF($J$13:$J$1888,G1956)</f>
        <v>1</v>
      </c>
      <c r="I1956">
        <f t="shared" si="0"/>
        <v>0</v>
      </c>
      <c r="J1956">
        <f t="shared" si="1"/>
        <v>0</v>
      </c>
      <c r="K1956">
        <f t="shared" si="2"/>
        <v>0</v>
      </c>
      <c r="L1956">
        <f t="shared" si="3"/>
        <v>1</v>
      </c>
      <c r="M1956">
        <f t="shared" si="4"/>
        <v>0</v>
      </c>
    </row>
    <row r="1957" spans="7:13">
      <c r="G1957" t="s">
        <v>2940</v>
      </c>
      <c r="H1957">
        <f t="array" ref="H1957">COUNTIF($J$13:$J$1888,G1957)</f>
        <v>1</v>
      </c>
      <c r="I1957">
        <f t="shared" si="0"/>
        <v>0</v>
      </c>
      <c r="J1957">
        <f t="shared" si="1"/>
        <v>0</v>
      </c>
      <c r="K1957">
        <f t="shared" si="2"/>
        <v>1</v>
      </c>
      <c r="L1957">
        <f t="shared" si="3"/>
        <v>0</v>
      </c>
      <c r="M1957">
        <f t="shared" si="4"/>
        <v>0</v>
      </c>
    </row>
    <row r="1958" spans="7:13">
      <c r="G1958" t="s">
        <v>3378</v>
      </c>
      <c r="H1958">
        <f t="array" ref="H1958">COUNTIF($J$13:$J$1888,G1958)</f>
        <v>1</v>
      </c>
      <c r="I1958">
        <f t="shared" si="0"/>
        <v>0</v>
      </c>
      <c r="J1958">
        <f t="shared" si="1"/>
        <v>0</v>
      </c>
      <c r="K1958">
        <f t="shared" si="2"/>
        <v>1</v>
      </c>
      <c r="L1958">
        <f t="shared" si="3"/>
        <v>0</v>
      </c>
      <c r="M1958">
        <f t="shared" si="4"/>
        <v>0</v>
      </c>
    </row>
    <row r="1959" spans="7:13">
      <c r="G1959" t="s">
        <v>3723</v>
      </c>
      <c r="H1959">
        <f t="array" ref="H1959">COUNTIF($J$13:$J$1888,G1959)</f>
        <v>1</v>
      </c>
      <c r="I1959">
        <f t="shared" si="0"/>
        <v>0</v>
      </c>
      <c r="J1959">
        <f t="shared" si="1"/>
        <v>0</v>
      </c>
      <c r="K1959">
        <f t="shared" si="2"/>
        <v>0</v>
      </c>
      <c r="L1959">
        <f t="shared" si="3"/>
        <v>1</v>
      </c>
      <c r="M1959">
        <f t="shared" si="4"/>
        <v>0</v>
      </c>
    </row>
    <row r="1960" spans="7:13">
      <c r="G1960" t="s">
        <v>1048</v>
      </c>
      <c r="H1960">
        <f t="array" ref="H1960">COUNTIF($J$13:$J$1888,G1960)</f>
        <v>1</v>
      </c>
      <c r="I1960">
        <f t="shared" si="0"/>
        <v>0</v>
      </c>
      <c r="J1960">
        <f t="shared" si="1"/>
        <v>0</v>
      </c>
      <c r="K1960">
        <f t="shared" si="2"/>
        <v>1</v>
      </c>
      <c r="L1960">
        <f t="shared" si="3"/>
        <v>0</v>
      </c>
      <c r="M1960">
        <f t="shared" si="4"/>
        <v>0</v>
      </c>
    </row>
    <row r="1961" spans="7:13">
      <c r="G1961" t="s">
        <v>1945</v>
      </c>
      <c r="H1961">
        <f t="array" ref="H1961">COUNTIF($J$13:$J$1888,G1961)</f>
        <v>1</v>
      </c>
      <c r="I1961">
        <f t="shared" si="0"/>
        <v>0</v>
      </c>
      <c r="J1961">
        <f t="shared" si="1"/>
        <v>0</v>
      </c>
      <c r="K1961">
        <f t="shared" si="2"/>
        <v>1</v>
      </c>
      <c r="L1961">
        <f t="shared" si="3"/>
        <v>0</v>
      </c>
      <c r="M1961">
        <f t="shared" si="4"/>
        <v>0</v>
      </c>
    </row>
    <row r="1962" spans="7:13">
      <c r="G1962" t="s">
        <v>3204</v>
      </c>
      <c r="H1962">
        <f t="array" ref="H1962">COUNTIF($J$13:$J$1888,G1962)</f>
        <v>1</v>
      </c>
      <c r="I1962">
        <f t="shared" ref="I1962:I2003" si="5">COUNTIFS($J$13:$J$1888,G1962,$K$13:$K$1888,$I$1896)</f>
        <v>0</v>
      </c>
      <c r="J1962">
        <f t="shared" ref="J1962:J2003" si="6">COUNTIFS($J$13:$J$1888,G1962,$K$13:$K$1888,$J$1896)</f>
        <v>0</v>
      </c>
      <c r="K1962">
        <f t="shared" ref="K1962:K2003" si="7">COUNTIFS($J$13:$J$1888,G1962,$K$13:$K$1888,$K$1896)</f>
        <v>0</v>
      </c>
      <c r="L1962">
        <f t="shared" ref="L1962:L2003" si="8">COUNTIFS($J$13:$J$1888,G1962,$K$13:$K$1888,$L$1896)</f>
        <v>1</v>
      </c>
      <c r="M1962">
        <f t="shared" ref="M1962:M2003" si="9">COUNTIFS($J$13:$J$1888,G1962,$K$13:$K$1888,$M$1896)</f>
        <v>0</v>
      </c>
    </row>
    <row r="1963" spans="7:13">
      <c r="G1963" t="s">
        <v>3261</v>
      </c>
      <c r="H1963">
        <f t="array" ref="H1963">COUNTIF($J$13:$J$1888,G1963)</f>
        <v>1</v>
      </c>
      <c r="I1963">
        <f t="shared" si="5"/>
        <v>0</v>
      </c>
      <c r="J1963">
        <f t="shared" si="6"/>
        <v>0</v>
      </c>
      <c r="K1963">
        <f t="shared" si="7"/>
        <v>0</v>
      </c>
      <c r="L1963">
        <f t="shared" si="8"/>
        <v>1</v>
      </c>
      <c r="M1963">
        <f t="shared" si="9"/>
        <v>0</v>
      </c>
    </row>
    <row r="1964" spans="7:13">
      <c r="G1964" t="s">
        <v>1868</v>
      </c>
      <c r="H1964">
        <f t="array" ref="H1964">COUNTIF($J$13:$J$1888,G1964)</f>
        <v>1</v>
      </c>
      <c r="I1964">
        <f t="shared" si="5"/>
        <v>0</v>
      </c>
      <c r="J1964">
        <f t="shared" si="6"/>
        <v>1</v>
      </c>
      <c r="K1964">
        <f t="shared" si="7"/>
        <v>0</v>
      </c>
      <c r="L1964">
        <f t="shared" si="8"/>
        <v>0</v>
      </c>
      <c r="M1964">
        <f t="shared" si="9"/>
        <v>0</v>
      </c>
    </row>
    <row r="1965" spans="7:13">
      <c r="G1965" t="s">
        <v>1607</v>
      </c>
      <c r="H1965">
        <f t="array" ref="H1965">COUNTIF($J$13:$J$1888,G1965)</f>
        <v>1</v>
      </c>
      <c r="I1965">
        <f t="shared" si="5"/>
        <v>0</v>
      </c>
      <c r="J1965">
        <f t="shared" si="6"/>
        <v>1</v>
      </c>
      <c r="K1965">
        <f t="shared" si="7"/>
        <v>0</v>
      </c>
      <c r="L1965">
        <f t="shared" si="8"/>
        <v>0</v>
      </c>
      <c r="M1965">
        <f t="shared" si="9"/>
        <v>0</v>
      </c>
    </row>
    <row r="1966" spans="7:13">
      <c r="G1966" t="s">
        <v>2235</v>
      </c>
      <c r="H1966">
        <f t="array" ref="H1966">COUNTIF($J$13:$J$1888,G1966)</f>
        <v>1</v>
      </c>
      <c r="I1966">
        <f t="shared" si="5"/>
        <v>0</v>
      </c>
      <c r="J1966">
        <f t="shared" si="6"/>
        <v>1</v>
      </c>
      <c r="K1966">
        <f t="shared" si="7"/>
        <v>0</v>
      </c>
      <c r="L1966">
        <f t="shared" si="8"/>
        <v>0</v>
      </c>
      <c r="M1966">
        <f t="shared" si="9"/>
        <v>0</v>
      </c>
    </row>
    <row r="1967" spans="7:13">
      <c r="G1967" t="s">
        <v>1428</v>
      </c>
      <c r="H1967">
        <f t="array" ref="H1967">COUNTIF($J$13:$J$1888,G1967)</f>
        <v>1</v>
      </c>
      <c r="I1967">
        <f t="shared" si="5"/>
        <v>0</v>
      </c>
      <c r="J1967">
        <f t="shared" si="6"/>
        <v>0</v>
      </c>
      <c r="K1967">
        <f t="shared" si="7"/>
        <v>0</v>
      </c>
      <c r="L1967">
        <f t="shared" si="8"/>
        <v>1</v>
      </c>
      <c r="M1967">
        <f t="shared" si="9"/>
        <v>0</v>
      </c>
    </row>
    <row r="1968" spans="7:13">
      <c r="G1968" t="s">
        <v>1504</v>
      </c>
      <c r="H1968">
        <f t="array" ref="H1968">COUNTIF($J$13:$J$1888,G1968)</f>
        <v>1</v>
      </c>
      <c r="I1968">
        <f t="shared" si="5"/>
        <v>0</v>
      </c>
      <c r="J1968">
        <f t="shared" si="6"/>
        <v>0</v>
      </c>
      <c r="K1968">
        <f t="shared" si="7"/>
        <v>0</v>
      </c>
      <c r="L1968">
        <f t="shared" si="8"/>
        <v>1</v>
      </c>
      <c r="M1968">
        <f t="shared" si="9"/>
        <v>0</v>
      </c>
    </row>
    <row r="1969" spans="7:13">
      <c r="G1969" t="s">
        <v>3794</v>
      </c>
      <c r="H1969">
        <f t="array" ref="H1969">COUNTIF($J$13:$J$1888,G1969)</f>
        <v>1</v>
      </c>
      <c r="I1969">
        <f t="shared" si="5"/>
        <v>0</v>
      </c>
      <c r="J1969">
        <f t="shared" si="6"/>
        <v>0</v>
      </c>
      <c r="K1969">
        <f t="shared" si="7"/>
        <v>1</v>
      </c>
      <c r="L1969">
        <f t="shared" si="8"/>
        <v>0</v>
      </c>
      <c r="M1969">
        <f t="shared" si="9"/>
        <v>0</v>
      </c>
    </row>
    <row r="1970" spans="7:13">
      <c r="G1970" t="s">
        <v>2915</v>
      </c>
      <c r="H1970">
        <f t="array" ref="H1970">COUNTIF($J$13:$J$1888,G1970)</f>
        <v>1</v>
      </c>
      <c r="I1970">
        <f t="shared" si="5"/>
        <v>0</v>
      </c>
      <c r="J1970">
        <f t="shared" si="6"/>
        <v>0</v>
      </c>
      <c r="K1970">
        <f t="shared" si="7"/>
        <v>1</v>
      </c>
      <c r="L1970">
        <f t="shared" si="8"/>
        <v>0</v>
      </c>
      <c r="M1970">
        <f t="shared" si="9"/>
        <v>0</v>
      </c>
    </row>
    <row r="1971" spans="7:13">
      <c r="G1971" t="s">
        <v>1674</v>
      </c>
      <c r="H1971">
        <f t="array" ref="H1971">COUNTIF($J$13:$J$1888,G1971)</f>
        <v>1</v>
      </c>
      <c r="I1971">
        <f t="shared" si="5"/>
        <v>1</v>
      </c>
      <c r="J1971">
        <f t="shared" si="6"/>
        <v>0</v>
      </c>
      <c r="K1971">
        <f t="shared" si="7"/>
        <v>0</v>
      </c>
      <c r="L1971">
        <f t="shared" si="8"/>
        <v>0</v>
      </c>
      <c r="M1971">
        <f t="shared" si="9"/>
        <v>0</v>
      </c>
    </row>
    <row r="1972" spans="7:13">
      <c r="G1972" t="s">
        <v>3682</v>
      </c>
      <c r="H1972">
        <f t="array" ref="H1972">COUNTIF($J$13:$J$1888,G1972)</f>
        <v>1</v>
      </c>
      <c r="I1972">
        <f t="shared" si="5"/>
        <v>1</v>
      </c>
      <c r="J1972">
        <f t="shared" si="6"/>
        <v>0</v>
      </c>
      <c r="K1972">
        <f t="shared" si="7"/>
        <v>0</v>
      </c>
      <c r="L1972">
        <f t="shared" si="8"/>
        <v>0</v>
      </c>
      <c r="M1972">
        <f t="shared" si="9"/>
        <v>0</v>
      </c>
    </row>
    <row r="1973" spans="7:13">
      <c r="G1973" t="s">
        <v>622</v>
      </c>
      <c r="H1973">
        <f t="array" ref="H1973">COUNTIF($J$13:$J$1888,G1973)</f>
        <v>1</v>
      </c>
      <c r="I1973">
        <f t="shared" si="5"/>
        <v>0</v>
      </c>
      <c r="J1973">
        <f t="shared" si="6"/>
        <v>0</v>
      </c>
      <c r="K1973">
        <f t="shared" si="7"/>
        <v>0</v>
      </c>
      <c r="L1973">
        <f t="shared" si="8"/>
        <v>1</v>
      </c>
      <c r="M1973">
        <f t="shared" si="9"/>
        <v>0</v>
      </c>
    </row>
    <row r="1974" spans="7:13">
      <c r="G1974" t="s">
        <v>2218</v>
      </c>
      <c r="H1974">
        <f t="array" ref="H1974">COUNTIF($J$13:$J$1888,G1974)</f>
        <v>1</v>
      </c>
      <c r="I1974">
        <f t="shared" si="5"/>
        <v>0</v>
      </c>
      <c r="J1974">
        <f t="shared" si="6"/>
        <v>0</v>
      </c>
      <c r="K1974">
        <f t="shared" si="7"/>
        <v>1</v>
      </c>
      <c r="L1974">
        <f t="shared" si="8"/>
        <v>0</v>
      </c>
      <c r="M1974">
        <f t="shared" si="9"/>
        <v>0</v>
      </c>
    </row>
    <row r="1975" spans="7:13">
      <c r="G1975" t="s">
        <v>2723</v>
      </c>
      <c r="H1975">
        <f t="array" ref="H1975">COUNTIF($J$13:$J$1888,G1975)</f>
        <v>1</v>
      </c>
      <c r="I1975">
        <f t="shared" si="5"/>
        <v>0</v>
      </c>
      <c r="J1975">
        <f t="shared" si="6"/>
        <v>1</v>
      </c>
      <c r="K1975">
        <f t="shared" si="7"/>
        <v>0</v>
      </c>
      <c r="L1975">
        <f t="shared" si="8"/>
        <v>0</v>
      </c>
      <c r="M1975">
        <f t="shared" si="9"/>
        <v>0</v>
      </c>
    </row>
    <row r="1976" spans="7:13">
      <c r="G1976" t="s">
        <v>3324</v>
      </c>
      <c r="H1976">
        <f t="array" ref="H1976">COUNTIF($J$13:$J$1888,G1976)</f>
        <v>1</v>
      </c>
      <c r="I1976">
        <f t="shared" si="5"/>
        <v>0</v>
      </c>
      <c r="J1976">
        <f t="shared" si="6"/>
        <v>0</v>
      </c>
      <c r="K1976">
        <f t="shared" si="7"/>
        <v>1</v>
      </c>
      <c r="L1976">
        <f t="shared" si="8"/>
        <v>0</v>
      </c>
      <c r="M1976">
        <f t="shared" si="9"/>
        <v>0</v>
      </c>
    </row>
    <row r="1977" spans="7:13">
      <c r="G1977" t="s">
        <v>3248</v>
      </c>
      <c r="H1977">
        <f t="array" ref="H1977">COUNTIF($J$13:$J$1888,G1977)</f>
        <v>1</v>
      </c>
      <c r="I1977">
        <f t="shared" si="5"/>
        <v>0</v>
      </c>
      <c r="J1977">
        <f t="shared" si="6"/>
        <v>0</v>
      </c>
      <c r="K1977">
        <f t="shared" si="7"/>
        <v>0</v>
      </c>
      <c r="L1977">
        <f t="shared" si="8"/>
        <v>1</v>
      </c>
      <c r="M1977">
        <f t="shared" si="9"/>
        <v>0</v>
      </c>
    </row>
    <row r="1978" spans="7:13">
      <c r="G1978" t="s">
        <v>1897</v>
      </c>
      <c r="H1978">
        <f t="array" ref="H1978">COUNTIF($J$13:$J$1888,G1978)</f>
        <v>1</v>
      </c>
      <c r="I1978">
        <f t="shared" si="5"/>
        <v>0</v>
      </c>
      <c r="J1978">
        <f t="shared" si="6"/>
        <v>0</v>
      </c>
      <c r="K1978">
        <f t="shared" si="7"/>
        <v>1</v>
      </c>
      <c r="L1978">
        <f t="shared" si="8"/>
        <v>0</v>
      </c>
      <c r="M1978">
        <f t="shared" si="9"/>
        <v>0</v>
      </c>
    </row>
    <row r="1979" spans="7:13">
      <c r="G1979" t="s">
        <v>3374</v>
      </c>
      <c r="H1979">
        <f t="array" ref="H1979">COUNTIF($J$13:$J$1888,G1979)</f>
        <v>1</v>
      </c>
      <c r="I1979">
        <f t="shared" si="5"/>
        <v>0</v>
      </c>
      <c r="J1979">
        <f t="shared" si="6"/>
        <v>0</v>
      </c>
      <c r="K1979">
        <f t="shared" si="7"/>
        <v>1</v>
      </c>
      <c r="L1979">
        <f t="shared" si="8"/>
        <v>0</v>
      </c>
      <c r="M1979">
        <f t="shared" si="9"/>
        <v>0</v>
      </c>
    </row>
    <row r="1980" spans="7:13">
      <c r="G1980" t="s">
        <v>2612</v>
      </c>
      <c r="H1980">
        <f t="array" ref="H1980">COUNTIF($J$13:$J$1888,G1980)</f>
        <v>1</v>
      </c>
      <c r="I1980">
        <f t="shared" si="5"/>
        <v>0</v>
      </c>
      <c r="J1980">
        <f t="shared" si="6"/>
        <v>0</v>
      </c>
      <c r="K1980">
        <f t="shared" si="7"/>
        <v>1</v>
      </c>
      <c r="L1980">
        <f t="shared" si="8"/>
        <v>0</v>
      </c>
      <c r="M1980">
        <f t="shared" si="9"/>
        <v>0</v>
      </c>
    </row>
    <row r="1981" spans="7:13">
      <c r="G1981" t="s">
        <v>3299</v>
      </c>
      <c r="H1981">
        <f t="array" ref="H1981">COUNTIF($J$13:$J$1888,G1981)</f>
        <v>1</v>
      </c>
      <c r="I1981">
        <f t="shared" si="5"/>
        <v>0</v>
      </c>
      <c r="J1981">
        <f t="shared" si="6"/>
        <v>0</v>
      </c>
      <c r="K1981">
        <f t="shared" si="7"/>
        <v>0</v>
      </c>
      <c r="L1981">
        <f t="shared" si="8"/>
        <v>1</v>
      </c>
      <c r="M1981">
        <f t="shared" si="9"/>
        <v>0</v>
      </c>
    </row>
    <row r="1982" spans="7:13">
      <c r="G1982" t="s">
        <v>1510</v>
      </c>
      <c r="H1982">
        <f t="array" ref="H1982">COUNTIF($J$13:$J$1888,G1982)</f>
        <v>1</v>
      </c>
      <c r="I1982">
        <f t="shared" si="5"/>
        <v>0</v>
      </c>
      <c r="J1982">
        <f t="shared" si="6"/>
        <v>1</v>
      </c>
      <c r="K1982">
        <f t="shared" si="7"/>
        <v>0</v>
      </c>
      <c r="L1982">
        <f t="shared" si="8"/>
        <v>0</v>
      </c>
      <c r="M1982">
        <f t="shared" si="9"/>
        <v>0</v>
      </c>
    </row>
    <row r="1983" spans="7:13">
      <c r="G1983" t="s">
        <v>3222</v>
      </c>
      <c r="H1983">
        <f t="array" ref="H1983">COUNTIF($J$13:$J$1888,G1983)</f>
        <v>1</v>
      </c>
      <c r="I1983">
        <f t="shared" si="5"/>
        <v>0</v>
      </c>
      <c r="J1983">
        <f t="shared" si="6"/>
        <v>1</v>
      </c>
      <c r="K1983">
        <f t="shared" si="7"/>
        <v>0</v>
      </c>
      <c r="L1983">
        <f t="shared" si="8"/>
        <v>0</v>
      </c>
      <c r="M1983">
        <f t="shared" si="9"/>
        <v>0</v>
      </c>
    </row>
    <row r="1984" spans="7:13">
      <c r="G1984" t="s">
        <v>1975</v>
      </c>
      <c r="H1984">
        <f t="array" ref="H1984">COUNTIF($J$13:$J$1888,G1984)</f>
        <v>1</v>
      </c>
      <c r="I1984">
        <f t="shared" si="5"/>
        <v>0</v>
      </c>
      <c r="J1984">
        <f t="shared" si="6"/>
        <v>0</v>
      </c>
      <c r="K1984">
        <f t="shared" si="7"/>
        <v>0</v>
      </c>
      <c r="L1984">
        <f t="shared" si="8"/>
        <v>1</v>
      </c>
      <c r="M1984">
        <f t="shared" si="9"/>
        <v>0</v>
      </c>
    </row>
    <row r="1985" spans="7:13">
      <c r="G1985" t="s">
        <v>3826</v>
      </c>
      <c r="H1985">
        <f t="array" ref="H1985">COUNTIF($J$13:$J$1888,G1985)</f>
        <v>1</v>
      </c>
      <c r="I1985">
        <f t="shared" si="5"/>
        <v>0</v>
      </c>
      <c r="J1985">
        <f t="shared" si="6"/>
        <v>0</v>
      </c>
      <c r="K1985">
        <f t="shared" si="7"/>
        <v>1</v>
      </c>
      <c r="L1985">
        <f t="shared" si="8"/>
        <v>0</v>
      </c>
      <c r="M1985">
        <f t="shared" si="9"/>
        <v>0</v>
      </c>
    </row>
    <row r="1986" spans="7:13">
      <c r="G1986" t="s">
        <v>2397</v>
      </c>
      <c r="H1986">
        <f t="array" ref="H1986">COUNTIF($J$13:$J$1888,G1986)</f>
        <v>1</v>
      </c>
      <c r="I1986">
        <f t="shared" si="5"/>
        <v>0</v>
      </c>
      <c r="J1986">
        <f t="shared" si="6"/>
        <v>0</v>
      </c>
      <c r="K1986">
        <f t="shared" si="7"/>
        <v>0</v>
      </c>
      <c r="L1986">
        <f t="shared" si="8"/>
        <v>1</v>
      </c>
      <c r="M1986">
        <f t="shared" si="9"/>
        <v>0</v>
      </c>
    </row>
    <row r="1987" spans="7:13">
      <c r="G1987" t="s">
        <v>3287</v>
      </c>
      <c r="H1987">
        <f t="array" ref="H1987">COUNTIF($J$13:$J$1888,G1987)</f>
        <v>1</v>
      </c>
      <c r="I1987">
        <f t="shared" si="5"/>
        <v>0</v>
      </c>
      <c r="J1987">
        <f t="shared" si="6"/>
        <v>0</v>
      </c>
      <c r="K1987">
        <f t="shared" si="7"/>
        <v>0</v>
      </c>
      <c r="L1987">
        <f t="shared" si="8"/>
        <v>1</v>
      </c>
      <c r="M1987">
        <f t="shared" si="9"/>
        <v>0</v>
      </c>
    </row>
    <row r="1988" spans="7:13">
      <c r="G1988" t="s">
        <v>1490</v>
      </c>
      <c r="H1988">
        <f t="array" ref="H1988">COUNTIF($J$13:$J$1888,G1988)</f>
        <v>1</v>
      </c>
      <c r="I1988">
        <f t="shared" si="5"/>
        <v>0</v>
      </c>
      <c r="J1988">
        <f t="shared" si="6"/>
        <v>0</v>
      </c>
      <c r="K1988">
        <f t="shared" si="7"/>
        <v>1</v>
      </c>
      <c r="L1988">
        <f t="shared" si="8"/>
        <v>0</v>
      </c>
      <c r="M1988">
        <f t="shared" si="9"/>
        <v>0</v>
      </c>
    </row>
    <row r="1989" spans="7:13">
      <c r="G1989" t="s">
        <v>2631</v>
      </c>
      <c r="H1989">
        <f t="array" ref="H1989">COUNTIF($J$13:$J$1888,G1989)</f>
        <v>1</v>
      </c>
      <c r="I1989">
        <f t="shared" si="5"/>
        <v>0</v>
      </c>
      <c r="J1989">
        <f t="shared" si="6"/>
        <v>0</v>
      </c>
      <c r="K1989">
        <f t="shared" si="7"/>
        <v>0</v>
      </c>
      <c r="L1989">
        <f t="shared" si="8"/>
        <v>1</v>
      </c>
      <c r="M1989">
        <f t="shared" si="9"/>
        <v>0</v>
      </c>
    </row>
    <row r="1990" spans="7:13">
      <c r="G1990" t="s">
        <v>1614</v>
      </c>
      <c r="H1990">
        <f t="array" ref="H1990">COUNTIF($J$13:$J$1888,G1990)</f>
        <v>1</v>
      </c>
      <c r="I1990">
        <f t="shared" si="5"/>
        <v>0</v>
      </c>
      <c r="J1990">
        <f t="shared" si="6"/>
        <v>0</v>
      </c>
      <c r="K1990">
        <f t="shared" si="7"/>
        <v>1</v>
      </c>
      <c r="L1990">
        <f t="shared" si="8"/>
        <v>0</v>
      </c>
      <c r="M1990">
        <f t="shared" si="9"/>
        <v>0</v>
      </c>
    </row>
    <row r="1991" spans="7:13">
      <c r="G1991" t="s">
        <v>3429</v>
      </c>
      <c r="H1991">
        <f t="array" ref="H1991">COUNTIF($J$13:$J$1888,G1991)</f>
        <v>1</v>
      </c>
      <c r="I1991">
        <f t="shared" si="5"/>
        <v>0</v>
      </c>
      <c r="J1991">
        <f t="shared" si="6"/>
        <v>0</v>
      </c>
      <c r="K1991">
        <f t="shared" si="7"/>
        <v>0</v>
      </c>
      <c r="L1991">
        <f t="shared" si="8"/>
        <v>1</v>
      </c>
      <c r="M1991">
        <f t="shared" si="9"/>
        <v>0</v>
      </c>
    </row>
    <row r="1992" spans="7:13">
      <c r="G1992" t="s">
        <v>2260</v>
      </c>
      <c r="H1992">
        <f t="array" ref="H1992">COUNTIF($J$13:$J$1888,G1992)</f>
        <v>1</v>
      </c>
      <c r="I1992">
        <f t="shared" si="5"/>
        <v>0</v>
      </c>
      <c r="J1992">
        <f t="shared" si="6"/>
        <v>0</v>
      </c>
      <c r="K1992">
        <f t="shared" si="7"/>
        <v>1</v>
      </c>
      <c r="L1992">
        <f t="shared" si="8"/>
        <v>0</v>
      </c>
      <c r="M1992">
        <f t="shared" si="9"/>
        <v>0</v>
      </c>
    </row>
    <row r="1993" spans="7:13">
      <c r="G1993" t="s">
        <v>1463</v>
      </c>
      <c r="H1993">
        <f t="array" ref="H1993">COUNTIF($J$13:$J$1888,G1993)</f>
        <v>1</v>
      </c>
      <c r="I1993">
        <f t="shared" si="5"/>
        <v>0</v>
      </c>
      <c r="J1993">
        <f t="shared" si="6"/>
        <v>0</v>
      </c>
      <c r="K1993">
        <f t="shared" si="7"/>
        <v>1</v>
      </c>
      <c r="L1993">
        <f t="shared" si="8"/>
        <v>0</v>
      </c>
      <c r="M1993">
        <f t="shared" si="9"/>
        <v>0</v>
      </c>
    </row>
    <row r="1994" spans="7:13">
      <c r="G1994" t="s">
        <v>3436</v>
      </c>
      <c r="H1994">
        <f t="array" ref="H1994">COUNTIF($J$13:$J$1888,G1994)</f>
        <v>1</v>
      </c>
      <c r="I1994">
        <f t="shared" si="5"/>
        <v>0</v>
      </c>
      <c r="J1994">
        <f t="shared" si="6"/>
        <v>0</v>
      </c>
      <c r="K1994">
        <f t="shared" si="7"/>
        <v>1</v>
      </c>
      <c r="L1994">
        <f t="shared" si="8"/>
        <v>0</v>
      </c>
      <c r="M1994">
        <f t="shared" si="9"/>
        <v>0</v>
      </c>
    </row>
    <row r="1995" spans="7:13">
      <c r="G1995" t="s">
        <v>2855</v>
      </c>
      <c r="H1995">
        <f t="array" ref="H1995">COUNTIF($J$13:$J$1888,G1995)</f>
        <v>1</v>
      </c>
      <c r="I1995">
        <f t="shared" si="5"/>
        <v>0</v>
      </c>
      <c r="J1995">
        <f t="shared" si="6"/>
        <v>0</v>
      </c>
      <c r="K1995">
        <f t="shared" si="7"/>
        <v>1</v>
      </c>
      <c r="L1995">
        <f t="shared" si="8"/>
        <v>0</v>
      </c>
      <c r="M1995">
        <f t="shared" si="9"/>
        <v>0</v>
      </c>
    </row>
    <row r="1996" spans="7:13">
      <c r="G1996" t="s">
        <v>2142</v>
      </c>
      <c r="H1996">
        <f t="array" ref="H1996">COUNTIF($J$13:$J$1888,G1996)</f>
        <v>1</v>
      </c>
      <c r="I1996">
        <f t="shared" si="5"/>
        <v>0</v>
      </c>
      <c r="J1996">
        <f t="shared" si="6"/>
        <v>0</v>
      </c>
      <c r="K1996">
        <f t="shared" si="7"/>
        <v>0</v>
      </c>
      <c r="L1996">
        <f t="shared" si="8"/>
        <v>1</v>
      </c>
      <c r="M1996">
        <f t="shared" si="9"/>
        <v>0</v>
      </c>
    </row>
    <row r="1997" spans="7:13">
      <c r="G1997" t="s">
        <v>2197</v>
      </c>
      <c r="H1997">
        <f t="array" ref="H1997">COUNTIF($J$13:$J$1888,G1997)</f>
        <v>1</v>
      </c>
      <c r="I1997">
        <f t="shared" si="5"/>
        <v>0</v>
      </c>
      <c r="J1997">
        <f t="shared" si="6"/>
        <v>0</v>
      </c>
      <c r="K1997">
        <f t="shared" si="7"/>
        <v>1</v>
      </c>
      <c r="L1997">
        <f t="shared" si="8"/>
        <v>0</v>
      </c>
      <c r="M1997">
        <f t="shared" si="9"/>
        <v>0</v>
      </c>
    </row>
    <row r="1998" spans="7:13">
      <c r="G1998" t="s">
        <v>3217</v>
      </c>
      <c r="H1998">
        <f t="array" ref="H1998">COUNTIF($J$13:$J$1888,G1998)</f>
        <v>1</v>
      </c>
      <c r="I1998">
        <f t="shared" si="5"/>
        <v>0</v>
      </c>
      <c r="J1998">
        <f t="shared" si="6"/>
        <v>1</v>
      </c>
      <c r="K1998">
        <f t="shared" si="7"/>
        <v>0</v>
      </c>
      <c r="L1998">
        <f t="shared" si="8"/>
        <v>0</v>
      </c>
      <c r="M1998">
        <f t="shared" si="9"/>
        <v>0</v>
      </c>
    </row>
    <row r="1999" spans="7:13">
      <c r="G1999" t="s">
        <v>2240</v>
      </c>
      <c r="H1999">
        <f t="array" ref="H1999">COUNTIF($J$13:$J$1888,G1999)</f>
        <v>1</v>
      </c>
      <c r="I1999">
        <f t="shared" si="5"/>
        <v>0</v>
      </c>
      <c r="J1999">
        <f t="shared" si="6"/>
        <v>0</v>
      </c>
      <c r="K1999">
        <f t="shared" si="7"/>
        <v>1</v>
      </c>
      <c r="L1999">
        <f t="shared" si="8"/>
        <v>0</v>
      </c>
      <c r="M1999">
        <f t="shared" si="9"/>
        <v>0</v>
      </c>
    </row>
    <row r="2000" spans="7:13">
      <c r="G2000" t="s">
        <v>1389</v>
      </c>
      <c r="H2000">
        <f t="array" ref="H2000">COUNTIF($J$13:$J$1888,G2000)</f>
        <v>0</v>
      </c>
      <c r="I2000">
        <f t="shared" si="5"/>
        <v>0</v>
      </c>
      <c r="J2000">
        <f t="shared" si="6"/>
        <v>0</v>
      </c>
      <c r="K2000">
        <f t="shared" si="7"/>
        <v>0</v>
      </c>
      <c r="L2000">
        <f t="shared" si="8"/>
        <v>0</v>
      </c>
      <c r="M2000">
        <f t="shared" si="9"/>
        <v>0</v>
      </c>
    </row>
    <row r="2001" spans="7:13">
      <c r="G2001" t="s">
        <v>1941</v>
      </c>
      <c r="H2001">
        <f t="array" ref="H2001">COUNTIF($J$13:$J$1888,G2001)</f>
        <v>0</v>
      </c>
      <c r="I2001">
        <f t="shared" si="5"/>
        <v>0</v>
      </c>
      <c r="J2001">
        <f t="shared" si="6"/>
        <v>0</v>
      </c>
      <c r="K2001">
        <f t="shared" si="7"/>
        <v>0</v>
      </c>
      <c r="L2001">
        <f t="shared" si="8"/>
        <v>0</v>
      </c>
      <c r="M2001">
        <f t="shared" si="9"/>
        <v>0</v>
      </c>
    </row>
    <row r="2002" spans="7:13">
      <c r="G2002" t="s">
        <v>2679</v>
      </c>
      <c r="H2002">
        <f t="array" ref="H2002">COUNTIF($J$13:$J$1888,G2002)</f>
        <v>0</v>
      </c>
      <c r="I2002">
        <f t="shared" si="5"/>
        <v>0</v>
      </c>
      <c r="J2002">
        <f t="shared" si="6"/>
        <v>0</v>
      </c>
      <c r="K2002">
        <f t="shared" si="7"/>
        <v>0</v>
      </c>
      <c r="L2002">
        <f t="shared" si="8"/>
        <v>0</v>
      </c>
      <c r="M2002">
        <f t="shared" si="9"/>
        <v>0</v>
      </c>
    </row>
    <row r="2003" spans="7:13">
      <c r="G2003" t="s">
        <v>2786</v>
      </c>
      <c r="H2003">
        <f t="array" ref="H2003">COUNTIF($J$13:$J$1888,G2003)</f>
        <v>0</v>
      </c>
      <c r="I2003">
        <f t="shared" si="5"/>
        <v>0</v>
      </c>
      <c r="J2003">
        <f t="shared" si="6"/>
        <v>0</v>
      </c>
      <c r="K2003">
        <f t="shared" si="7"/>
        <v>0</v>
      </c>
      <c r="L2003">
        <f t="shared" si="8"/>
        <v>0</v>
      </c>
      <c r="M2003">
        <f t="shared" si="9"/>
        <v>0</v>
      </c>
    </row>
  </sheetData>
  <autoFilter ref="G1896:H1896">
    <sortState ref="G1897:H2003">
      <sortCondition descending="1" ref="H1896"/>
    </sortState>
  </autoFilter>
  <sortState ref="G1897:H2003">
    <sortCondition ref="G1896"/>
  </sortState>
  <conditionalFormatting sqref="B6:B1888 D1776:L1776 C6:L6 C1777:L1888 C1715:L1775 D1714:L1714 C1707:L1713 D1706:L1706 C1648:L1705 D1647:L1647 C1303:L1646 D1302:L1302 C1091:L1301 D1090:L1090 C1079:L1089 D1078:L1078 C1050:L1077 D1049:L1049 C874:L1048 D873:L873 C808:L872 D807:L807 C804:L806 D803:L803 C787:L802 D786:L786 C751:L785 D750:L750 C714:L749 D713:L713 C710:L712 D709:L709 C699:L708 D698:L698 C692:L697 D691:L691 C660:L690 D659:L659 C636:L658 D635:L635 C597:L634 D596:L596 C425:L595 D424:L424 C39:L44 D7:L38 C47:L47 D45:L46 C49:L52 D48:L48 C55:L59 D53:L54 C61:L61 D60:L60 C63:L79 D62:L62 C81:L91 D80:L80 C93:L101 D92:L92 C103:L103 D102:L102 C105:L139 D104:L104 C141:L154 D140:L140 C156:L158 D155:L155 C160:L215 D159:L159 C217:L241 D216:L216 C243:L277 D242:L242 C279:L309 D278:L278 C311:L423 D310:L310">
    <cfRule type="expression" dxfId="17" priority="13">
      <formula>$D6="ERR"</formula>
    </cfRule>
  </conditionalFormatting>
  <conditionalFormatting sqref="I1896">
    <cfRule type="expression" dxfId="16" priority="12">
      <formula>$D1896="ERR"</formula>
    </cfRule>
  </conditionalFormatting>
  <conditionalFormatting sqref="J1896">
    <cfRule type="expression" dxfId="15" priority="11">
      <formula>$D1896="ERR"</formula>
    </cfRule>
  </conditionalFormatting>
  <conditionalFormatting sqref="I1896">
    <cfRule type="expression" dxfId="14" priority="10">
      <formula>$D1896="ERR"</formula>
    </cfRule>
  </conditionalFormatting>
  <conditionalFormatting sqref="K1896">
    <cfRule type="expression" dxfId="13" priority="9">
      <formula>$D1896="ERR"</formula>
    </cfRule>
  </conditionalFormatting>
  <conditionalFormatting sqref="L1896">
    <cfRule type="expression" dxfId="12" priority="8">
      <formula>$D1896="ERR"</formula>
    </cfRule>
  </conditionalFormatting>
  <conditionalFormatting sqref="M1896">
    <cfRule type="expression" dxfId="11" priority="7">
      <formula>$D1896="ERR"</formula>
    </cfRule>
  </conditionalFormatting>
  <conditionalFormatting sqref="B1921">
    <cfRule type="expression" dxfId="10" priority="6">
      <formula>$D1921="ERR"</formula>
    </cfRule>
  </conditionalFormatting>
  <conditionalFormatting sqref="B1922">
    <cfRule type="expression" dxfId="9" priority="5">
      <formula>$D1922="ERR"</formula>
    </cfRule>
  </conditionalFormatting>
  <conditionalFormatting sqref="B1921">
    <cfRule type="expression" dxfId="8" priority="4">
      <formula>$D1921="ERR"</formula>
    </cfRule>
  </conditionalFormatting>
  <conditionalFormatting sqref="B1923">
    <cfRule type="expression" dxfId="7" priority="3">
      <formula>$D1923="ERR"</formula>
    </cfRule>
  </conditionalFormatting>
  <conditionalFormatting sqref="B1924">
    <cfRule type="expression" dxfId="6" priority="2">
      <formula>$D1924="ERR"</formula>
    </cfRule>
  </conditionalFormatting>
  <conditionalFormatting sqref="B1925">
    <cfRule type="expression" dxfId="5" priority="1">
      <formula>$D1925="ERR"</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Methodology &amp; Notes</vt:lpstr>
      <vt:lpstr>Dashboard</vt:lpstr>
      <vt:lpstr>Sheet1</vt:lpstr>
      <vt:lpstr>Sheet2</vt:lpstr>
      <vt:lpstr>Sheet3</vt:lpstr>
      <vt:lpstr>Pivot</vt:lpstr>
      <vt:lpstr>Data</vt:lpstr>
      <vt:lpstr>Curr</vt:lpstr>
      <vt:lpstr>Currency</vt:lpstr>
    </vt:vector>
  </TitlesOfParts>
  <Company>Google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krishnana</dc:creator>
  <cp:lastModifiedBy>krishnana</cp:lastModifiedBy>
  <dcterms:created xsi:type="dcterms:W3CDTF">2012-07-05T10:00:59Z</dcterms:created>
  <dcterms:modified xsi:type="dcterms:W3CDTF">2012-07-07T05:57:25Z</dcterms:modified>
</cp:coreProperties>
</file>